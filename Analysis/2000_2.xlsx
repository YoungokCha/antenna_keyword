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5070ECEF-B084-804B-ACE4-47512AC36C56}" xr6:coauthVersionLast="47" xr6:coauthVersionMax="47" xr10:uidLastSave="{E291A14A-75D8-F440-9E57-4ADB2E910FF5}"/>
  <bookViews>
    <workbookView xWindow="4380" yWindow="9660" windowWidth="38240" windowHeight="27620" xr2:uid="{35A3AB6C-3988-214E-9240-582E999C310B}"/>
  </bookViews>
  <sheets>
    <sheet name="200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Y3" i="1"/>
  <c r="AM3" i="1"/>
  <c r="AN3" i="1" s="1"/>
  <c r="S4" i="1"/>
  <c r="U4" i="1"/>
  <c r="AM4" i="1" s="1"/>
  <c r="AN4" i="1" s="1"/>
  <c r="Y4" i="1"/>
  <c r="S5" i="1"/>
  <c r="U5" i="1"/>
  <c r="AM5" i="1" s="1"/>
  <c r="AN5" i="1" s="1"/>
  <c r="Y5" i="1"/>
  <c r="S6" i="1"/>
  <c r="U6" i="1"/>
  <c r="AM6" i="1" s="1"/>
  <c r="AN6" i="1" s="1"/>
  <c r="Y6" i="1"/>
  <c r="S7" i="1"/>
  <c r="U7" i="1"/>
  <c r="AM7" i="1" s="1"/>
  <c r="AN7" i="1" s="1"/>
  <c r="Y7" i="1"/>
  <c r="AU7" i="1" s="1"/>
  <c r="S8" i="1"/>
  <c r="U8" i="1"/>
  <c r="Y8" i="1"/>
  <c r="AW8" i="1" s="1"/>
  <c r="AM8" i="1"/>
  <c r="AN8" i="1"/>
  <c r="AU8" i="1"/>
  <c r="AV8" i="1"/>
  <c r="S9" i="1"/>
  <c r="U9" i="1"/>
  <c r="Y9" i="1"/>
  <c r="AM9" i="1"/>
  <c r="AN9" i="1" s="1"/>
  <c r="S10" i="1"/>
  <c r="U10" i="1"/>
  <c r="AM10" i="1" s="1"/>
  <c r="AN10" i="1" s="1"/>
  <c r="Y10" i="1"/>
  <c r="S11" i="1"/>
  <c r="U11" i="1"/>
  <c r="AM11" i="1" s="1"/>
  <c r="AN11" i="1" s="1"/>
  <c r="Y11" i="1"/>
  <c r="S12" i="1"/>
  <c r="U12" i="1"/>
  <c r="Y12" i="1"/>
  <c r="AM12" i="1"/>
  <c r="AN12" i="1"/>
  <c r="AV12" i="1" s="1"/>
  <c r="S13" i="1"/>
  <c r="U13" i="1"/>
  <c r="Y13" i="1"/>
  <c r="AM13" i="1"/>
  <c r="AN13" i="1" s="1"/>
  <c r="S14" i="1"/>
  <c r="U14" i="1"/>
  <c r="AM14" i="1" s="1"/>
  <c r="AN14" i="1" s="1"/>
  <c r="Y14" i="1"/>
  <c r="S15" i="1"/>
  <c r="U15" i="1"/>
  <c r="AM15" i="1" s="1"/>
  <c r="AN15" i="1" s="1"/>
  <c r="Y15" i="1"/>
  <c r="S16" i="1"/>
  <c r="U16" i="1"/>
  <c r="Y16" i="1"/>
  <c r="AM16" i="1"/>
  <c r="AN16" i="1"/>
  <c r="AV16" i="1"/>
  <c r="AW16" i="1"/>
  <c r="S17" i="1"/>
  <c r="U17" i="1"/>
  <c r="AM17" i="1" s="1"/>
  <c r="AN17" i="1" s="1"/>
  <c r="Y17" i="1"/>
  <c r="S18" i="1"/>
  <c r="U18" i="1"/>
  <c r="AM18" i="1" s="1"/>
  <c r="AN18" i="1" s="1"/>
  <c r="Y18" i="1"/>
  <c r="S19" i="1"/>
  <c r="U19" i="1"/>
  <c r="AM19" i="1" s="1"/>
  <c r="AN19" i="1" s="1"/>
  <c r="Y19" i="1"/>
  <c r="S20" i="1"/>
  <c r="U20" i="1"/>
  <c r="AM20" i="1" s="1"/>
  <c r="AN20" i="1" s="1"/>
  <c r="Y20" i="1"/>
  <c r="AU20" i="1" s="1"/>
  <c r="S21" i="1"/>
  <c r="U21" i="1"/>
  <c r="Y21" i="1"/>
  <c r="AM21" i="1"/>
  <c r="AN21" i="1" s="1"/>
  <c r="S22" i="1"/>
  <c r="U22" i="1"/>
  <c r="AM22" i="1" s="1"/>
  <c r="AN22" i="1" s="1"/>
  <c r="Y22" i="1"/>
  <c r="AU22" i="1" s="1"/>
  <c r="S23" i="1"/>
  <c r="U23" i="1"/>
  <c r="AM23" i="1" s="1"/>
  <c r="AN23" i="1" s="1"/>
  <c r="Y23" i="1"/>
  <c r="S24" i="1"/>
  <c r="U24" i="1"/>
  <c r="Y24" i="1"/>
  <c r="AM24" i="1"/>
  <c r="AN24" i="1" s="1"/>
  <c r="S25" i="1"/>
  <c r="U25" i="1"/>
  <c r="AM25" i="1" s="1"/>
  <c r="AN25" i="1" s="1"/>
  <c r="Y25" i="1"/>
  <c r="S26" i="1"/>
  <c r="U26" i="1"/>
  <c r="Y26" i="1"/>
  <c r="AM26" i="1"/>
  <c r="AN26" i="1" s="1"/>
  <c r="S27" i="1"/>
  <c r="U27" i="1"/>
  <c r="Y27" i="1"/>
  <c r="AM27" i="1"/>
  <c r="AN27" i="1" s="1"/>
  <c r="S28" i="1"/>
  <c r="U28" i="1"/>
  <c r="Y28" i="1"/>
  <c r="AM28" i="1"/>
  <c r="AN28" i="1" s="1"/>
  <c r="S29" i="1"/>
  <c r="U29" i="1"/>
  <c r="Y29" i="1"/>
  <c r="AM29" i="1"/>
  <c r="AN29" i="1" s="1"/>
  <c r="S30" i="1"/>
  <c r="U30" i="1"/>
  <c r="AM30" i="1" s="1"/>
  <c r="AN30" i="1" s="1"/>
  <c r="Y30" i="1"/>
  <c r="AU30" i="1" s="1"/>
  <c r="S31" i="1"/>
  <c r="U31" i="1"/>
  <c r="Y31" i="1"/>
  <c r="AV31" i="1" s="1"/>
  <c r="AM31" i="1"/>
  <c r="AN31" i="1" s="1"/>
  <c r="S32" i="1"/>
  <c r="U32" i="1"/>
  <c r="AM32" i="1" s="1"/>
  <c r="AN32" i="1" s="1"/>
  <c r="Y32" i="1"/>
  <c r="S33" i="1"/>
  <c r="U33" i="1"/>
  <c r="Y33" i="1"/>
  <c r="AM33" i="1"/>
  <c r="AN33" i="1" s="1"/>
  <c r="S34" i="1"/>
  <c r="U34" i="1"/>
  <c r="AM34" i="1" s="1"/>
  <c r="AN34" i="1" s="1"/>
  <c r="Y34" i="1"/>
  <c r="AU34" i="1" s="1"/>
  <c r="S35" i="1"/>
  <c r="U35" i="1"/>
  <c r="AM35" i="1" s="1"/>
  <c r="AN35" i="1" s="1"/>
  <c r="Y35" i="1"/>
  <c r="S36" i="1"/>
  <c r="U36" i="1"/>
  <c r="Y36" i="1"/>
  <c r="AM36" i="1"/>
  <c r="AN36" i="1" s="1"/>
  <c r="S37" i="1"/>
  <c r="U37" i="1"/>
  <c r="AM37" i="1" s="1"/>
  <c r="AN37" i="1" s="1"/>
  <c r="Y37" i="1"/>
  <c r="S38" i="1"/>
  <c r="U38" i="1"/>
  <c r="Y38" i="1"/>
  <c r="AM38" i="1"/>
  <c r="AN38" i="1"/>
  <c r="AU38" i="1" s="1"/>
  <c r="S39" i="1"/>
  <c r="U39" i="1"/>
  <c r="Y39" i="1"/>
  <c r="AM39" i="1"/>
  <c r="AN39" i="1" s="1"/>
  <c r="S40" i="1"/>
  <c r="U40" i="1"/>
  <c r="AM40" i="1" s="1"/>
  <c r="AN40" i="1" s="1"/>
  <c r="Y40" i="1"/>
  <c r="AU40" i="1" s="1"/>
  <c r="S41" i="1"/>
  <c r="U41" i="1"/>
  <c r="AM41" i="1" s="1"/>
  <c r="AN41" i="1" s="1"/>
  <c r="Y41" i="1"/>
  <c r="S42" i="1"/>
  <c r="U42" i="1"/>
  <c r="AM42" i="1" s="1"/>
  <c r="AN42" i="1" s="1"/>
  <c r="Y42" i="1"/>
  <c r="AU42" i="1" s="1"/>
  <c r="S43" i="1"/>
  <c r="U43" i="1"/>
  <c r="AM43" i="1" s="1"/>
  <c r="AN43" i="1" s="1"/>
  <c r="Y43" i="1"/>
  <c r="S44" i="1"/>
  <c r="U44" i="1"/>
  <c r="Y44" i="1"/>
  <c r="AM44" i="1"/>
  <c r="AN44" i="1" s="1"/>
  <c r="AW44" i="1" s="1"/>
  <c r="S45" i="1"/>
  <c r="U45" i="1"/>
  <c r="AM45" i="1" s="1"/>
  <c r="AN45" i="1" s="1"/>
  <c r="Y45" i="1"/>
  <c r="S46" i="1"/>
  <c r="U46" i="1"/>
  <c r="AM46" i="1" s="1"/>
  <c r="AN46" i="1" s="1"/>
  <c r="AV46" i="1" s="1"/>
  <c r="Y46" i="1"/>
  <c r="S47" i="1"/>
  <c r="U47" i="1"/>
  <c r="Y47" i="1"/>
  <c r="AM47" i="1"/>
  <c r="AN47" i="1" s="1"/>
  <c r="S48" i="1"/>
  <c r="U48" i="1"/>
  <c r="Y48" i="1"/>
  <c r="AM48" i="1"/>
  <c r="AN48" i="1"/>
  <c r="AU48" i="1" s="1"/>
  <c r="AW48" i="1"/>
  <c r="S49" i="1"/>
  <c r="U49" i="1"/>
  <c r="Y49" i="1"/>
  <c r="AM49" i="1"/>
  <c r="AN49" i="1" s="1"/>
  <c r="AW49" i="1" s="1"/>
  <c r="S50" i="1"/>
  <c r="U50" i="1"/>
  <c r="AM50" i="1" s="1"/>
  <c r="AN50" i="1" s="1"/>
  <c r="Y50" i="1"/>
  <c r="AU50" i="1" s="1"/>
  <c r="S51" i="1"/>
  <c r="U51" i="1"/>
  <c r="AM51" i="1" s="1"/>
  <c r="AN51" i="1" s="1"/>
  <c r="Y51" i="1"/>
  <c r="S52" i="1"/>
  <c r="U52" i="1"/>
  <c r="Y52" i="1"/>
  <c r="AM52" i="1"/>
  <c r="AN52" i="1" s="1"/>
  <c r="S53" i="1"/>
  <c r="U53" i="1"/>
  <c r="AM53" i="1" s="1"/>
  <c r="AN53" i="1" s="1"/>
  <c r="Y53" i="1"/>
  <c r="S54" i="1"/>
  <c r="U54" i="1"/>
  <c r="AM54" i="1" s="1"/>
  <c r="AN54" i="1" s="1"/>
  <c r="AW54" i="1" s="1"/>
  <c r="Y54" i="1"/>
  <c r="S55" i="1"/>
  <c r="U55" i="1"/>
  <c r="AM55" i="1" s="1"/>
  <c r="AN55" i="1" s="1"/>
  <c r="Y55" i="1"/>
  <c r="S56" i="1"/>
  <c r="U56" i="1"/>
  <c r="AM56" i="1" s="1"/>
  <c r="AN56" i="1" s="1"/>
  <c r="AW56" i="1" s="1"/>
  <c r="Y56" i="1"/>
  <c r="AV56" i="1" s="1"/>
  <c r="S57" i="1"/>
  <c r="U57" i="1"/>
  <c r="AM57" i="1" s="1"/>
  <c r="AN57" i="1" s="1"/>
  <c r="Y57" i="1"/>
  <c r="S58" i="1"/>
  <c r="U58" i="1"/>
  <c r="Y58" i="1"/>
  <c r="AM58" i="1"/>
  <c r="AN58" i="1"/>
  <c r="AU58" i="1" s="1"/>
  <c r="AW58" i="1"/>
  <c r="S59" i="1"/>
  <c r="U59" i="1"/>
  <c r="AM59" i="1" s="1"/>
  <c r="AN59" i="1" s="1"/>
  <c r="AW59" i="1" s="1"/>
  <c r="Y59" i="1"/>
  <c r="S60" i="1"/>
  <c r="U60" i="1"/>
  <c r="AM60" i="1" s="1"/>
  <c r="AN60" i="1" s="1"/>
  <c r="Y60" i="1"/>
  <c r="S61" i="1"/>
  <c r="U61" i="1"/>
  <c r="Y61" i="1"/>
  <c r="AM61" i="1"/>
  <c r="AN61" i="1"/>
  <c r="AW61" i="1" s="1"/>
  <c r="S62" i="1"/>
  <c r="U62" i="1"/>
  <c r="Y62" i="1"/>
  <c r="AM62" i="1"/>
  <c r="AN62" i="1" s="1"/>
  <c r="S63" i="1"/>
  <c r="U63" i="1"/>
  <c r="AM63" i="1" s="1"/>
  <c r="AN63" i="1" s="1"/>
  <c r="AU63" i="1" s="1"/>
  <c r="Y63" i="1"/>
  <c r="S64" i="1"/>
  <c r="U64" i="1"/>
  <c r="AM64" i="1" s="1"/>
  <c r="AN64" i="1" s="1"/>
  <c r="Y64" i="1"/>
  <c r="AW64" i="1" s="1"/>
  <c r="S65" i="1"/>
  <c r="U65" i="1"/>
  <c r="AM65" i="1" s="1"/>
  <c r="AN65" i="1" s="1"/>
  <c r="Y65" i="1"/>
  <c r="S66" i="1"/>
  <c r="U66" i="1"/>
  <c r="Y66" i="1"/>
  <c r="AM66" i="1"/>
  <c r="AN66" i="1"/>
  <c r="AV66" i="1"/>
  <c r="AW66" i="1"/>
  <c r="S67" i="1"/>
  <c r="U67" i="1"/>
  <c r="AM67" i="1" s="1"/>
  <c r="AN67" i="1" s="1"/>
  <c r="Y67" i="1"/>
  <c r="S68" i="1"/>
  <c r="U68" i="1"/>
  <c r="Y68" i="1"/>
  <c r="AM68" i="1"/>
  <c r="AN68" i="1"/>
  <c r="S69" i="1"/>
  <c r="U69" i="1"/>
  <c r="Y69" i="1"/>
  <c r="AM69" i="1"/>
  <c r="AN69" i="1" s="1"/>
  <c r="AW69" i="1" s="1"/>
  <c r="S70" i="1"/>
  <c r="U70" i="1"/>
  <c r="AM70" i="1" s="1"/>
  <c r="AN70" i="1" s="1"/>
  <c r="Y70" i="1"/>
  <c r="S71" i="1"/>
  <c r="U71" i="1"/>
  <c r="Y71" i="1"/>
  <c r="AM71" i="1"/>
  <c r="AN71" i="1" s="1"/>
  <c r="S72" i="1"/>
  <c r="U72" i="1"/>
  <c r="Y72" i="1"/>
  <c r="AM72" i="1"/>
  <c r="AN72" i="1" s="1"/>
  <c r="S73" i="1"/>
  <c r="U73" i="1"/>
  <c r="AM73" i="1" s="1"/>
  <c r="AN73" i="1" s="1"/>
  <c r="AU73" i="1" s="1"/>
  <c r="Y73" i="1"/>
  <c r="S74" i="1"/>
  <c r="U74" i="1"/>
  <c r="Y74" i="1"/>
  <c r="AM74" i="1"/>
  <c r="AN74" i="1" s="1"/>
  <c r="AW74" i="1" s="1"/>
  <c r="S75" i="1"/>
  <c r="U75" i="1"/>
  <c r="AM75" i="1" s="1"/>
  <c r="AN75" i="1" s="1"/>
  <c r="Y75" i="1"/>
  <c r="S76" i="1"/>
  <c r="U76" i="1"/>
  <c r="Y76" i="1"/>
  <c r="AW76" i="1" s="1"/>
  <c r="AM76" i="1"/>
  <c r="AN76" i="1"/>
  <c r="AV76" i="1" s="1"/>
  <c r="S77" i="1"/>
  <c r="U77" i="1"/>
  <c r="Y77" i="1"/>
  <c r="AM77" i="1"/>
  <c r="AN77" i="1" s="1"/>
  <c r="S78" i="1"/>
  <c r="U78" i="1"/>
  <c r="AM78" i="1" s="1"/>
  <c r="AN78" i="1" s="1"/>
  <c r="AU78" i="1" s="1"/>
  <c r="Y78" i="1"/>
  <c r="S79" i="1"/>
  <c r="U79" i="1"/>
  <c r="Y79" i="1"/>
  <c r="AM79" i="1"/>
  <c r="AN79" i="1" s="1"/>
  <c r="S80" i="1"/>
  <c r="U80" i="1"/>
  <c r="Y80" i="1"/>
  <c r="AM80" i="1"/>
  <c r="AN80" i="1" s="1"/>
  <c r="S81" i="1"/>
  <c r="U81" i="1"/>
  <c r="AM81" i="1" s="1"/>
  <c r="AN81" i="1" s="1"/>
  <c r="Y81" i="1"/>
  <c r="S82" i="1"/>
  <c r="U82" i="1"/>
  <c r="AM82" i="1" s="1"/>
  <c r="AN82" i="1" s="1"/>
  <c r="Y82" i="1"/>
  <c r="S83" i="1"/>
  <c r="U83" i="1"/>
  <c r="Y83" i="1"/>
  <c r="AM83" i="1"/>
  <c r="AN83" i="1" s="1"/>
  <c r="AU83" i="1" s="1"/>
  <c r="S84" i="1"/>
  <c r="U84" i="1"/>
  <c r="Y84" i="1"/>
  <c r="AM84" i="1"/>
  <c r="AN84" i="1" s="1"/>
  <c r="AW84" i="1" s="1"/>
  <c r="S85" i="1"/>
  <c r="U85" i="1"/>
  <c r="AM85" i="1" s="1"/>
  <c r="AN85" i="1" s="1"/>
  <c r="Y85" i="1"/>
  <c r="AU85" i="1" s="1"/>
  <c r="S86" i="1"/>
  <c r="U86" i="1"/>
  <c r="Y86" i="1"/>
  <c r="AM86" i="1"/>
  <c r="AN86" i="1" s="1"/>
  <c r="AW86" i="1" s="1"/>
  <c r="S87" i="1"/>
  <c r="U87" i="1"/>
  <c r="AM87" i="1" s="1"/>
  <c r="AN87" i="1" s="1"/>
  <c r="Y87" i="1"/>
  <c r="S88" i="1"/>
  <c r="U88" i="1"/>
  <c r="Y88" i="1"/>
  <c r="AM88" i="1"/>
  <c r="AN88" i="1" s="1"/>
  <c r="AU88" i="1" s="1"/>
  <c r="S89" i="1"/>
  <c r="U89" i="1"/>
  <c r="Y89" i="1"/>
  <c r="AM89" i="1"/>
  <c r="AN89" i="1" s="1"/>
  <c r="AW89" i="1" s="1"/>
  <c r="S90" i="1"/>
  <c r="U90" i="1"/>
  <c r="AM90" i="1" s="1"/>
  <c r="AN90" i="1" s="1"/>
  <c r="Y90" i="1"/>
  <c r="S91" i="1"/>
  <c r="U91" i="1"/>
  <c r="Y91" i="1"/>
  <c r="AM91" i="1"/>
  <c r="AN91" i="1" s="1"/>
  <c r="S92" i="1"/>
  <c r="U92" i="1"/>
  <c r="AM92" i="1" s="1"/>
  <c r="AN92" i="1" s="1"/>
  <c r="Y92" i="1"/>
  <c r="S93" i="1"/>
  <c r="U93" i="1"/>
  <c r="Y93" i="1"/>
  <c r="AM93" i="1"/>
  <c r="AN93" i="1"/>
  <c r="AU93" i="1" s="1"/>
  <c r="S94" i="1"/>
  <c r="U94" i="1"/>
  <c r="Y94" i="1"/>
  <c r="AM94" i="1"/>
  <c r="AN94" i="1" s="1"/>
  <c r="AW94" i="1" s="1"/>
  <c r="S95" i="1"/>
  <c r="U95" i="1"/>
  <c r="AM95" i="1" s="1"/>
  <c r="AN95" i="1" s="1"/>
  <c r="Y95" i="1"/>
  <c r="S96" i="1"/>
  <c r="U96" i="1"/>
  <c r="AM96" i="1" s="1"/>
  <c r="AN96" i="1" s="1"/>
  <c r="AV96" i="1" s="1"/>
  <c r="Y96" i="1"/>
  <c r="S97" i="1"/>
  <c r="U97" i="1"/>
  <c r="Y97" i="1"/>
  <c r="AM97" i="1"/>
  <c r="AN97" i="1" s="1"/>
  <c r="S98" i="1"/>
  <c r="U98" i="1"/>
  <c r="Y98" i="1"/>
  <c r="AM98" i="1"/>
  <c r="AN98" i="1"/>
  <c r="S99" i="1"/>
  <c r="U99" i="1"/>
  <c r="Y99" i="1"/>
  <c r="AM99" i="1"/>
  <c r="AN99" i="1" s="1"/>
  <c r="S100" i="1"/>
  <c r="U100" i="1"/>
  <c r="AM100" i="1" s="1"/>
  <c r="AN100" i="1" s="1"/>
  <c r="Y100" i="1"/>
  <c r="S101" i="1"/>
  <c r="U101" i="1"/>
  <c r="AM101" i="1" s="1"/>
  <c r="AN101" i="1" s="1"/>
  <c r="Y101" i="1"/>
  <c r="S102" i="1"/>
  <c r="U102" i="1"/>
  <c r="AM102" i="1" s="1"/>
  <c r="AN102" i="1" s="1"/>
  <c r="Y102" i="1"/>
  <c r="S103" i="1"/>
  <c r="U103" i="1"/>
  <c r="Y103" i="1"/>
  <c r="AM103" i="1"/>
  <c r="AN103" i="1" s="1"/>
  <c r="AU103" i="1" s="1"/>
  <c r="S104" i="1"/>
  <c r="U104" i="1"/>
  <c r="Y104" i="1"/>
  <c r="AM104" i="1"/>
  <c r="AN104" i="1" s="1"/>
  <c r="AW104" i="1" s="1"/>
  <c r="S105" i="1"/>
  <c r="U105" i="1"/>
  <c r="AM105" i="1" s="1"/>
  <c r="AN105" i="1" s="1"/>
  <c r="Y105" i="1"/>
  <c r="S106" i="1"/>
  <c r="U106" i="1"/>
  <c r="Y106" i="1"/>
  <c r="AM106" i="1"/>
  <c r="AN106" i="1" s="1"/>
  <c r="S107" i="1"/>
  <c r="U107" i="1"/>
  <c r="Y107" i="1"/>
  <c r="AM107" i="1"/>
  <c r="AN107" i="1" s="1"/>
  <c r="AV107" i="1" s="1"/>
  <c r="S108" i="1"/>
  <c r="U108" i="1"/>
  <c r="Y108" i="1"/>
  <c r="AM108" i="1"/>
  <c r="AN108" i="1"/>
  <c r="AU108" i="1" s="1"/>
  <c r="S109" i="1"/>
  <c r="U109" i="1"/>
  <c r="Y109" i="1"/>
  <c r="AM109" i="1"/>
  <c r="AN109" i="1" s="1"/>
  <c r="AW109" i="1" s="1"/>
  <c r="S110" i="1"/>
  <c r="U110" i="1"/>
  <c r="AM110" i="1" s="1"/>
  <c r="AN110" i="1" s="1"/>
  <c r="Y110" i="1"/>
  <c r="AU110" i="1" s="1"/>
  <c r="S111" i="1"/>
  <c r="U111" i="1"/>
  <c r="AM111" i="1" s="1"/>
  <c r="AN111" i="1" s="1"/>
  <c r="AV111" i="1" s="1"/>
  <c r="Y111" i="1"/>
  <c r="S112" i="1"/>
  <c r="U112" i="1"/>
  <c r="Y112" i="1"/>
  <c r="AM112" i="1"/>
  <c r="AN112" i="1" s="1"/>
  <c r="S113" i="1"/>
  <c r="U113" i="1"/>
  <c r="AM113" i="1" s="1"/>
  <c r="AN113" i="1" s="1"/>
  <c r="Y113" i="1"/>
  <c r="S114" i="1"/>
  <c r="U114" i="1"/>
  <c r="AM114" i="1" s="1"/>
  <c r="AN114" i="1" s="1"/>
  <c r="Y114" i="1"/>
  <c r="AW114" i="1" s="1"/>
  <c r="S115" i="1"/>
  <c r="U115" i="1"/>
  <c r="AM115" i="1" s="1"/>
  <c r="AN115" i="1" s="1"/>
  <c r="Y115" i="1"/>
  <c r="S116" i="1"/>
  <c r="U116" i="1"/>
  <c r="AM116" i="1" s="1"/>
  <c r="AN116" i="1" s="1"/>
  <c r="Y116" i="1"/>
  <c r="S117" i="1"/>
  <c r="U117" i="1"/>
  <c r="AM117" i="1" s="1"/>
  <c r="AN117" i="1" s="1"/>
  <c r="AV117" i="1" s="1"/>
  <c r="Y117" i="1"/>
  <c r="S118" i="1"/>
  <c r="U118" i="1"/>
  <c r="AM118" i="1" s="1"/>
  <c r="AN118" i="1" s="1"/>
  <c r="Y118" i="1"/>
  <c r="S119" i="1"/>
  <c r="U119" i="1"/>
  <c r="Y119" i="1"/>
  <c r="AM119" i="1"/>
  <c r="AN119" i="1" s="1"/>
  <c r="AW119" i="1"/>
  <c r="S120" i="1"/>
  <c r="U120" i="1"/>
  <c r="AM120" i="1" s="1"/>
  <c r="AN120" i="1" s="1"/>
  <c r="Y120" i="1"/>
  <c r="S121" i="1"/>
  <c r="U121" i="1"/>
  <c r="AM121" i="1" s="1"/>
  <c r="AN121" i="1" s="1"/>
  <c r="Y121" i="1"/>
  <c r="S122" i="1"/>
  <c r="U122" i="1"/>
  <c r="AM122" i="1" s="1"/>
  <c r="AN122" i="1" s="1"/>
  <c r="AV122" i="1" s="1"/>
  <c r="Y122" i="1"/>
  <c r="S123" i="1"/>
  <c r="U123" i="1"/>
  <c r="Y123" i="1"/>
  <c r="AM123" i="1"/>
  <c r="AN123" i="1" s="1"/>
  <c r="AU123" i="1" s="1"/>
  <c r="S124" i="1"/>
  <c r="U124" i="1"/>
  <c r="Y124" i="1"/>
  <c r="AM124" i="1"/>
  <c r="AN124" i="1" s="1"/>
  <c r="S125" i="1"/>
  <c r="U125" i="1"/>
  <c r="AM125" i="1" s="1"/>
  <c r="AN125" i="1" s="1"/>
  <c r="Y125" i="1"/>
  <c r="AU125" i="1" s="1"/>
  <c r="S126" i="1"/>
  <c r="U126" i="1"/>
  <c r="Y126" i="1"/>
  <c r="AM126" i="1"/>
  <c r="AN126" i="1" s="1"/>
  <c r="S127" i="1"/>
  <c r="U127" i="1"/>
  <c r="AM127" i="1" s="1"/>
  <c r="AN127" i="1" s="1"/>
  <c r="AV127" i="1" s="1"/>
  <c r="Y127" i="1"/>
  <c r="S128" i="1"/>
  <c r="U128" i="1"/>
  <c r="Y128" i="1"/>
  <c r="AM128" i="1"/>
  <c r="AN128" i="1"/>
  <c r="AU128" i="1" s="1"/>
  <c r="S129" i="1"/>
  <c r="U129" i="1"/>
  <c r="AM129" i="1" s="1"/>
  <c r="AN129" i="1" s="1"/>
  <c r="Y129" i="1"/>
  <c r="S130" i="1"/>
  <c r="U130" i="1"/>
  <c r="AM130" i="1" s="1"/>
  <c r="AN130" i="1" s="1"/>
  <c r="Y130" i="1"/>
  <c r="S131" i="1"/>
  <c r="U131" i="1"/>
  <c r="AM131" i="1" s="1"/>
  <c r="AN131" i="1" s="1"/>
  <c r="AV131" i="1" s="1"/>
  <c r="Y131" i="1"/>
  <c r="AW131" i="1" s="1"/>
  <c r="S132" i="1"/>
  <c r="U132" i="1"/>
  <c r="AM132" i="1" s="1"/>
  <c r="AN132" i="1" s="1"/>
  <c r="Y132" i="1"/>
  <c r="S133" i="1"/>
  <c r="U133" i="1"/>
  <c r="AM133" i="1" s="1"/>
  <c r="AN133" i="1" s="1"/>
  <c r="Y133" i="1"/>
  <c r="S134" i="1"/>
  <c r="U134" i="1"/>
  <c r="Y134" i="1"/>
  <c r="AM134" i="1"/>
  <c r="AN134" i="1" s="1"/>
  <c r="AW134" i="1" s="1"/>
  <c r="S135" i="1"/>
  <c r="U135" i="1"/>
  <c r="AM135" i="1" s="1"/>
  <c r="AN135" i="1" s="1"/>
  <c r="Y135" i="1"/>
  <c r="S136" i="1"/>
  <c r="U136" i="1"/>
  <c r="AM136" i="1" s="1"/>
  <c r="AN136" i="1" s="1"/>
  <c r="Y136" i="1"/>
  <c r="S137" i="1"/>
  <c r="U137" i="1"/>
  <c r="AM137" i="1" s="1"/>
  <c r="AN137" i="1" s="1"/>
  <c r="Y137" i="1"/>
  <c r="S138" i="1"/>
  <c r="U138" i="1"/>
  <c r="Y138" i="1"/>
  <c r="AM138" i="1"/>
  <c r="AN138" i="1"/>
  <c r="AU138" i="1" s="1"/>
  <c r="S139" i="1"/>
  <c r="U139" i="1"/>
  <c r="Y139" i="1"/>
  <c r="AM139" i="1"/>
  <c r="AN139" i="1" s="1"/>
  <c r="AW139" i="1" s="1"/>
  <c r="S140" i="1"/>
  <c r="U140" i="1"/>
  <c r="Y140" i="1"/>
  <c r="AM140" i="1"/>
  <c r="AN140" i="1" s="1"/>
  <c r="S141" i="1"/>
  <c r="U141" i="1"/>
  <c r="AM141" i="1" s="1"/>
  <c r="AN141" i="1" s="1"/>
  <c r="Y141" i="1"/>
  <c r="S142" i="1"/>
  <c r="U142" i="1"/>
  <c r="Y142" i="1"/>
  <c r="AM142" i="1"/>
  <c r="AN142" i="1" s="1"/>
  <c r="AV142" i="1" s="1"/>
  <c r="S143" i="1"/>
  <c r="U143" i="1"/>
  <c r="Y143" i="1"/>
  <c r="AM143" i="1"/>
  <c r="AN143" i="1"/>
  <c r="AU143" i="1" s="1"/>
  <c r="AV143" i="1"/>
  <c r="S144" i="1"/>
  <c r="U144" i="1"/>
  <c r="AM144" i="1" s="1"/>
  <c r="AN144" i="1" s="1"/>
  <c r="Y144" i="1"/>
  <c r="AW144" i="1" s="1"/>
  <c r="S145" i="1"/>
  <c r="U145" i="1"/>
  <c r="AM145" i="1" s="1"/>
  <c r="AN145" i="1" s="1"/>
  <c r="Y145" i="1"/>
  <c r="S146" i="1"/>
  <c r="U146" i="1"/>
  <c r="AM146" i="1" s="1"/>
  <c r="AN146" i="1" s="1"/>
  <c r="Y146" i="1"/>
  <c r="AU146" i="1" s="1"/>
  <c r="S147" i="1"/>
  <c r="U147" i="1"/>
  <c r="AM147" i="1" s="1"/>
  <c r="AN147" i="1" s="1"/>
  <c r="Y147" i="1"/>
  <c r="S148" i="1"/>
  <c r="U148" i="1"/>
  <c r="Y148" i="1"/>
  <c r="AM148" i="1"/>
  <c r="AN148" i="1"/>
  <c r="AU148" i="1" s="1"/>
  <c r="S149" i="1"/>
  <c r="U149" i="1"/>
  <c r="AM149" i="1" s="1"/>
  <c r="AN149" i="1" s="1"/>
  <c r="Y149" i="1"/>
  <c r="S150" i="1"/>
  <c r="U150" i="1"/>
  <c r="AM150" i="1" s="1"/>
  <c r="AN150" i="1" s="1"/>
  <c r="Y150" i="1"/>
  <c r="S151" i="1"/>
  <c r="U151" i="1"/>
  <c r="AM151" i="1" s="1"/>
  <c r="AN151" i="1" s="1"/>
  <c r="Y151" i="1"/>
  <c r="AW151" i="1" s="1"/>
  <c r="S152" i="1"/>
  <c r="U152" i="1"/>
  <c r="Y152" i="1"/>
  <c r="AM152" i="1"/>
  <c r="AN152" i="1" s="1"/>
  <c r="AV152" i="1" s="1"/>
  <c r="S153" i="1"/>
  <c r="U153" i="1"/>
  <c r="Y153" i="1"/>
  <c r="AM153" i="1"/>
  <c r="AN153" i="1"/>
  <c r="S154" i="1"/>
  <c r="U154" i="1"/>
  <c r="Y154" i="1"/>
  <c r="AM154" i="1"/>
  <c r="AN154" i="1" s="1"/>
  <c r="AW154" i="1" s="1"/>
  <c r="S155" i="1"/>
  <c r="U155" i="1"/>
  <c r="AM155" i="1" s="1"/>
  <c r="AN155" i="1" s="1"/>
  <c r="Y155" i="1"/>
  <c r="S156" i="1"/>
  <c r="U156" i="1"/>
  <c r="AM156" i="1" s="1"/>
  <c r="AN156" i="1" s="1"/>
  <c r="Y156" i="1"/>
  <c r="AV156" i="1" s="1"/>
  <c r="S157" i="1"/>
  <c r="U157" i="1"/>
  <c r="AM157" i="1" s="1"/>
  <c r="AN157" i="1" s="1"/>
  <c r="AV157" i="1" s="1"/>
  <c r="Y157" i="1"/>
  <c r="S158" i="1"/>
  <c r="U158" i="1"/>
  <c r="AM158" i="1" s="1"/>
  <c r="AN158" i="1" s="1"/>
  <c r="Y158" i="1"/>
  <c r="S159" i="1"/>
  <c r="U159" i="1"/>
  <c r="AM159" i="1" s="1"/>
  <c r="AN159" i="1" s="1"/>
  <c r="Y159" i="1"/>
  <c r="S160" i="1"/>
  <c r="U160" i="1"/>
  <c r="AM160" i="1" s="1"/>
  <c r="AN160" i="1" s="1"/>
  <c r="Y160" i="1"/>
  <c r="S161" i="1"/>
  <c r="U161" i="1"/>
  <c r="AM161" i="1" s="1"/>
  <c r="AN161" i="1" s="1"/>
  <c r="AW161" i="1" s="1"/>
  <c r="Y161" i="1"/>
  <c r="AV161" i="1" s="1"/>
  <c r="S162" i="1"/>
  <c r="U162" i="1"/>
  <c r="AM162" i="1" s="1"/>
  <c r="AN162" i="1" s="1"/>
  <c r="AV162" i="1" s="1"/>
  <c r="Y162" i="1"/>
  <c r="S163" i="1"/>
  <c r="U163" i="1"/>
  <c r="Y163" i="1"/>
  <c r="AM163" i="1"/>
  <c r="AN163" i="1" s="1"/>
  <c r="AV163" i="1" s="1"/>
  <c r="S164" i="1"/>
  <c r="U164" i="1"/>
  <c r="Y164" i="1"/>
  <c r="AM164" i="1"/>
  <c r="AN164" i="1" s="1"/>
  <c r="S165" i="1"/>
  <c r="U165" i="1"/>
  <c r="Y165" i="1"/>
  <c r="AM165" i="1"/>
  <c r="AN165" i="1" s="1"/>
  <c r="S166" i="1"/>
  <c r="U166" i="1"/>
  <c r="AM166" i="1" s="1"/>
  <c r="AN166" i="1" s="1"/>
  <c r="Y166" i="1"/>
  <c r="AV166" i="1"/>
  <c r="AW166" i="1"/>
  <c r="S167" i="1"/>
  <c r="U167" i="1"/>
  <c r="Y167" i="1"/>
  <c r="AM167" i="1"/>
  <c r="AN167" i="1" s="1"/>
  <c r="S168" i="1"/>
  <c r="U168" i="1"/>
  <c r="Y168" i="1"/>
  <c r="AM168" i="1"/>
  <c r="AN168" i="1"/>
  <c r="AV168" i="1" s="1"/>
  <c r="S169" i="1"/>
  <c r="U169" i="1"/>
  <c r="Y169" i="1"/>
  <c r="AM169" i="1"/>
  <c r="AN169" i="1" s="1"/>
  <c r="AW169" i="1"/>
  <c r="S170" i="1"/>
  <c r="U170" i="1"/>
  <c r="AM170" i="1" s="1"/>
  <c r="AN170" i="1" s="1"/>
  <c r="Y170" i="1"/>
  <c r="S171" i="1"/>
  <c r="U171" i="1"/>
  <c r="AM171" i="1" s="1"/>
  <c r="AN171" i="1" s="1"/>
  <c r="AV171" i="1" s="1"/>
  <c r="Y171" i="1"/>
  <c r="S172" i="1"/>
  <c r="U172" i="1"/>
  <c r="Y172" i="1"/>
  <c r="AM172" i="1"/>
  <c r="AN172" i="1" s="1"/>
  <c r="AV172" i="1" s="1"/>
  <c r="S173" i="1"/>
  <c r="U173" i="1"/>
  <c r="Y173" i="1"/>
  <c r="AM173" i="1"/>
  <c r="AN173" i="1"/>
  <c r="AV173" i="1"/>
  <c r="S174" i="1"/>
  <c r="U174" i="1"/>
  <c r="AM174" i="1" s="1"/>
  <c r="AN174" i="1" s="1"/>
  <c r="Y174" i="1"/>
  <c r="S175" i="1"/>
  <c r="U175" i="1"/>
  <c r="AM175" i="1" s="1"/>
  <c r="AN175" i="1" s="1"/>
  <c r="Y175" i="1"/>
  <c r="S176" i="1"/>
  <c r="U176" i="1"/>
  <c r="AM176" i="1" s="1"/>
  <c r="AN176" i="1" s="1"/>
  <c r="Y176" i="1"/>
  <c r="AV176" i="1" s="1"/>
  <c r="AW176" i="1"/>
  <c r="S177" i="1"/>
  <c r="U177" i="1"/>
  <c r="Y177" i="1"/>
  <c r="AM177" i="1"/>
  <c r="AN177" i="1" s="1"/>
  <c r="AV177" i="1" s="1"/>
  <c r="S178" i="1"/>
  <c r="U178" i="1"/>
  <c r="AM178" i="1" s="1"/>
  <c r="AN178" i="1" s="1"/>
  <c r="Y178" i="1"/>
  <c r="AU178" i="1" s="1"/>
  <c r="S179" i="1"/>
  <c r="U179" i="1"/>
  <c r="AM179" i="1" s="1"/>
  <c r="AN179" i="1" s="1"/>
  <c r="AW179" i="1" s="1"/>
  <c r="Y179" i="1"/>
  <c r="S180" i="1"/>
  <c r="U180" i="1"/>
  <c r="AM180" i="1" s="1"/>
  <c r="AN180" i="1" s="1"/>
  <c r="Y180" i="1"/>
  <c r="S181" i="1"/>
  <c r="U181" i="1"/>
  <c r="AM181" i="1" s="1"/>
  <c r="AN181" i="1" s="1"/>
  <c r="Y181" i="1"/>
  <c r="S182" i="1"/>
  <c r="U182" i="1"/>
  <c r="Y182" i="1"/>
  <c r="AM182" i="1"/>
  <c r="AN182" i="1" s="1"/>
  <c r="AV182" i="1" s="1"/>
  <c r="S183" i="1"/>
  <c r="U183" i="1"/>
  <c r="AM183" i="1" s="1"/>
  <c r="AN183" i="1" s="1"/>
  <c r="Y183" i="1"/>
  <c r="S184" i="1"/>
  <c r="U184" i="1"/>
  <c r="Y184" i="1"/>
  <c r="AM184" i="1"/>
  <c r="AN184" i="1" s="1"/>
  <c r="AW184" i="1" s="1"/>
  <c r="S185" i="1"/>
  <c r="U185" i="1"/>
  <c r="AM185" i="1" s="1"/>
  <c r="AN185" i="1" s="1"/>
  <c r="Y185" i="1"/>
  <c r="S186" i="1"/>
  <c r="U186" i="1"/>
  <c r="Y186" i="1"/>
  <c r="AM186" i="1"/>
  <c r="AN186" i="1" s="1"/>
  <c r="S187" i="1"/>
  <c r="U187" i="1"/>
  <c r="Y187" i="1"/>
  <c r="AM187" i="1"/>
  <c r="AN187" i="1" s="1"/>
  <c r="AV187" i="1" s="1"/>
  <c r="S188" i="1"/>
  <c r="U188" i="1"/>
  <c r="AM188" i="1" s="1"/>
  <c r="AN188" i="1" s="1"/>
  <c r="Y188" i="1"/>
  <c r="S189" i="1"/>
  <c r="U189" i="1"/>
  <c r="AM189" i="1" s="1"/>
  <c r="AN189" i="1" s="1"/>
  <c r="Y189" i="1"/>
  <c r="S190" i="1"/>
  <c r="U190" i="1"/>
  <c r="AM190" i="1" s="1"/>
  <c r="AN190" i="1" s="1"/>
  <c r="Y190" i="1"/>
  <c r="S191" i="1"/>
  <c r="U191" i="1"/>
  <c r="Y191" i="1"/>
  <c r="AM191" i="1"/>
  <c r="AN191" i="1" s="1"/>
  <c r="S192" i="1"/>
  <c r="U192" i="1"/>
  <c r="AM192" i="1" s="1"/>
  <c r="AN192" i="1" s="1"/>
  <c r="Y192" i="1"/>
  <c r="S193" i="1"/>
  <c r="U193" i="1"/>
  <c r="AM193" i="1" s="1"/>
  <c r="AN193" i="1" s="1"/>
  <c r="Y193" i="1"/>
  <c r="S194" i="1"/>
  <c r="U194" i="1"/>
  <c r="Y194" i="1"/>
  <c r="AM194" i="1"/>
  <c r="AN194" i="1" s="1"/>
  <c r="AW194" i="1"/>
  <c r="S195" i="1"/>
  <c r="U195" i="1"/>
  <c r="AM195" i="1" s="1"/>
  <c r="AN195" i="1" s="1"/>
  <c r="Y195" i="1"/>
  <c r="S196" i="1"/>
  <c r="U196" i="1"/>
  <c r="AM196" i="1" s="1"/>
  <c r="AN196" i="1" s="1"/>
  <c r="Y196" i="1"/>
  <c r="AU196" i="1" s="1"/>
  <c r="S197" i="1"/>
  <c r="U197" i="1"/>
  <c r="Y197" i="1"/>
  <c r="AM197" i="1"/>
  <c r="AN197" i="1" s="1"/>
  <c r="AV197" i="1" s="1"/>
  <c r="S198" i="1"/>
  <c r="U198" i="1"/>
  <c r="Y198" i="1"/>
  <c r="AM198" i="1"/>
  <c r="AN198" i="1"/>
  <c r="AV198" i="1" s="1"/>
  <c r="S199" i="1"/>
  <c r="U199" i="1"/>
  <c r="AM199" i="1" s="1"/>
  <c r="AN199" i="1" s="1"/>
  <c r="Y199" i="1"/>
  <c r="S200" i="1"/>
  <c r="U200" i="1"/>
  <c r="AM200" i="1" s="1"/>
  <c r="AN200" i="1" s="1"/>
  <c r="Y200" i="1"/>
  <c r="S201" i="1"/>
  <c r="U201" i="1"/>
  <c r="AM201" i="1" s="1"/>
  <c r="AN201" i="1" s="1"/>
  <c r="Y201" i="1"/>
  <c r="AV201" i="1"/>
  <c r="S202" i="1"/>
  <c r="U202" i="1"/>
  <c r="AM202" i="1" s="1"/>
  <c r="AN202" i="1" s="1"/>
  <c r="Y202" i="1"/>
  <c r="S203" i="1"/>
  <c r="U203" i="1"/>
  <c r="Y203" i="1"/>
  <c r="AM203" i="1"/>
  <c r="AN203" i="1" s="1"/>
  <c r="AV203" i="1" s="1"/>
  <c r="S204" i="1"/>
  <c r="U204" i="1"/>
  <c r="Y204" i="1"/>
  <c r="AM204" i="1"/>
  <c r="AN204" i="1" s="1"/>
  <c r="AW204" i="1" s="1"/>
  <c r="S205" i="1"/>
  <c r="U205" i="1"/>
  <c r="AM205" i="1" s="1"/>
  <c r="AN205" i="1" s="1"/>
  <c r="Y205" i="1"/>
  <c r="S206" i="1"/>
  <c r="U206" i="1"/>
  <c r="Y206" i="1"/>
  <c r="AM206" i="1"/>
  <c r="AN206" i="1" s="1"/>
  <c r="AV206" i="1" s="1"/>
  <c r="S207" i="1"/>
  <c r="U207" i="1"/>
  <c r="AM207" i="1" s="1"/>
  <c r="AN207" i="1" s="1"/>
  <c r="AV207" i="1" s="1"/>
  <c r="Y207" i="1"/>
  <c r="S208" i="1"/>
  <c r="U208" i="1"/>
  <c r="Y208" i="1"/>
  <c r="AM208" i="1"/>
  <c r="AN208" i="1" s="1"/>
  <c r="AV208" i="1" s="1"/>
  <c r="S209" i="1"/>
  <c r="U209" i="1"/>
  <c r="Y209" i="1"/>
  <c r="AM209" i="1"/>
  <c r="AN209" i="1" s="1"/>
  <c r="S210" i="1"/>
  <c r="U210" i="1"/>
  <c r="AM210" i="1" s="1"/>
  <c r="AN210" i="1" s="1"/>
  <c r="Y210" i="1"/>
  <c r="S211" i="1"/>
  <c r="U211" i="1"/>
  <c r="AM211" i="1" s="1"/>
  <c r="AN211" i="1" s="1"/>
  <c r="Y211" i="1"/>
  <c r="S212" i="1"/>
  <c r="U212" i="1"/>
  <c r="AM212" i="1" s="1"/>
  <c r="AN212" i="1" s="1"/>
  <c r="Y212" i="1"/>
  <c r="S213" i="1"/>
  <c r="U213" i="1"/>
  <c r="Y213" i="1"/>
  <c r="AM213" i="1"/>
  <c r="AN213" i="1" s="1"/>
  <c r="AV213" i="1" s="1"/>
  <c r="S214" i="1"/>
  <c r="U214" i="1"/>
  <c r="Y214" i="1"/>
  <c r="AM214" i="1"/>
  <c r="AN214" i="1" s="1"/>
  <c r="AV214" i="1" s="1"/>
  <c r="AW214" i="1"/>
  <c r="S215" i="1"/>
  <c r="U215" i="1"/>
  <c r="AM215" i="1" s="1"/>
  <c r="AN215" i="1" s="1"/>
  <c r="Y215" i="1"/>
  <c r="S216" i="1"/>
  <c r="U216" i="1"/>
  <c r="AM216" i="1" s="1"/>
  <c r="AN216" i="1" s="1"/>
  <c r="Y216" i="1"/>
  <c r="S217" i="1"/>
  <c r="U217" i="1"/>
  <c r="Y217" i="1"/>
  <c r="AV217" i="1" s="1"/>
  <c r="AM217" i="1"/>
  <c r="AN217" i="1" s="1"/>
  <c r="S218" i="1"/>
  <c r="U218" i="1"/>
  <c r="Y218" i="1"/>
  <c r="AM218" i="1"/>
  <c r="AN218" i="1"/>
  <c r="AV218" i="1" s="1"/>
  <c r="S219" i="1"/>
  <c r="U219" i="1"/>
  <c r="Y219" i="1"/>
  <c r="AM219" i="1"/>
  <c r="AN219" i="1" s="1"/>
  <c r="AV219" i="1"/>
  <c r="S220" i="1"/>
  <c r="U220" i="1"/>
  <c r="AM220" i="1" s="1"/>
  <c r="AN220" i="1" s="1"/>
  <c r="Y220" i="1"/>
  <c r="S221" i="1"/>
  <c r="U221" i="1"/>
  <c r="AM221" i="1" s="1"/>
  <c r="AN221" i="1" s="1"/>
  <c r="Y221" i="1"/>
  <c r="S222" i="1"/>
  <c r="U222" i="1"/>
  <c r="AM222" i="1" s="1"/>
  <c r="AN222" i="1" s="1"/>
  <c r="Y222" i="1"/>
  <c r="S223" i="1"/>
  <c r="U223" i="1"/>
  <c r="AM223" i="1" s="1"/>
  <c r="AN223" i="1" s="1"/>
  <c r="Y223" i="1"/>
  <c r="S224" i="1"/>
  <c r="U224" i="1"/>
  <c r="AM224" i="1" s="1"/>
  <c r="AN224" i="1" s="1"/>
  <c r="Y224" i="1"/>
  <c r="S225" i="1"/>
  <c r="U225" i="1"/>
  <c r="Y225" i="1"/>
  <c r="AM225" i="1"/>
  <c r="AN225" i="1" s="1"/>
  <c r="AV225" i="1" s="1"/>
  <c r="S226" i="1"/>
  <c r="U226" i="1"/>
  <c r="AM226" i="1" s="1"/>
  <c r="AN226" i="1" s="1"/>
  <c r="AV226" i="1" s="1"/>
  <c r="Y226" i="1"/>
  <c r="AW226" i="1" s="1"/>
  <c r="S227" i="1"/>
  <c r="U227" i="1"/>
  <c r="AM227" i="1" s="1"/>
  <c r="AN227" i="1" s="1"/>
  <c r="Y227" i="1"/>
  <c r="S228" i="1"/>
  <c r="U228" i="1"/>
  <c r="Y228" i="1"/>
  <c r="AM228" i="1"/>
  <c r="AN228" i="1" s="1"/>
  <c r="AV228" i="1" s="1"/>
  <c r="S229" i="1"/>
  <c r="U229" i="1"/>
  <c r="Y229" i="1"/>
  <c r="AM229" i="1"/>
  <c r="AN229" i="1" s="1"/>
  <c r="S230" i="1"/>
  <c r="U230" i="1"/>
  <c r="Y230" i="1"/>
  <c r="AM230" i="1"/>
  <c r="AN230" i="1" s="1"/>
  <c r="AV230" i="1" s="1"/>
  <c r="S231" i="1"/>
  <c r="U231" i="1"/>
  <c r="AM231" i="1" s="1"/>
  <c r="AN231" i="1" s="1"/>
  <c r="Y231" i="1"/>
  <c r="S232" i="1"/>
  <c r="U232" i="1"/>
  <c r="AM232" i="1" s="1"/>
  <c r="AN232" i="1" s="1"/>
  <c r="Y232" i="1"/>
  <c r="S233" i="1"/>
  <c r="U233" i="1"/>
  <c r="AM233" i="1" s="1"/>
  <c r="Y233" i="1"/>
  <c r="AN233" i="1"/>
  <c r="S234" i="1"/>
  <c r="U234" i="1"/>
  <c r="Y234" i="1"/>
  <c r="AM234" i="1"/>
  <c r="AN234" i="1" s="1"/>
  <c r="S235" i="1"/>
  <c r="U235" i="1"/>
  <c r="AM235" i="1" s="1"/>
  <c r="AN235" i="1" s="1"/>
  <c r="Y235" i="1"/>
  <c r="S236" i="1"/>
  <c r="U236" i="1"/>
  <c r="AM236" i="1" s="1"/>
  <c r="AN236" i="1" s="1"/>
  <c r="Y236" i="1"/>
  <c r="S237" i="1"/>
  <c r="U237" i="1"/>
  <c r="AM237" i="1" s="1"/>
  <c r="AN237" i="1" s="1"/>
  <c r="AV237" i="1" s="1"/>
  <c r="Y237" i="1"/>
  <c r="S238" i="1"/>
  <c r="U238" i="1"/>
  <c r="AM238" i="1" s="1"/>
  <c r="AN238" i="1" s="1"/>
  <c r="Y238" i="1"/>
  <c r="S239" i="1"/>
  <c r="U239" i="1"/>
  <c r="Y239" i="1"/>
  <c r="AM239" i="1"/>
  <c r="AN239" i="1" s="1"/>
  <c r="AV239" i="1"/>
  <c r="S240" i="1"/>
  <c r="U240" i="1"/>
  <c r="AM240" i="1" s="1"/>
  <c r="AN240" i="1" s="1"/>
  <c r="Y240" i="1"/>
  <c r="S241" i="1"/>
  <c r="U241" i="1"/>
  <c r="AM241" i="1" s="1"/>
  <c r="AN241" i="1" s="1"/>
  <c r="AV241" i="1" s="1"/>
  <c r="Y241" i="1"/>
  <c r="S242" i="1"/>
  <c r="U242" i="1"/>
  <c r="Y242" i="1"/>
  <c r="AM242" i="1"/>
  <c r="AN242" i="1" s="1"/>
  <c r="S243" i="1"/>
  <c r="U243" i="1"/>
  <c r="AM243" i="1" s="1"/>
  <c r="Y243" i="1"/>
  <c r="AN243" i="1"/>
  <c r="AU243" i="1" s="1"/>
  <c r="S244" i="1"/>
  <c r="U244" i="1"/>
  <c r="AM244" i="1" s="1"/>
  <c r="AN244" i="1" s="1"/>
  <c r="Y244" i="1"/>
  <c r="S245" i="1"/>
  <c r="U245" i="1"/>
  <c r="AM245" i="1" s="1"/>
  <c r="AN245" i="1" s="1"/>
  <c r="Y245" i="1"/>
  <c r="S246" i="1"/>
  <c r="U246" i="1"/>
  <c r="Y246" i="1"/>
  <c r="AM246" i="1"/>
  <c r="AN246" i="1" s="1"/>
  <c r="S247" i="1"/>
  <c r="U247" i="1"/>
  <c r="AM247" i="1" s="1"/>
  <c r="AN247" i="1" s="1"/>
  <c r="AU247" i="1" s="1"/>
  <c r="Y247" i="1"/>
  <c r="S248" i="1"/>
  <c r="U248" i="1"/>
  <c r="AM248" i="1" s="1"/>
  <c r="AN248" i="1" s="1"/>
  <c r="Y248" i="1"/>
  <c r="S249" i="1"/>
  <c r="U249" i="1"/>
  <c r="AM249" i="1" s="1"/>
  <c r="AN249" i="1" s="1"/>
  <c r="Y249" i="1"/>
  <c r="S250" i="1"/>
  <c r="U250" i="1"/>
  <c r="AM250" i="1" s="1"/>
  <c r="AN250" i="1" s="1"/>
  <c r="Y250" i="1"/>
  <c r="S251" i="1"/>
  <c r="U251" i="1"/>
  <c r="Y251" i="1"/>
  <c r="AM251" i="1"/>
  <c r="AN251" i="1" s="1"/>
  <c r="S252" i="1"/>
  <c r="U252" i="1"/>
  <c r="AM252" i="1" s="1"/>
  <c r="AN252" i="1" s="1"/>
  <c r="Y252" i="1"/>
  <c r="S253" i="1"/>
  <c r="U253" i="1"/>
  <c r="AM253" i="1" s="1"/>
  <c r="AN253" i="1" s="1"/>
  <c r="Y253" i="1"/>
  <c r="S254" i="1"/>
  <c r="U254" i="1"/>
  <c r="AM254" i="1" s="1"/>
  <c r="AN254" i="1" s="1"/>
  <c r="Y254" i="1"/>
  <c r="S255" i="1"/>
  <c r="U255" i="1"/>
  <c r="AM255" i="1" s="1"/>
  <c r="AN255" i="1" s="1"/>
  <c r="Y255" i="1"/>
  <c r="S256" i="1"/>
  <c r="U256" i="1"/>
  <c r="Y256" i="1"/>
  <c r="AM256" i="1"/>
  <c r="AN256" i="1" s="1"/>
  <c r="S257" i="1"/>
  <c r="U257" i="1"/>
  <c r="AM257" i="1" s="1"/>
  <c r="Y257" i="1"/>
  <c r="AN257" i="1"/>
  <c r="AU257" i="1" s="1"/>
  <c r="S258" i="1"/>
  <c r="U258" i="1"/>
  <c r="AM258" i="1" s="1"/>
  <c r="AN258" i="1" s="1"/>
  <c r="Y258" i="1"/>
  <c r="S259" i="1"/>
  <c r="U259" i="1"/>
  <c r="AM259" i="1" s="1"/>
  <c r="AN259" i="1" s="1"/>
  <c r="Y259" i="1"/>
  <c r="S260" i="1"/>
  <c r="U260" i="1"/>
  <c r="AM260" i="1" s="1"/>
  <c r="AN260" i="1" s="1"/>
  <c r="Y260" i="1"/>
  <c r="AU260" i="1" s="1"/>
  <c r="S261" i="1"/>
  <c r="U261" i="1"/>
  <c r="Y261" i="1"/>
  <c r="AM261" i="1"/>
  <c r="AN261" i="1" s="1"/>
  <c r="S262" i="1"/>
  <c r="U262" i="1"/>
  <c r="AM262" i="1" s="1"/>
  <c r="Y262" i="1"/>
  <c r="AN262" i="1"/>
  <c r="AU262" i="1"/>
  <c r="S263" i="1"/>
  <c r="U263" i="1"/>
  <c r="Y263" i="1"/>
  <c r="AM263" i="1"/>
  <c r="AN263" i="1" s="1"/>
  <c r="AU263" i="1" s="1"/>
  <c r="S264" i="1"/>
  <c r="U264" i="1"/>
  <c r="AM264" i="1" s="1"/>
  <c r="AN264" i="1" s="1"/>
  <c r="Y264" i="1"/>
  <c r="S265" i="1"/>
  <c r="U265" i="1"/>
  <c r="AM265" i="1" s="1"/>
  <c r="AN265" i="1" s="1"/>
  <c r="Y265" i="1"/>
  <c r="AU265" i="1" s="1"/>
  <c r="S266" i="1"/>
  <c r="U266" i="1"/>
  <c r="Y266" i="1"/>
  <c r="AM266" i="1"/>
  <c r="AN266" i="1" s="1"/>
  <c r="S267" i="1"/>
  <c r="U267" i="1"/>
  <c r="AM267" i="1" s="1"/>
  <c r="AN267" i="1" s="1"/>
  <c r="Y267" i="1"/>
  <c r="S268" i="1"/>
  <c r="U268" i="1"/>
  <c r="Y268" i="1"/>
  <c r="AM268" i="1"/>
  <c r="AN268" i="1"/>
  <c r="AU268" i="1" s="1"/>
  <c r="S269" i="1"/>
  <c r="U269" i="1"/>
  <c r="AM269" i="1" s="1"/>
  <c r="AN269" i="1" s="1"/>
  <c r="Y269" i="1"/>
  <c r="S270" i="1"/>
  <c r="U270" i="1"/>
  <c r="AM270" i="1" s="1"/>
  <c r="AN270" i="1" s="1"/>
  <c r="Y270" i="1"/>
  <c r="S271" i="1"/>
  <c r="U271" i="1"/>
  <c r="AM271" i="1" s="1"/>
  <c r="AN271" i="1" s="1"/>
  <c r="Y271" i="1"/>
  <c r="S272" i="1"/>
  <c r="U272" i="1"/>
  <c r="AM272" i="1" s="1"/>
  <c r="AN272" i="1" s="1"/>
  <c r="Y272" i="1"/>
  <c r="S273" i="1"/>
  <c r="U273" i="1"/>
  <c r="Y273" i="1"/>
  <c r="AM273" i="1"/>
  <c r="AN273" i="1" s="1"/>
  <c r="S274" i="1"/>
  <c r="U274" i="1"/>
  <c r="Y274" i="1"/>
  <c r="AM274" i="1"/>
  <c r="AN274" i="1" s="1"/>
  <c r="AU274" i="1" s="1"/>
  <c r="S275" i="1"/>
  <c r="U275" i="1"/>
  <c r="AM275" i="1" s="1"/>
  <c r="AN275" i="1" s="1"/>
  <c r="Y275" i="1"/>
  <c r="S276" i="1"/>
  <c r="U276" i="1"/>
  <c r="AM276" i="1" s="1"/>
  <c r="AN276" i="1" s="1"/>
  <c r="Y276" i="1"/>
  <c r="S277" i="1"/>
  <c r="U277" i="1"/>
  <c r="AM277" i="1" s="1"/>
  <c r="Y277" i="1"/>
  <c r="AN277" i="1"/>
  <c r="S278" i="1"/>
  <c r="U278" i="1"/>
  <c r="AM278" i="1" s="1"/>
  <c r="AN278" i="1" s="1"/>
  <c r="Y278" i="1"/>
  <c r="S279" i="1"/>
  <c r="U279" i="1"/>
  <c r="Y279" i="1"/>
  <c r="AV279" i="1" s="1"/>
  <c r="AM279" i="1"/>
  <c r="AN279" i="1"/>
  <c r="AU279" i="1" s="1"/>
  <c r="S280" i="1"/>
  <c r="U280" i="1"/>
  <c r="AM280" i="1" s="1"/>
  <c r="AN280" i="1" s="1"/>
  <c r="Y280" i="1"/>
  <c r="S281" i="1"/>
  <c r="U281" i="1"/>
  <c r="AM281" i="1" s="1"/>
  <c r="AN281" i="1" s="1"/>
  <c r="Y281" i="1"/>
  <c r="S282" i="1"/>
  <c r="U282" i="1"/>
  <c r="AM282" i="1" s="1"/>
  <c r="AN282" i="1" s="1"/>
  <c r="Y282" i="1"/>
  <c r="S283" i="1"/>
  <c r="U283" i="1"/>
  <c r="Y283" i="1"/>
  <c r="AM283" i="1"/>
  <c r="AN283" i="1"/>
  <c r="AU283" i="1" s="1"/>
  <c r="AV283" i="1"/>
  <c r="AW283" i="1"/>
  <c r="S284" i="1"/>
  <c r="U284" i="1"/>
  <c r="AM284" i="1" s="1"/>
  <c r="AN284" i="1" s="1"/>
  <c r="AU284" i="1" s="1"/>
  <c r="Y284" i="1"/>
  <c r="S285" i="1"/>
  <c r="U285" i="1"/>
  <c r="AM285" i="1" s="1"/>
  <c r="AN285" i="1" s="1"/>
  <c r="Y285" i="1"/>
  <c r="S286" i="1"/>
  <c r="U286" i="1"/>
  <c r="AM286" i="1" s="1"/>
  <c r="AN286" i="1" s="1"/>
  <c r="AU286" i="1" s="1"/>
  <c r="Y286" i="1"/>
  <c r="S287" i="1"/>
  <c r="U287" i="1"/>
  <c r="AM287" i="1" s="1"/>
  <c r="AN287" i="1" s="1"/>
  <c r="Y287" i="1"/>
  <c r="S288" i="1"/>
  <c r="U288" i="1"/>
  <c r="Y288" i="1"/>
  <c r="AM288" i="1"/>
  <c r="AN288" i="1"/>
  <c r="AU288" i="1" s="1"/>
  <c r="AV288" i="1"/>
  <c r="S289" i="1"/>
  <c r="U289" i="1"/>
  <c r="AM289" i="1" s="1"/>
  <c r="AN289" i="1" s="1"/>
  <c r="Y289" i="1"/>
  <c r="S290" i="1"/>
  <c r="U290" i="1"/>
  <c r="AM290" i="1" s="1"/>
  <c r="AN290" i="1" s="1"/>
  <c r="Y290" i="1"/>
  <c r="S291" i="1"/>
  <c r="U291" i="1"/>
  <c r="AM291" i="1" s="1"/>
  <c r="AN291" i="1" s="1"/>
  <c r="AU291" i="1" s="1"/>
  <c r="Y291" i="1"/>
  <c r="S292" i="1"/>
  <c r="U292" i="1"/>
  <c r="AM292" i="1" s="1"/>
  <c r="AN292" i="1" s="1"/>
  <c r="Y292" i="1"/>
  <c r="S293" i="1"/>
  <c r="U293" i="1"/>
  <c r="AM293" i="1" s="1"/>
  <c r="AN293" i="1" s="1"/>
  <c r="Y293" i="1"/>
  <c r="S294" i="1"/>
  <c r="U294" i="1"/>
  <c r="Y294" i="1"/>
  <c r="AM294" i="1"/>
  <c r="AN294" i="1" s="1"/>
  <c r="AV294" i="1" s="1"/>
  <c r="S295" i="1"/>
  <c r="U295" i="1"/>
  <c r="AM295" i="1" s="1"/>
  <c r="AN295" i="1" s="1"/>
  <c r="Y295" i="1"/>
  <c r="S296" i="1"/>
  <c r="U296" i="1"/>
  <c r="Y296" i="1"/>
  <c r="AM296" i="1"/>
  <c r="AN296" i="1" s="1"/>
  <c r="S297" i="1"/>
  <c r="U297" i="1"/>
  <c r="AM297" i="1" s="1"/>
  <c r="AN297" i="1" s="1"/>
  <c r="Y297" i="1"/>
  <c r="S298" i="1"/>
  <c r="U298" i="1"/>
  <c r="AM298" i="1" s="1"/>
  <c r="AN298" i="1" s="1"/>
  <c r="Y298" i="1"/>
  <c r="S299" i="1"/>
  <c r="U299" i="1"/>
  <c r="Y299" i="1"/>
  <c r="AM299" i="1"/>
  <c r="AN299" i="1"/>
  <c r="AW299" i="1" s="1"/>
  <c r="AU299" i="1"/>
  <c r="S300" i="1"/>
  <c r="U300" i="1"/>
  <c r="AM300" i="1" s="1"/>
  <c r="AN300" i="1" s="1"/>
  <c r="Y300" i="1"/>
  <c r="S301" i="1"/>
  <c r="U301" i="1"/>
  <c r="Y301" i="1"/>
  <c r="AM301" i="1"/>
  <c r="AN301" i="1" s="1"/>
  <c r="AV301" i="1" s="1"/>
  <c r="S302" i="1"/>
  <c r="U302" i="1"/>
  <c r="AM302" i="1" s="1"/>
  <c r="Y302" i="1"/>
  <c r="AN302" i="1"/>
  <c r="S303" i="1"/>
  <c r="U303" i="1"/>
  <c r="Y303" i="1"/>
  <c r="AM303" i="1"/>
  <c r="AN303" i="1"/>
  <c r="AU303" i="1" s="1"/>
  <c r="AW303" i="1"/>
  <c r="S304" i="1"/>
  <c r="U304" i="1"/>
  <c r="Y304" i="1"/>
  <c r="AM304" i="1"/>
  <c r="AN304" i="1" s="1"/>
  <c r="S305" i="1"/>
  <c r="U305" i="1"/>
  <c r="AM305" i="1" s="1"/>
  <c r="AN305" i="1" s="1"/>
  <c r="Y305" i="1"/>
  <c r="S306" i="1"/>
  <c r="U306" i="1"/>
  <c r="AM306" i="1" s="1"/>
  <c r="AN306" i="1" s="1"/>
  <c r="AV306" i="1" s="1"/>
  <c r="Y306" i="1"/>
  <c r="S307" i="1"/>
  <c r="U307" i="1"/>
  <c r="AM307" i="1" s="1"/>
  <c r="AN307" i="1" s="1"/>
  <c r="Y307" i="1"/>
  <c r="S308" i="1"/>
  <c r="U308" i="1"/>
  <c r="Y308" i="1"/>
  <c r="AM308" i="1"/>
  <c r="AN308" i="1"/>
  <c r="AU308" i="1" s="1"/>
  <c r="AV308" i="1"/>
  <c r="AW308" i="1"/>
  <c r="S309" i="1"/>
  <c r="U309" i="1"/>
  <c r="Y309" i="1"/>
  <c r="AM309" i="1"/>
  <c r="AN309" i="1"/>
  <c r="AU309" i="1"/>
  <c r="AV309" i="1"/>
  <c r="AW309" i="1"/>
  <c r="S310" i="1"/>
  <c r="U310" i="1"/>
  <c r="AM310" i="1" s="1"/>
  <c r="AN310" i="1" s="1"/>
  <c r="Y310" i="1"/>
  <c r="S311" i="1"/>
  <c r="U311" i="1"/>
  <c r="Y311" i="1"/>
  <c r="AM311" i="1"/>
  <c r="AN311" i="1"/>
  <c r="AU311" i="1" s="1"/>
  <c r="S312" i="1"/>
  <c r="U312" i="1"/>
  <c r="AM312" i="1" s="1"/>
  <c r="AN312" i="1" s="1"/>
  <c r="Y312" i="1"/>
  <c r="S313" i="1"/>
  <c r="U313" i="1"/>
  <c r="AM313" i="1" s="1"/>
  <c r="AN313" i="1" s="1"/>
  <c r="Y313" i="1"/>
  <c r="S314" i="1"/>
  <c r="U314" i="1"/>
  <c r="Y314" i="1"/>
  <c r="AM314" i="1"/>
  <c r="AN314" i="1" s="1"/>
  <c r="S315" i="1"/>
  <c r="U315" i="1"/>
  <c r="AM315" i="1" s="1"/>
  <c r="AN315" i="1" s="1"/>
  <c r="Y315" i="1"/>
  <c r="S316" i="1"/>
  <c r="U316" i="1"/>
  <c r="Y316" i="1"/>
  <c r="AM316" i="1"/>
  <c r="AN316" i="1"/>
  <c r="AU316" i="1" s="1"/>
  <c r="S317" i="1"/>
  <c r="U317" i="1"/>
  <c r="Y317" i="1"/>
  <c r="AM317" i="1"/>
  <c r="AN317" i="1" s="1"/>
  <c r="AU317" i="1" s="1"/>
  <c r="S318" i="1"/>
  <c r="U318" i="1"/>
  <c r="AM318" i="1" s="1"/>
  <c r="AN318" i="1" s="1"/>
  <c r="AU318" i="1" s="1"/>
  <c r="Y318" i="1"/>
  <c r="AW318" i="1" s="1"/>
  <c r="S319" i="1"/>
  <c r="U319" i="1"/>
  <c r="AM319" i="1" s="1"/>
  <c r="AN319" i="1" s="1"/>
  <c r="AV319" i="1" s="1"/>
  <c r="Y319" i="1"/>
  <c r="AU319" i="1" s="1"/>
  <c r="S320" i="1"/>
  <c r="U320" i="1"/>
  <c r="AM320" i="1" s="1"/>
  <c r="AN320" i="1" s="1"/>
  <c r="Y320" i="1"/>
  <c r="S321" i="1"/>
  <c r="U321" i="1"/>
  <c r="Y321" i="1"/>
  <c r="AM321" i="1"/>
  <c r="AN321" i="1" s="1"/>
  <c r="S322" i="1"/>
  <c r="U322" i="1"/>
  <c r="AM322" i="1" s="1"/>
  <c r="AN322" i="1" s="1"/>
  <c r="Y322" i="1"/>
  <c r="S323" i="1"/>
  <c r="U323" i="1"/>
  <c r="Y323" i="1"/>
  <c r="AM323" i="1"/>
  <c r="AN323" i="1"/>
  <c r="AU323" i="1" s="1"/>
  <c r="S324" i="1"/>
  <c r="U324" i="1"/>
  <c r="AM324" i="1" s="1"/>
  <c r="AN324" i="1" s="1"/>
  <c r="Y324" i="1"/>
  <c r="S325" i="1"/>
  <c r="U325" i="1"/>
  <c r="AM325" i="1" s="1"/>
  <c r="AN325" i="1" s="1"/>
  <c r="Y325" i="1"/>
  <c r="AU325" i="1" s="1"/>
  <c r="S326" i="1"/>
  <c r="U326" i="1"/>
  <c r="AM326" i="1" s="1"/>
  <c r="AN326" i="1" s="1"/>
  <c r="Y326" i="1"/>
  <c r="S327" i="1"/>
  <c r="U327" i="1"/>
  <c r="Y327" i="1"/>
  <c r="AM327" i="1"/>
  <c r="AN327" i="1" s="1"/>
  <c r="AU327" i="1" s="1"/>
  <c r="S328" i="1"/>
  <c r="U328" i="1"/>
  <c r="Y328" i="1"/>
  <c r="AM328" i="1"/>
  <c r="AN328" i="1"/>
  <c r="AU328" i="1" s="1"/>
  <c r="S329" i="1"/>
  <c r="U329" i="1"/>
  <c r="AM329" i="1" s="1"/>
  <c r="AN329" i="1" s="1"/>
  <c r="Y329" i="1"/>
  <c r="S330" i="1"/>
  <c r="U330" i="1"/>
  <c r="AM330" i="1" s="1"/>
  <c r="AN330" i="1" s="1"/>
  <c r="Y330" i="1"/>
  <c r="S331" i="1"/>
  <c r="U331" i="1"/>
  <c r="Y331" i="1"/>
  <c r="AW331" i="1" s="1"/>
  <c r="AM331" i="1"/>
  <c r="AN331" i="1"/>
  <c r="AV331" i="1" s="1"/>
  <c r="S332" i="1"/>
  <c r="U332" i="1"/>
  <c r="Y332" i="1"/>
  <c r="AM332" i="1"/>
  <c r="AN332" i="1" s="1"/>
  <c r="AU332" i="1" s="1"/>
  <c r="S333" i="1"/>
  <c r="U333" i="1"/>
  <c r="Y333" i="1"/>
  <c r="AM333" i="1"/>
  <c r="AN333" i="1" s="1"/>
  <c r="S334" i="1"/>
  <c r="U334" i="1"/>
  <c r="Y334" i="1"/>
  <c r="AM334" i="1"/>
  <c r="AN334" i="1"/>
  <c r="AV334" i="1" s="1"/>
  <c r="AW334" i="1"/>
  <c r="S335" i="1"/>
  <c r="U335" i="1"/>
  <c r="AM335" i="1" s="1"/>
  <c r="AN335" i="1" s="1"/>
  <c r="Y335" i="1"/>
  <c r="AU335" i="1" s="1"/>
  <c r="S336" i="1"/>
  <c r="U336" i="1"/>
  <c r="AM336" i="1" s="1"/>
  <c r="AN336" i="1" s="1"/>
  <c r="Y336" i="1"/>
  <c r="S337" i="1"/>
  <c r="U337" i="1"/>
  <c r="Y337" i="1"/>
  <c r="AM337" i="1"/>
  <c r="AN337" i="1" s="1"/>
  <c r="AU337" i="1" s="1"/>
  <c r="S338" i="1"/>
  <c r="U338" i="1"/>
  <c r="Y338" i="1"/>
  <c r="AM338" i="1"/>
  <c r="AN338" i="1"/>
  <c r="AU338" i="1" s="1"/>
  <c r="AV338" i="1"/>
  <c r="S339" i="1"/>
  <c r="U339" i="1"/>
  <c r="AM339" i="1" s="1"/>
  <c r="AN339" i="1" s="1"/>
  <c r="Y339" i="1"/>
  <c r="S340" i="1"/>
  <c r="U340" i="1"/>
  <c r="AM340" i="1" s="1"/>
  <c r="AN340" i="1" s="1"/>
  <c r="Y340" i="1"/>
  <c r="S341" i="1"/>
  <c r="U341" i="1"/>
  <c r="AM341" i="1" s="1"/>
  <c r="AN341" i="1" s="1"/>
  <c r="Y341" i="1"/>
  <c r="S342" i="1"/>
  <c r="U342" i="1"/>
  <c r="AM342" i="1" s="1"/>
  <c r="AN342" i="1" s="1"/>
  <c r="Y342" i="1"/>
  <c r="S343" i="1"/>
  <c r="U343" i="1"/>
  <c r="Y343" i="1"/>
  <c r="AM343" i="1"/>
  <c r="AN343" i="1"/>
  <c r="AV343" i="1" s="1"/>
  <c r="S344" i="1"/>
  <c r="U344" i="1"/>
  <c r="AM344" i="1" s="1"/>
  <c r="AN344" i="1" s="1"/>
  <c r="Y344" i="1"/>
  <c r="S345" i="1"/>
  <c r="U345" i="1"/>
  <c r="AM345" i="1" s="1"/>
  <c r="AN345" i="1" s="1"/>
  <c r="AV345" i="1" s="1"/>
  <c r="Y345" i="1"/>
  <c r="S346" i="1"/>
  <c r="U346" i="1"/>
  <c r="AM346" i="1" s="1"/>
  <c r="AN346" i="1" s="1"/>
  <c r="Y346" i="1"/>
  <c r="AW346" i="1" s="1"/>
  <c r="S347" i="1"/>
  <c r="U347" i="1"/>
  <c r="Y347" i="1"/>
  <c r="AM347" i="1"/>
  <c r="AN347" i="1" s="1"/>
  <c r="S348" i="1"/>
  <c r="U348" i="1"/>
  <c r="Y348" i="1"/>
  <c r="AM348" i="1"/>
  <c r="AN348" i="1"/>
  <c r="AW348" i="1"/>
  <c r="S349" i="1"/>
  <c r="U349" i="1"/>
  <c r="AM349" i="1" s="1"/>
  <c r="AN349" i="1" s="1"/>
  <c r="Y349" i="1"/>
  <c r="S350" i="1"/>
  <c r="U350" i="1"/>
  <c r="AM350" i="1" s="1"/>
  <c r="AN350" i="1" s="1"/>
  <c r="Y350" i="1"/>
  <c r="S351" i="1"/>
  <c r="U351" i="1"/>
  <c r="AM351" i="1" s="1"/>
  <c r="AN351" i="1" s="1"/>
  <c r="Y351" i="1"/>
  <c r="S352" i="1"/>
  <c r="U352" i="1"/>
  <c r="Y352" i="1"/>
  <c r="AM352" i="1"/>
  <c r="AN352" i="1" s="1"/>
  <c r="S353" i="1"/>
  <c r="U353" i="1"/>
  <c r="Y353" i="1"/>
  <c r="AM353" i="1"/>
  <c r="AN353" i="1"/>
  <c r="AV353" i="1"/>
  <c r="AW353" i="1"/>
  <c r="S354" i="1"/>
  <c r="U354" i="1"/>
  <c r="AM354" i="1" s="1"/>
  <c r="AN354" i="1" s="1"/>
  <c r="Y354" i="1"/>
  <c r="S355" i="1"/>
  <c r="U355" i="1"/>
  <c r="AM355" i="1" s="1"/>
  <c r="AN355" i="1" s="1"/>
  <c r="Y355" i="1"/>
  <c r="S356" i="1"/>
  <c r="U356" i="1"/>
  <c r="Y356" i="1"/>
  <c r="AM356" i="1"/>
  <c r="AN356" i="1" s="1"/>
  <c r="S357" i="1"/>
  <c r="U357" i="1"/>
  <c r="Y357" i="1"/>
  <c r="AM357" i="1"/>
  <c r="AN357" i="1" s="1"/>
  <c r="S358" i="1"/>
  <c r="U358" i="1"/>
  <c r="AM358" i="1" s="1"/>
  <c r="AN358" i="1" s="1"/>
  <c r="Y358" i="1"/>
  <c r="S359" i="1"/>
  <c r="U359" i="1"/>
  <c r="AM359" i="1" s="1"/>
  <c r="AN359" i="1" s="1"/>
  <c r="AU359" i="1" s="1"/>
  <c r="Y359" i="1"/>
  <c r="S360" i="1"/>
  <c r="U360" i="1"/>
  <c r="AM360" i="1" s="1"/>
  <c r="AN360" i="1" s="1"/>
  <c r="AV360" i="1" s="1"/>
  <c r="Y360" i="1"/>
  <c r="S361" i="1"/>
  <c r="U361" i="1"/>
  <c r="Y361" i="1"/>
  <c r="AM361" i="1"/>
  <c r="AN361" i="1"/>
  <c r="AU361" i="1"/>
  <c r="S362" i="1"/>
  <c r="U362" i="1"/>
  <c r="Y362" i="1"/>
  <c r="AM362" i="1"/>
  <c r="AN362" i="1"/>
  <c r="AU362" i="1"/>
  <c r="S363" i="1"/>
  <c r="U363" i="1"/>
  <c r="AM363" i="1" s="1"/>
  <c r="AN363" i="1" s="1"/>
  <c r="AV363" i="1" s="1"/>
  <c r="Y363" i="1"/>
  <c r="AW363" i="1" s="1"/>
  <c r="S364" i="1"/>
  <c r="U364" i="1"/>
  <c r="AM364" i="1" s="1"/>
  <c r="AN364" i="1" s="1"/>
  <c r="Y364" i="1"/>
  <c r="S365" i="1"/>
  <c r="U365" i="1"/>
  <c r="AM365" i="1" s="1"/>
  <c r="AN365" i="1" s="1"/>
  <c r="Y365" i="1"/>
  <c r="S366" i="1"/>
  <c r="U366" i="1"/>
  <c r="Y366" i="1"/>
  <c r="AM366" i="1"/>
  <c r="AN366" i="1" s="1"/>
  <c r="S367" i="1"/>
  <c r="U367" i="1"/>
  <c r="AM367" i="1" s="1"/>
  <c r="AN367" i="1" s="1"/>
  <c r="Y367" i="1"/>
  <c r="S368" i="1"/>
  <c r="U368" i="1"/>
  <c r="AM368" i="1" s="1"/>
  <c r="AN368" i="1" s="1"/>
  <c r="Y368" i="1"/>
  <c r="S369" i="1"/>
  <c r="U369" i="1"/>
  <c r="Y369" i="1"/>
  <c r="AM369" i="1"/>
  <c r="AN369" i="1" s="1"/>
  <c r="S370" i="1"/>
  <c r="U370" i="1"/>
  <c r="AM370" i="1" s="1"/>
  <c r="AN370" i="1" s="1"/>
  <c r="Y370" i="1"/>
  <c r="S371" i="1"/>
  <c r="U371" i="1"/>
  <c r="AM371" i="1" s="1"/>
  <c r="AN371" i="1" s="1"/>
  <c r="Y371" i="1"/>
  <c r="S372" i="1"/>
  <c r="U372" i="1"/>
  <c r="Y372" i="1"/>
  <c r="AM372" i="1"/>
  <c r="AN372" i="1" s="1"/>
  <c r="S373" i="1"/>
  <c r="U373" i="1"/>
  <c r="Y373" i="1"/>
  <c r="AM373" i="1"/>
  <c r="AN373" i="1"/>
  <c r="AV373" i="1" s="1"/>
  <c r="S374" i="1"/>
  <c r="U374" i="1"/>
  <c r="AM374" i="1" s="1"/>
  <c r="AN374" i="1" s="1"/>
  <c r="Y374" i="1"/>
  <c r="S375" i="1"/>
  <c r="U375" i="1"/>
  <c r="AM375" i="1" s="1"/>
  <c r="AN375" i="1" s="1"/>
  <c r="Y375" i="1"/>
  <c r="S376" i="1"/>
  <c r="U376" i="1"/>
  <c r="Y376" i="1"/>
  <c r="AM376" i="1"/>
  <c r="AN376" i="1"/>
  <c r="AV376" i="1" s="1"/>
  <c r="S377" i="1"/>
  <c r="U377" i="1"/>
  <c r="AM377" i="1" s="1"/>
  <c r="AN377" i="1" s="1"/>
  <c r="Y377" i="1"/>
  <c r="S378" i="1"/>
  <c r="U378" i="1"/>
  <c r="Y378" i="1"/>
  <c r="AM378" i="1"/>
  <c r="AN378" i="1"/>
  <c r="AU378" i="1" s="1"/>
  <c r="S379" i="1"/>
  <c r="U379" i="1"/>
  <c r="AM379" i="1" s="1"/>
  <c r="AN379" i="1" s="1"/>
  <c r="Y379" i="1"/>
  <c r="S380" i="1"/>
  <c r="U380" i="1"/>
  <c r="AM380" i="1" s="1"/>
  <c r="AN380" i="1" s="1"/>
  <c r="AV380" i="1" s="1"/>
  <c r="Y380" i="1"/>
  <c r="S381" i="1"/>
  <c r="U381" i="1"/>
  <c r="AM381" i="1" s="1"/>
  <c r="AN381" i="1" s="1"/>
  <c r="Y381" i="1"/>
  <c r="S382" i="1"/>
  <c r="U382" i="1"/>
  <c r="Y382" i="1"/>
  <c r="AM382" i="1"/>
  <c r="AN382" i="1" s="1"/>
  <c r="AU382" i="1" s="1"/>
  <c r="S383" i="1"/>
  <c r="U383" i="1"/>
  <c r="Y383" i="1"/>
  <c r="AM383" i="1"/>
  <c r="AN383" i="1" s="1"/>
  <c r="S384" i="1"/>
  <c r="U384" i="1"/>
  <c r="AM384" i="1" s="1"/>
  <c r="AN384" i="1" s="1"/>
  <c r="Y384" i="1"/>
  <c r="S385" i="1"/>
  <c r="U385" i="1"/>
  <c r="AM385" i="1" s="1"/>
  <c r="AN385" i="1" s="1"/>
  <c r="AV385" i="1" s="1"/>
  <c r="Y385" i="1"/>
  <c r="S386" i="1"/>
  <c r="U386" i="1"/>
  <c r="AM386" i="1" s="1"/>
  <c r="AN386" i="1" s="1"/>
  <c r="Y386" i="1"/>
  <c r="S387" i="1"/>
  <c r="U387" i="1"/>
  <c r="Y387" i="1"/>
  <c r="AM387" i="1"/>
  <c r="AN387" i="1" s="1"/>
  <c r="S388" i="1"/>
  <c r="U388" i="1"/>
  <c r="AM388" i="1" s="1"/>
  <c r="AN388" i="1" s="1"/>
  <c r="Y388" i="1"/>
  <c r="S389" i="1"/>
  <c r="U389" i="1"/>
  <c r="Y389" i="1"/>
  <c r="AM389" i="1"/>
  <c r="AN389" i="1" s="1"/>
  <c r="AW389" i="1" s="1"/>
  <c r="S390" i="1"/>
  <c r="U390" i="1"/>
  <c r="AM390" i="1" s="1"/>
  <c r="AN390" i="1" s="1"/>
  <c r="Y390" i="1"/>
  <c r="AV390" i="1" s="1"/>
  <c r="S391" i="1"/>
  <c r="U391" i="1"/>
  <c r="AM391" i="1" s="1"/>
  <c r="AN391" i="1" s="1"/>
  <c r="Y391" i="1"/>
  <c r="S392" i="1"/>
  <c r="U392" i="1"/>
  <c r="AM392" i="1" s="1"/>
  <c r="AN392" i="1" s="1"/>
  <c r="Y392" i="1"/>
  <c r="S393" i="1"/>
  <c r="U393" i="1"/>
  <c r="Y393" i="1"/>
  <c r="AM393" i="1"/>
  <c r="AN393" i="1" s="1"/>
  <c r="AU393" i="1" s="1"/>
  <c r="S394" i="1"/>
  <c r="U394" i="1"/>
  <c r="Y394" i="1"/>
  <c r="AM394" i="1"/>
  <c r="AN394" i="1" s="1"/>
  <c r="S395" i="1"/>
  <c r="U395" i="1"/>
  <c r="AM395" i="1" s="1"/>
  <c r="AN395" i="1" s="1"/>
  <c r="Y395" i="1"/>
  <c r="S396" i="1"/>
  <c r="U396" i="1"/>
  <c r="AM396" i="1" s="1"/>
  <c r="AN396" i="1" s="1"/>
  <c r="Y396" i="1"/>
  <c r="S397" i="1"/>
  <c r="U397" i="1"/>
  <c r="AM397" i="1" s="1"/>
  <c r="AN397" i="1" s="1"/>
  <c r="Y397" i="1"/>
  <c r="S398" i="1"/>
  <c r="U398" i="1"/>
  <c r="Y398" i="1"/>
  <c r="AM398" i="1"/>
  <c r="AN398" i="1" s="1"/>
  <c r="S399" i="1"/>
  <c r="U399" i="1"/>
  <c r="Y399" i="1"/>
  <c r="AM399" i="1"/>
  <c r="AN399" i="1"/>
  <c r="AU399" i="1" s="1"/>
  <c r="S400" i="1"/>
  <c r="U400" i="1"/>
  <c r="AM400" i="1" s="1"/>
  <c r="AN400" i="1" s="1"/>
  <c r="Y400" i="1"/>
  <c r="AV400" i="1" s="1"/>
  <c r="S401" i="1"/>
  <c r="U401" i="1"/>
  <c r="AM401" i="1" s="1"/>
  <c r="AN401" i="1" s="1"/>
  <c r="Y401" i="1"/>
  <c r="S402" i="1"/>
  <c r="U402" i="1"/>
  <c r="Y402" i="1"/>
  <c r="AM402" i="1"/>
  <c r="AN402" i="1" s="1"/>
  <c r="AU402" i="1" s="1"/>
  <c r="S403" i="1"/>
  <c r="U403" i="1"/>
  <c r="Y403" i="1"/>
  <c r="AM403" i="1"/>
  <c r="AN403" i="1" s="1"/>
  <c r="S404" i="1"/>
  <c r="U404" i="1"/>
  <c r="Y404" i="1"/>
  <c r="AM404" i="1"/>
  <c r="AN404" i="1" s="1"/>
  <c r="S405" i="1"/>
  <c r="U405" i="1"/>
  <c r="AM405" i="1" s="1"/>
  <c r="AN405" i="1" s="1"/>
  <c r="Y405" i="1"/>
  <c r="S406" i="1"/>
  <c r="U406" i="1"/>
  <c r="AM406" i="1" s="1"/>
  <c r="AN406" i="1" s="1"/>
  <c r="Y406" i="1"/>
  <c r="S407" i="1"/>
  <c r="U407" i="1"/>
  <c r="AM407" i="1" s="1"/>
  <c r="AN407" i="1" s="1"/>
  <c r="Y407" i="1"/>
  <c r="S408" i="1"/>
  <c r="U408" i="1"/>
  <c r="AM408" i="1" s="1"/>
  <c r="AN408" i="1" s="1"/>
  <c r="Y408" i="1"/>
  <c r="AU408" i="1" s="1"/>
  <c r="S409" i="1"/>
  <c r="U409" i="1"/>
  <c r="AM409" i="1" s="1"/>
  <c r="AN409" i="1" s="1"/>
  <c r="Y409" i="1"/>
  <c r="S410" i="1"/>
  <c r="U410" i="1"/>
  <c r="AM410" i="1" s="1"/>
  <c r="AN410" i="1" s="1"/>
  <c r="Y410" i="1"/>
  <c r="AV410" i="1"/>
  <c r="S411" i="1"/>
  <c r="U411" i="1"/>
  <c r="Y411" i="1"/>
  <c r="AM411" i="1"/>
  <c r="AN411" i="1" s="1"/>
  <c r="S412" i="1"/>
  <c r="U412" i="1"/>
  <c r="Y412" i="1"/>
  <c r="AM412" i="1"/>
  <c r="AN412" i="1" s="1"/>
  <c r="AU412" i="1" s="1"/>
  <c r="S413" i="1"/>
  <c r="U413" i="1"/>
  <c r="Y413" i="1"/>
  <c r="AM413" i="1"/>
  <c r="AN413" i="1" s="1"/>
  <c r="S414" i="1"/>
  <c r="U414" i="1"/>
  <c r="Y414" i="1"/>
  <c r="AM414" i="1"/>
  <c r="AN414" i="1" s="1"/>
  <c r="S415" i="1"/>
  <c r="U415" i="1"/>
  <c r="AM415" i="1" s="1"/>
  <c r="AN415" i="1" s="1"/>
  <c r="Y415" i="1"/>
  <c r="S416" i="1"/>
  <c r="U416" i="1"/>
  <c r="AM416" i="1" s="1"/>
  <c r="AN416" i="1" s="1"/>
  <c r="Y416" i="1"/>
  <c r="S417" i="1"/>
  <c r="U417" i="1"/>
  <c r="AM417" i="1" s="1"/>
  <c r="AN417" i="1" s="1"/>
  <c r="AU417" i="1" s="1"/>
  <c r="Y417" i="1"/>
  <c r="S418" i="1"/>
  <c r="U418" i="1"/>
  <c r="Y418" i="1"/>
  <c r="AM418" i="1"/>
  <c r="AN418" i="1" s="1"/>
  <c r="S419" i="1"/>
  <c r="U419" i="1"/>
  <c r="Y419" i="1"/>
  <c r="AM419" i="1"/>
  <c r="AN419" i="1" s="1"/>
  <c r="S420" i="1"/>
  <c r="U420" i="1"/>
  <c r="AM420" i="1" s="1"/>
  <c r="AN420" i="1" s="1"/>
  <c r="Y420" i="1"/>
  <c r="S421" i="1"/>
  <c r="U421" i="1"/>
  <c r="AM421" i="1" s="1"/>
  <c r="AN421" i="1" s="1"/>
  <c r="Y421" i="1"/>
  <c r="S422" i="1"/>
  <c r="U422" i="1"/>
  <c r="AM422" i="1" s="1"/>
  <c r="AN422" i="1" s="1"/>
  <c r="AU422" i="1" s="1"/>
  <c r="Y422" i="1"/>
  <c r="S423" i="1"/>
  <c r="U423" i="1"/>
  <c r="Y423" i="1"/>
  <c r="AM423" i="1"/>
  <c r="AN423" i="1"/>
  <c r="AV423" i="1" s="1"/>
  <c r="AW423" i="1"/>
  <c r="S424" i="1"/>
  <c r="U424" i="1"/>
  <c r="AM424" i="1" s="1"/>
  <c r="AN424" i="1" s="1"/>
  <c r="Y424" i="1"/>
  <c r="S425" i="1"/>
  <c r="U425" i="1"/>
  <c r="AM425" i="1" s="1"/>
  <c r="AN425" i="1" s="1"/>
  <c r="AV425" i="1" s="1"/>
  <c r="Y425" i="1"/>
  <c r="S426" i="1"/>
  <c r="U426" i="1"/>
  <c r="AM426" i="1" s="1"/>
  <c r="AN426" i="1" s="1"/>
  <c r="Y426" i="1"/>
  <c r="S427" i="1"/>
  <c r="U427" i="1"/>
  <c r="AM427" i="1" s="1"/>
  <c r="AN427" i="1" s="1"/>
  <c r="Y427" i="1"/>
  <c r="S428" i="1"/>
  <c r="U428" i="1"/>
  <c r="Y428" i="1"/>
  <c r="AM428" i="1"/>
  <c r="AN428" i="1" s="1"/>
  <c r="S429" i="1"/>
  <c r="U429" i="1"/>
  <c r="AM429" i="1" s="1"/>
  <c r="AN429" i="1" s="1"/>
  <c r="Y429" i="1"/>
  <c r="S430" i="1"/>
  <c r="U430" i="1"/>
  <c r="AM430" i="1" s="1"/>
  <c r="AN430" i="1" s="1"/>
  <c r="Y430" i="1"/>
  <c r="S431" i="1"/>
  <c r="U431" i="1"/>
  <c r="Y431" i="1"/>
  <c r="AM431" i="1"/>
  <c r="AN431" i="1" s="1"/>
  <c r="AU431" i="1" s="1"/>
  <c r="S432" i="1"/>
  <c r="U432" i="1"/>
  <c r="AM432" i="1" s="1"/>
  <c r="AN432" i="1" s="1"/>
  <c r="Y432" i="1"/>
  <c r="S433" i="1"/>
  <c r="U433" i="1"/>
  <c r="Y433" i="1"/>
  <c r="AM433" i="1"/>
  <c r="AN433" i="1"/>
  <c r="AU433" i="1" s="1"/>
  <c r="S434" i="1"/>
  <c r="U434" i="1"/>
  <c r="AM434" i="1" s="1"/>
  <c r="AN434" i="1" s="1"/>
  <c r="Y434" i="1"/>
  <c r="S435" i="1"/>
  <c r="U435" i="1"/>
  <c r="AM435" i="1" s="1"/>
  <c r="AN435" i="1" s="1"/>
  <c r="Y435" i="1"/>
  <c r="S436" i="1"/>
  <c r="U436" i="1"/>
  <c r="Y436" i="1"/>
  <c r="AM436" i="1"/>
  <c r="AN436" i="1" s="1"/>
  <c r="S437" i="1"/>
  <c r="U437" i="1"/>
  <c r="Y437" i="1"/>
  <c r="AM437" i="1"/>
  <c r="AN437" i="1" s="1"/>
  <c r="AV437" i="1" s="1"/>
  <c r="S438" i="1"/>
  <c r="U438" i="1"/>
  <c r="Y438" i="1"/>
  <c r="AM438" i="1"/>
  <c r="AN438" i="1" s="1"/>
  <c r="S439" i="1"/>
  <c r="U439" i="1"/>
  <c r="Y439" i="1"/>
  <c r="AM439" i="1"/>
  <c r="AN439" i="1" s="1"/>
  <c r="S440" i="1"/>
  <c r="U440" i="1"/>
  <c r="AM440" i="1" s="1"/>
  <c r="AN440" i="1" s="1"/>
  <c r="Y440" i="1"/>
  <c r="S441" i="1"/>
  <c r="U441" i="1"/>
  <c r="AM441" i="1" s="1"/>
  <c r="AN441" i="1" s="1"/>
  <c r="Y441" i="1"/>
  <c r="S442" i="1"/>
  <c r="U442" i="1"/>
  <c r="Y442" i="1"/>
  <c r="AM442" i="1"/>
  <c r="AN442" i="1" s="1"/>
  <c r="S443" i="1"/>
  <c r="U443" i="1"/>
  <c r="Y443" i="1"/>
  <c r="AM443" i="1"/>
  <c r="AN443" i="1" s="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AM449" i="1" s="1"/>
  <c r="AN449" i="1" s="1"/>
  <c r="Y449" i="1"/>
  <c r="S450" i="1"/>
  <c r="U450" i="1"/>
  <c r="Y450" i="1"/>
  <c r="AM450" i="1"/>
  <c r="AN450" i="1" s="1"/>
  <c r="AU450" i="1" s="1"/>
  <c r="AW450" i="1"/>
  <c r="S451" i="1"/>
  <c r="U451" i="1"/>
  <c r="AM451" i="1" s="1"/>
  <c r="AN451" i="1" s="1"/>
  <c r="Y451" i="1"/>
  <c r="S452" i="1"/>
  <c r="U452" i="1"/>
  <c r="Y452" i="1"/>
  <c r="AM452" i="1"/>
  <c r="AN452" i="1" s="1"/>
  <c r="S453" i="1"/>
  <c r="U453" i="1"/>
  <c r="Y453" i="1"/>
  <c r="AM453" i="1"/>
  <c r="AN453" i="1" s="1"/>
  <c r="S454" i="1"/>
  <c r="U454" i="1"/>
  <c r="AM454" i="1" s="1"/>
  <c r="AN454" i="1" s="1"/>
  <c r="Y454" i="1"/>
  <c r="S455" i="1"/>
  <c r="U455" i="1"/>
  <c r="AM455" i="1" s="1"/>
  <c r="AN455" i="1" s="1"/>
  <c r="Y455" i="1"/>
  <c r="S456" i="1"/>
  <c r="U456" i="1"/>
  <c r="AM456" i="1" s="1"/>
  <c r="AN456" i="1" s="1"/>
  <c r="Y456" i="1"/>
  <c r="S457" i="1"/>
  <c r="U457" i="1"/>
  <c r="AM457" i="1" s="1"/>
  <c r="AN457" i="1" s="1"/>
  <c r="Y457" i="1"/>
  <c r="S458" i="1"/>
  <c r="U458" i="1"/>
  <c r="AM458" i="1" s="1"/>
  <c r="AN458" i="1" s="1"/>
  <c r="Y458" i="1"/>
  <c r="S459" i="1"/>
  <c r="U459" i="1"/>
  <c r="AM459" i="1" s="1"/>
  <c r="AN459" i="1" s="1"/>
  <c r="Y459" i="1"/>
  <c r="S460" i="1"/>
  <c r="U460" i="1"/>
  <c r="Y460" i="1"/>
  <c r="AM460" i="1"/>
  <c r="AN460" i="1"/>
  <c r="AU460" i="1" s="1"/>
  <c r="AW460" i="1"/>
  <c r="S461" i="1"/>
  <c r="U461" i="1"/>
  <c r="AM461" i="1" s="1"/>
  <c r="AN461" i="1" s="1"/>
  <c r="Y461" i="1"/>
  <c r="S462" i="1"/>
  <c r="U462" i="1"/>
  <c r="AM462" i="1" s="1"/>
  <c r="AN462" i="1" s="1"/>
  <c r="Y462" i="1"/>
  <c r="S463" i="1"/>
  <c r="U463" i="1"/>
  <c r="Y463" i="1"/>
  <c r="AM463" i="1"/>
  <c r="AN463" i="1" s="1"/>
  <c r="S464" i="1"/>
  <c r="U464" i="1"/>
  <c r="AM464" i="1" s="1"/>
  <c r="AN464" i="1" s="1"/>
  <c r="Y464" i="1"/>
  <c r="S465" i="1"/>
  <c r="U465" i="1"/>
  <c r="AM465" i="1" s="1"/>
  <c r="AN465" i="1" s="1"/>
  <c r="Y465" i="1"/>
  <c r="S466" i="1"/>
  <c r="U466" i="1"/>
  <c r="Y466" i="1"/>
  <c r="AM466" i="1"/>
  <c r="AN466" i="1" s="1"/>
  <c r="AV466" i="1" s="1"/>
  <c r="S467" i="1"/>
  <c r="U467" i="1"/>
  <c r="AM467" i="1" s="1"/>
  <c r="AN467" i="1" s="1"/>
  <c r="Y467" i="1"/>
  <c r="S468" i="1"/>
  <c r="U468" i="1"/>
  <c r="Y468" i="1"/>
  <c r="AM468" i="1"/>
  <c r="AN468" i="1" s="1"/>
  <c r="S469" i="1"/>
  <c r="U469" i="1"/>
  <c r="AM469" i="1" s="1"/>
  <c r="AN469" i="1" s="1"/>
  <c r="Y469" i="1"/>
  <c r="S470" i="1"/>
  <c r="U470" i="1"/>
  <c r="Y470" i="1"/>
  <c r="AV470" i="1" s="1"/>
  <c r="AM470" i="1"/>
  <c r="AN470" i="1"/>
  <c r="AU470" i="1" s="1"/>
  <c r="S471" i="1"/>
  <c r="U471" i="1"/>
  <c r="Y471" i="1"/>
  <c r="AM471" i="1"/>
  <c r="AN471" i="1" s="1"/>
  <c r="S472" i="1"/>
  <c r="U472" i="1"/>
  <c r="AM472" i="1" s="1"/>
  <c r="AN472" i="1" s="1"/>
  <c r="Y472" i="1"/>
  <c r="S473" i="1"/>
  <c r="U473" i="1"/>
  <c r="Y473" i="1"/>
  <c r="AM473" i="1"/>
  <c r="AN473" i="1" s="1"/>
  <c r="S474" i="1"/>
  <c r="U474" i="1"/>
  <c r="AM474" i="1" s="1"/>
  <c r="AN474" i="1" s="1"/>
  <c r="Y474" i="1"/>
  <c r="S475" i="1"/>
  <c r="U475" i="1"/>
  <c r="Y475" i="1"/>
  <c r="AM475" i="1"/>
  <c r="AN475" i="1" s="1"/>
  <c r="S476" i="1"/>
  <c r="U476" i="1"/>
  <c r="AM476" i="1" s="1"/>
  <c r="AN476" i="1" s="1"/>
  <c r="Y476" i="1"/>
  <c r="S477" i="1"/>
  <c r="U477" i="1"/>
  <c r="AM477" i="1" s="1"/>
  <c r="AN477" i="1" s="1"/>
  <c r="Y477" i="1"/>
  <c r="S478" i="1"/>
  <c r="U478" i="1"/>
  <c r="AM478" i="1" s="1"/>
  <c r="AN478" i="1" s="1"/>
  <c r="Y478" i="1"/>
  <c r="S479" i="1"/>
  <c r="U479" i="1"/>
  <c r="AM479" i="1" s="1"/>
  <c r="AN479" i="1" s="1"/>
  <c r="Y479" i="1"/>
  <c r="S480" i="1"/>
  <c r="U480" i="1"/>
  <c r="Y480" i="1"/>
  <c r="AM480" i="1"/>
  <c r="AN480" i="1"/>
  <c r="AU480" i="1" s="1"/>
  <c r="AW480" i="1"/>
  <c r="S481" i="1"/>
  <c r="U481" i="1"/>
  <c r="Y481" i="1"/>
  <c r="AM481" i="1"/>
  <c r="AN481" i="1" s="1"/>
  <c r="S482" i="1"/>
  <c r="U482" i="1"/>
  <c r="AM482" i="1" s="1"/>
  <c r="AN482" i="1" s="1"/>
  <c r="Y482" i="1"/>
  <c r="S483" i="1"/>
  <c r="U483" i="1"/>
  <c r="Y483" i="1"/>
  <c r="AM483" i="1"/>
  <c r="AN483" i="1" s="1"/>
  <c r="S484" i="1"/>
  <c r="U484" i="1"/>
  <c r="AM484" i="1" s="1"/>
  <c r="AN484" i="1" s="1"/>
  <c r="Y484" i="1"/>
  <c r="S485" i="1"/>
  <c r="U485" i="1"/>
  <c r="Y485" i="1"/>
  <c r="AM485" i="1"/>
  <c r="AN485" i="1" s="1"/>
  <c r="S486" i="1"/>
  <c r="U486" i="1"/>
  <c r="AM486" i="1" s="1"/>
  <c r="AN486" i="1" s="1"/>
  <c r="Y486" i="1"/>
  <c r="S487" i="1"/>
  <c r="U487" i="1"/>
  <c r="AM487" i="1" s="1"/>
  <c r="AN487" i="1" s="1"/>
  <c r="Y487" i="1"/>
  <c r="S488" i="1"/>
  <c r="U488" i="1"/>
  <c r="Y488" i="1"/>
  <c r="AM488" i="1"/>
  <c r="AN488" i="1" s="1"/>
  <c r="S489" i="1"/>
  <c r="U489" i="1"/>
  <c r="AM489" i="1" s="1"/>
  <c r="AN489" i="1" s="1"/>
  <c r="Y489" i="1"/>
  <c r="S490" i="1"/>
  <c r="U490" i="1"/>
  <c r="Y490" i="1"/>
  <c r="AM490" i="1"/>
  <c r="AN490" i="1"/>
  <c r="AU490" i="1" s="1"/>
  <c r="AV490" i="1"/>
  <c r="S491" i="1"/>
  <c r="U491" i="1"/>
  <c r="AM491" i="1" s="1"/>
  <c r="AN491" i="1" s="1"/>
  <c r="Y491" i="1"/>
  <c r="S492" i="1"/>
  <c r="U492" i="1"/>
  <c r="AM492" i="1" s="1"/>
  <c r="AN492" i="1" s="1"/>
  <c r="Y492" i="1"/>
  <c r="S493" i="1"/>
  <c r="U493" i="1"/>
  <c r="Y493" i="1"/>
  <c r="AM493" i="1"/>
  <c r="AN493" i="1" s="1"/>
  <c r="S494" i="1"/>
  <c r="U494" i="1"/>
  <c r="AM494" i="1" s="1"/>
  <c r="AN494" i="1" s="1"/>
  <c r="Y494" i="1"/>
  <c r="S495" i="1"/>
  <c r="U495" i="1"/>
  <c r="AM495" i="1" s="1"/>
  <c r="AN495" i="1" s="1"/>
  <c r="Y495" i="1"/>
  <c r="AV495" i="1" s="1"/>
  <c r="S496" i="1"/>
  <c r="U496" i="1"/>
  <c r="AM496" i="1" s="1"/>
  <c r="AN496" i="1" s="1"/>
  <c r="Y496" i="1"/>
  <c r="S497" i="1"/>
  <c r="U497" i="1"/>
  <c r="Y497" i="1"/>
  <c r="AM497" i="1"/>
  <c r="AN497" i="1" s="1"/>
  <c r="S498" i="1"/>
  <c r="U498" i="1"/>
  <c r="AM498" i="1" s="1"/>
  <c r="AN498" i="1" s="1"/>
  <c r="Y498" i="1"/>
  <c r="S499" i="1"/>
  <c r="U499" i="1"/>
  <c r="AM499" i="1" s="1"/>
  <c r="AN499" i="1" s="1"/>
  <c r="Y499" i="1"/>
  <c r="S500" i="1"/>
  <c r="U500" i="1"/>
  <c r="Y500" i="1"/>
  <c r="AM500" i="1"/>
  <c r="AN500" i="1"/>
  <c r="AV500" i="1"/>
  <c r="AW500" i="1"/>
  <c r="S501" i="1"/>
  <c r="U501" i="1"/>
  <c r="AM501" i="1" s="1"/>
  <c r="AN501" i="1" s="1"/>
  <c r="Y501" i="1"/>
  <c r="S502" i="1"/>
  <c r="U502" i="1"/>
  <c r="AM502" i="1" s="1"/>
  <c r="AN502" i="1" s="1"/>
  <c r="Y502" i="1"/>
  <c r="S503" i="1"/>
  <c r="U503" i="1"/>
  <c r="Y503" i="1"/>
  <c r="AM503" i="1"/>
  <c r="AN503" i="1" s="1"/>
  <c r="S504" i="1"/>
  <c r="U504" i="1"/>
  <c r="AM504" i="1" s="1"/>
  <c r="AN504" i="1" s="1"/>
  <c r="Y504" i="1"/>
  <c r="S505" i="1"/>
  <c r="U505" i="1"/>
  <c r="AM505" i="1" s="1"/>
  <c r="AN505" i="1" s="1"/>
  <c r="Y505" i="1"/>
  <c r="S506" i="1"/>
  <c r="U506" i="1"/>
  <c r="AM506" i="1" s="1"/>
  <c r="AN506" i="1" s="1"/>
  <c r="AV506" i="1" s="1"/>
  <c r="Y506" i="1"/>
  <c r="AU506" i="1" s="1"/>
  <c r="S507" i="1"/>
  <c r="U507" i="1"/>
  <c r="Y507" i="1"/>
  <c r="AM507" i="1"/>
  <c r="AN507" i="1" s="1"/>
  <c r="S508" i="1"/>
  <c r="U508" i="1"/>
  <c r="AM508" i="1" s="1"/>
  <c r="AN508" i="1" s="1"/>
  <c r="Y508" i="1"/>
  <c r="S509" i="1"/>
  <c r="U509" i="1"/>
  <c r="AM509" i="1" s="1"/>
  <c r="AN509" i="1" s="1"/>
  <c r="Y509" i="1"/>
  <c r="S510" i="1"/>
  <c r="U510" i="1"/>
  <c r="Y510" i="1"/>
  <c r="AM510" i="1"/>
  <c r="AN510" i="1"/>
  <c r="AU510" i="1" s="1"/>
  <c r="AV510" i="1"/>
  <c r="AW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Y515" i="1"/>
  <c r="AM515" i="1"/>
  <c r="AN515" i="1" s="1"/>
  <c r="S516" i="1"/>
  <c r="U516" i="1"/>
  <c r="Y516" i="1"/>
  <c r="AM516" i="1"/>
  <c r="AN516" i="1" s="1"/>
  <c r="S517" i="1"/>
  <c r="U517" i="1"/>
  <c r="AM517" i="1" s="1"/>
  <c r="AN517" i="1" s="1"/>
  <c r="Y517" i="1"/>
  <c r="S518" i="1"/>
  <c r="U518" i="1"/>
  <c r="AM518" i="1" s="1"/>
  <c r="AN518" i="1" s="1"/>
  <c r="Y518" i="1"/>
  <c r="S519" i="1"/>
  <c r="U519" i="1"/>
  <c r="AM519" i="1" s="1"/>
  <c r="AN519" i="1" s="1"/>
  <c r="Y519" i="1"/>
  <c r="S520" i="1"/>
  <c r="U520" i="1"/>
  <c r="AM520" i="1" s="1"/>
  <c r="AN520" i="1" s="1"/>
  <c r="Y520" i="1"/>
  <c r="S521" i="1"/>
  <c r="U521" i="1"/>
  <c r="Y521" i="1"/>
  <c r="AM521" i="1"/>
  <c r="AN521" i="1" s="1"/>
  <c r="S522" i="1"/>
  <c r="U522" i="1"/>
  <c r="AM522" i="1" s="1"/>
  <c r="AN522" i="1" s="1"/>
  <c r="Y522" i="1"/>
  <c r="S523" i="1"/>
  <c r="U523" i="1"/>
  <c r="AM523" i="1" s="1"/>
  <c r="AN523" i="1" s="1"/>
  <c r="Y523" i="1"/>
  <c r="S524" i="1"/>
  <c r="U524" i="1"/>
  <c r="AM524" i="1" s="1"/>
  <c r="AN524" i="1" s="1"/>
  <c r="Y524" i="1"/>
  <c r="S525" i="1"/>
  <c r="U525" i="1"/>
  <c r="Y525" i="1"/>
  <c r="AM525" i="1"/>
  <c r="AN525" i="1"/>
  <c r="AV525" i="1" s="1"/>
  <c r="AW525" i="1"/>
  <c r="S526" i="1"/>
  <c r="U526" i="1"/>
  <c r="Y526" i="1"/>
  <c r="AM526" i="1"/>
  <c r="AN526" i="1" s="1"/>
  <c r="AU526" i="1" s="1"/>
  <c r="S527" i="1"/>
  <c r="U527" i="1"/>
  <c r="Y527" i="1"/>
  <c r="AM527" i="1"/>
  <c r="AN527" i="1" s="1"/>
  <c r="S528" i="1"/>
  <c r="U528" i="1"/>
  <c r="AM528" i="1" s="1"/>
  <c r="AN528" i="1" s="1"/>
  <c r="Y528" i="1"/>
  <c r="S529" i="1"/>
  <c r="U529" i="1"/>
  <c r="AM529" i="1" s="1"/>
  <c r="AN529" i="1" s="1"/>
  <c r="Y529" i="1"/>
  <c r="S530" i="1"/>
  <c r="U530" i="1"/>
  <c r="Y530" i="1"/>
  <c r="AM530" i="1"/>
  <c r="AN530" i="1" s="1"/>
  <c r="S531" i="1"/>
  <c r="U531" i="1"/>
  <c r="Y531" i="1"/>
  <c r="AM531" i="1"/>
  <c r="AN531" i="1"/>
  <c r="AU531" i="1" s="1"/>
  <c r="S532" i="1"/>
  <c r="U532" i="1"/>
  <c r="AM532" i="1" s="1"/>
  <c r="AN532" i="1" s="1"/>
  <c r="Y532" i="1"/>
  <c r="S533" i="1"/>
  <c r="U533" i="1"/>
  <c r="Y533" i="1"/>
  <c r="AM533" i="1"/>
  <c r="AN533" i="1" s="1"/>
  <c r="S534" i="1"/>
  <c r="U534" i="1"/>
  <c r="AM534" i="1" s="1"/>
  <c r="AN534" i="1" s="1"/>
  <c r="Y534" i="1"/>
  <c r="S535" i="1"/>
  <c r="U535" i="1"/>
  <c r="Y535" i="1"/>
  <c r="AM535" i="1"/>
  <c r="AN535" i="1"/>
  <c r="AU535" i="1" s="1"/>
  <c r="S536" i="1"/>
  <c r="U536" i="1"/>
  <c r="Y536" i="1"/>
  <c r="AM536" i="1"/>
  <c r="AN536" i="1"/>
  <c r="AU536" i="1" s="1"/>
  <c r="S537" i="1"/>
  <c r="U537" i="1"/>
  <c r="Y537" i="1"/>
  <c r="AM537" i="1"/>
  <c r="AN537" i="1" s="1"/>
  <c r="S538" i="1"/>
  <c r="U538" i="1"/>
  <c r="AM538" i="1" s="1"/>
  <c r="AN538" i="1" s="1"/>
  <c r="Y538" i="1"/>
  <c r="S539" i="1"/>
  <c r="U539" i="1"/>
  <c r="AM539" i="1" s="1"/>
  <c r="AN539" i="1" s="1"/>
  <c r="Y539" i="1"/>
  <c r="S540" i="1"/>
  <c r="U540" i="1"/>
  <c r="Y540" i="1"/>
  <c r="AM540" i="1"/>
  <c r="AN540" i="1" s="1"/>
  <c r="S541" i="1"/>
  <c r="U541" i="1"/>
  <c r="AM541" i="1" s="1"/>
  <c r="AN541" i="1" s="1"/>
  <c r="Y541" i="1"/>
  <c r="S542" i="1"/>
  <c r="U542" i="1"/>
  <c r="AM542" i="1" s="1"/>
  <c r="AN542" i="1" s="1"/>
  <c r="Y542" i="1"/>
  <c r="S543" i="1"/>
  <c r="U543" i="1"/>
  <c r="AM543" i="1" s="1"/>
  <c r="AN543" i="1" s="1"/>
  <c r="Y543" i="1"/>
  <c r="S544" i="1"/>
  <c r="U544" i="1"/>
  <c r="AM544" i="1" s="1"/>
  <c r="AN544" i="1" s="1"/>
  <c r="Y544" i="1"/>
  <c r="S545" i="1"/>
  <c r="U545" i="1"/>
  <c r="AM545" i="1" s="1"/>
  <c r="AN545" i="1" s="1"/>
  <c r="Y545" i="1"/>
  <c r="S546" i="1"/>
  <c r="U546" i="1"/>
  <c r="Y546" i="1"/>
  <c r="AM546" i="1"/>
  <c r="AN546" i="1" s="1"/>
  <c r="AU546" i="1" s="1"/>
  <c r="S547" i="1"/>
  <c r="U547" i="1"/>
  <c r="AM547" i="1" s="1"/>
  <c r="AN547" i="1" s="1"/>
  <c r="Y547" i="1"/>
  <c r="S548" i="1"/>
  <c r="U548" i="1"/>
  <c r="AM548" i="1" s="1"/>
  <c r="AN548" i="1" s="1"/>
  <c r="Y548" i="1"/>
  <c r="S549" i="1"/>
  <c r="U549" i="1"/>
  <c r="AM549" i="1" s="1"/>
  <c r="AN549" i="1" s="1"/>
  <c r="Y549" i="1"/>
  <c r="S550" i="1"/>
  <c r="U550" i="1"/>
  <c r="AM550" i="1" s="1"/>
  <c r="AN550" i="1" s="1"/>
  <c r="AU550" i="1" s="1"/>
  <c r="Y550" i="1"/>
  <c r="S551" i="1"/>
  <c r="U551" i="1"/>
  <c r="Y551" i="1"/>
  <c r="AM551" i="1"/>
  <c r="AN551" i="1" s="1"/>
  <c r="AU551" i="1" s="1"/>
  <c r="S552" i="1"/>
  <c r="U552" i="1"/>
  <c r="Y552" i="1"/>
  <c r="AM552" i="1"/>
  <c r="AN552" i="1" s="1"/>
  <c r="S553" i="1"/>
  <c r="U553" i="1"/>
  <c r="Y553" i="1"/>
  <c r="AM553" i="1"/>
  <c r="AN553" i="1" s="1"/>
  <c r="S554" i="1"/>
  <c r="U554" i="1"/>
  <c r="AM554" i="1" s="1"/>
  <c r="AN554" i="1" s="1"/>
  <c r="Y554" i="1"/>
  <c r="S555" i="1"/>
  <c r="U555" i="1"/>
  <c r="AM555" i="1" s="1"/>
  <c r="AN555" i="1" s="1"/>
  <c r="Y555" i="1"/>
  <c r="S556" i="1"/>
  <c r="U556" i="1"/>
  <c r="AM556" i="1" s="1"/>
  <c r="AN556" i="1" s="1"/>
  <c r="AU556" i="1" s="1"/>
  <c r="Y556" i="1"/>
  <c r="S557" i="1"/>
  <c r="U557" i="1"/>
  <c r="Y557" i="1"/>
  <c r="AM557" i="1"/>
  <c r="AN557" i="1" s="1"/>
  <c r="S558" i="1"/>
  <c r="U558" i="1"/>
  <c r="AM558" i="1" s="1"/>
  <c r="AN558" i="1" s="1"/>
  <c r="Y558" i="1"/>
  <c r="S559" i="1"/>
  <c r="U559" i="1"/>
  <c r="AM559" i="1" s="1"/>
  <c r="AN559" i="1" s="1"/>
  <c r="Y559" i="1"/>
  <c r="S560" i="1"/>
  <c r="U560" i="1"/>
  <c r="AM560" i="1" s="1"/>
  <c r="AN560" i="1" s="1"/>
  <c r="Y560" i="1"/>
  <c r="S561" i="1"/>
  <c r="U561" i="1"/>
  <c r="AM561" i="1" s="1"/>
  <c r="AN561" i="1" s="1"/>
  <c r="AU561" i="1" s="1"/>
  <c r="Y561" i="1"/>
  <c r="S562" i="1"/>
  <c r="U562" i="1"/>
  <c r="AM562" i="1" s="1"/>
  <c r="AN562" i="1" s="1"/>
  <c r="Y562" i="1"/>
  <c r="S563" i="1"/>
  <c r="U563" i="1"/>
  <c r="Y563" i="1"/>
  <c r="AM563" i="1"/>
  <c r="AN563" i="1" s="1"/>
  <c r="S564" i="1"/>
  <c r="U564" i="1"/>
  <c r="AM564" i="1" s="1"/>
  <c r="AN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Y570" i="1"/>
  <c r="AW570" i="1" s="1"/>
  <c r="AM570" i="1"/>
  <c r="AN570" i="1"/>
  <c r="AU570" i="1" s="1"/>
  <c r="AV570" i="1"/>
  <c r="S571" i="1"/>
  <c r="U571" i="1"/>
  <c r="AM571" i="1" s="1"/>
  <c r="AN571" i="1" s="1"/>
  <c r="AU571" i="1" s="1"/>
  <c r="Y571" i="1"/>
  <c r="S572" i="1"/>
  <c r="U572" i="1"/>
  <c r="AM572" i="1" s="1"/>
  <c r="AN572" i="1" s="1"/>
  <c r="Y572" i="1"/>
  <c r="S573" i="1"/>
  <c r="U573" i="1"/>
  <c r="Y573" i="1"/>
  <c r="AM573" i="1"/>
  <c r="AN573" i="1" s="1"/>
  <c r="S574" i="1"/>
  <c r="U574" i="1"/>
  <c r="AM574" i="1" s="1"/>
  <c r="AN574" i="1" s="1"/>
  <c r="Y574" i="1"/>
  <c r="S575" i="1"/>
  <c r="U575" i="1"/>
  <c r="Y575" i="1"/>
  <c r="AM575" i="1"/>
  <c r="AN575" i="1" s="1"/>
  <c r="S576" i="1"/>
  <c r="U576" i="1"/>
  <c r="Y576" i="1"/>
  <c r="AM576" i="1"/>
  <c r="AN576" i="1" s="1"/>
  <c r="AU576" i="1" s="1"/>
  <c r="S577" i="1"/>
  <c r="U577" i="1"/>
  <c r="AM577" i="1" s="1"/>
  <c r="AN577" i="1" s="1"/>
  <c r="Y577" i="1"/>
  <c r="S578" i="1"/>
  <c r="U578" i="1"/>
  <c r="Y578" i="1"/>
  <c r="AM578" i="1"/>
  <c r="AN578" i="1" s="1"/>
  <c r="S579" i="1"/>
  <c r="U579" i="1"/>
  <c r="AM579" i="1" s="1"/>
  <c r="AN579" i="1" s="1"/>
  <c r="Y579" i="1"/>
  <c r="S580" i="1"/>
  <c r="U580" i="1"/>
  <c r="Y580" i="1"/>
  <c r="AM580" i="1"/>
  <c r="AN580" i="1" s="1"/>
  <c r="AU580" i="1" s="1"/>
  <c r="S581" i="1"/>
  <c r="U581" i="1"/>
  <c r="AM581" i="1" s="1"/>
  <c r="AN581" i="1" s="1"/>
  <c r="AU581" i="1" s="1"/>
  <c r="Y581" i="1"/>
  <c r="S582" i="1"/>
  <c r="U582" i="1"/>
  <c r="Y582" i="1"/>
  <c r="AM582" i="1"/>
  <c r="AN582" i="1" s="1"/>
  <c r="S583" i="1"/>
  <c r="U583" i="1"/>
  <c r="AM583" i="1" s="1"/>
  <c r="AN583" i="1" s="1"/>
  <c r="Y583" i="1"/>
  <c r="S584" i="1"/>
  <c r="U584" i="1"/>
  <c r="AM584" i="1" s="1"/>
  <c r="AN584" i="1" s="1"/>
  <c r="Y584" i="1"/>
  <c r="S585" i="1"/>
  <c r="U585" i="1"/>
  <c r="AM585" i="1" s="1"/>
  <c r="AN585" i="1" s="1"/>
  <c r="Y585" i="1"/>
  <c r="S586" i="1"/>
  <c r="U586" i="1"/>
  <c r="Y586" i="1"/>
  <c r="AM586" i="1"/>
  <c r="AN586" i="1" s="1"/>
  <c r="AU586" i="1" s="1"/>
  <c r="S587" i="1"/>
  <c r="U587" i="1"/>
  <c r="Y587" i="1"/>
  <c r="AM587" i="1"/>
  <c r="AN587" i="1" s="1"/>
  <c r="S588" i="1"/>
  <c r="U588" i="1"/>
  <c r="AM588" i="1" s="1"/>
  <c r="AN588" i="1" s="1"/>
  <c r="Y588" i="1"/>
  <c r="S589" i="1"/>
  <c r="U589" i="1"/>
  <c r="AM589" i="1" s="1"/>
  <c r="AN589" i="1" s="1"/>
  <c r="Y589" i="1"/>
  <c r="S590" i="1"/>
  <c r="U590" i="1"/>
  <c r="Y590" i="1"/>
  <c r="AM590" i="1"/>
  <c r="AN590" i="1" s="1"/>
  <c r="S591" i="1"/>
  <c r="U591" i="1"/>
  <c r="Y591" i="1"/>
  <c r="AM591" i="1"/>
  <c r="AN591" i="1" s="1"/>
  <c r="AU591" i="1" s="1"/>
  <c r="S592" i="1"/>
  <c r="U592" i="1"/>
  <c r="AM592" i="1" s="1"/>
  <c r="AN592" i="1" s="1"/>
  <c r="Y592" i="1"/>
  <c r="S593" i="1"/>
  <c r="U593" i="1"/>
  <c r="Y593" i="1"/>
  <c r="AM593" i="1"/>
  <c r="AN593" i="1" s="1"/>
  <c r="S594" i="1"/>
  <c r="U594" i="1"/>
  <c r="AM594" i="1" s="1"/>
  <c r="AN594" i="1" s="1"/>
  <c r="Y594" i="1"/>
  <c r="S595" i="1"/>
  <c r="U595" i="1"/>
  <c r="Y595" i="1"/>
  <c r="AM595" i="1"/>
  <c r="AN595" i="1"/>
  <c r="AU595" i="1" s="1"/>
  <c r="S596" i="1"/>
  <c r="U596" i="1"/>
  <c r="Y596" i="1"/>
  <c r="AM596" i="1"/>
  <c r="AN596" i="1" s="1"/>
  <c r="AU596" i="1" s="1"/>
  <c r="S597" i="1"/>
  <c r="U597" i="1"/>
  <c r="AM597" i="1" s="1"/>
  <c r="AN597" i="1" s="1"/>
  <c r="Y597" i="1"/>
  <c r="S598" i="1"/>
  <c r="U598" i="1"/>
  <c r="AM598" i="1" s="1"/>
  <c r="AN598" i="1" s="1"/>
  <c r="Y598" i="1"/>
  <c r="S599" i="1"/>
  <c r="U599" i="1"/>
  <c r="AM599" i="1" s="1"/>
  <c r="AN599" i="1" s="1"/>
  <c r="Y599" i="1"/>
  <c r="S600" i="1"/>
  <c r="U600" i="1"/>
  <c r="Y600" i="1"/>
  <c r="AM600" i="1"/>
  <c r="AN600" i="1" s="1"/>
  <c r="S601" i="1"/>
  <c r="U601" i="1"/>
  <c r="AM601" i="1" s="1"/>
  <c r="AN601" i="1" s="1"/>
  <c r="Y601" i="1"/>
  <c r="S602" i="1"/>
  <c r="U602" i="1"/>
  <c r="AM602" i="1" s="1"/>
  <c r="AN602" i="1" s="1"/>
  <c r="Y602" i="1"/>
  <c r="S603" i="1"/>
  <c r="U603" i="1"/>
  <c r="Y603" i="1"/>
  <c r="AM603" i="1"/>
  <c r="AN603" i="1" s="1"/>
  <c r="S604" i="1"/>
  <c r="U604" i="1"/>
  <c r="AM604" i="1" s="1"/>
  <c r="AN604" i="1" s="1"/>
  <c r="Y604" i="1"/>
  <c r="S605" i="1"/>
  <c r="U605" i="1"/>
  <c r="AM605" i="1" s="1"/>
  <c r="AN605" i="1" s="1"/>
  <c r="AU605" i="1" s="1"/>
  <c r="Y605" i="1"/>
  <c r="S606" i="1"/>
  <c r="U606" i="1"/>
  <c r="Y606" i="1"/>
  <c r="AM606" i="1"/>
  <c r="AN606" i="1" s="1"/>
  <c r="S607" i="1"/>
  <c r="U607" i="1"/>
  <c r="Y607" i="1"/>
  <c r="AM607" i="1"/>
  <c r="AN607" i="1" s="1"/>
  <c r="AV607" i="1" s="1"/>
  <c r="S608" i="1"/>
  <c r="U608" i="1"/>
  <c r="Y608" i="1"/>
  <c r="AM608" i="1"/>
  <c r="AN608" i="1" s="1"/>
  <c r="S609" i="1"/>
  <c r="U609" i="1"/>
  <c r="AM609" i="1" s="1"/>
  <c r="AN609" i="1" s="1"/>
  <c r="Y609" i="1"/>
  <c r="S610" i="1"/>
  <c r="U610" i="1"/>
  <c r="AM610" i="1" s="1"/>
  <c r="AN610" i="1" s="1"/>
  <c r="AU610" i="1" s="1"/>
  <c r="Y610" i="1"/>
  <c r="S611" i="1"/>
  <c r="U611" i="1"/>
  <c r="Y611" i="1"/>
  <c r="AM611" i="1"/>
  <c r="AN611" i="1" s="1"/>
  <c r="S612" i="1"/>
  <c r="U612" i="1"/>
  <c r="Y612" i="1"/>
  <c r="AM612" i="1"/>
  <c r="AN612" i="1" s="1"/>
  <c r="AV612" i="1" s="1"/>
  <c r="S613" i="1"/>
  <c r="U613" i="1"/>
  <c r="AM613" i="1" s="1"/>
  <c r="AN613" i="1" s="1"/>
  <c r="Y613" i="1"/>
  <c r="S614" i="1"/>
  <c r="U614" i="1"/>
  <c r="AM614" i="1" s="1"/>
  <c r="AN614" i="1" s="1"/>
  <c r="Y614" i="1"/>
  <c r="S615" i="1"/>
  <c r="U615" i="1"/>
  <c r="AM615" i="1" s="1"/>
  <c r="AN615" i="1" s="1"/>
  <c r="Y615" i="1"/>
  <c r="S616" i="1"/>
  <c r="U616" i="1"/>
  <c r="Y616" i="1"/>
  <c r="AM616" i="1"/>
  <c r="AN616" i="1"/>
  <c r="AU616" i="1" s="1"/>
  <c r="S617" i="1"/>
  <c r="U617" i="1"/>
  <c r="Y617" i="1"/>
  <c r="AM617" i="1"/>
  <c r="AN617" i="1" s="1"/>
  <c r="S618" i="1"/>
  <c r="U618" i="1"/>
  <c r="AM618" i="1" s="1"/>
  <c r="AN618" i="1" s="1"/>
  <c r="Y618" i="1"/>
  <c r="S619" i="1"/>
  <c r="U619" i="1"/>
  <c r="AM619" i="1" s="1"/>
  <c r="AN619" i="1" s="1"/>
  <c r="Y619" i="1"/>
  <c r="S620" i="1"/>
  <c r="U620" i="1"/>
  <c r="AM620" i="1" s="1"/>
  <c r="AN620" i="1" s="1"/>
  <c r="AU620" i="1" s="1"/>
  <c r="Y620" i="1"/>
  <c r="S621" i="1"/>
  <c r="U621" i="1"/>
  <c r="AM621" i="1" s="1"/>
  <c r="AN621" i="1" s="1"/>
  <c r="Y621" i="1"/>
  <c r="S622" i="1"/>
  <c r="U622" i="1"/>
  <c r="Y622" i="1"/>
  <c r="AM622" i="1"/>
  <c r="AN622" i="1" s="1"/>
  <c r="S623" i="1"/>
  <c r="U623" i="1"/>
  <c r="Y623" i="1"/>
  <c r="AM623" i="1"/>
  <c r="AN623" i="1" s="1"/>
  <c r="S624" i="1"/>
  <c r="U624" i="1"/>
  <c r="AM624" i="1" s="1"/>
  <c r="AN624" i="1" s="1"/>
  <c r="Y624" i="1"/>
  <c r="S625" i="1"/>
  <c r="U625" i="1"/>
  <c r="AM625" i="1" s="1"/>
  <c r="AN625" i="1" s="1"/>
  <c r="Y625" i="1"/>
  <c r="S626" i="1"/>
  <c r="U626" i="1"/>
  <c r="AM626" i="1" s="1"/>
  <c r="AN626" i="1" s="1"/>
  <c r="AU626" i="1" s="1"/>
  <c r="Y626" i="1"/>
  <c r="S627" i="1"/>
  <c r="U627" i="1"/>
  <c r="Y627" i="1"/>
  <c r="AM627" i="1"/>
  <c r="AN627" i="1" s="1"/>
  <c r="S628" i="1"/>
  <c r="U628" i="1"/>
  <c r="AM628" i="1" s="1"/>
  <c r="AN628" i="1" s="1"/>
  <c r="Y628" i="1"/>
  <c r="S629" i="1"/>
  <c r="U629" i="1"/>
  <c r="AM629" i="1" s="1"/>
  <c r="AN629" i="1" s="1"/>
  <c r="Y629" i="1"/>
  <c r="S630" i="1"/>
  <c r="U630" i="1"/>
  <c r="Y630" i="1"/>
  <c r="AM630" i="1"/>
  <c r="AN630" i="1" s="1"/>
  <c r="S631" i="1"/>
  <c r="U631" i="1"/>
  <c r="AM631" i="1" s="1"/>
  <c r="AN631" i="1" s="1"/>
  <c r="AU631" i="1" s="1"/>
  <c r="Y631" i="1"/>
  <c r="S632" i="1"/>
  <c r="U632" i="1"/>
  <c r="AM632" i="1" s="1"/>
  <c r="AN632" i="1" s="1"/>
  <c r="Y632" i="1"/>
  <c r="S633" i="1"/>
  <c r="U633" i="1"/>
  <c r="Y633" i="1"/>
  <c r="AM633" i="1"/>
  <c r="AN633" i="1" s="1"/>
  <c r="S634" i="1"/>
  <c r="U634" i="1"/>
  <c r="Y634" i="1"/>
  <c r="AM634" i="1"/>
  <c r="AN634" i="1" s="1"/>
  <c r="S635" i="1"/>
  <c r="U635" i="1"/>
  <c r="Y635" i="1"/>
  <c r="AM635" i="1"/>
  <c r="AN635" i="1" s="1"/>
  <c r="S636" i="1"/>
  <c r="U636" i="1"/>
  <c r="AM636" i="1" s="1"/>
  <c r="AN636" i="1" s="1"/>
  <c r="AU636" i="1" s="1"/>
  <c r="Y636" i="1"/>
  <c r="S637" i="1"/>
  <c r="U637" i="1"/>
  <c r="Y637" i="1"/>
  <c r="AM637" i="1"/>
  <c r="AN637" i="1" s="1"/>
  <c r="S638" i="1"/>
  <c r="U638" i="1"/>
  <c r="Y638" i="1"/>
  <c r="AM638" i="1"/>
  <c r="AN638" i="1" s="1"/>
  <c r="S639" i="1"/>
  <c r="U639" i="1"/>
  <c r="AM639" i="1" s="1"/>
  <c r="AN639" i="1" s="1"/>
  <c r="Y639" i="1"/>
  <c r="AU639" i="1" s="1"/>
  <c r="S640" i="1"/>
  <c r="U640" i="1"/>
  <c r="AM640" i="1" s="1"/>
  <c r="AN640" i="1" s="1"/>
  <c r="Y640" i="1"/>
  <c r="S641" i="1"/>
  <c r="U641" i="1"/>
  <c r="Y641" i="1"/>
  <c r="AM641" i="1"/>
  <c r="AN641" i="1" s="1"/>
  <c r="AU641" i="1" s="1"/>
  <c r="S642" i="1"/>
  <c r="U642" i="1"/>
  <c r="AM642" i="1" s="1"/>
  <c r="AN642" i="1" s="1"/>
  <c r="Y642" i="1"/>
  <c r="S643" i="1"/>
  <c r="U643" i="1"/>
  <c r="Y643" i="1"/>
  <c r="AM643" i="1"/>
  <c r="AN643" i="1" s="1"/>
  <c r="S644" i="1"/>
  <c r="U644" i="1"/>
  <c r="AM644" i="1" s="1"/>
  <c r="AN644" i="1" s="1"/>
  <c r="Y644" i="1"/>
  <c r="S645" i="1"/>
  <c r="U645" i="1"/>
  <c r="AM645" i="1" s="1"/>
  <c r="AN645" i="1" s="1"/>
  <c r="Y645" i="1"/>
  <c r="S646" i="1"/>
  <c r="U646" i="1"/>
  <c r="AM646" i="1" s="1"/>
  <c r="AN646" i="1" s="1"/>
  <c r="AU646" i="1" s="1"/>
  <c r="Y646" i="1"/>
  <c r="S647" i="1"/>
  <c r="U647" i="1"/>
  <c r="Y647" i="1"/>
  <c r="AM647" i="1"/>
  <c r="AN647" i="1" s="1"/>
  <c r="S648" i="1"/>
  <c r="U648" i="1"/>
  <c r="AM648" i="1" s="1"/>
  <c r="AN648" i="1" s="1"/>
  <c r="Y648" i="1"/>
  <c r="S649" i="1"/>
  <c r="U649" i="1"/>
  <c r="AM649" i="1" s="1"/>
  <c r="AN649" i="1" s="1"/>
  <c r="Y649" i="1"/>
  <c r="S650" i="1"/>
  <c r="U650" i="1"/>
  <c r="AM650" i="1" s="1"/>
  <c r="AN650" i="1" s="1"/>
  <c r="Y650" i="1"/>
  <c r="S651" i="1"/>
  <c r="U651" i="1"/>
  <c r="Y651" i="1"/>
  <c r="AM651" i="1"/>
  <c r="AN651" i="1" s="1"/>
  <c r="AU651" i="1" s="1"/>
  <c r="S652" i="1"/>
  <c r="U652" i="1"/>
  <c r="Y652" i="1"/>
  <c r="AM652" i="1"/>
  <c r="AN652" i="1" s="1"/>
  <c r="S653" i="1"/>
  <c r="U653" i="1"/>
  <c r="AM653" i="1" s="1"/>
  <c r="AN653" i="1" s="1"/>
  <c r="Y653" i="1"/>
  <c r="S654" i="1"/>
  <c r="U654" i="1"/>
  <c r="AM654" i="1" s="1"/>
  <c r="AN654" i="1" s="1"/>
  <c r="Y654" i="1"/>
  <c r="S655" i="1"/>
  <c r="U655" i="1"/>
  <c r="AM655" i="1" s="1"/>
  <c r="AN655" i="1" s="1"/>
  <c r="Y655" i="1"/>
  <c r="S656" i="1"/>
  <c r="U656" i="1"/>
  <c r="Y656" i="1"/>
  <c r="AM656" i="1"/>
  <c r="AN656" i="1"/>
  <c r="AU656" i="1" s="1"/>
  <c r="S657" i="1"/>
  <c r="U657" i="1"/>
  <c r="AM657" i="1" s="1"/>
  <c r="AN657" i="1" s="1"/>
  <c r="Y657" i="1"/>
  <c r="S658" i="1"/>
  <c r="U658" i="1"/>
  <c r="AM658" i="1" s="1"/>
  <c r="AN658" i="1" s="1"/>
  <c r="Y658" i="1"/>
  <c r="S659" i="1"/>
  <c r="U659" i="1"/>
  <c r="AM659" i="1" s="1"/>
  <c r="AN659" i="1" s="1"/>
  <c r="AW659" i="1" s="1"/>
  <c r="Y659" i="1"/>
  <c r="AV659" i="1" s="1"/>
  <c r="S660" i="1"/>
  <c r="U660" i="1"/>
  <c r="Y660" i="1"/>
  <c r="AM660" i="1"/>
  <c r="AN660" i="1" s="1"/>
  <c r="AV660" i="1" s="1"/>
  <c r="S661" i="1"/>
  <c r="U661" i="1"/>
  <c r="Y661" i="1"/>
  <c r="AM661" i="1"/>
  <c r="AN661" i="1" s="1"/>
  <c r="AU661" i="1" s="1"/>
  <c r="S662" i="1"/>
  <c r="U662" i="1"/>
  <c r="AM662" i="1" s="1"/>
  <c r="AN662" i="1" s="1"/>
  <c r="Y662" i="1"/>
  <c r="S663" i="1"/>
  <c r="U663" i="1"/>
  <c r="AM663" i="1" s="1"/>
  <c r="AN663" i="1" s="1"/>
  <c r="Y663" i="1"/>
  <c r="S664" i="1"/>
  <c r="U664" i="1"/>
  <c r="AM664" i="1" s="1"/>
  <c r="AN664" i="1" s="1"/>
  <c r="AW664" i="1" s="1"/>
  <c r="Y664" i="1"/>
  <c r="S665" i="1"/>
  <c r="U665" i="1"/>
  <c r="AM665" i="1" s="1"/>
  <c r="AN665" i="1" s="1"/>
  <c r="Y665" i="1"/>
  <c r="S666" i="1"/>
  <c r="U666" i="1"/>
  <c r="Y666" i="1"/>
  <c r="AM666" i="1"/>
  <c r="AN666" i="1"/>
  <c r="AU666" i="1" s="1"/>
  <c r="S667" i="1"/>
  <c r="U667" i="1"/>
  <c r="Y667" i="1"/>
  <c r="AM667" i="1"/>
  <c r="AN667" i="1" s="1"/>
  <c r="S668" i="1"/>
  <c r="U668" i="1"/>
  <c r="AM668" i="1" s="1"/>
  <c r="AN668" i="1" s="1"/>
  <c r="Y668" i="1"/>
  <c r="S669" i="1"/>
  <c r="U669" i="1"/>
  <c r="AM669" i="1" s="1"/>
  <c r="AN669" i="1" s="1"/>
  <c r="AV669" i="1" s="1"/>
  <c r="Y669" i="1"/>
  <c r="S670" i="1"/>
  <c r="U670" i="1"/>
  <c r="AM670" i="1" s="1"/>
  <c r="AN670" i="1" s="1"/>
  <c r="AV670" i="1" s="1"/>
  <c r="Y670" i="1"/>
  <c r="AU670" i="1" s="1"/>
  <c r="S671" i="1"/>
  <c r="U671" i="1"/>
  <c r="Y671" i="1"/>
  <c r="AM671" i="1"/>
  <c r="AN671" i="1" s="1"/>
  <c r="S672" i="1"/>
  <c r="U672" i="1"/>
  <c r="Y672" i="1"/>
  <c r="AM672" i="1"/>
  <c r="AN672" i="1" s="1"/>
  <c r="S673" i="1"/>
  <c r="U673" i="1"/>
  <c r="AM673" i="1" s="1"/>
  <c r="AN673" i="1" s="1"/>
  <c r="Y673" i="1"/>
  <c r="S674" i="1"/>
  <c r="U674" i="1"/>
  <c r="AM674" i="1" s="1"/>
  <c r="AN674" i="1" s="1"/>
  <c r="Y674" i="1"/>
  <c r="AU674" i="1" s="1"/>
  <c r="S675" i="1"/>
  <c r="U675" i="1"/>
  <c r="AM675" i="1" s="1"/>
  <c r="AN675" i="1" s="1"/>
  <c r="Y675" i="1"/>
  <c r="S676" i="1"/>
  <c r="U676" i="1"/>
  <c r="Y676" i="1"/>
  <c r="AM676" i="1"/>
  <c r="AN676" i="1" s="1"/>
  <c r="S677" i="1"/>
  <c r="U677" i="1"/>
  <c r="Y677" i="1"/>
  <c r="AM677" i="1"/>
  <c r="AN677" i="1" s="1"/>
  <c r="AV677" i="1" s="1"/>
  <c r="S678" i="1"/>
  <c r="U678" i="1"/>
  <c r="AM678" i="1" s="1"/>
  <c r="AN678" i="1" s="1"/>
  <c r="Y678" i="1"/>
  <c r="S679" i="1"/>
  <c r="U679" i="1"/>
  <c r="AM679" i="1" s="1"/>
  <c r="AN679" i="1" s="1"/>
  <c r="Y679" i="1"/>
  <c r="S680" i="1"/>
  <c r="U680" i="1"/>
  <c r="AM680" i="1" s="1"/>
  <c r="AN680" i="1" s="1"/>
  <c r="Y680" i="1"/>
  <c r="S681" i="1"/>
  <c r="U681" i="1"/>
  <c r="Y681" i="1"/>
  <c r="AM681" i="1"/>
  <c r="AN681" i="1" s="1"/>
  <c r="S682" i="1"/>
  <c r="U682" i="1"/>
  <c r="Y682" i="1"/>
  <c r="AM682" i="1"/>
  <c r="AN682" i="1" s="1"/>
  <c r="AV682" i="1"/>
  <c r="S683" i="1"/>
  <c r="U683" i="1"/>
  <c r="AM683" i="1" s="1"/>
  <c r="AN683" i="1" s="1"/>
  <c r="Y683" i="1"/>
  <c r="S684" i="1"/>
  <c r="U684" i="1"/>
  <c r="AM684" i="1" s="1"/>
  <c r="AN684" i="1" s="1"/>
  <c r="Y684" i="1"/>
  <c r="AW684" i="1" s="1"/>
  <c r="S685" i="1"/>
  <c r="U685" i="1"/>
  <c r="AM685" i="1" s="1"/>
  <c r="AN685" i="1" s="1"/>
  <c r="Y685" i="1"/>
  <c r="S686" i="1"/>
  <c r="U686" i="1"/>
  <c r="Y686" i="1"/>
  <c r="AM686" i="1"/>
  <c r="AN686" i="1" s="1"/>
  <c r="S687" i="1"/>
  <c r="U687" i="1"/>
  <c r="Y687" i="1"/>
  <c r="AM687" i="1"/>
  <c r="AN687" i="1" s="1"/>
  <c r="AW687" i="1"/>
  <c r="S688" i="1"/>
  <c r="U688" i="1"/>
  <c r="AM688" i="1" s="1"/>
  <c r="AN688" i="1" s="1"/>
  <c r="Y688" i="1"/>
  <c r="S689" i="1"/>
  <c r="U689" i="1"/>
  <c r="AM689" i="1" s="1"/>
  <c r="AN689" i="1" s="1"/>
  <c r="Y689" i="1"/>
  <c r="AV689" i="1" s="1"/>
  <c r="S690" i="1"/>
  <c r="U690" i="1"/>
  <c r="AM690" i="1" s="1"/>
  <c r="AN690" i="1" s="1"/>
  <c r="Y690" i="1"/>
  <c r="S691" i="1"/>
  <c r="U691" i="1"/>
  <c r="AM691" i="1" s="1"/>
  <c r="Y691" i="1"/>
  <c r="AN691" i="1"/>
  <c r="AV691" i="1"/>
  <c r="S692" i="1"/>
  <c r="U692" i="1"/>
  <c r="AM692" i="1" s="1"/>
  <c r="AN692" i="1" s="1"/>
  <c r="Y692" i="1"/>
  <c r="S693" i="1"/>
  <c r="U693" i="1"/>
  <c r="AM693" i="1" s="1"/>
  <c r="AN693" i="1" s="1"/>
  <c r="Y693" i="1"/>
  <c r="S694" i="1"/>
  <c r="U694" i="1"/>
  <c r="AM694" i="1" s="1"/>
  <c r="AN694" i="1" s="1"/>
  <c r="Y694" i="1"/>
  <c r="S695" i="1"/>
  <c r="U695" i="1"/>
  <c r="AM695" i="1" s="1"/>
  <c r="AN695" i="1" s="1"/>
  <c r="Y695" i="1"/>
  <c r="S696" i="1"/>
  <c r="U696" i="1"/>
  <c r="AM696" i="1" s="1"/>
  <c r="AN696" i="1" s="1"/>
  <c r="AV696" i="1" s="1"/>
  <c r="Y696" i="1"/>
  <c r="S697" i="1"/>
  <c r="U697" i="1"/>
  <c r="AM697" i="1" s="1"/>
  <c r="AN697" i="1" s="1"/>
  <c r="Y697" i="1"/>
  <c r="S698" i="1"/>
  <c r="U698" i="1"/>
  <c r="AM698" i="1" s="1"/>
  <c r="AN698" i="1" s="1"/>
  <c r="Y698" i="1"/>
  <c r="S699" i="1"/>
  <c r="U699" i="1"/>
  <c r="AM699" i="1" s="1"/>
  <c r="AN699" i="1" s="1"/>
  <c r="Y699" i="1"/>
  <c r="S700" i="1"/>
  <c r="U700" i="1"/>
  <c r="AM700" i="1" s="1"/>
  <c r="AN700" i="1" s="1"/>
  <c r="Y700" i="1"/>
  <c r="S701" i="1"/>
  <c r="U701" i="1"/>
  <c r="Y701" i="1"/>
  <c r="AM701" i="1"/>
  <c r="AN701" i="1" s="1"/>
  <c r="AV701" i="1" s="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Y707" i="1"/>
  <c r="AM707" i="1"/>
  <c r="AN707" i="1" s="1"/>
  <c r="AV707" i="1" s="1"/>
  <c r="S708" i="1"/>
  <c r="U708" i="1"/>
  <c r="AM708" i="1" s="1"/>
  <c r="AN708" i="1" s="1"/>
  <c r="Y708" i="1"/>
  <c r="S709" i="1"/>
  <c r="U709" i="1"/>
  <c r="AM709" i="1" s="1"/>
  <c r="AN709" i="1" s="1"/>
  <c r="Y709" i="1"/>
  <c r="S710" i="1"/>
  <c r="U710" i="1"/>
  <c r="Y710" i="1"/>
  <c r="AM710" i="1"/>
  <c r="AN710" i="1" s="1"/>
  <c r="AV710" i="1" s="1"/>
  <c r="S711" i="1"/>
  <c r="U711" i="1"/>
  <c r="AM711" i="1" s="1"/>
  <c r="AN711" i="1" s="1"/>
  <c r="Y711" i="1"/>
  <c r="AV711" i="1" s="1"/>
  <c r="AW711" i="1"/>
  <c r="S712" i="1"/>
  <c r="U712" i="1"/>
  <c r="Y712" i="1"/>
  <c r="AM712" i="1"/>
  <c r="AN712" i="1" s="1"/>
  <c r="S713" i="1"/>
  <c r="U713" i="1"/>
  <c r="AM713" i="1" s="1"/>
  <c r="AN713" i="1" s="1"/>
  <c r="Y713" i="1"/>
  <c r="S714" i="1"/>
  <c r="U714" i="1"/>
  <c r="AM714" i="1" s="1"/>
  <c r="AN714" i="1" s="1"/>
  <c r="Y714" i="1"/>
  <c r="S715" i="1"/>
  <c r="U715" i="1"/>
  <c r="Y715" i="1"/>
  <c r="AM715" i="1"/>
  <c r="AN715" i="1" s="1"/>
  <c r="S716" i="1"/>
  <c r="U716" i="1"/>
  <c r="AM716" i="1" s="1"/>
  <c r="AN716" i="1" s="1"/>
  <c r="Y716" i="1"/>
  <c r="S717" i="1"/>
  <c r="U717" i="1"/>
  <c r="Y717" i="1"/>
  <c r="AM717" i="1"/>
  <c r="AN717" i="1" s="1"/>
  <c r="S718" i="1"/>
  <c r="U718" i="1"/>
  <c r="AM718" i="1" s="1"/>
  <c r="AN718" i="1" s="1"/>
  <c r="Y718" i="1"/>
  <c r="S719" i="1"/>
  <c r="U719" i="1"/>
  <c r="AM719" i="1" s="1"/>
  <c r="AN719" i="1" s="1"/>
  <c r="AU719" i="1" s="1"/>
  <c r="Y719" i="1"/>
  <c r="S720" i="1"/>
  <c r="U720" i="1"/>
  <c r="Y720" i="1"/>
  <c r="AM720" i="1"/>
  <c r="AN720" i="1" s="1"/>
  <c r="S721" i="1"/>
  <c r="U721" i="1"/>
  <c r="AM721" i="1" s="1"/>
  <c r="Y721" i="1"/>
  <c r="AN721" i="1"/>
  <c r="AU721" i="1" s="1"/>
  <c r="S722" i="1"/>
  <c r="U722" i="1"/>
  <c r="AM722" i="1" s="1"/>
  <c r="AN722" i="1" s="1"/>
  <c r="Y722" i="1"/>
  <c r="AU722" i="1" s="1"/>
  <c r="S723" i="1"/>
  <c r="U723" i="1"/>
  <c r="AM723" i="1" s="1"/>
  <c r="AN723" i="1" s="1"/>
  <c r="Y723" i="1"/>
  <c r="S724" i="1"/>
  <c r="U724" i="1"/>
  <c r="AM724" i="1" s="1"/>
  <c r="AN724" i="1" s="1"/>
  <c r="Y724" i="1"/>
  <c r="S725" i="1"/>
  <c r="U725" i="1"/>
  <c r="AM725" i="1" s="1"/>
  <c r="AN725" i="1" s="1"/>
  <c r="Y725" i="1"/>
  <c r="S726" i="1"/>
  <c r="U726" i="1"/>
  <c r="AM726" i="1" s="1"/>
  <c r="Y726" i="1"/>
  <c r="AN726" i="1"/>
  <c r="AU726" i="1" s="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Y731" i="1"/>
  <c r="S732" i="1"/>
  <c r="U732" i="1"/>
  <c r="Y732" i="1"/>
  <c r="AM732" i="1"/>
  <c r="AN732" i="1" s="1"/>
  <c r="S733" i="1"/>
  <c r="U733" i="1"/>
  <c r="AM733" i="1" s="1"/>
  <c r="AN733" i="1" s="1"/>
  <c r="Y733" i="1"/>
  <c r="S734" i="1"/>
  <c r="U734" i="1"/>
  <c r="AM734" i="1" s="1"/>
  <c r="AN734" i="1" s="1"/>
  <c r="Y734" i="1"/>
  <c r="AU734" i="1" s="1"/>
  <c r="S735" i="1"/>
  <c r="U735" i="1"/>
  <c r="AM735" i="1" s="1"/>
  <c r="AN735" i="1" s="1"/>
  <c r="Y735" i="1"/>
  <c r="S736" i="1"/>
  <c r="U736" i="1"/>
  <c r="AM736" i="1" s="1"/>
  <c r="AN736" i="1" s="1"/>
  <c r="Y736" i="1"/>
  <c r="S737" i="1"/>
  <c r="U737" i="1"/>
  <c r="AM737" i="1" s="1"/>
  <c r="AN737" i="1" s="1"/>
  <c r="Y737" i="1"/>
  <c r="S738" i="1"/>
  <c r="U738" i="1"/>
  <c r="Y738" i="1"/>
  <c r="AM738" i="1"/>
  <c r="AN738" i="1" s="1"/>
  <c r="S739" i="1"/>
  <c r="U739" i="1"/>
  <c r="AM739" i="1" s="1"/>
  <c r="AN739" i="1" s="1"/>
  <c r="Y739" i="1"/>
  <c r="S740" i="1"/>
  <c r="U740" i="1"/>
  <c r="Y740" i="1"/>
  <c r="AM740" i="1"/>
  <c r="AN740" i="1" s="1"/>
  <c r="S741" i="1"/>
  <c r="U741" i="1"/>
  <c r="AM741" i="1" s="1"/>
  <c r="AN741" i="1" s="1"/>
  <c r="Y741" i="1"/>
  <c r="S742" i="1"/>
  <c r="U742" i="1"/>
  <c r="Y742" i="1"/>
  <c r="AM742" i="1"/>
  <c r="AN742" i="1"/>
  <c r="S743" i="1"/>
  <c r="U743" i="1"/>
  <c r="AM743" i="1" s="1"/>
  <c r="AN743" i="1" s="1"/>
  <c r="Y743" i="1"/>
  <c r="S744" i="1"/>
  <c r="U744" i="1"/>
  <c r="AM744" i="1" s="1"/>
  <c r="AN744" i="1" s="1"/>
  <c r="Y744" i="1"/>
  <c r="S745" i="1"/>
  <c r="U745" i="1"/>
  <c r="Y745" i="1"/>
  <c r="AM745" i="1"/>
  <c r="AN745" i="1" s="1"/>
  <c r="S746" i="1"/>
  <c r="U746" i="1"/>
  <c r="AM746" i="1" s="1"/>
  <c r="AN746" i="1" s="1"/>
  <c r="Y746" i="1"/>
  <c r="AV746" i="1" s="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AV751" i="1" s="1"/>
  <c r="S752" i="1"/>
  <c r="U752" i="1"/>
  <c r="AM752" i="1" s="1"/>
  <c r="AN752" i="1" s="1"/>
  <c r="Y752" i="1"/>
  <c r="S753" i="1"/>
  <c r="U753" i="1"/>
  <c r="AM753" i="1" s="1"/>
  <c r="AN753" i="1" s="1"/>
  <c r="AV753" i="1" s="1"/>
  <c r="Y753" i="1"/>
  <c r="S754" i="1"/>
  <c r="U754" i="1"/>
  <c r="AM754" i="1" s="1"/>
  <c r="AN754" i="1" s="1"/>
  <c r="Y754" i="1"/>
  <c r="S755" i="1"/>
  <c r="U755" i="1"/>
  <c r="AM755" i="1" s="1"/>
  <c r="AN755" i="1" s="1"/>
  <c r="Y755" i="1"/>
  <c r="S756" i="1"/>
  <c r="U756" i="1"/>
  <c r="AM756" i="1" s="1"/>
  <c r="AN756" i="1" s="1"/>
  <c r="Y756" i="1"/>
  <c r="AV756" i="1" s="1"/>
  <c r="S757" i="1"/>
  <c r="U757" i="1"/>
  <c r="AM757" i="1" s="1"/>
  <c r="AN757" i="1" s="1"/>
  <c r="Y757" i="1"/>
  <c r="S758" i="1"/>
  <c r="U758" i="1"/>
  <c r="Y758" i="1"/>
  <c r="AM758" i="1"/>
  <c r="AN758" i="1" s="1"/>
  <c r="AV758" i="1" s="1"/>
  <c r="S759" i="1"/>
  <c r="U759" i="1"/>
  <c r="AM759" i="1" s="1"/>
  <c r="AN759" i="1" s="1"/>
  <c r="Y759" i="1"/>
  <c r="S760" i="1"/>
  <c r="U760" i="1"/>
  <c r="Y760" i="1"/>
  <c r="AM760" i="1"/>
  <c r="AN760" i="1" s="1"/>
  <c r="S761" i="1"/>
  <c r="U761" i="1"/>
  <c r="AM761" i="1" s="1"/>
  <c r="AN761" i="1" s="1"/>
  <c r="Y761" i="1"/>
  <c r="S762" i="1"/>
  <c r="U762" i="1"/>
  <c r="AM762" i="1" s="1"/>
  <c r="AN762" i="1" s="1"/>
  <c r="Y762" i="1"/>
  <c r="S763" i="1"/>
  <c r="U763" i="1"/>
  <c r="Y763" i="1"/>
  <c r="AM763" i="1"/>
  <c r="AN763" i="1" s="1"/>
  <c r="AV763" i="1" s="1"/>
  <c r="S764" i="1"/>
  <c r="U764" i="1"/>
  <c r="AM764" i="1" s="1"/>
  <c r="AN764" i="1" s="1"/>
  <c r="Y764" i="1"/>
  <c r="S765" i="1"/>
  <c r="U765" i="1"/>
  <c r="AM765" i="1" s="1"/>
  <c r="AN765" i="1" s="1"/>
  <c r="Y765" i="1"/>
  <c r="S766" i="1"/>
  <c r="U766" i="1"/>
  <c r="AM766" i="1" s="1"/>
  <c r="AN766" i="1" s="1"/>
  <c r="Y766" i="1"/>
  <c r="AV766" i="1" s="1"/>
  <c r="S767" i="1"/>
  <c r="U767" i="1"/>
  <c r="AM767" i="1" s="1"/>
  <c r="AN767" i="1" s="1"/>
  <c r="Y767" i="1"/>
  <c r="S768" i="1"/>
  <c r="U768" i="1"/>
  <c r="Y768" i="1"/>
  <c r="AM768" i="1"/>
  <c r="AN768" i="1" s="1"/>
  <c r="AV768" i="1" s="1"/>
  <c r="S769" i="1"/>
  <c r="U769" i="1"/>
  <c r="AM769" i="1" s="1"/>
  <c r="AN769" i="1" s="1"/>
  <c r="Y769" i="1"/>
  <c r="S770" i="1"/>
  <c r="U770" i="1"/>
  <c r="Y770" i="1"/>
  <c r="AM770" i="1"/>
  <c r="AN770" i="1" s="1"/>
  <c r="S771" i="1"/>
  <c r="U771" i="1"/>
  <c r="AM771" i="1" s="1"/>
  <c r="AN771" i="1" s="1"/>
  <c r="Y771" i="1"/>
  <c r="S772" i="1"/>
  <c r="U772" i="1"/>
  <c r="AM772" i="1" s="1"/>
  <c r="AN772" i="1" s="1"/>
  <c r="Y772" i="1"/>
  <c r="S773" i="1"/>
  <c r="U773" i="1"/>
  <c r="AM773" i="1" s="1"/>
  <c r="AN773" i="1" s="1"/>
  <c r="Y773" i="1"/>
  <c r="S774" i="1"/>
  <c r="U774" i="1"/>
  <c r="AM774" i="1" s="1"/>
  <c r="AN774" i="1" s="1"/>
  <c r="Y774" i="1"/>
  <c r="S775" i="1"/>
  <c r="U775" i="1"/>
  <c r="Y775" i="1"/>
  <c r="AM775" i="1"/>
  <c r="AN775" i="1" s="1"/>
  <c r="S776" i="1"/>
  <c r="U776" i="1"/>
  <c r="AM776" i="1" s="1"/>
  <c r="AN776" i="1" s="1"/>
  <c r="Y776" i="1"/>
  <c r="AV776" i="1" s="1"/>
  <c r="S777" i="1"/>
  <c r="U777" i="1"/>
  <c r="AM777" i="1" s="1"/>
  <c r="AN777" i="1" s="1"/>
  <c r="Y777" i="1"/>
  <c r="S778" i="1"/>
  <c r="U778" i="1"/>
  <c r="AM778" i="1" s="1"/>
  <c r="AN778" i="1" s="1"/>
  <c r="Y778" i="1"/>
  <c r="S779" i="1"/>
  <c r="U779" i="1"/>
  <c r="AM779" i="1" s="1"/>
  <c r="AN779" i="1" s="1"/>
  <c r="Y779" i="1"/>
  <c r="S780" i="1"/>
  <c r="U780" i="1"/>
  <c r="Y780" i="1"/>
  <c r="AM780" i="1"/>
  <c r="AN780" i="1" s="1"/>
  <c r="S781" i="1"/>
  <c r="U781" i="1"/>
  <c r="AM781" i="1" s="1"/>
  <c r="AN781" i="1" s="1"/>
  <c r="Y781" i="1"/>
  <c r="AV781" i="1" s="1"/>
  <c r="S782" i="1"/>
  <c r="U782" i="1"/>
  <c r="Y782" i="1"/>
  <c r="AM782" i="1"/>
  <c r="AN782" i="1" s="1"/>
  <c r="S783" i="1"/>
  <c r="U783" i="1"/>
  <c r="AM783" i="1" s="1"/>
  <c r="AN783" i="1" s="1"/>
  <c r="Y783" i="1"/>
  <c r="S784" i="1"/>
  <c r="U784" i="1"/>
  <c r="AM784" i="1" s="1"/>
  <c r="AN784" i="1" s="1"/>
  <c r="Y784" i="1"/>
  <c r="S785" i="1"/>
  <c r="U785" i="1"/>
  <c r="AM785" i="1" s="1"/>
  <c r="AN785" i="1" s="1"/>
  <c r="Y785" i="1"/>
  <c r="S786" i="1"/>
  <c r="U786" i="1"/>
  <c r="AM786" i="1" s="1"/>
  <c r="AN786" i="1" s="1"/>
  <c r="Y786" i="1"/>
  <c r="S787" i="1"/>
  <c r="U787" i="1"/>
  <c r="AM787" i="1" s="1"/>
  <c r="AN787" i="1" s="1"/>
  <c r="Y787" i="1"/>
  <c r="S788" i="1"/>
  <c r="U788" i="1"/>
  <c r="Y788" i="1"/>
  <c r="AM788" i="1"/>
  <c r="AN788" i="1" s="1"/>
  <c r="S789" i="1"/>
  <c r="U789" i="1"/>
  <c r="AM789" i="1" s="1"/>
  <c r="AN789" i="1" s="1"/>
  <c r="Y789" i="1"/>
  <c r="S790" i="1"/>
  <c r="U790" i="1"/>
  <c r="Y790" i="1"/>
  <c r="AM790" i="1"/>
  <c r="AN790" i="1" s="1"/>
  <c r="S791" i="1"/>
  <c r="U791" i="1"/>
  <c r="AM791" i="1" s="1"/>
  <c r="AN791" i="1" s="1"/>
  <c r="Y791" i="1"/>
  <c r="S792" i="1"/>
  <c r="U792" i="1"/>
  <c r="AM792" i="1" s="1"/>
  <c r="AN792" i="1" s="1"/>
  <c r="Y792" i="1"/>
  <c r="S793" i="1"/>
  <c r="U793" i="1"/>
  <c r="AM793" i="1" s="1"/>
  <c r="AN793" i="1" s="1"/>
  <c r="Y793" i="1"/>
  <c r="S794" i="1"/>
  <c r="U794" i="1"/>
  <c r="AM794" i="1" s="1"/>
  <c r="AN794" i="1" s="1"/>
  <c r="Y794" i="1"/>
  <c r="AU794" i="1" s="1"/>
  <c r="S795" i="1"/>
  <c r="U795" i="1"/>
  <c r="AM795" i="1" s="1"/>
  <c r="AN795" i="1" s="1"/>
  <c r="Y795" i="1"/>
  <c r="S796" i="1"/>
  <c r="U796" i="1"/>
  <c r="AM796" i="1" s="1"/>
  <c r="AN796" i="1" s="1"/>
  <c r="Y796" i="1"/>
  <c r="S797" i="1"/>
  <c r="U797" i="1"/>
  <c r="AM797" i="1" s="1"/>
  <c r="AN797" i="1" s="1"/>
  <c r="Y797" i="1"/>
  <c r="S798" i="1"/>
  <c r="U798" i="1"/>
  <c r="AM798" i="1" s="1"/>
  <c r="AN798" i="1" s="1"/>
  <c r="Y798" i="1"/>
  <c r="S799" i="1"/>
  <c r="U799" i="1"/>
  <c r="AM799" i="1" s="1"/>
  <c r="AN799" i="1" s="1"/>
  <c r="Y799" i="1"/>
  <c r="S800" i="1"/>
  <c r="U800" i="1"/>
  <c r="AM800" i="1" s="1"/>
  <c r="AN800" i="1" s="1"/>
  <c r="Y800" i="1"/>
  <c r="S801" i="1"/>
  <c r="U801" i="1"/>
  <c r="AM801" i="1" s="1"/>
  <c r="AN801" i="1" s="1"/>
  <c r="Y801" i="1"/>
  <c r="S802" i="1"/>
  <c r="U802" i="1"/>
  <c r="AM802" i="1" s="1"/>
  <c r="AN802" i="1" s="1"/>
  <c r="Y802" i="1"/>
  <c r="S803" i="1"/>
  <c r="U803" i="1"/>
  <c r="AM803" i="1" s="1"/>
  <c r="AN803" i="1" s="1"/>
  <c r="Y803" i="1"/>
  <c r="S804" i="1"/>
  <c r="U804" i="1"/>
  <c r="AM804" i="1" s="1"/>
  <c r="AN804" i="1" s="1"/>
  <c r="Y804" i="1"/>
  <c r="S805" i="1"/>
  <c r="U805" i="1"/>
  <c r="Y805" i="1"/>
  <c r="AM805" i="1"/>
  <c r="AN805" i="1" s="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Y814" i="1"/>
  <c r="S815" i="1"/>
  <c r="U815" i="1"/>
  <c r="Y815" i="1"/>
  <c r="AM815" i="1"/>
  <c r="AN815" i="1" s="1"/>
  <c r="S816" i="1"/>
  <c r="U816" i="1"/>
  <c r="AM816" i="1" s="1"/>
  <c r="AN816" i="1" s="1"/>
  <c r="Y816" i="1"/>
  <c r="S817" i="1"/>
  <c r="U817" i="1"/>
  <c r="AM817" i="1" s="1"/>
  <c r="AN817" i="1" s="1"/>
  <c r="Y817" i="1"/>
  <c r="S818" i="1"/>
  <c r="U818" i="1"/>
  <c r="AM818" i="1" s="1"/>
  <c r="AN818" i="1" s="1"/>
  <c r="Y818" i="1"/>
  <c r="S819" i="1"/>
  <c r="U819" i="1"/>
  <c r="AM819" i="1" s="1"/>
  <c r="AN819" i="1" s="1"/>
  <c r="Y819" i="1"/>
  <c r="S820" i="1"/>
  <c r="U820" i="1"/>
  <c r="AM820" i="1" s="1"/>
  <c r="AN820" i="1" s="1"/>
  <c r="Y820" i="1"/>
  <c r="S821" i="1"/>
  <c r="U821" i="1"/>
  <c r="AM821" i="1" s="1"/>
  <c r="AN821" i="1" s="1"/>
  <c r="Y821" i="1"/>
  <c r="S822" i="1"/>
  <c r="U822" i="1"/>
  <c r="AM822" i="1" s="1"/>
  <c r="AN822" i="1" s="1"/>
  <c r="Y822" i="1"/>
  <c r="S823" i="1"/>
  <c r="U823" i="1"/>
  <c r="Y823" i="1"/>
  <c r="AM823" i="1"/>
  <c r="AN823" i="1" s="1"/>
  <c r="S824" i="1"/>
  <c r="U824" i="1"/>
  <c r="AM824" i="1" s="1"/>
  <c r="AN824" i="1" s="1"/>
  <c r="Y824" i="1"/>
  <c r="AU824" i="1" s="1"/>
  <c r="S825" i="1"/>
  <c r="U825" i="1"/>
  <c r="Y825" i="1"/>
  <c r="AM825" i="1"/>
  <c r="AN825" i="1" s="1"/>
  <c r="AU675" i="1" l="1"/>
  <c r="AW675" i="1"/>
  <c r="AW428" i="1"/>
  <c r="AU428" i="1"/>
  <c r="AV428" i="1"/>
  <c r="AU411" i="1"/>
  <c r="AV411" i="1"/>
  <c r="AW411" i="1"/>
  <c r="AU329" i="1"/>
  <c r="AW329" i="1"/>
  <c r="AV106" i="1"/>
  <c r="AW106" i="1"/>
  <c r="AU18" i="1"/>
  <c r="AU451" i="1"/>
  <c r="AW451" i="1"/>
  <c r="AV51" i="1"/>
  <c r="AU28" i="1"/>
  <c r="AV28" i="1"/>
  <c r="AW28" i="1"/>
  <c r="AU418" i="1"/>
  <c r="AV418" i="1"/>
  <c r="AU600" i="1"/>
  <c r="AW600" i="1"/>
  <c r="AV191" i="1"/>
  <c r="AW191" i="1"/>
  <c r="AV36" i="1"/>
  <c r="AV461" i="1"/>
  <c r="AU461" i="1"/>
  <c r="AW461" i="1"/>
  <c r="AV274" i="1"/>
  <c r="AV141" i="1"/>
  <c r="AW141" i="1"/>
  <c r="AV6" i="1"/>
  <c r="AW6" i="1"/>
  <c r="AV81" i="1"/>
  <c r="AU436" i="1"/>
  <c r="AV436" i="1"/>
  <c r="AW436" i="1"/>
  <c r="AV408" i="1"/>
  <c r="AW408" i="1"/>
  <c r="AU336" i="1"/>
  <c r="AV336" i="1"/>
  <c r="AV481" i="1"/>
  <c r="AU481" i="1"/>
  <c r="AW481" i="1"/>
  <c r="AW26" i="1"/>
  <c r="AV26" i="1"/>
  <c r="AV186" i="1"/>
  <c r="AW186" i="1"/>
  <c r="AU43" i="1"/>
  <c r="AV43" i="1"/>
  <c r="AW43" i="1"/>
  <c r="AW677" i="1"/>
  <c r="AV95" i="1"/>
  <c r="AV681" i="1"/>
  <c r="AU671" i="1"/>
  <c r="AW535" i="1"/>
  <c r="AU357" i="1"/>
  <c r="AW159" i="1"/>
  <c r="AW129" i="1"/>
  <c r="AU267" i="1"/>
  <c r="AV193" i="1"/>
  <c r="AV183" i="1"/>
  <c r="AV726" i="1"/>
  <c r="AU655" i="1"/>
  <c r="AU649" i="1"/>
  <c r="AW376" i="1"/>
  <c r="AU541" i="1"/>
  <c r="AV616" i="1"/>
  <c r="AU307" i="1"/>
  <c r="AV61" i="1"/>
  <c r="AV480" i="1"/>
  <c r="AU804" i="1"/>
  <c r="AU749" i="1"/>
  <c r="AU680" i="1"/>
  <c r="AW670" i="1"/>
  <c r="AU621" i="1"/>
  <c r="AW418" i="1"/>
  <c r="AW319" i="1"/>
  <c r="AV192" i="1"/>
  <c r="AU74" i="1"/>
  <c r="AU69" i="1"/>
  <c r="AW51" i="1"/>
  <c r="AV460" i="1"/>
  <c r="AV348" i="1"/>
  <c r="AW727" i="1"/>
  <c r="AU381" i="1"/>
  <c r="AU376" i="1"/>
  <c r="AV365" i="1"/>
  <c r="AV359" i="1"/>
  <c r="AU124" i="1"/>
  <c r="AU773" i="1"/>
  <c r="AU702" i="1"/>
  <c r="AU594" i="1"/>
  <c r="AU315" i="1"/>
  <c r="AU297" i="1"/>
  <c r="AU10" i="1"/>
  <c r="AU150" i="1"/>
  <c r="AU119" i="1"/>
  <c r="AV679" i="1"/>
  <c r="AW323" i="1"/>
  <c r="AU68" i="1"/>
  <c r="AU15" i="1"/>
  <c r="AV692" i="1"/>
  <c r="AU809" i="1"/>
  <c r="AU784" i="1"/>
  <c r="AV555" i="1"/>
  <c r="AU375" i="1"/>
  <c r="AU350" i="1"/>
  <c r="AV323" i="1"/>
  <c r="AU296" i="1"/>
  <c r="AV242" i="1"/>
  <c r="AW196" i="1"/>
  <c r="AU32" i="1"/>
  <c r="AW18" i="1"/>
  <c r="AV821" i="1"/>
  <c r="AV674" i="1"/>
  <c r="AV664" i="1"/>
  <c r="AU635" i="1"/>
  <c r="AU566" i="1"/>
  <c r="AU211" i="1"/>
  <c r="AU166" i="1"/>
  <c r="AV151" i="1"/>
  <c r="AW81" i="1"/>
  <c r="AU55" i="1"/>
  <c r="AV18" i="1"/>
  <c r="AW359" i="1"/>
  <c r="AW336" i="1"/>
  <c r="AW36" i="1"/>
  <c r="AW31" i="1"/>
  <c r="AU711" i="1"/>
  <c r="AU601" i="1"/>
  <c r="AU511" i="1"/>
  <c r="AV440" i="1"/>
  <c r="AU216" i="1"/>
  <c r="AU155" i="1"/>
  <c r="AU145" i="1"/>
  <c r="AV86" i="1"/>
  <c r="AU312" i="1"/>
  <c r="AW189" i="1"/>
  <c r="AW149" i="1"/>
  <c r="AV245" i="1"/>
  <c r="AV640" i="1"/>
  <c r="AV415" i="1"/>
  <c r="AU300" i="1"/>
  <c r="AV252" i="1"/>
  <c r="AU236" i="1"/>
  <c r="AU161" i="1"/>
  <c r="AU105" i="1"/>
  <c r="AU11" i="1"/>
  <c r="AW11" i="1"/>
  <c r="AU33" i="1"/>
  <c r="AV33" i="1"/>
  <c r="AW33" i="1"/>
  <c r="AV11" i="1"/>
  <c r="AU545" i="1"/>
  <c r="AV545" i="1"/>
  <c r="AU197" i="1"/>
  <c r="AV38" i="1"/>
  <c r="AV248" i="1"/>
  <c r="AW248" i="1"/>
  <c r="AU276" i="1"/>
  <c r="AU248" i="1"/>
  <c r="AV202" i="1"/>
  <c r="AV181" i="1"/>
  <c r="AW181" i="1"/>
  <c r="AU630" i="1"/>
  <c r="AV630" i="1"/>
  <c r="AW630" i="1"/>
  <c r="AU625" i="1"/>
  <c r="AV625" i="1"/>
  <c r="AW625" i="1"/>
  <c r="AV471" i="1"/>
  <c r="AU471" i="1"/>
  <c r="AW471" i="1"/>
  <c r="AV314" i="1"/>
  <c r="AU314" i="1"/>
  <c r="AW314" i="1"/>
  <c r="AU101" i="1"/>
  <c r="AV101" i="1"/>
  <c r="AW101" i="1"/>
  <c r="AV91" i="1"/>
  <c r="AW91" i="1"/>
  <c r="AV635" i="1"/>
  <c r="AW635" i="1"/>
  <c r="AV501" i="1"/>
  <c r="AU501" i="1"/>
  <c r="AV491" i="1"/>
  <c r="AU491" i="1"/>
  <c r="AV486" i="1"/>
  <c r="AU466" i="1"/>
  <c r="AW466" i="1"/>
  <c r="AV253" i="1"/>
  <c r="AW253" i="1"/>
  <c r="AV231" i="1"/>
  <c r="AW231" i="1"/>
  <c r="AU486" i="1"/>
  <c r="AW486" i="1"/>
  <c r="AV456" i="1"/>
  <c r="AU456" i="1"/>
  <c r="AW456" i="1"/>
  <c r="AU421" i="1"/>
  <c r="AV421" i="1"/>
  <c r="AU354" i="1"/>
  <c r="AW354" i="1"/>
  <c r="AV328" i="1"/>
  <c r="AU253" i="1"/>
  <c r="AV496" i="1"/>
  <c r="AU496" i="1"/>
  <c r="AV476" i="1"/>
  <c r="AU476" i="1"/>
  <c r="AW476" i="1"/>
  <c r="AU640" i="1"/>
  <c r="AV634" i="1"/>
  <c r="AW634" i="1"/>
  <c r="AV511" i="1"/>
  <c r="AU575" i="1"/>
  <c r="AV575" i="1"/>
  <c r="AW575" i="1"/>
  <c r="AV516" i="1"/>
  <c r="AU516" i="1"/>
  <c r="AU645" i="1"/>
  <c r="AV596" i="1"/>
  <c r="AU515" i="1"/>
  <c r="AV515" i="1"/>
  <c r="AU650" i="1"/>
  <c r="AV650" i="1"/>
  <c r="AW650" i="1"/>
  <c r="AU768" i="1"/>
  <c r="AU540" i="1"/>
  <c r="AV540" i="1"/>
  <c r="AW540" i="1"/>
  <c r="AV816" i="1"/>
  <c r="AU685" i="1"/>
  <c r="AW685" i="1"/>
  <c r="AV521" i="1"/>
  <c r="AU521" i="1"/>
  <c r="AU465" i="1"/>
  <c r="AV465" i="1"/>
  <c r="AW465" i="1"/>
  <c r="AU455" i="1"/>
  <c r="AV455" i="1"/>
  <c r="AW455" i="1"/>
  <c r="AU445" i="1"/>
  <c r="AV445" i="1"/>
  <c r="AW445" i="1"/>
  <c r="AW401" i="1"/>
  <c r="AU401" i="1"/>
  <c r="AV401" i="1"/>
  <c r="AV354" i="1"/>
  <c r="AV284" i="1"/>
  <c r="AV221" i="1"/>
  <c r="AW221" i="1"/>
  <c r="AV116" i="1"/>
  <c r="AW116" i="1"/>
  <c r="AV685" i="1"/>
  <c r="AU485" i="1"/>
  <c r="AV485" i="1"/>
  <c r="AW485" i="1"/>
  <c r="AU475" i="1"/>
  <c r="AV475" i="1"/>
  <c r="AW475" i="1"/>
  <c r="AV368" i="1"/>
  <c r="AW368" i="1"/>
  <c r="AU339" i="1"/>
  <c r="AV339" i="1"/>
  <c r="AW339" i="1"/>
  <c r="AU289" i="1"/>
  <c r="AV289" i="1"/>
  <c r="AV126" i="1"/>
  <c r="AW126" i="1"/>
  <c r="AU742" i="1"/>
  <c r="AV742" i="1"/>
  <c r="AW742" i="1"/>
  <c r="AV675" i="1"/>
  <c r="AV655" i="1"/>
  <c r="AW655" i="1"/>
  <c r="AV601" i="1"/>
  <c r="AV450" i="1"/>
  <c r="AV430" i="1"/>
  <c r="AW430" i="1"/>
  <c r="AU313" i="1"/>
  <c r="AV313" i="1"/>
  <c r="AW313" i="1"/>
  <c r="AU258" i="1"/>
  <c r="AV258" i="1"/>
  <c r="AW258" i="1"/>
  <c r="AW174" i="1"/>
  <c r="AV41" i="1"/>
  <c r="AW41" i="1"/>
  <c r="AW730" i="1"/>
  <c r="AU606" i="1"/>
  <c r="AV606" i="1"/>
  <c r="AW470" i="1"/>
  <c r="AU304" i="1"/>
  <c r="AU23" i="1"/>
  <c r="AV23" i="1"/>
  <c r="AW23" i="1"/>
  <c r="AU753" i="1"/>
  <c r="AU611" i="1"/>
  <c r="AV611" i="1"/>
  <c r="AV550" i="1"/>
  <c r="AW550" i="1"/>
  <c r="AW545" i="1"/>
  <c r="AU530" i="1"/>
  <c r="AV530" i="1"/>
  <c r="AW530" i="1"/>
  <c r="AV520" i="1"/>
  <c r="AU505" i="1"/>
  <c r="AV505" i="1"/>
  <c r="AW505" i="1"/>
  <c r="AU495" i="1"/>
  <c r="AW495" i="1"/>
  <c r="AW490" i="1"/>
  <c r="AU419" i="1"/>
  <c r="AW419" i="1"/>
  <c r="AV235" i="1"/>
  <c r="AU54" i="1"/>
  <c r="AU520" i="1"/>
  <c r="AW520" i="1"/>
  <c r="AW515" i="1"/>
  <c r="AU429" i="1"/>
  <c r="AW429" i="1"/>
  <c r="AU383" i="1"/>
  <c r="AV383" i="1"/>
  <c r="AW383" i="1"/>
  <c r="AU358" i="1"/>
  <c r="AV358" i="1"/>
  <c r="AW358" i="1"/>
  <c r="AU140" i="1"/>
  <c r="AU13" i="1"/>
  <c r="AV13" i="1"/>
  <c r="AW13" i="1"/>
  <c r="AV706" i="1"/>
  <c r="AW706" i="1"/>
  <c r="AV684" i="1"/>
  <c r="AV600" i="1"/>
  <c r="AV580" i="1"/>
  <c r="AW580" i="1"/>
  <c r="AU555" i="1"/>
  <c r="AW555" i="1"/>
  <c r="AU438" i="1"/>
  <c r="AV438" i="1"/>
  <c r="AW438" i="1"/>
  <c r="AU273" i="1"/>
  <c r="AV273" i="1"/>
  <c r="AW273" i="1"/>
  <c r="AU71" i="1"/>
  <c r="AV71" i="1"/>
  <c r="AW71" i="1"/>
  <c r="AU706" i="1"/>
  <c r="AU560" i="1"/>
  <c r="AV560" i="1"/>
  <c r="AW560" i="1"/>
  <c r="AU326" i="1"/>
  <c r="AV326" i="1"/>
  <c r="AW326" i="1"/>
  <c r="AU782" i="1"/>
  <c r="AV782" i="1"/>
  <c r="AW782" i="1"/>
  <c r="AU758" i="1"/>
  <c r="AU590" i="1"/>
  <c r="AV590" i="1"/>
  <c r="AW590" i="1"/>
  <c r="AU585" i="1"/>
  <c r="AV585" i="1"/>
  <c r="AW585" i="1"/>
  <c r="AU565" i="1"/>
  <c r="AV565" i="1"/>
  <c r="AW565" i="1"/>
  <c r="AU413" i="1"/>
  <c r="AV413" i="1"/>
  <c r="AW413" i="1"/>
  <c r="AU409" i="1"/>
  <c r="AW409" i="1"/>
  <c r="AU388" i="1"/>
  <c r="AV388" i="1"/>
  <c r="AW388" i="1"/>
  <c r="AW338" i="1"/>
  <c r="AU293" i="1"/>
  <c r="AV293" i="1"/>
  <c r="AW293" i="1"/>
  <c r="AW288" i="1"/>
  <c r="AU278" i="1"/>
  <c r="AV278" i="1"/>
  <c r="AW278" i="1"/>
  <c r="AU53" i="1"/>
  <c r="AW53" i="1"/>
  <c r="AV244" i="1"/>
  <c r="AW244" i="1"/>
  <c r="AW239" i="1"/>
  <c r="AV21" i="1"/>
  <c r="AW21" i="1"/>
  <c r="AU763" i="1"/>
  <c r="AU615" i="1"/>
  <c r="AV615" i="1"/>
  <c r="AW433" i="1"/>
  <c r="AV403" i="1"/>
  <c r="AW403" i="1"/>
  <c r="AU398" i="1"/>
  <c r="AV398" i="1"/>
  <c r="AU342" i="1"/>
  <c r="AU333" i="1"/>
  <c r="AV333" i="1"/>
  <c r="AW333" i="1"/>
  <c r="AU298" i="1"/>
  <c r="AV298" i="1"/>
  <c r="AW298" i="1"/>
  <c r="AU272" i="1"/>
  <c r="AU687" i="1"/>
  <c r="AU609" i="1"/>
  <c r="AU437" i="1"/>
  <c r="AU356" i="1"/>
  <c r="AW356" i="1"/>
  <c r="AU223" i="1"/>
  <c r="AV223" i="1"/>
  <c r="AU158" i="1"/>
  <c r="AV158" i="1"/>
  <c r="AU79" i="1"/>
  <c r="AW79" i="1"/>
  <c r="AV662" i="1"/>
  <c r="AW662" i="1"/>
  <c r="AU657" i="1"/>
  <c r="AU614" i="1"/>
  <c r="AU589" i="1"/>
  <c r="AV589" i="1"/>
  <c r="AW589" i="1"/>
  <c r="AV361" i="1"/>
  <c r="AU351" i="1"/>
  <c r="AV351" i="1"/>
  <c r="AW351" i="1"/>
  <c r="AV123" i="1"/>
  <c r="AV420" i="1"/>
  <c r="AU331" i="1"/>
  <c r="AU219" i="1"/>
  <c r="AU170" i="1"/>
  <c r="AU153" i="1"/>
  <c r="AV148" i="1"/>
  <c r="AU136" i="1"/>
  <c r="AU87" i="1"/>
  <c r="AU62" i="1"/>
  <c r="AU346" i="1"/>
  <c r="AU206" i="1"/>
  <c r="AV178" i="1"/>
  <c r="AU96" i="1"/>
  <c r="AU46" i="1"/>
  <c r="AU477" i="1"/>
  <c r="AV350" i="1"/>
  <c r="AU252" i="1"/>
  <c r="AU226" i="1"/>
  <c r="AV222" i="1"/>
  <c r="AU214" i="1"/>
  <c r="AU157" i="1"/>
  <c r="AU131" i="1"/>
  <c r="AU104" i="1"/>
  <c r="AU334" i="1"/>
  <c r="AU66" i="1"/>
  <c r="AU26" i="1"/>
  <c r="AV535" i="1"/>
  <c r="AU432" i="1"/>
  <c r="AW399" i="1"/>
  <c r="AV395" i="1"/>
  <c r="AU360" i="1"/>
  <c r="AU349" i="1"/>
  <c r="AV303" i="1"/>
  <c r="AW209" i="1"/>
  <c r="AV196" i="1"/>
  <c r="AU177" i="1"/>
  <c r="AU173" i="1"/>
  <c r="AV112" i="1"/>
  <c r="AW99" i="1"/>
  <c r="AU95" i="1"/>
  <c r="AU91" i="1"/>
  <c r="AU45" i="1"/>
  <c r="AU587" i="1"/>
  <c r="AU423" i="1"/>
  <c r="AU353" i="1"/>
  <c r="AV233" i="1"/>
  <c r="AU191" i="1"/>
  <c r="AU165" i="1"/>
  <c r="AW156" i="1"/>
  <c r="AU552" i="1"/>
  <c r="AV439" i="1"/>
  <c r="AU403" i="1"/>
  <c r="AU368" i="1"/>
  <c r="AU340" i="1"/>
  <c r="AU330" i="1"/>
  <c r="AU229" i="1"/>
  <c r="AU218" i="1"/>
  <c r="AU186" i="1"/>
  <c r="AV147" i="1"/>
  <c r="AV138" i="1"/>
  <c r="AU126" i="1"/>
  <c r="AU41" i="1"/>
  <c r="AU363" i="1"/>
  <c r="AU86" i="1"/>
  <c r="AU61" i="1"/>
  <c r="AU744" i="1"/>
  <c r="AW682" i="1"/>
  <c r="AU582" i="1"/>
  <c r="AU517" i="1"/>
  <c r="AU492" i="1"/>
  <c r="AV318" i="1"/>
  <c r="AU290" i="1"/>
  <c r="AV260" i="1"/>
  <c r="AU255" i="1"/>
  <c r="AU213" i="1"/>
  <c r="AW164" i="1"/>
  <c r="AU134" i="1"/>
  <c r="AW111" i="1"/>
  <c r="AU98" i="1"/>
  <c r="AU21" i="1"/>
  <c r="AV381" i="1"/>
  <c r="AV232" i="1"/>
  <c r="AU221" i="1"/>
  <c r="AW199" i="1"/>
  <c r="AU181" i="1"/>
  <c r="AU116" i="1"/>
  <c r="AU660" i="1"/>
  <c r="AU634" i="1"/>
  <c r="AU607" i="1"/>
  <c r="AU367" i="1"/>
  <c r="AU352" i="1"/>
  <c r="AU208" i="1"/>
  <c r="AU81" i="1"/>
  <c r="AU783" i="1"/>
  <c r="AU525" i="1"/>
  <c r="AU500" i="1"/>
  <c r="AV451" i="1"/>
  <c r="AW393" i="1"/>
  <c r="AU348" i="1"/>
  <c r="AW343" i="1"/>
  <c r="AV329" i="1"/>
  <c r="AU306" i="1"/>
  <c r="AU302" i="1"/>
  <c r="AU281" i="1"/>
  <c r="AW268" i="1"/>
  <c r="AW263" i="1"/>
  <c r="AW171" i="1"/>
  <c r="AU168" i="1"/>
  <c r="AU36" i="1"/>
  <c r="AU602" i="1"/>
  <c r="AU487" i="1"/>
  <c r="AV426" i="1"/>
  <c r="AV393" i="1"/>
  <c r="AU371" i="1"/>
  <c r="AV355" i="1"/>
  <c r="AU277" i="1"/>
  <c r="AV268" i="1"/>
  <c r="AV263" i="1"/>
  <c r="AU224" i="1"/>
  <c r="AV212" i="1"/>
  <c r="AU180" i="1"/>
  <c r="AV137" i="1"/>
  <c r="AV128" i="1"/>
  <c r="AW124" i="1"/>
  <c r="AU111" i="1"/>
  <c r="AU56" i="1"/>
  <c r="AU778" i="1"/>
  <c r="AU16" i="1"/>
  <c r="AU12" i="1"/>
  <c r="AU754" i="1"/>
  <c r="AU672" i="1"/>
  <c r="AU659" i="1"/>
  <c r="AU572" i="1"/>
  <c r="AW398" i="1"/>
  <c r="AV375" i="1"/>
  <c r="AV240" i="1"/>
  <c r="AU203" i="1"/>
  <c r="AU175" i="1"/>
  <c r="AV167" i="1"/>
  <c r="AV132" i="1"/>
  <c r="AU343" i="1"/>
  <c r="AU198" i="1"/>
  <c r="AU171" i="1"/>
  <c r="AU163" i="1"/>
  <c r="AU141" i="1"/>
  <c r="AU106" i="1"/>
  <c r="AU76" i="1"/>
  <c r="AU19" i="1"/>
  <c r="AU667" i="1"/>
  <c r="AU597" i="1"/>
  <c r="AV405" i="1"/>
  <c r="AV370" i="1"/>
  <c r="AW361" i="1"/>
  <c r="AW328" i="1"/>
  <c r="AU301" i="1"/>
  <c r="AU231" i="1"/>
  <c r="AV188" i="1"/>
  <c r="AW136" i="1"/>
  <c r="AU51" i="1"/>
  <c r="AW38" i="1"/>
  <c r="AU31" i="1"/>
  <c r="AU27" i="1"/>
  <c r="AU793" i="1"/>
  <c r="AU619" i="1"/>
  <c r="AU567" i="1"/>
  <c r="AU482" i="1"/>
  <c r="AW421" i="1"/>
  <c r="AU365" i="1"/>
  <c r="AU320" i="1"/>
  <c r="AW219" i="1"/>
  <c r="AW206" i="1"/>
  <c r="AV153" i="1"/>
  <c r="AV136" i="1"/>
  <c r="AW96" i="1"/>
  <c r="AW46" i="1"/>
  <c r="AV7" i="1"/>
  <c r="AU810" i="1"/>
  <c r="AV810" i="1"/>
  <c r="AW810" i="1"/>
  <c r="AU787" i="1"/>
  <c r="AV787" i="1"/>
  <c r="AW787" i="1"/>
  <c r="AU737" i="1"/>
  <c r="AV737" i="1"/>
  <c r="AW737" i="1"/>
  <c r="AU731" i="1"/>
  <c r="AV731" i="1"/>
  <c r="AW731" i="1"/>
  <c r="AW699" i="1"/>
  <c r="AU822" i="1"/>
  <c r="AV822" i="1"/>
  <c r="AW822" i="1"/>
  <c r="AU770" i="1"/>
  <c r="AV770" i="1"/>
  <c r="AW770" i="1"/>
  <c r="AU747" i="1"/>
  <c r="AV747" i="1"/>
  <c r="AW747" i="1"/>
  <c r="AW719" i="1"/>
  <c r="AU798" i="1"/>
  <c r="AV786" i="1"/>
  <c r="AU764" i="1"/>
  <c r="AV736" i="1"/>
  <c r="AU730" i="1"/>
  <c r="AU709" i="1"/>
  <c r="AV709" i="1"/>
  <c r="AW709" i="1"/>
  <c r="AU704" i="1"/>
  <c r="AU815" i="1"/>
  <c r="AV815" i="1"/>
  <c r="AW815" i="1"/>
  <c r="AU792" i="1"/>
  <c r="AV792" i="1"/>
  <c r="AW792" i="1"/>
  <c r="AU724" i="1"/>
  <c r="AV724" i="1"/>
  <c r="AW724" i="1"/>
  <c r="AV704" i="1"/>
  <c r="AW704" i="1"/>
  <c r="AU775" i="1"/>
  <c r="AV775" i="1"/>
  <c r="AW775" i="1"/>
  <c r="AU752" i="1"/>
  <c r="AV752" i="1"/>
  <c r="AW752" i="1"/>
  <c r="AU803" i="1"/>
  <c r="AV791" i="1"/>
  <c r="AU785" i="1"/>
  <c r="AV785" i="1"/>
  <c r="AW785" i="1"/>
  <c r="AU769" i="1"/>
  <c r="AV741" i="1"/>
  <c r="AU735" i="1"/>
  <c r="AV735" i="1"/>
  <c r="AW735" i="1"/>
  <c r="AU712" i="1"/>
  <c r="AV712" i="1"/>
  <c r="AW712" i="1"/>
  <c r="AU692" i="1"/>
  <c r="AU820" i="1"/>
  <c r="AV820" i="1"/>
  <c r="AW820" i="1"/>
  <c r="AU797" i="1"/>
  <c r="AV797" i="1"/>
  <c r="AW797" i="1"/>
  <c r="AU745" i="1"/>
  <c r="AV745" i="1"/>
  <c r="AW745" i="1"/>
  <c r="AU729" i="1"/>
  <c r="AV729" i="1"/>
  <c r="AW729" i="1"/>
  <c r="AU814" i="1"/>
  <c r="AU780" i="1"/>
  <c r="AV780" i="1"/>
  <c r="AW780" i="1"/>
  <c r="AU757" i="1"/>
  <c r="AV757" i="1"/>
  <c r="AW757" i="1"/>
  <c r="AU665" i="1"/>
  <c r="AU808" i="1"/>
  <c r="AV796" i="1"/>
  <c r="AU790" i="1"/>
  <c r="AV790" i="1"/>
  <c r="AW790" i="1"/>
  <c r="AU774" i="1"/>
  <c r="AU740" i="1"/>
  <c r="AV740" i="1"/>
  <c r="AW740" i="1"/>
  <c r="AU717" i="1"/>
  <c r="AV717" i="1"/>
  <c r="AW717" i="1"/>
  <c r="AU707" i="1"/>
  <c r="AU697" i="1"/>
  <c r="AV697" i="1"/>
  <c r="AW697" i="1"/>
  <c r="AU825" i="1"/>
  <c r="AV825" i="1"/>
  <c r="AW825" i="1"/>
  <c r="AU802" i="1"/>
  <c r="AV802" i="1"/>
  <c r="AW802" i="1"/>
  <c r="AU750" i="1"/>
  <c r="AV750" i="1"/>
  <c r="AW750" i="1"/>
  <c r="AU819" i="1"/>
  <c r="AU762" i="1"/>
  <c r="AV762" i="1"/>
  <c r="AW762" i="1"/>
  <c r="AU813" i="1"/>
  <c r="AV801" i="1"/>
  <c r="AU795" i="1"/>
  <c r="AV795" i="1"/>
  <c r="AW795" i="1"/>
  <c r="AU779" i="1"/>
  <c r="AU727" i="1"/>
  <c r="AU807" i="1"/>
  <c r="AV807" i="1"/>
  <c r="AW807" i="1"/>
  <c r="AU789" i="1"/>
  <c r="AV761" i="1"/>
  <c r="AU755" i="1"/>
  <c r="AV755" i="1"/>
  <c r="AW755" i="1"/>
  <c r="AU739" i="1"/>
  <c r="AU767" i="1"/>
  <c r="AV767" i="1"/>
  <c r="AW767" i="1"/>
  <c r="AW716" i="1"/>
  <c r="AU716" i="1"/>
  <c r="AV716" i="1"/>
  <c r="AU818" i="1"/>
  <c r="AV806" i="1"/>
  <c r="AU800" i="1"/>
  <c r="AV800" i="1"/>
  <c r="AW800" i="1"/>
  <c r="AU743" i="1"/>
  <c r="AU690" i="1"/>
  <c r="AU812" i="1"/>
  <c r="AV812" i="1"/>
  <c r="AW812" i="1"/>
  <c r="AU760" i="1"/>
  <c r="AV760" i="1"/>
  <c r="AW760" i="1"/>
  <c r="AU732" i="1"/>
  <c r="AV732" i="1"/>
  <c r="AW732" i="1"/>
  <c r="AU715" i="1"/>
  <c r="AV715" i="1"/>
  <c r="AW715" i="1"/>
  <c r="AU788" i="1"/>
  <c r="AU772" i="1"/>
  <c r="AV772" i="1"/>
  <c r="AW772" i="1"/>
  <c r="AU738" i="1"/>
  <c r="AU720" i="1"/>
  <c r="AV720" i="1"/>
  <c r="AW720" i="1"/>
  <c r="AU700" i="1"/>
  <c r="AV700" i="1"/>
  <c r="AW700" i="1"/>
  <c r="AU695" i="1"/>
  <c r="AV695" i="1"/>
  <c r="AW695" i="1"/>
  <c r="AU823" i="1"/>
  <c r="AV811" i="1"/>
  <c r="AU805" i="1"/>
  <c r="AV805" i="1"/>
  <c r="AW805" i="1"/>
  <c r="AU748" i="1"/>
  <c r="AU817" i="1"/>
  <c r="AV817" i="1"/>
  <c r="AW817" i="1"/>
  <c r="AU799" i="1"/>
  <c r="AV771" i="1"/>
  <c r="AU765" i="1"/>
  <c r="AV765" i="1"/>
  <c r="AW765" i="1"/>
  <c r="AU710" i="1"/>
  <c r="AU777" i="1"/>
  <c r="AV777" i="1"/>
  <c r="AW777" i="1"/>
  <c r="AU759" i="1"/>
  <c r="AU725" i="1"/>
  <c r="AU714" i="1"/>
  <c r="AV705" i="1"/>
  <c r="AV694" i="1"/>
  <c r="AW694" i="1"/>
  <c r="AU821" i="1"/>
  <c r="AU816" i="1"/>
  <c r="AU811" i="1"/>
  <c r="AU806" i="1"/>
  <c r="AU801" i="1"/>
  <c r="AU796" i="1"/>
  <c r="AU791" i="1"/>
  <c r="AU786" i="1"/>
  <c r="AU781" i="1"/>
  <c r="AU776" i="1"/>
  <c r="AU771" i="1"/>
  <c r="AU766" i="1"/>
  <c r="AU761" i="1"/>
  <c r="AU756" i="1"/>
  <c r="AU751" i="1"/>
  <c r="AU746" i="1"/>
  <c r="AU741" i="1"/>
  <c r="AU736" i="1"/>
  <c r="AV719" i="1"/>
  <c r="AU705" i="1"/>
  <c r="AV699" i="1"/>
  <c r="AU686" i="1"/>
  <c r="AW686" i="1"/>
  <c r="AW640" i="1"/>
  <c r="AU624" i="1"/>
  <c r="AW615" i="1"/>
  <c r="AV599" i="1"/>
  <c r="AW599" i="1"/>
  <c r="AV582" i="1"/>
  <c r="AW582" i="1"/>
  <c r="AU578" i="1"/>
  <c r="AV578" i="1"/>
  <c r="AW578" i="1"/>
  <c r="AU574" i="1"/>
  <c r="AV574" i="1"/>
  <c r="AW574" i="1"/>
  <c r="AV517" i="1"/>
  <c r="AW517" i="1"/>
  <c r="AV492" i="1"/>
  <c r="AW492" i="1"/>
  <c r="AU439" i="1"/>
  <c r="AW439" i="1"/>
  <c r="AU396" i="1"/>
  <c r="AV396" i="1"/>
  <c r="AW396" i="1"/>
  <c r="AU369" i="1"/>
  <c r="AV369" i="1"/>
  <c r="AW369" i="1"/>
  <c r="AW304" i="1"/>
  <c r="AV304" i="1"/>
  <c r="AU699" i="1"/>
  <c r="AU668" i="1"/>
  <c r="AV668" i="1"/>
  <c r="AW668" i="1"/>
  <c r="AU653" i="1"/>
  <c r="AV653" i="1"/>
  <c r="AW653" i="1"/>
  <c r="AV632" i="1"/>
  <c r="AW632" i="1"/>
  <c r="AU628" i="1"/>
  <c r="AV628" i="1"/>
  <c r="AW628" i="1"/>
  <c r="AV624" i="1"/>
  <c r="AW624" i="1"/>
  <c r="AV547" i="1"/>
  <c r="AW547" i="1"/>
  <c r="AU543" i="1"/>
  <c r="AV543" i="1"/>
  <c r="AW543" i="1"/>
  <c r="AU539" i="1"/>
  <c r="AV539" i="1"/>
  <c r="AW539" i="1"/>
  <c r="AU513" i="1"/>
  <c r="AV513" i="1"/>
  <c r="AW513" i="1"/>
  <c r="AU488" i="1"/>
  <c r="AV488" i="1"/>
  <c r="AW488" i="1"/>
  <c r="AU468" i="1"/>
  <c r="AV468" i="1"/>
  <c r="AW468" i="1"/>
  <c r="AU444" i="1"/>
  <c r="AV444" i="1"/>
  <c r="AW444" i="1"/>
  <c r="AU391" i="1"/>
  <c r="AV391" i="1"/>
  <c r="AW391" i="1"/>
  <c r="AW387" i="1"/>
  <c r="AU387" i="1"/>
  <c r="AV387" i="1"/>
  <c r="AV378" i="1"/>
  <c r="AU324" i="1"/>
  <c r="AV324" i="1"/>
  <c r="AW324" i="1"/>
  <c r="AW823" i="1"/>
  <c r="AW818" i="1"/>
  <c r="AW813" i="1"/>
  <c r="AW808" i="1"/>
  <c r="AW803" i="1"/>
  <c r="AW798" i="1"/>
  <c r="AW793" i="1"/>
  <c r="AW788" i="1"/>
  <c r="AW783" i="1"/>
  <c r="AW778" i="1"/>
  <c r="AW773" i="1"/>
  <c r="AW768" i="1"/>
  <c r="AW763" i="1"/>
  <c r="AW758" i="1"/>
  <c r="AW753" i="1"/>
  <c r="AW748" i="1"/>
  <c r="AW743" i="1"/>
  <c r="AW738" i="1"/>
  <c r="AV730" i="1"/>
  <c r="AV727" i="1"/>
  <c r="AW710" i="1"/>
  <c r="AW707" i="1"/>
  <c r="AW692" i="1"/>
  <c r="AW660" i="1"/>
  <c r="AV649" i="1"/>
  <c r="AW649" i="1"/>
  <c r="AU632" i="1"/>
  <c r="AV602" i="1"/>
  <c r="AW602" i="1"/>
  <c r="AU547" i="1"/>
  <c r="AU509" i="1"/>
  <c r="AV509" i="1"/>
  <c r="AW509" i="1"/>
  <c r="AU448" i="1"/>
  <c r="AV448" i="1"/>
  <c r="AW448" i="1"/>
  <c r="AU364" i="1"/>
  <c r="AV364" i="1"/>
  <c r="AW364" i="1"/>
  <c r="AU292" i="1"/>
  <c r="AV823" i="1"/>
  <c r="AV818" i="1"/>
  <c r="AV813" i="1"/>
  <c r="AV808" i="1"/>
  <c r="AV803" i="1"/>
  <c r="AV798" i="1"/>
  <c r="AV793" i="1"/>
  <c r="AV788" i="1"/>
  <c r="AV783" i="1"/>
  <c r="AV778" i="1"/>
  <c r="AV773" i="1"/>
  <c r="AV748" i="1"/>
  <c r="AV743" i="1"/>
  <c r="AV738" i="1"/>
  <c r="AU733" i="1"/>
  <c r="AV733" i="1"/>
  <c r="AW733" i="1"/>
  <c r="AU713" i="1"/>
  <c r="AV713" i="1"/>
  <c r="AW713" i="1"/>
  <c r="AU679" i="1"/>
  <c r="AW679" i="1"/>
  <c r="AU598" i="1"/>
  <c r="AV598" i="1"/>
  <c r="AW598" i="1"/>
  <c r="AV577" i="1"/>
  <c r="AW577" i="1"/>
  <c r="AU573" i="1"/>
  <c r="AV573" i="1"/>
  <c r="AW573" i="1"/>
  <c r="AU569" i="1"/>
  <c r="AV569" i="1"/>
  <c r="AW569" i="1"/>
  <c r="AU484" i="1"/>
  <c r="AV484" i="1"/>
  <c r="AW484" i="1"/>
  <c r="AU464" i="1"/>
  <c r="AV464" i="1"/>
  <c r="AW464" i="1"/>
  <c r="AU234" i="1"/>
  <c r="AV234" i="1"/>
  <c r="AW234" i="1"/>
  <c r="AW721" i="1"/>
  <c r="AW689" i="1"/>
  <c r="AW667" i="1"/>
  <c r="AU664" i="1"/>
  <c r="AV652" i="1"/>
  <c r="AW652" i="1"/>
  <c r="AU644" i="1"/>
  <c r="AV627" i="1"/>
  <c r="AW627" i="1"/>
  <c r="AU623" i="1"/>
  <c r="AV623" i="1"/>
  <c r="AW623" i="1"/>
  <c r="AV619" i="1"/>
  <c r="AW619" i="1"/>
  <c r="AW610" i="1"/>
  <c r="AV594" i="1"/>
  <c r="AW594" i="1"/>
  <c r="AU577" i="1"/>
  <c r="AV542" i="1"/>
  <c r="AW542" i="1"/>
  <c r="AU538" i="1"/>
  <c r="AV538" i="1"/>
  <c r="AW538" i="1"/>
  <c r="AU534" i="1"/>
  <c r="AV534" i="1"/>
  <c r="AW534" i="1"/>
  <c r="AV512" i="1"/>
  <c r="AW512" i="1"/>
  <c r="AV487" i="1"/>
  <c r="AW487" i="1"/>
  <c r="AU467" i="1"/>
  <c r="AV467" i="1"/>
  <c r="AW467" i="1"/>
  <c r="AU443" i="1"/>
  <c r="AV443" i="1"/>
  <c r="AW443" i="1"/>
  <c r="AV431" i="1"/>
  <c r="AU414" i="1"/>
  <c r="AW414" i="1"/>
  <c r="AU386" i="1"/>
  <c r="AU377" i="1"/>
  <c r="AV721" i="1"/>
  <c r="AU682" i="1"/>
  <c r="AV667" i="1"/>
  <c r="AU652" i="1"/>
  <c r="AU648" i="1"/>
  <c r="AV648" i="1"/>
  <c r="AW648" i="1"/>
  <c r="AV644" i="1"/>
  <c r="AW644" i="1"/>
  <c r="AU627" i="1"/>
  <c r="AV610" i="1"/>
  <c r="AU542" i="1"/>
  <c r="AU512" i="1"/>
  <c r="AU508" i="1"/>
  <c r="AV508" i="1"/>
  <c r="AW508" i="1"/>
  <c r="AU447" i="1"/>
  <c r="AV447" i="1"/>
  <c r="AW447" i="1"/>
  <c r="AV414" i="1"/>
  <c r="AU394" i="1"/>
  <c r="AV394" i="1"/>
  <c r="AW394" i="1"/>
  <c r="AV386" i="1"/>
  <c r="AW386" i="1"/>
  <c r="AU341" i="1"/>
  <c r="AU701" i="1"/>
  <c r="AW701" i="1"/>
  <c r="AU689" i="1"/>
  <c r="AV597" i="1"/>
  <c r="AW597" i="1"/>
  <c r="AV572" i="1"/>
  <c r="AW572" i="1"/>
  <c r="AU568" i="1"/>
  <c r="AV568" i="1"/>
  <c r="AW568" i="1"/>
  <c r="AU564" i="1"/>
  <c r="AV564" i="1"/>
  <c r="AW564" i="1"/>
  <c r="AU504" i="1"/>
  <c r="AV504" i="1"/>
  <c r="AW504" i="1"/>
  <c r="AU483" i="1"/>
  <c r="AV483" i="1"/>
  <c r="AW483" i="1"/>
  <c r="AU463" i="1"/>
  <c r="AV463" i="1"/>
  <c r="AW463" i="1"/>
  <c r="AU435" i="1"/>
  <c r="AV435" i="1"/>
  <c r="AW435" i="1"/>
  <c r="AW427" i="1"/>
  <c r="AU427" i="1"/>
  <c r="AV427" i="1"/>
  <c r="AV349" i="1"/>
  <c r="AW349" i="1"/>
  <c r="AU287" i="1"/>
  <c r="AU256" i="1"/>
  <c r="AV256" i="1"/>
  <c r="AW256" i="1"/>
  <c r="AU698" i="1"/>
  <c r="AV698" i="1"/>
  <c r="AW698" i="1"/>
  <c r="AU678" i="1"/>
  <c r="AV678" i="1"/>
  <c r="AW678" i="1"/>
  <c r="AV622" i="1"/>
  <c r="AW622" i="1"/>
  <c r="AU618" i="1"/>
  <c r="AV618" i="1"/>
  <c r="AW618" i="1"/>
  <c r="AU593" i="1"/>
  <c r="AV593" i="1"/>
  <c r="AW593" i="1"/>
  <c r="AV537" i="1"/>
  <c r="AW537" i="1"/>
  <c r="AU533" i="1"/>
  <c r="AV533" i="1"/>
  <c r="AW533" i="1"/>
  <c r="AU529" i="1"/>
  <c r="AV529" i="1"/>
  <c r="AW529" i="1"/>
  <c r="AU442" i="1"/>
  <c r="AV442" i="1"/>
  <c r="AW442" i="1"/>
  <c r="AW407" i="1"/>
  <c r="AU407" i="1"/>
  <c r="AV407" i="1"/>
  <c r="AU718" i="1"/>
  <c r="AV718" i="1"/>
  <c r="AW718" i="1"/>
  <c r="AU663" i="1"/>
  <c r="AV663" i="1"/>
  <c r="AW663" i="1"/>
  <c r="AV647" i="1"/>
  <c r="AW647" i="1"/>
  <c r="AU643" i="1"/>
  <c r="AV643" i="1"/>
  <c r="AW643" i="1"/>
  <c r="AV639" i="1"/>
  <c r="AW639" i="1"/>
  <c r="AU622" i="1"/>
  <c r="AV614" i="1"/>
  <c r="AW614" i="1"/>
  <c r="AW605" i="1"/>
  <c r="AU537" i="1"/>
  <c r="AV507" i="1"/>
  <c r="AW507" i="1"/>
  <c r="AU479" i="1"/>
  <c r="AV479" i="1"/>
  <c r="AW479" i="1"/>
  <c r="AU459" i="1"/>
  <c r="AV459" i="1"/>
  <c r="AW459" i="1"/>
  <c r="AU389" i="1"/>
  <c r="AV389" i="1"/>
  <c r="AW726" i="1"/>
  <c r="AU681" i="1"/>
  <c r="AW681" i="1"/>
  <c r="AU647" i="1"/>
  <c r="AV605" i="1"/>
  <c r="AV567" i="1"/>
  <c r="AW567" i="1"/>
  <c r="AU563" i="1"/>
  <c r="AV563" i="1"/>
  <c r="AW563" i="1"/>
  <c r="AU559" i="1"/>
  <c r="AV559" i="1"/>
  <c r="AW559" i="1"/>
  <c r="AU507" i="1"/>
  <c r="AU503" i="1"/>
  <c r="AV503" i="1"/>
  <c r="AW503" i="1"/>
  <c r="AV482" i="1"/>
  <c r="AW482" i="1"/>
  <c r="AU462" i="1"/>
  <c r="AV462" i="1"/>
  <c r="AW462" i="1"/>
  <c r="AU446" i="1"/>
  <c r="AV446" i="1"/>
  <c r="AW446" i="1"/>
  <c r="AU434" i="1"/>
  <c r="AU426" i="1"/>
  <c r="AU688" i="1"/>
  <c r="AV688" i="1"/>
  <c r="AW688" i="1"/>
  <c r="AV617" i="1"/>
  <c r="AW617" i="1"/>
  <c r="AV592" i="1"/>
  <c r="AW592" i="1"/>
  <c r="AV532" i="1"/>
  <c r="AW532" i="1"/>
  <c r="AU528" i="1"/>
  <c r="AV528" i="1"/>
  <c r="AW528" i="1"/>
  <c r="AU524" i="1"/>
  <c r="AV524" i="1"/>
  <c r="AW524" i="1"/>
  <c r="AU499" i="1"/>
  <c r="AV499" i="1"/>
  <c r="AW499" i="1"/>
  <c r="AV434" i="1"/>
  <c r="AW434" i="1"/>
  <c r="AU406" i="1"/>
  <c r="AU344" i="1"/>
  <c r="AV344" i="1"/>
  <c r="AW344" i="1"/>
  <c r="AV282" i="1"/>
  <c r="AW282" i="1"/>
  <c r="AU282" i="1"/>
  <c r="AU691" i="1"/>
  <c r="AW691" i="1"/>
  <c r="AV642" i="1"/>
  <c r="AW642" i="1"/>
  <c r="AU638" i="1"/>
  <c r="AV638" i="1"/>
  <c r="AW638" i="1"/>
  <c r="AU617" i="1"/>
  <c r="AU613" i="1"/>
  <c r="AV613" i="1"/>
  <c r="AW613" i="1"/>
  <c r="AU592" i="1"/>
  <c r="AU532" i="1"/>
  <c r="AU478" i="1"/>
  <c r="AV478" i="1"/>
  <c r="AW478" i="1"/>
  <c r="AU458" i="1"/>
  <c r="AV458" i="1"/>
  <c r="AW458" i="1"/>
  <c r="AU441" i="1"/>
  <c r="AV441" i="1"/>
  <c r="AW441" i="1"/>
  <c r="AV406" i="1"/>
  <c r="AW406" i="1"/>
  <c r="AU384" i="1"/>
  <c r="AV384" i="1"/>
  <c r="AW384" i="1"/>
  <c r="AV322" i="1"/>
  <c r="AW322" i="1"/>
  <c r="AU322" i="1"/>
  <c r="AU642" i="1"/>
  <c r="AV609" i="1"/>
  <c r="AW609" i="1"/>
  <c r="AV562" i="1"/>
  <c r="AW562" i="1"/>
  <c r="AU558" i="1"/>
  <c r="AV558" i="1"/>
  <c r="AW558" i="1"/>
  <c r="AU554" i="1"/>
  <c r="AV554" i="1"/>
  <c r="AW554" i="1"/>
  <c r="AV502" i="1"/>
  <c r="AW502" i="1"/>
  <c r="AU723" i="1"/>
  <c r="AV723" i="1"/>
  <c r="AW723" i="1"/>
  <c r="AU677" i="1"/>
  <c r="AU562" i="1"/>
  <c r="AV527" i="1"/>
  <c r="AW527" i="1"/>
  <c r="AU523" i="1"/>
  <c r="AV523" i="1"/>
  <c r="AW523" i="1"/>
  <c r="AU502" i="1"/>
  <c r="AU498" i="1"/>
  <c r="AV498" i="1"/>
  <c r="AW498" i="1"/>
  <c r="AU474" i="1"/>
  <c r="AV474" i="1"/>
  <c r="AW474" i="1"/>
  <c r="AU454" i="1"/>
  <c r="AV454" i="1"/>
  <c r="AW454" i="1"/>
  <c r="AV429" i="1"/>
  <c r="AW824" i="1"/>
  <c r="AW819" i="1"/>
  <c r="AW814" i="1"/>
  <c r="AW809" i="1"/>
  <c r="AW804" i="1"/>
  <c r="AW799" i="1"/>
  <c r="AW794" i="1"/>
  <c r="AW789" i="1"/>
  <c r="AW784" i="1"/>
  <c r="AW779" i="1"/>
  <c r="AW774" i="1"/>
  <c r="AW769" i="1"/>
  <c r="AW764" i="1"/>
  <c r="AW759" i="1"/>
  <c r="AW754" i="1"/>
  <c r="AW749" i="1"/>
  <c r="AW744" i="1"/>
  <c r="AW739" i="1"/>
  <c r="AW734" i="1"/>
  <c r="AW714" i="1"/>
  <c r="AU703" i="1"/>
  <c r="AV703" i="1"/>
  <c r="AW703" i="1"/>
  <c r="AV687" i="1"/>
  <c r="AW680" i="1"/>
  <c r="AU673" i="1"/>
  <c r="AV673" i="1"/>
  <c r="AW673" i="1"/>
  <c r="AU662" i="1"/>
  <c r="AV637" i="1"/>
  <c r="AW637" i="1"/>
  <c r="AU588" i="1"/>
  <c r="AV588" i="1"/>
  <c r="AW588" i="1"/>
  <c r="AU584" i="1"/>
  <c r="AV584" i="1"/>
  <c r="AW584" i="1"/>
  <c r="AU527" i="1"/>
  <c r="AU519" i="1"/>
  <c r="AV519" i="1"/>
  <c r="AW519" i="1"/>
  <c r="AU494" i="1"/>
  <c r="AV494" i="1"/>
  <c r="AW494" i="1"/>
  <c r="AV477" i="1"/>
  <c r="AW477" i="1"/>
  <c r="AU457" i="1"/>
  <c r="AV457" i="1"/>
  <c r="AW457" i="1"/>
  <c r="AU379" i="1"/>
  <c r="AV379" i="1"/>
  <c r="AW379" i="1"/>
  <c r="AV824" i="1"/>
  <c r="AV819" i="1"/>
  <c r="AV814" i="1"/>
  <c r="AV809" i="1"/>
  <c r="AV804" i="1"/>
  <c r="AV799" i="1"/>
  <c r="AV794" i="1"/>
  <c r="AV789" i="1"/>
  <c r="AV784" i="1"/>
  <c r="AV779" i="1"/>
  <c r="AV774" i="1"/>
  <c r="AV769" i="1"/>
  <c r="AV764" i="1"/>
  <c r="AV759" i="1"/>
  <c r="AV754" i="1"/>
  <c r="AV749" i="1"/>
  <c r="AV744" i="1"/>
  <c r="AV739" i="1"/>
  <c r="AV734" i="1"/>
  <c r="AV714" i="1"/>
  <c r="AU694" i="1"/>
  <c r="AU684" i="1"/>
  <c r="AV680" i="1"/>
  <c r="AW665" i="1"/>
  <c r="AU658" i="1"/>
  <c r="AV658" i="1"/>
  <c r="AW658" i="1"/>
  <c r="AU637" i="1"/>
  <c r="AU612" i="1"/>
  <c r="AU608" i="1"/>
  <c r="AV608" i="1"/>
  <c r="AW608" i="1"/>
  <c r="AU604" i="1"/>
  <c r="AV557" i="1"/>
  <c r="AW557" i="1"/>
  <c r="AU553" i="1"/>
  <c r="AV553" i="1"/>
  <c r="AW553" i="1"/>
  <c r="AU549" i="1"/>
  <c r="AV549" i="1"/>
  <c r="AW549" i="1"/>
  <c r="AW440" i="1"/>
  <c r="AV417" i="1"/>
  <c r="AU397" i="1"/>
  <c r="AV397" i="1"/>
  <c r="AU366" i="1"/>
  <c r="AW725" i="1"/>
  <c r="AW722" i="1"/>
  <c r="AW690" i="1"/>
  <c r="AU676" i="1"/>
  <c r="AV676" i="1"/>
  <c r="AW676" i="1"/>
  <c r="AV665" i="1"/>
  <c r="AW620" i="1"/>
  <c r="AV604" i="1"/>
  <c r="AW604" i="1"/>
  <c r="AW595" i="1"/>
  <c r="AU557" i="1"/>
  <c r="AV522" i="1"/>
  <c r="AW522" i="1"/>
  <c r="AV497" i="1"/>
  <c r="AW497" i="1"/>
  <c r="AU473" i="1"/>
  <c r="AV473" i="1"/>
  <c r="AW473" i="1"/>
  <c r="AU453" i="1"/>
  <c r="AV453" i="1"/>
  <c r="AW453" i="1"/>
  <c r="AU424" i="1"/>
  <c r="AV424" i="1"/>
  <c r="AW424" i="1"/>
  <c r="AU392" i="1"/>
  <c r="AV392" i="1"/>
  <c r="AV725" i="1"/>
  <c r="AV722" i="1"/>
  <c r="AW702" i="1"/>
  <c r="AV690" i="1"/>
  <c r="AW672" i="1"/>
  <c r="AU669" i="1"/>
  <c r="AU654" i="1"/>
  <c r="AW645" i="1"/>
  <c r="AU629" i="1"/>
  <c r="AV620" i="1"/>
  <c r="AV595" i="1"/>
  <c r="AV587" i="1"/>
  <c r="AW587" i="1"/>
  <c r="AU583" i="1"/>
  <c r="AV583" i="1"/>
  <c r="AW583" i="1"/>
  <c r="AU579" i="1"/>
  <c r="AV579" i="1"/>
  <c r="AW579" i="1"/>
  <c r="AU522" i="1"/>
  <c r="AU518" i="1"/>
  <c r="AV518" i="1"/>
  <c r="AW518" i="1"/>
  <c r="AU497" i="1"/>
  <c r="AU493" i="1"/>
  <c r="AV493" i="1"/>
  <c r="AW493" i="1"/>
  <c r="AU404" i="1"/>
  <c r="AV404" i="1"/>
  <c r="AW404" i="1"/>
  <c r="AW821" i="1"/>
  <c r="AW816" i="1"/>
  <c r="AW811" i="1"/>
  <c r="AW806" i="1"/>
  <c r="AW801" i="1"/>
  <c r="AW796" i="1"/>
  <c r="AW791" i="1"/>
  <c r="AW786" i="1"/>
  <c r="AW781" i="1"/>
  <c r="AW776" i="1"/>
  <c r="AW771" i="1"/>
  <c r="AW766" i="1"/>
  <c r="AW761" i="1"/>
  <c r="AW756" i="1"/>
  <c r="AW751" i="1"/>
  <c r="AW746" i="1"/>
  <c r="AW741" i="1"/>
  <c r="AW736" i="1"/>
  <c r="AU728" i="1"/>
  <c r="AV728" i="1"/>
  <c r="AW728" i="1"/>
  <c r="AW705" i="1"/>
  <c r="AV702" i="1"/>
  <c r="AV672" i="1"/>
  <c r="AW657" i="1"/>
  <c r="AV654" i="1"/>
  <c r="AW654" i="1"/>
  <c r="AV645" i="1"/>
  <c r="AU633" i="1"/>
  <c r="AV633" i="1"/>
  <c r="AW633" i="1"/>
  <c r="AV629" i="1"/>
  <c r="AW629" i="1"/>
  <c r="AV552" i="1"/>
  <c r="AW552" i="1"/>
  <c r="AU548" i="1"/>
  <c r="AV548" i="1"/>
  <c r="AW548" i="1"/>
  <c r="AU544" i="1"/>
  <c r="AV544" i="1"/>
  <c r="AW544" i="1"/>
  <c r="AU514" i="1"/>
  <c r="AV514" i="1"/>
  <c r="AW514" i="1"/>
  <c r="AU489" i="1"/>
  <c r="AV489" i="1"/>
  <c r="AW489" i="1"/>
  <c r="AU469" i="1"/>
  <c r="AV469" i="1"/>
  <c r="AW469" i="1"/>
  <c r="AU374" i="1"/>
  <c r="AU708" i="1"/>
  <c r="AV708" i="1"/>
  <c r="AW708" i="1"/>
  <c r="AU696" i="1"/>
  <c r="AW696" i="1"/>
  <c r="AU693" i="1"/>
  <c r="AV693" i="1"/>
  <c r="AW693" i="1"/>
  <c r="AV686" i="1"/>
  <c r="AU683" i="1"/>
  <c r="AV683" i="1"/>
  <c r="AW683" i="1"/>
  <c r="AV657" i="1"/>
  <c r="AU603" i="1"/>
  <c r="AV603" i="1"/>
  <c r="AW603" i="1"/>
  <c r="AU599" i="1"/>
  <c r="AU472" i="1"/>
  <c r="AV472" i="1"/>
  <c r="AW472" i="1"/>
  <c r="AU452" i="1"/>
  <c r="AV452" i="1"/>
  <c r="AW452" i="1"/>
  <c r="AU449" i="1"/>
  <c r="AV449" i="1"/>
  <c r="AW449" i="1"/>
  <c r="AU416" i="1"/>
  <c r="AV416" i="1"/>
  <c r="AW416" i="1"/>
  <c r="AV374" i="1"/>
  <c r="AW374" i="1"/>
  <c r="AV412" i="1"/>
  <c r="AV409" i="1"/>
  <c r="AV372" i="1"/>
  <c r="AW372" i="1"/>
  <c r="AV356" i="1"/>
  <c r="AV347" i="1"/>
  <c r="AW347" i="1"/>
  <c r="AV297" i="1"/>
  <c r="AW297" i="1"/>
  <c r="AU285" i="1"/>
  <c r="AV247" i="1"/>
  <c r="AU201" i="1"/>
  <c r="AW201" i="1"/>
  <c r="AV50" i="1"/>
  <c r="AW50" i="1"/>
  <c r="AU440" i="1"/>
  <c r="AW432" i="1"/>
  <c r="AW426" i="1"/>
  <c r="AU415" i="1"/>
  <c r="AW415" i="1"/>
  <c r="AU395" i="1"/>
  <c r="AW395" i="1"/>
  <c r="AU269" i="1"/>
  <c r="AV269" i="1"/>
  <c r="AW269" i="1"/>
  <c r="AU251" i="1"/>
  <c r="AV251" i="1"/>
  <c r="AW251" i="1"/>
  <c r="AV238" i="1"/>
  <c r="AW612" i="1"/>
  <c r="AW607" i="1"/>
  <c r="AU321" i="1"/>
  <c r="AV321" i="1"/>
  <c r="AW321" i="1"/>
  <c r="AU205" i="1"/>
  <c r="AV205" i="1"/>
  <c r="AW205" i="1"/>
  <c r="AW371" i="1"/>
  <c r="AU264" i="1"/>
  <c r="AV264" i="1"/>
  <c r="AW264" i="1"/>
  <c r="AU246" i="1"/>
  <c r="AV246" i="1"/>
  <c r="AW246" i="1"/>
  <c r="AW437" i="1"/>
  <c r="AW431" i="1"/>
  <c r="AW412" i="1"/>
  <c r="AW392" i="1"/>
  <c r="AV371" i="1"/>
  <c r="AV362" i="1"/>
  <c r="AW362" i="1"/>
  <c r="AV346" i="1"/>
  <c r="AV337" i="1"/>
  <c r="AW337" i="1"/>
  <c r="AV299" i="1"/>
  <c r="AV277" i="1"/>
  <c r="AW277" i="1"/>
  <c r="AU380" i="1"/>
  <c r="AU310" i="1"/>
  <c r="AU259" i="1"/>
  <c r="AV259" i="1"/>
  <c r="AW259" i="1"/>
  <c r="AU250" i="1"/>
  <c r="AU121" i="1"/>
  <c r="AW674" i="1"/>
  <c r="AW669" i="1"/>
  <c r="AU420" i="1"/>
  <c r="AW420" i="1"/>
  <c r="AU400" i="1"/>
  <c r="AW400" i="1"/>
  <c r="AV307" i="1"/>
  <c r="AW307" i="1"/>
  <c r="AV292" i="1"/>
  <c r="AW292" i="1"/>
  <c r="AU280" i="1"/>
  <c r="AV121" i="1"/>
  <c r="AW121" i="1"/>
  <c r="AV377" i="1"/>
  <c r="AW377" i="1"/>
  <c r="AU355" i="1"/>
  <c r="AU254" i="1"/>
  <c r="AV254" i="1"/>
  <c r="AW254" i="1"/>
  <c r="AV352" i="1"/>
  <c r="AW352" i="1"/>
  <c r="AV327" i="1"/>
  <c r="AW327" i="1"/>
  <c r="AV317" i="1"/>
  <c r="AW317" i="1"/>
  <c r="AU295" i="1"/>
  <c r="AU129" i="1"/>
  <c r="AW417" i="1"/>
  <c r="AW397" i="1"/>
  <c r="AU249" i="1"/>
  <c r="AV249" i="1"/>
  <c r="AW249" i="1"/>
  <c r="AW671" i="1"/>
  <c r="AW666" i="1"/>
  <c r="AW661" i="1"/>
  <c r="AW656" i="1"/>
  <c r="AW651" i="1"/>
  <c r="AW646" i="1"/>
  <c r="AW641" i="1"/>
  <c r="AW636" i="1"/>
  <c r="AW631" i="1"/>
  <c r="AW626" i="1"/>
  <c r="AW621" i="1"/>
  <c r="AW616" i="1"/>
  <c r="AW611" i="1"/>
  <c r="AW606" i="1"/>
  <c r="AW601" i="1"/>
  <c r="AW596" i="1"/>
  <c r="AW591" i="1"/>
  <c r="AW586" i="1"/>
  <c r="AW581" i="1"/>
  <c r="AW576" i="1"/>
  <c r="AW571" i="1"/>
  <c r="AW566" i="1"/>
  <c r="AW561" i="1"/>
  <c r="AW556" i="1"/>
  <c r="AW551" i="1"/>
  <c r="AW546" i="1"/>
  <c r="AW541" i="1"/>
  <c r="AW536" i="1"/>
  <c r="AW531" i="1"/>
  <c r="AW526" i="1"/>
  <c r="AW521" i="1"/>
  <c r="AW516" i="1"/>
  <c r="AW511" i="1"/>
  <c r="AW506" i="1"/>
  <c r="AW501" i="1"/>
  <c r="AW496" i="1"/>
  <c r="AW491" i="1"/>
  <c r="AV433" i="1"/>
  <c r="AV422" i="1"/>
  <c r="AV419" i="1"/>
  <c r="AV402" i="1"/>
  <c r="AV399" i="1"/>
  <c r="AW373" i="1"/>
  <c r="AV272" i="1"/>
  <c r="AV146" i="1"/>
  <c r="AW146" i="1"/>
  <c r="AV671" i="1"/>
  <c r="AV666" i="1"/>
  <c r="AV661" i="1"/>
  <c r="AV656" i="1"/>
  <c r="AV651" i="1"/>
  <c r="AV646" i="1"/>
  <c r="AV641" i="1"/>
  <c r="AV636" i="1"/>
  <c r="AV631" i="1"/>
  <c r="AV626" i="1"/>
  <c r="AV621" i="1"/>
  <c r="AV591" i="1"/>
  <c r="AV586" i="1"/>
  <c r="AV581" i="1"/>
  <c r="AV576" i="1"/>
  <c r="AV571" i="1"/>
  <c r="AV566" i="1"/>
  <c r="AV561" i="1"/>
  <c r="AV556" i="1"/>
  <c r="AV551" i="1"/>
  <c r="AV546" i="1"/>
  <c r="AV541" i="1"/>
  <c r="AV536" i="1"/>
  <c r="AV531" i="1"/>
  <c r="AV526" i="1"/>
  <c r="AU425" i="1"/>
  <c r="AW425" i="1"/>
  <c r="AU405" i="1"/>
  <c r="AW405" i="1"/>
  <c r="AU385" i="1"/>
  <c r="AU370" i="1"/>
  <c r="AU345" i="1"/>
  <c r="AV367" i="1"/>
  <c r="AW367" i="1"/>
  <c r="AV342" i="1"/>
  <c r="AW342" i="1"/>
  <c r="AU294" i="1"/>
  <c r="AW294" i="1"/>
  <c r="AV287" i="1"/>
  <c r="AW287" i="1"/>
  <c r="AU275" i="1"/>
  <c r="AV267" i="1"/>
  <c r="AV382" i="1"/>
  <c r="AW382" i="1"/>
  <c r="AV302" i="1"/>
  <c r="AW302" i="1"/>
  <c r="AU271" i="1"/>
  <c r="AV271" i="1"/>
  <c r="AW271" i="1"/>
  <c r="AU227" i="1"/>
  <c r="AW227" i="1"/>
  <c r="AV227" i="1"/>
  <c r="AU167" i="1"/>
  <c r="AW422" i="1"/>
  <c r="AW402" i="1"/>
  <c r="AU373" i="1"/>
  <c r="AU305" i="1"/>
  <c r="AV262" i="1"/>
  <c r="AU430" i="1"/>
  <c r="AW366" i="1"/>
  <c r="AW341" i="1"/>
  <c r="AU266" i="1"/>
  <c r="AV266" i="1"/>
  <c r="AW266" i="1"/>
  <c r="AU410" i="1"/>
  <c r="AW410" i="1"/>
  <c r="AU390" i="1"/>
  <c r="AW390" i="1"/>
  <c r="AW381" i="1"/>
  <c r="AW378" i="1"/>
  <c r="AV366" i="1"/>
  <c r="AV357" i="1"/>
  <c r="AW357" i="1"/>
  <c r="AV341" i="1"/>
  <c r="AV332" i="1"/>
  <c r="AW332" i="1"/>
  <c r="AV257" i="1"/>
  <c r="AU192" i="1"/>
  <c r="AV432" i="1"/>
  <c r="AU372" i="1"/>
  <c r="AU347" i="1"/>
  <c r="AV312" i="1"/>
  <c r="AW312" i="1"/>
  <c r="AU270" i="1"/>
  <c r="AU261" i="1"/>
  <c r="AV261" i="1"/>
  <c r="AW261" i="1"/>
  <c r="AW289" i="1"/>
  <c r="AW284" i="1"/>
  <c r="AW279" i="1"/>
  <c r="AW274" i="1"/>
  <c r="AU220" i="1"/>
  <c r="AV220" i="1"/>
  <c r="AW220" i="1"/>
  <c r="AW216" i="1"/>
  <c r="AU183" i="1"/>
  <c r="AU179" i="1"/>
  <c r="AV179" i="1"/>
  <c r="AU154" i="1"/>
  <c r="AV154" i="1"/>
  <c r="AU99" i="1"/>
  <c r="AU70" i="1"/>
  <c r="AV30" i="1"/>
  <c r="AW30" i="1"/>
  <c r="AU14" i="1"/>
  <c r="AU241" i="1"/>
  <c r="AU237" i="1"/>
  <c r="AW237" i="1"/>
  <c r="AU230" i="1"/>
  <c r="AW230" i="1"/>
  <c r="AV216" i="1"/>
  <c r="AU133" i="1"/>
  <c r="AV133" i="1"/>
  <c r="AW133" i="1"/>
  <c r="AU107" i="1"/>
  <c r="AU82" i="1"/>
  <c r="AV70" i="1"/>
  <c r="AW70" i="1"/>
  <c r="AU6" i="1"/>
  <c r="AU244" i="1"/>
  <c r="AU212" i="1"/>
  <c r="AW212" i="1"/>
  <c r="AU200" i="1"/>
  <c r="AV200" i="1"/>
  <c r="AW200" i="1"/>
  <c r="AU187" i="1"/>
  <c r="AU174" i="1"/>
  <c r="AV174" i="1"/>
  <c r="AU137" i="1"/>
  <c r="AU120" i="1"/>
  <c r="AV10" i="1"/>
  <c r="AW10" i="1"/>
  <c r="AU233" i="1"/>
  <c r="AW233" i="1"/>
  <c r="AU204" i="1"/>
  <c r="AV204" i="1"/>
  <c r="AU90" i="1"/>
  <c r="AU57" i="1"/>
  <c r="AU49" i="1"/>
  <c r="AU29" i="1"/>
  <c r="AW316" i="1"/>
  <c r="AW311" i="1"/>
  <c r="AW306" i="1"/>
  <c r="AW301" i="1"/>
  <c r="AW296" i="1"/>
  <c r="AW291" i="1"/>
  <c r="AW286" i="1"/>
  <c r="AW281" i="1"/>
  <c r="AW276" i="1"/>
  <c r="AW236" i="1"/>
  <c r="AW229" i="1"/>
  <c r="AU162" i="1"/>
  <c r="AU149" i="1"/>
  <c r="AU132" i="1"/>
  <c r="AU94" i="1"/>
  <c r="AV90" i="1"/>
  <c r="AW90" i="1"/>
  <c r="AU65" i="1"/>
  <c r="AV45" i="1"/>
  <c r="AW45" i="1"/>
  <c r="AU37" i="1"/>
  <c r="AU5" i="1"/>
  <c r="AV316" i="1"/>
  <c r="AV311" i="1"/>
  <c r="AV296" i="1"/>
  <c r="AV291" i="1"/>
  <c r="AV286" i="1"/>
  <c r="AV281" i="1"/>
  <c r="AV276" i="1"/>
  <c r="AW243" i="1"/>
  <c r="AU240" i="1"/>
  <c r="AW240" i="1"/>
  <c r="AV236" i="1"/>
  <c r="AV229" i="1"/>
  <c r="AU215" i="1"/>
  <c r="AV215" i="1"/>
  <c r="AW215" i="1"/>
  <c r="AW211" i="1"/>
  <c r="AU182" i="1"/>
  <c r="AU115" i="1"/>
  <c r="AU102" i="1"/>
  <c r="AV65" i="1"/>
  <c r="AW65" i="1"/>
  <c r="AU9" i="1"/>
  <c r="AV5" i="1"/>
  <c r="AW5" i="1"/>
  <c r="AV243" i="1"/>
  <c r="AV211" i="1"/>
  <c r="AU195" i="1"/>
  <c r="AV195" i="1"/>
  <c r="AW195" i="1"/>
  <c r="AU144" i="1"/>
  <c r="AU77" i="1"/>
  <c r="AU25" i="1"/>
  <c r="AU199" i="1"/>
  <c r="AV199" i="1"/>
  <c r="AV25" i="1"/>
  <c r="AW25" i="1"/>
  <c r="AU17" i="1"/>
  <c r="AV17" i="1"/>
  <c r="AW17" i="1"/>
  <c r="AU232" i="1"/>
  <c r="AW232" i="1"/>
  <c r="AU222" i="1"/>
  <c r="AW222" i="1"/>
  <c r="AU207" i="1"/>
  <c r="AU89" i="1"/>
  <c r="AV85" i="1"/>
  <c r="AW85" i="1"/>
  <c r="AU60" i="1"/>
  <c r="AU52" i="1"/>
  <c r="AU44" i="1"/>
  <c r="AU4" i="1"/>
  <c r="AU190" i="1"/>
  <c r="AV190" i="1"/>
  <c r="AW190" i="1"/>
  <c r="AU169" i="1"/>
  <c r="AV169" i="1"/>
  <c r="AU127" i="1"/>
  <c r="AU97" i="1"/>
  <c r="AU64" i="1"/>
  <c r="AV60" i="1"/>
  <c r="AW60" i="1"/>
  <c r="AU152" i="1"/>
  <c r="AU114" i="1"/>
  <c r="AU72" i="1"/>
  <c r="AV40" i="1"/>
  <c r="AW40" i="1"/>
  <c r="AU24" i="1"/>
  <c r="AU239" i="1"/>
  <c r="AU225" i="1"/>
  <c r="AW225" i="1"/>
  <c r="AU194" i="1"/>
  <c r="AV194" i="1"/>
  <c r="AU118" i="1"/>
  <c r="AV118" i="1"/>
  <c r="AW118" i="1"/>
  <c r="AV80" i="1"/>
  <c r="AW80" i="1"/>
  <c r="AU3" i="1"/>
  <c r="AV3" i="1"/>
  <c r="AW3" i="1"/>
  <c r="AW385" i="1"/>
  <c r="AW380" i="1"/>
  <c r="AW375" i="1"/>
  <c r="AW370" i="1"/>
  <c r="AW365" i="1"/>
  <c r="AW360" i="1"/>
  <c r="AW355" i="1"/>
  <c r="AW350" i="1"/>
  <c r="AW345" i="1"/>
  <c r="AW340" i="1"/>
  <c r="AW335" i="1"/>
  <c r="AW330" i="1"/>
  <c r="AW325" i="1"/>
  <c r="AW320" i="1"/>
  <c r="AW315" i="1"/>
  <c r="AW310" i="1"/>
  <c r="AW305" i="1"/>
  <c r="AW300" i="1"/>
  <c r="AW295" i="1"/>
  <c r="AW290" i="1"/>
  <c r="AW285" i="1"/>
  <c r="AW280" i="1"/>
  <c r="AW275" i="1"/>
  <c r="AW270" i="1"/>
  <c r="AW265" i="1"/>
  <c r="AW260" i="1"/>
  <c r="AW255" i="1"/>
  <c r="AW250" i="1"/>
  <c r="AU235" i="1"/>
  <c r="AW235" i="1"/>
  <c r="AU210" i="1"/>
  <c r="AV210" i="1"/>
  <c r="AW210" i="1"/>
  <c r="AU185" i="1"/>
  <c r="AV185" i="1"/>
  <c r="AW185" i="1"/>
  <c r="AU176" i="1"/>
  <c r="AU172" i="1"/>
  <c r="AU160" i="1"/>
  <c r="AU156" i="1"/>
  <c r="AU139" i="1"/>
  <c r="AU135" i="1"/>
  <c r="AU109" i="1"/>
  <c r="AU84" i="1"/>
  <c r="AU80" i="1"/>
  <c r="AV20" i="1"/>
  <c r="AW20" i="1"/>
  <c r="AV340" i="1"/>
  <c r="AV335" i="1"/>
  <c r="AV330" i="1"/>
  <c r="AV325" i="1"/>
  <c r="AV320" i="1"/>
  <c r="AV315" i="1"/>
  <c r="AV310" i="1"/>
  <c r="AV305" i="1"/>
  <c r="AV300" i="1"/>
  <c r="AV295" i="1"/>
  <c r="AV290" i="1"/>
  <c r="AV285" i="1"/>
  <c r="AV280" i="1"/>
  <c r="AV275" i="1"/>
  <c r="AV270" i="1"/>
  <c r="AV265" i="1"/>
  <c r="AV255" i="1"/>
  <c r="AV250" i="1"/>
  <c r="AU228" i="1"/>
  <c r="AW228" i="1"/>
  <c r="AU92" i="1"/>
  <c r="AU59" i="1"/>
  <c r="AU47" i="1"/>
  <c r="AU39" i="1"/>
  <c r="AU242" i="1"/>
  <c r="AW242" i="1"/>
  <c r="AW224" i="1"/>
  <c r="AU202" i="1"/>
  <c r="AU193" i="1"/>
  <c r="AU189" i="1"/>
  <c r="AV189" i="1"/>
  <c r="AU164" i="1"/>
  <c r="AV164" i="1"/>
  <c r="AU151" i="1"/>
  <c r="AU147" i="1"/>
  <c r="AU130" i="1"/>
  <c r="AU122" i="1"/>
  <c r="AU117" i="1"/>
  <c r="AU113" i="1"/>
  <c r="AV113" i="1"/>
  <c r="AW113" i="1"/>
  <c r="AU67" i="1"/>
  <c r="AV55" i="1"/>
  <c r="AW55" i="1"/>
  <c r="AU35" i="1"/>
  <c r="AU245" i="1"/>
  <c r="AW245" i="1"/>
  <c r="AV224" i="1"/>
  <c r="AU100" i="1"/>
  <c r="AV35" i="1"/>
  <c r="AW35" i="1"/>
  <c r="AU2" i="1"/>
  <c r="AW272" i="1"/>
  <c r="AW267" i="1"/>
  <c r="AW262" i="1"/>
  <c r="AW257" i="1"/>
  <c r="AW252" i="1"/>
  <c r="AW247" i="1"/>
  <c r="AU238" i="1"/>
  <c r="AW238" i="1"/>
  <c r="AU142" i="1"/>
  <c r="AV100" i="1"/>
  <c r="AW100" i="1"/>
  <c r="AU75" i="1"/>
  <c r="AW241" i="1"/>
  <c r="AU217" i="1"/>
  <c r="AW217" i="1"/>
  <c r="AU209" i="1"/>
  <c r="AV209" i="1"/>
  <c r="AU188" i="1"/>
  <c r="AU184" i="1"/>
  <c r="AV184" i="1"/>
  <c r="AU159" i="1"/>
  <c r="AV159" i="1"/>
  <c r="AU112" i="1"/>
  <c r="AV75" i="1"/>
  <c r="AW75" i="1"/>
  <c r="AV15" i="1"/>
  <c r="AW15" i="1"/>
  <c r="AW223" i="1"/>
  <c r="AW218" i="1"/>
  <c r="AW213" i="1"/>
  <c r="AW208" i="1"/>
  <c r="AW203" i="1"/>
  <c r="AW198" i="1"/>
  <c r="AW193" i="1"/>
  <c r="AW188" i="1"/>
  <c r="AW183" i="1"/>
  <c r="AW178" i="1"/>
  <c r="AW173" i="1"/>
  <c r="AW168" i="1"/>
  <c r="AW163" i="1"/>
  <c r="AW158" i="1"/>
  <c r="AW153" i="1"/>
  <c r="AW148" i="1"/>
  <c r="AW143" i="1"/>
  <c r="AW138" i="1"/>
  <c r="AW128" i="1"/>
  <c r="AW123" i="1"/>
  <c r="AW108" i="1"/>
  <c r="AW103" i="1"/>
  <c r="AW98" i="1"/>
  <c r="AW93" i="1"/>
  <c r="AW88" i="1"/>
  <c r="AW83" i="1"/>
  <c r="AW78" i="1"/>
  <c r="AW73" i="1"/>
  <c r="AW68" i="1"/>
  <c r="AW63" i="1"/>
  <c r="AV108" i="1"/>
  <c r="AV103" i="1"/>
  <c r="AV98" i="1"/>
  <c r="AV93" i="1"/>
  <c r="AV88" i="1"/>
  <c r="AV83" i="1"/>
  <c r="AV78" i="1"/>
  <c r="AV73" i="1"/>
  <c r="AV68" i="1"/>
  <c r="AV63" i="1"/>
  <c r="AV58" i="1"/>
  <c r="AV53" i="1"/>
  <c r="AV48" i="1"/>
  <c r="AW180" i="1"/>
  <c r="AW175" i="1"/>
  <c r="AW170" i="1"/>
  <c r="AW165" i="1"/>
  <c r="AW160" i="1"/>
  <c r="AW155" i="1"/>
  <c r="AW150" i="1"/>
  <c r="AW145" i="1"/>
  <c r="AW140" i="1"/>
  <c r="AW135" i="1"/>
  <c r="AW130" i="1"/>
  <c r="AW125" i="1"/>
  <c r="AW120" i="1"/>
  <c r="AW115" i="1"/>
  <c r="AW110" i="1"/>
  <c r="AW105" i="1"/>
  <c r="AW95" i="1"/>
  <c r="AV180" i="1"/>
  <c r="AV175" i="1"/>
  <c r="AV170" i="1"/>
  <c r="AV165" i="1"/>
  <c r="AV160" i="1"/>
  <c r="AV155" i="1"/>
  <c r="AV150" i="1"/>
  <c r="AV145" i="1"/>
  <c r="AV140" i="1"/>
  <c r="AV135" i="1"/>
  <c r="AV130" i="1"/>
  <c r="AV125" i="1"/>
  <c r="AV120" i="1"/>
  <c r="AV115" i="1"/>
  <c r="AV110" i="1"/>
  <c r="AV105" i="1"/>
  <c r="AW207" i="1"/>
  <c r="AW202" i="1"/>
  <c r="AW197" i="1"/>
  <c r="AW192" i="1"/>
  <c r="AW187" i="1"/>
  <c r="AW182" i="1"/>
  <c r="AW177"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2" i="1"/>
  <c r="AW7" i="1"/>
  <c r="AW2" i="1"/>
  <c r="AV102" i="1"/>
  <c r="AV97" i="1"/>
  <c r="AV92" i="1"/>
  <c r="AV87" i="1"/>
  <c r="AV82" i="1"/>
  <c r="AV77" i="1"/>
  <c r="AV72" i="1"/>
  <c r="AV67" i="1"/>
  <c r="AV62" i="1"/>
  <c r="AV57" i="1"/>
  <c r="AV52" i="1"/>
  <c r="AV47" i="1"/>
  <c r="AV42" i="1"/>
  <c r="AV37" i="1"/>
  <c r="AV32" i="1"/>
  <c r="AV27" i="1"/>
  <c r="AV22" i="1"/>
  <c r="AV2" i="1"/>
  <c r="AW39" i="1"/>
  <c r="AW34" i="1"/>
  <c r="AW29" i="1"/>
  <c r="AW24" i="1"/>
  <c r="AW19" i="1"/>
  <c r="AW14" i="1"/>
  <c r="AW9" i="1"/>
  <c r="AW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<sst xmlns="http://schemas.openxmlformats.org/spreadsheetml/2006/main" count="16180" uniqueCount="10243">
  <si>
    <t>n</t>
  </si>
  <si>
    <t>undefined</t>
  </si>
  <si>
    <t>351-355</t>
  </si>
  <si>
    <t>Journal</t>
  </si>
  <si>
    <t>60020547;60020547</t>
  </si>
  <si>
    <t>United States</t>
  </si>
  <si>
    <t>College Station</t>
  </si>
  <si>
    <t>Texas A&amp;M University</t>
  </si>
  <si>
    <t>Article</t>
  </si>
  <si>
    <t>ar</t>
  </si>
  <si>
    <t>South Korea</t>
  </si>
  <si>
    <t>Seoul</t>
  </si>
  <si>
    <t>Seoul National University</t>
  </si>
  <si>
    <t>Germany</t>
  </si>
  <si>
    <t>Natural Sciences and Engineering Research Council of Canada</t>
  </si>
  <si>
    <t>NSERC</t>
  </si>
  <si>
    <t>Canada</t>
  </si>
  <si>
    <t>Burnaby</t>
  </si>
  <si>
    <t>Simon Fraser University</t>
  </si>
  <si>
    <t>United States;United States</t>
  </si>
  <si>
    <t>60032398;60032398</t>
  </si>
  <si>
    <t>6603776029;56994119500</t>
  </si>
  <si>
    <t>Finland</t>
  </si>
  <si>
    <t>Jyvaskyla</t>
  </si>
  <si>
    <t>University of Jyv√§skyl√§</t>
  </si>
  <si>
    <t>Linnanto J.</t>
  </si>
  <si>
    <t>5 II</t>
  </si>
  <si>
    <t>Turkey;United States</t>
  </si>
  <si>
    <t>United States;United States;United States;United States</t>
  </si>
  <si>
    <t>Netherlands</t>
  </si>
  <si>
    <t>Nijmegen</t>
  </si>
  <si>
    <t>60000990;60000990</t>
  </si>
  <si>
    <t>Sweden</t>
  </si>
  <si>
    <t>Gothenburg</t>
  </si>
  <si>
    <t>Chalmers University of Technology</t>
  </si>
  <si>
    <t>European Commission</t>
  </si>
  <si>
    <t>EC</t>
  </si>
  <si>
    <t>Los Angeles</t>
  </si>
  <si>
    <t>University of California, Los Angeles</t>
  </si>
  <si>
    <t>Stuttgart</t>
  </si>
  <si>
    <t>Universit√§t Stuttgart</t>
  </si>
  <si>
    <t>International Journal of Infrared and Millimeter Waves</t>
  </si>
  <si>
    <t>Russian Federation</t>
  </si>
  <si>
    <t>Japan</t>
  </si>
  <si>
    <t>Tsukuba</t>
  </si>
  <si>
    <t>United States;Japan</t>
  </si>
  <si>
    <t>Electrical Engineering in Japan (English translation of Denki Gakkai Ronbunshi)</t>
  </si>
  <si>
    <t>Japan;Japan;Japan</t>
  </si>
  <si>
    <t>Development</t>
  </si>
  <si>
    <t>60032179;60032179;60032179</t>
  </si>
  <si>
    <t>Madison</t>
  </si>
  <si>
    <t>University of Wisconsin-Madison</t>
  </si>
  <si>
    <t>United States;Germany</t>
  </si>
  <si>
    <t>Italy</t>
  </si>
  <si>
    <t>Turin</t>
  </si>
  <si>
    <t>BBSRC</t>
  </si>
  <si>
    <t>Journal of Chemical Ecology</t>
  </si>
  <si>
    <t>Uppsala</t>
  </si>
  <si>
    <t>60024322;60024322;60024322;60024322;60024322</t>
  </si>
  <si>
    <t>Suita</t>
  </si>
  <si>
    <t>Osaka University</t>
  </si>
  <si>
    <t>Boulder</t>
  </si>
  <si>
    <t>Russian Federation;Japan</t>
  </si>
  <si>
    <t>South Korea;South Korea</t>
  </si>
  <si>
    <t>Geophysical Research Letters</t>
  </si>
  <si>
    <t>60020484;60020484</t>
  </si>
  <si>
    <t>Turkey</t>
  </si>
  <si>
    <t>Ankara</t>
  </si>
  <si>
    <t>Hacettepe √úniversitesi</t>
  </si>
  <si>
    <t>Charlottesville</t>
  </si>
  <si>
    <t xml:space="preserve">Anon, </t>
  </si>
  <si>
    <t>Anon</t>
  </si>
  <si>
    <t>Chen, Zhi Ning</t>
  </si>
  <si>
    <t>Singapore</t>
  </si>
  <si>
    <t>Singapore City</t>
  </si>
  <si>
    <t>National University of Singapore</t>
  </si>
  <si>
    <t>Perugia</t>
  </si>
  <si>
    <t>Mongiardo M.</t>
  </si>
  <si>
    <t>E83-C</t>
  </si>
  <si>
    <t>IEICE Transactions on Electronics</t>
  </si>
  <si>
    <t>60016074;60016074;60016074</t>
  </si>
  <si>
    <t>Yamagata</t>
  </si>
  <si>
    <t>Yamagata University</t>
  </si>
  <si>
    <t>60032315;60032315</t>
  </si>
  <si>
    <t>Chofu</t>
  </si>
  <si>
    <t>The University of Electro-Communications</t>
  </si>
  <si>
    <t>Australia</t>
  </si>
  <si>
    <t>United Kingdom</t>
  </si>
  <si>
    <t>Spain;Spain</t>
  </si>
  <si>
    <t>Valencia;Valencia</t>
  </si>
  <si>
    <t>Universitat Polit√®cnica de Val√®ncia;Universitat de Val√®ncia</t>
  </si>
  <si>
    <t>60011476;60002644</t>
  </si>
  <si>
    <t>Washington, D.C.</t>
  </si>
  <si>
    <t>Naval Research Laboratory</t>
  </si>
  <si>
    <t>Japan;Japan</t>
  </si>
  <si>
    <t>Berlin</t>
  </si>
  <si>
    <t>Freie Universit√§t Berlin</t>
  </si>
  <si>
    <t>60002494;60002494</t>
  </si>
  <si>
    <t>Montreal</t>
  </si>
  <si>
    <t>Universit√© McGill</t>
  </si>
  <si>
    <t>IEEE Signal Processing Workshop on Statistical Signal and Array Processing, SSAP</t>
  </si>
  <si>
    <t>Algeria</t>
  </si>
  <si>
    <t>Yang K.</t>
  </si>
  <si>
    <t>Toronto</t>
  </si>
  <si>
    <t>University of Toronto</t>
  </si>
  <si>
    <t>France</t>
  </si>
  <si>
    <t>Deutsche Forschungsgemeinschaft</t>
  </si>
  <si>
    <t>DFG</t>
  </si>
  <si>
    <t>Arthropod Structure and Development</t>
  </si>
  <si>
    <t>Spain</t>
  </si>
  <si>
    <t>Barcelona</t>
  </si>
  <si>
    <t>Universitat Polit√®cnica de Catalunya</t>
  </si>
  <si>
    <t>Villanova</t>
  </si>
  <si>
    <t>Villanova University</t>
  </si>
  <si>
    <t>Zhang Y.</t>
  </si>
  <si>
    <t>60015150;60015150</t>
  </si>
  <si>
    <t>London</t>
  </si>
  <si>
    <t>Imperial College London</t>
  </si>
  <si>
    <t>60001439;60001439</t>
  </si>
  <si>
    <t>University Park</t>
  </si>
  <si>
    <t>Pennsylvania State University</t>
  </si>
  <si>
    <t>60003269;60003269</t>
  </si>
  <si>
    <t>Princeton</t>
  </si>
  <si>
    <t>Princeton University</t>
  </si>
  <si>
    <t>186-190</t>
  </si>
  <si>
    <t>60002014;60002014</t>
  </si>
  <si>
    <t>Stockholm</t>
  </si>
  <si>
    <t>The Royal Institute of Technology (KTH)</t>
  </si>
  <si>
    <t>60000060;60000060</t>
  </si>
  <si>
    <t>Bethlehem</t>
  </si>
  <si>
    <t>Lehigh University</t>
  </si>
  <si>
    <t>524-528</t>
  </si>
  <si>
    <t>60029445;60029445</t>
  </si>
  <si>
    <t>Minneapolis</t>
  </si>
  <si>
    <t>University of Minnesota Twin Cities</t>
  </si>
  <si>
    <t>West Lafayette</t>
  </si>
  <si>
    <t>Purdue University</t>
  </si>
  <si>
    <t>68-72</t>
  </si>
  <si>
    <t>0346718X</t>
  </si>
  <si>
    <t>Doktorsavhandlingar vid Chalmers Tekniska Hogskola</t>
  </si>
  <si>
    <t>60072235;60072235;60014097</t>
  </si>
  <si>
    <t>7103387215;23983922300;57198008972</t>
  </si>
  <si>
    <t>Prakash, V. V.S.;Christopher, S.;Balakrishnan, N.</t>
  </si>
  <si>
    <t>India;India</t>
  </si>
  <si>
    <t>Bengaluru;Bengaluru</t>
  </si>
  <si>
    <t>Electronics &amp; Radar Development Establishment India;Indian Institute of Science</t>
  </si>
  <si>
    <t>60072235;60014097</t>
  </si>
  <si>
    <t>Prakash V.V.S.</t>
  </si>
  <si>
    <t>Werner, Douglas H.</t>
  </si>
  <si>
    <t>Werner D.</t>
  </si>
  <si>
    <t>Microwave and Optical Technology Letters</t>
  </si>
  <si>
    <t>60103653;60103653</t>
  </si>
  <si>
    <t>Espoo</t>
  </si>
  <si>
    <t>Aalto University</t>
  </si>
  <si>
    <t>Dayton;Dayton</t>
  </si>
  <si>
    <t>60010065;60010065</t>
  </si>
  <si>
    <t>Tucson</t>
  </si>
  <si>
    <t>The University of Arizona</t>
  </si>
  <si>
    <t>Wu Z.</t>
  </si>
  <si>
    <t>60013983;60013983</t>
  </si>
  <si>
    <t>Hong Kong</t>
  </si>
  <si>
    <t>Kowloon</t>
  </si>
  <si>
    <t>City University of Hong Kong</t>
  </si>
  <si>
    <t>Tokyo</t>
  </si>
  <si>
    <t>Electronics and Communications in Japan, Part I: Communications (English translation of Denshi Tsushin Gakkai Ronbunshi)</t>
  </si>
  <si>
    <t>Mitsubishi Electric Corporation</t>
  </si>
  <si>
    <t>Korea Science and Engineering Foundation</t>
  </si>
  <si>
    <t>KOSEF</t>
  </si>
  <si>
    <t>Germany;Germany</t>
  </si>
  <si>
    <t>Rome</t>
  </si>
  <si>
    <t>60027550;60027550</t>
  </si>
  <si>
    <t>60017161;60017161</t>
  </si>
  <si>
    <t>7409485017;7004839408</t>
  </si>
  <si>
    <t>Chen, Zhi Ning;Chia, Y. W.M.</t>
  </si>
  <si>
    <t>Chen Z.</t>
  </si>
  <si>
    <t>0960667X</t>
  </si>
  <si>
    <t>Microwave Engineering Europe</t>
  </si>
  <si>
    <t>Switzerland</t>
  </si>
  <si>
    <t>Lausanne</t>
  </si>
  <si>
    <t>Swiss Federal Institute of Technology Lausanne</t>
  </si>
  <si>
    <t>Wireless Personal Communications</t>
  </si>
  <si>
    <t>Australia;Australia</t>
  </si>
  <si>
    <t>Space Communications</t>
  </si>
  <si>
    <t>United States;United States;United States</t>
  </si>
  <si>
    <t>Ministry of Education, Culture, Sports, Science and Technology</t>
  </si>
  <si>
    <t>2 PART 1</t>
  </si>
  <si>
    <t>Naples</t>
  </si>
  <si>
    <t>Universit√† degli Studi di Napoli Federico II</t>
  </si>
  <si>
    <t>60110693;60110693;60110693</t>
  </si>
  <si>
    <t>Nice</t>
  </si>
  <si>
    <t>Universit√© C√¥te d'Azur</t>
  </si>
  <si>
    <t>China</t>
  </si>
  <si>
    <t>Shanghai</t>
  </si>
  <si>
    <t>60032144;60032144</t>
  </si>
  <si>
    <t>Daejeon</t>
  </si>
  <si>
    <t>Korea Advanced Institute of Science and Technology</t>
  </si>
  <si>
    <t>International Journal of RF and Microwave Computer-Aided Engineering</t>
  </si>
  <si>
    <t>Zhang J.</t>
  </si>
  <si>
    <t>;;</t>
  </si>
  <si>
    <t>New York</t>
  </si>
  <si>
    <t>Italy;Italy</t>
  </si>
  <si>
    <t>Photosynthesis Research</t>
  </si>
  <si>
    <t>Michigan State University</t>
  </si>
  <si>
    <t>56003150900;7202418704</t>
  </si>
  <si>
    <t>Ray, K. P.;Kumar, Girish</t>
  </si>
  <si>
    <t>Ray K.</t>
  </si>
  <si>
    <t>Engineering and Physical Sciences Research Council</t>
  </si>
  <si>
    <t>EPSRC</t>
  </si>
  <si>
    <t>Cambridge</t>
  </si>
  <si>
    <t>National Science Foundation</t>
  </si>
  <si>
    <t>NSF</t>
  </si>
  <si>
    <t>60011357;60011357</t>
  </si>
  <si>
    <t>8396240400;35460663000</t>
  </si>
  <si>
    <t>Hsu, Wen Hsiu;Wong, Kin Lu</t>
  </si>
  <si>
    <t>Taiwan</t>
  </si>
  <si>
    <t>Kaohsiung</t>
  </si>
  <si>
    <t>National Sun Yat-Sen University</t>
  </si>
  <si>
    <t>Hsu W.H.</t>
  </si>
  <si>
    <t>Massachusetts Institute of Technology</t>
  </si>
  <si>
    <t>60017161;60017161;60017161;60017161</t>
  </si>
  <si>
    <t>Li L.W.</t>
  </si>
  <si>
    <t>IEEE Transactions on Vehicular Technology</t>
  </si>
  <si>
    <t>71-76</t>
  </si>
  <si>
    <t>Su T.</t>
  </si>
  <si>
    <t>Madrid</t>
  </si>
  <si>
    <t>Canada;Canada</t>
  </si>
  <si>
    <t>Santiago de Compostela</t>
  </si>
  <si>
    <t>Universidad de Santiago de Compostela</t>
  </si>
  <si>
    <t>Norway</t>
  </si>
  <si>
    <t>Lindell, Ismo V.</t>
  </si>
  <si>
    <t>Lindell I.</t>
  </si>
  <si>
    <t>Journal of Geophysical Research Atmospheres</t>
  </si>
  <si>
    <t>Zurich ZH,</t>
  </si>
  <si>
    <t>ETH Zurich</t>
  </si>
  <si>
    <t>Ukraine</t>
  </si>
  <si>
    <t>Groningen</t>
  </si>
  <si>
    <t>60005244;60013983</t>
  </si>
  <si>
    <t>7006874529;7101878862</t>
  </si>
  <si>
    <t>Dou, W. B.;Yung, Edward K.N.</t>
  </si>
  <si>
    <t>Hong Kong;China</t>
  </si>
  <si>
    <t>Kowloon;Nanjing</t>
  </si>
  <si>
    <t>City University of Hong Kong;Southeast University</t>
  </si>
  <si>
    <t>60013983;60005244</t>
  </si>
  <si>
    <t>Dou W.</t>
  </si>
  <si>
    <t>Czech Republic;Czech Republic</t>
  </si>
  <si>
    <t>412-416</t>
  </si>
  <si>
    <t>Brazil</t>
  </si>
  <si>
    <t>60031004;60011362</t>
  </si>
  <si>
    <t>Brisbane;Melbourne</t>
  </si>
  <si>
    <t>The University of Queensland;RMIT University</t>
  </si>
  <si>
    <t>Wang Y.</t>
  </si>
  <si>
    <t>India</t>
  </si>
  <si>
    <t>Nippon Telegraph and Telephone Corporation</t>
  </si>
  <si>
    <t>IEE Proceedings: Microwaves, Antennas and Propagation</t>
  </si>
  <si>
    <t>Belfast</t>
  </si>
  <si>
    <t>Queen's University Belfast</t>
  </si>
  <si>
    <t>60024872;60024872</t>
  </si>
  <si>
    <t>Hanyang University</t>
  </si>
  <si>
    <t>Chang J.</t>
  </si>
  <si>
    <t>Kolkata</t>
  </si>
  <si>
    <t>Mumbai</t>
  </si>
  <si>
    <t>Indian Institute of Technology Bombay</t>
  </si>
  <si>
    <t>60008435;60008435;60008435</t>
  </si>
  <si>
    <t>35254092000;7405726997;7006500813</t>
  </si>
  <si>
    <t>Miwa, Takashi;Sato, Motoyuki;Niitsuma, Hiroaki</t>
  </si>
  <si>
    <t>Sendai</t>
  </si>
  <si>
    <t>Tohoku University</t>
  </si>
  <si>
    <t>Miwa T.</t>
  </si>
  <si>
    <t>60011357;60011357;60011357</t>
  </si>
  <si>
    <t>Italy;Italy;Italy</t>
  </si>
  <si>
    <t>National Heart, Lung, and Blood Institute</t>
  </si>
  <si>
    <t>NHLBI</t>
  </si>
  <si>
    <t>Baltimore</t>
  </si>
  <si>
    <t>San Diego</t>
  </si>
  <si>
    <t>Taiwan;Taiwan</t>
  </si>
  <si>
    <t>National Institute of General Medical Sciences</t>
  </si>
  <si>
    <t>NIGMS</t>
  </si>
  <si>
    <t>181-185</t>
  </si>
  <si>
    <t>Nederlandse Organisatie voor Wetenschappelijk Onderzoek</t>
  </si>
  <si>
    <t>NWO</t>
  </si>
  <si>
    <t>Moscow</t>
  </si>
  <si>
    <t>Hydrobiologia</t>
  </si>
  <si>
    <t>Journal of Experimental Biology</t>
  </si>
  <si>
    <t>The University of Tokyo</t>
  </si>
  <si>
    <t>Paris</t>
  </si>
  <si>
    <t>CNRS Centre National de la Recherche Scientifique</t>
  </si>
  <si>
    <t>France;France</t>
  </si>
  <si>
    <t>276-283</t>
  </si>
  <si>
    <t>Germany;Germany;Germany</t>
  </si>
  <si>
    <t>IEEE Transactions on Electromagnetic Compatibility</t>
  </si>
  <si>
    <t>0018926X</t>
  </si>
  <si>
    <t>IEEE Transactions on Antennas and Propagation</t>
  </si>
  <si>
    <t>New Taipei City</t>
  </si>
  <si>
    <t>Chen C.</t>
  </si>
  <si>
    <t>Fujii K.</t>
  </si>
  <si>
    <t>Radio Science</t>
  </si>
  <si>
    <t>60017293;60017293;60017293</t>
  </si>
  <si>
    <t>IEEE Transactions on Microwave Theory and Techniques</t>
  </si>
  <si>
    <t>Ann Arbor</t>
  </si>
  <si>
    <t>University of Michigan, Ann Arbor</t>
  </si>
  <si>
    <t>IEEE Transactions on Geoscience and Remote Sensing</t>
  </si>
  <si>
    <t>Yang J.</t>
  </si>
  <si>
    <t>European Space Agency</t>
  </si>
  <si>
    <t>12513/97/NL/MV</t>
  </si>
  <si>
    <t>ESA</t>
  </si>
  <si>
    <t>Air Force Office of Scientific Research</t>
  </si>
  <si>
    <t>AFOSR</t>
  </si>
  <si>
    <t>507-514</t>
  </si>
  <si>
    <t>Columbus</t>
  </si>
  <si>
    <t>The Ohio State University</t>
  </si>
  <si>
    <t>National Aeronautics and Space Administration</t>
  </si>
  <si>
    <t>NASA</t>
  </si>
  <si>
    <t>Pasadena</t>
  </si>
  <si>
    <t>Jet Propulsion Laboratory</t>
  </si>
  <si>
    <t>;;;</t>
  </si>
  <si>
    <t>IEE Proceedings: Communications</t>
  </si>
  <si>
    <t>Edinburgh</t>
  </si>
  <si>
    <t>Belgium</t>
  </si>
  <si>
    <t>Louvain-la-Neuve</t>
  </si>
  <si>
    <t>Universit√© Catholique de Louvain</t>
  </si>
  <si>
    <t>Stockbroeckx B.</t>
  </si>
  <si>
    <t>1053587X</t>
  </si>
  <si>
    <t>IEEE Transactions on Signal Processing</t>
  </si>
  <si>
    <t>Abramovich Y.</t>
  </si>
  <si>
    <t>60013983;60013983;60013983;60013983</t>
  </si>
  <si>
    <t>60072417;60011357</t>
  </si>
  <si>
    <t>7406886947;35460663000</t>
  </si>
  <si>
    <t>Huang, Chih Yu;Wong, Kin Lu</t>
  </si>
  <si>
    <t>Pingtung;Kaohsiung</t>
  </si>
  <si>
    <t>Yung-Ta Institute of Technology and Commerce;National Sun Yat-Sen University</t>
  </si>
  <si>
    <t>Huang C.</t>
  </si>
  <si>
    <t>National Science Council</t>
  </si>
  <si>
    <t>NSC</t>
  </si>
  <si>
    <t>339-346</t>
  </si>
  <si>
    <t>3000 Leuven</t>
  </si>
  <si>
    <t>KU Leuven</t>
  </si>
  <si>
    <t>Nuclear Fusion</t>
  </si>
  <si>
    <t>Li J.</t>
  </si>
  <si>
    <t>Journal of Comparative Physiology - A Sensory, Neural, and Behavioral Physiology</t>
  </si>
  <si>
    <t>Plasma Physics and Controlled Fusion</t>
  </si>
  <si>
    <t>60011047;60011047</t>
  </si>
  <si>
    <t>Fukuoka</t>
  </si>
  <si>
    <t>Kyushu University</t>
  </si>
  <si>
    <t>Shinohara S.</t>
  </si>
  <si>
    <t>E83-B</t>
  </si>
  <si>
    <t>IEICE Transactions on Communications</t>
  </si>
  <si>
    <t>Kim K.</t>
  </si>
  <si>
    <t>55342807700;26643168800</t>
  </si>
  <si>
    <t>Cui, Tie Jun;Chew, Weng Cho</t>
  </si>
  <si>
    <t>Urbana</t>
  </si>
  <si>
    <t>University of Illinois Urbana-Champaign</t>
  </si>
  <si>
    <t>Cui T.</t>
  </si>
  <si>
    <t>IEEE Transactions on Aerospace and Electronic Systems</t>
  </si>
  <si>
    <t>60011132;60011132</t>
  </si>
  <si>
    <t>Athens</t>
  </si>
  <si>
    <t>Ohio University</t>
  </si>
  <si>
    <t>60002947;60002947</t>
  </si>
  <si>
    <t>Greece</t>
  </si>
  <si>
    <t>National Technical University of Athens</t>
  </si>
  <si>
    <t>Nanyang Technological University</t>
  </si>
  <si>
    <t>South Korea;South Korea;South Korea</t>
  </si>
  <si>
    <t>Duffy S.</t>
  </si>
  <si>
    <t>122-124</t>
  </si>
  <si>
    <t>Army Research Office</t>
  </si>
  <si>
    <t>ARO</t>
  </si>
  <si>
    <t>IEEE Transactions on Communications</t>
  </si>
  <si>
    <t>Finland;United States;United States</t>
  </si>
  <si>
    <t>;</t>
  </si>
  <si>
    <t>Raleigh</t>
  </si>
  <si>
    <t>NC State University</t>
  </si>
  <si>
    <t>8756663X</t>
  </si>
  <si>
    <t>Electronics and Communications in Japan, Part II: Electronics (English translation of Denshi Tsushin Gakkai Ronbunshi)</t>
  </si>
  <si>
    <t>60012370;60000251-60012370</t>
  </si>
  <si>
    <t>Taiwan;United States</t>
  </si>
  <si>
    <t>Hsinchu;New York</t>
  </si>
  <si>
    <t>National Chiao Tung University;IEEE</t>
  </si>
  <si>
    <t>60012370;60000251</t>
  </si>
  <si>
    <t>Lin C.</t>
  </si>
  <si>
    <t>Koganei</t>
  </si>
  <si>
    <t>Ministry of Posts and Telecommunications, Japan</t>
  </si>
  <si>
    <t>He S.</t>
  </si>
  <si>
    <t>Kiev</t>
  </si>
  <si>
    <t>IEEE Transactions on Information Theory</t>
  </si>
  <si>
    <t>Hochwald B.</t>
  </si>
  <si>
    <t>Germany;Japan</t>
  </si>
  <si>
    <t>Stuttgart;Fukui</t>
  </si>
  <si>
    <t>Universit√§t Stuttgart;University of Fukui</t>
  </si>
  <si>
    <t>60015815;60010848</t>
  </si>
  <si>
    <t>Ogawa I.</t>
  </si>
  <si>
    <t>394-404</t>
  </si>
  <si>
    <t>Winnipeg</t>
  </si>
  <si>
    <t>University of Manitoba</t>
  </si>
  <si>
    <t>60025063;60025063</t>
  </si>
  <si>
    <t>Atlanta;New York</t>
  </si>
  <si>
    <t>Georgia Institute of Technology;IEEE</t>
  </si>
  <si>
    <t>60021032;60000251</t>
  </si>
  <si>
    <t>Finland;Russian Federation</t>
  </si>
  <si>
    <t>Acta Astronautica</t>
  </si>
  <si>
    <t>Leshem A.</t>
  </si>
  <si>
    <t>Electronics and Telecommunications Research Institute</t>
  </si>
  <si>
    <t>Kim C.K.</t>
  </si>
  <si>
    <t>MIPS-9320890</t>
  </si>
  <si>
    <t>Shafai L.</t>
  </si>
  <si>
    <t>IEEE Journal on Selected Areas in Communications</t>
  </si>
  <si>
    <t>Karlsruhe</t>
  </si>
  <si>
    <t>Padua</t>
  </si>
  <si>
    <t>Universit√† degli Studi di Padova</t>
  </si>
  <si>
    <t>Schweizerischer Nationalfonds zur F√∂rderung der Wissenschaftlichen Forschung</t>
  </si>
  <si>
    <t>TIC98-0929-C02-01</t>
  </si>
  <si>
    <t>SNF</t>
  </si>
  <si>
    <t>73-75</t>
  </si>
  <si>
    <t>60008592;60008592</t>
  </si>
  <si>
    <t>Hong Kong University of Science and Technology</t>
  </si>
  <si>
    <t>Superconductor Science and Technology</t>
  </si>
  <si>
    <t>Taiwan;Taiwan;Taiwan</t>
  </si>
  <si>
    <t>Hsinchu;Hsinchu;Hsinchu</t>
  </si>
  <si>
    <t>Yonsei University</t>
  </si>
  <si>
    <t>Taiwan;Taiwan;Taiwan;Taiwan</t>
  </si>
  <si>
    <t>75-78</t>
  </si>
  <si>
    <t>Journal of Magnetic Resonance Imaging</t>
  </si>
  <si>
    <t>Baltimore;Baltimore</t>
  </si>
  <si>
    <t>Johns Hopkins University;Johns Hopkins School of Medicine</t>
  </si>
  <si>
    <t>60005248;60001117</t>
  </si>
  <si>
    <t>269-277</t>
  </si>
  <si>
    <t>National Institutes of Health</t>
  </si>
  <si>
    <t>NIH</t>
  </si>
  <si>
    <t>Electromagnetics</t>
  </si>
  <si>
    <t>Journal of Applied Geophysics</t>
  </si>
  <si>
    <t>Italy;United States</t>
  </si>
  <si>
    <t>Honolulu</t>
  </si>
  <si>
    <t>Pacific Biosciences Research Center</t>
  </si>
  <si>
    <t>Bern</t>
  </si>
  <si>
    <t>University of Bern</t>
  </si>
  <si>
    <t>San Antonio</t>
  </si>
  <si>
    <t>Lexington</t>
  </si>
  <si>
    <t>University of Kentucky</t>
  </si>
  <si>
    <t>United Kingdom;United Kingdom</t>
  </si>
  <si>
    <t>Cahiers de Biologie Marine</t>
  </si>
  <si>
    <t>Weatherby T.M.</t>
  </si>
  <si>
    <t>305-310</t>
  </si>
  <si>
    <t>Switzerland;Switzerland</t>
  </si>
  <si>
    <t>France;France;France</t>
  </si>
  <si>
    <t>European Journal of Biochemistry</t>
  </si>
  <si>
    <t>33-41</t>
  </si>
  <si>
    <t>60068856;60068856</t>
  </si>
  <si>
    <t>Estonia</t>
  </si>
  <si>
    <t>Tartu</t>
  </si>
  <si>
    <t>Tartu √úlikool</t>
  </si>
  <si>
    <t>Journal of Insect Physiology</t>
  </si>
  <si>
    <t>Syracuse</t>
  </si>
  <si>
    <t>IUAP P4-02</t>
  </si>
  <si>
    <t>357-364</t>
  </si>
  <si>
    <t>IEEE Communications Magazine</t>
  </si>
  <si>
    <t>CSIR</t>
  </si>
  <si>
    <t>IEEE Microwave Magazine</t>
  </si>
  <si>
    <t>Nagoya</t>
  </si>
  <si>
    <t>Wang J.</t>
  </si>
  <si>
    <t>Brussels</t>
  </si>
  <si>
    <t>Sophia Antipolis</t>
  </si>
  <si>
    <t>Laboratoire D'√©lectronique, Antennes et T√©l√©communications</t>
  </si>
  <si>
    <t>60025778;60025778;60025778</t>
  </si>
  <si>
    <t>Munich</t>
  </si>
  <si>
    <t>177-179</t>
  </si>
  <si>
    <t>International Journal of Electronics</t>
  </si>
  <si>
    <t>Bengaluru</t>
  </si>
  <si>
    <t>Indian Space Research Organization</t>
  </si>
  <si>
    <t>National Natural Science Foundation of China</t>
  </si>
  <si>
    <t>NSFC</t>
  </si>
  <si>
    <t>F49620-97-1-0241</t>
  </si>
  <si>
    <t>Newark;Murray</t>
  </si>
  <si>
    <t>New Jersey Institute of Technology;Nokia Bell Labs</t>
  </si>
  <si>
    <t>60022904;60021378</t>
  </si>
  <si>
    <t>NUS</t>
  </si>
  <si>
    <t>IEEE Antennas and Propagation Magazine</t>
  </si>
  <si>
    <t>South Africa</t>
  </si>
  <si>
    <t>Office of Naval Research</t>
  </si>
  <si>
    <t>ONR</t>
  </si>
  <si>
    <t>60029738;60029738;60029738</t>
  </si>
  <si>
    <t>Fusco V.</t>
  </si>
  <si>
    <t>Beijing</t>
  </si>
  <si>
    <t>199-202</t>
  </si>
  <si>
    <t>60000264;60000264;60000264</t>
  </si>
  <si>
    <t>Nagoya University</t>
  </si>
  <si>
    <t>International Journal of Satellite Communications</t>
  </si>
  <si>
    <t>Australia;Australia;Australia</t>
  </si>
  <si>
    <t>Long B.</t>
  </si>
  <si>
    <t>Tokyo;Chofu</t>
  </si>
  <si>
    <t>Sapienza Universit√† di Roma</t>
  </si>
  <si>
    <t>Government of Canada</t>
  </si>
  <si>
    <t>CITR</t>
  </si>
  <si>
    <t>Toronto;Ottawa</t>
  </si>
  <si>
    <t>60021859;60021859;60021859</t>
  </si>
  <si>
    <t>Florence</t>
  </si>
  <si>
    <t>Universit√† degli Studi di Firenze</t>
  </si>
  <si>
    <t>AT&amp;T Inc.</t>
  </si>
  <si>
    <t>Politecnico di Torino</t>
  </si>
  <si>
    <t>Palo Alto</t>
  </si>
  <si>
    <t>Japan;Japan;United States</t>
  </si>
  <si>
    <t>Tokyo;Kyoto;New York</t>
  </si>
  <si>
    <t>60031126;60031126;60031126</t>
  </si>
  <si>
    <t>Tokyo Institute of Technology</t>
  </si>
  <si>
    <t>60009037;60009037;60009037;60009037;60009037;60009037</t>
  </si>
  <si>
    <t>60028186;60028186</t>
  </si>
  <si>
    <t>Bristol</t>
  </si>
  <si>
    <t>University of Bristol</t>
  </si>
  <si>
    <t>60025555;60025555;60025555;60025555</t>
  </si>
  <si>
    <t>1235-1245</t>
  </si>
  <si>
    <t>Ottawa</t>
  </si>
  <si>
    <t>Defence Research and Development Canada</t>
  </si>
  <si>
    <t>60009254;60009254</t>
  </si>
  <si>
    <t>Russian Foundation for Basic Research</t>
  </si>
  <si>
    <t>–†–§–§–ò</t>
  </si>
  <si>
    <t>60014153;60014153</t>
  </si>
  <si>
    <t>United States;United States;United States;United States;United States;United States</t>
  </si>
  <si>
    <t>60029738;60029738</t>
  </si>
  <si>
    <t>Yang S.</t>
  </si>
  <si>
    <t>Kayseri</t>
  </si>
  <si>
    <t>Erciyes √úniversitesi</t>
  </si>
  <si>
    <t>60007284;60007284</t>
  </si>
  <si>
    <t>Centre for Wireless Communications, Singapore</t>
  </si>
  <si>
    <t>Germany;United States</t>
  </si>
  <si>
    <t>7006472158;24465889900</t>
  </si>
  <si>
    <t>Abramovich, Yuri I.;Spencer, Nicholas K.</t>
  </si>
  <si>
    <t>Adelaide</t>
  </si>
  <si>
    <t>Orlando</t>
  </si>
  <si>
    <t>University of Central Florida</t>
  </si>
  <si>
    <t>24-34</t>
  </si>
  <si>
    <t>1 PART 1</t>
  </si>
  <si>
    <t>1 PART 2</t>
  </si>
  <si>
    <t>Lazzi G.</t>
  </si>
  <si>
    <t>Tokyo;Sendai</t>
  </si>
  <si>
    <t>Nippon Telegraph and Telephone Corporation;Tohoku University</t>
  </si>
  <si>
    <t>60025555;60008435</t>
  </si>
  <si>
    <t>Johns Hopkins University</t>
  </si>
  <si>
    <t>56231427700;7003948945;6603887757;6603094570</t>
  </si>
  <si>
    <t>Bernardi, Paolo;Cavagnaro, Marta;Pisa, Stefano;Piuzzi, Emanuele</t>
  </si>
  <si>
    <t>Bernardi P.</t>
  </si>
  <si>
    <t>Keio University</t>
  </si>
  <si>
    <t>Lee K.</t>
  </si>
  <si>
    <t>60008524;60008524;60008524</t>
  </si>
  <si>
    <t>Bradford</t>
  </si>
  <si>
    <t>University of Bradford</t>
  </si>
  <si>
    <t>60013983;60013983;60013983</t>
  </si>
  <si>
    <t>Chennai</t>
  </si>
  <si>
    <t>Sarov</t>
  </si>
  <si>
    <t>All-Russian Research Institute of Experimental Physics</t>
  </si>
  <si>
    <t>360-362</t>
  </si>
  <si>
    <t>Australian Research Council</t>
  </si>
  <si>
    <t>ARC</t>
  </si>
  <si>
    <t>Perth</t>
  </si>
  <si>
    <t>Academy of Finland</t>
  </si>
  <si>
    <t>CNRS</t>
  </si>
  <si>
    <t>1340-1348</t>
  </si>
  <si>
    <t>Qie X.</t>
  </si>
  <si>
    <t>0004637X</t>
  </si>
  <si>
    <t>Astrophysical Journal</t>
  </si>
  <si>
    <t>Murray</t>
  </si>
  <si>
    <t>Nokia Bell Labs</t>
  </si>
  <si>
    <t>207-219</t>
  </si>
  <si>
    <t>Njoku E.</t>
  </si>
  <si>
    <t>60009037;60009037;60009037</t>
  </si>
  <si>
    <t>Los Angeles;Pasadena</t>
  </si>
  <si>
    <t>Dehradun</t>
  </si>
  <si>
    <t>Defence Research and Development Organisation India</t>
  </si>
  <si>
    <t>Milan</t>
  </si>
  <si>
    <t>Arizona Research Laboratories</t>
  </si>
  <si>
    <t>Lee C.</t>
  </si>
  <si>
    <t>Yin W.</t>
  </si>
  <si>
    <t>7005479476;7004903706</t>
  </si>
  <si>
    <t>Tretyakov S.</t>
  </si>
  <si>
    <t>Defense Advanced Research Projects Agency</t>
  </si>
  <si>
    <t>DARPA</t>
  </si>
  <si>
    <t>195-198</t>
  </si>
  <si>
    <t>McDonald K.</t>
  </si>
  <si>
    <t>United States;Sweden</t>
  </si>
  <si>
    <t>60026638;60026638;60026638;60026638</t>
  </si>
  <si>
    <t>Nokia Corporation</t>
  </si>
  <si>
    <t>Lincoln Laboratory</t>
  </si>
  <si>
    <t>Australia;United States</t>
  </si>
  <si>
    <t>Stanford University</t>
  </si>
  <si>
    <t>Hsinchu</t>
  </si>
  <si>
    <t>57198926864;55510527400;7501501369</t>
  </si>
  <si>
    <t>Guo, Yong Xin;Luk, Kwai Man;Lee, Kai Fong</t>
  </si>
  <si>
    <t>Guo Y.X.</t>
  </si>
  <si>
    <t>Heriot-Watt University</t>
  </si>
  <si>
    <t>Rynne B.</t>
  </si>
  <si>
    <t>60017161;60017161;60017161;60017161;60017161</t>
  </si>
  <si>
    <t>Hirokawa J.</t>
  </si>
  <si>
    <t>60001439;60001439;60001439</t>
  </si>
  <si>
    <t>0277786X</t>
  </si>
  <si>
    <t>IEEE Transactions on Broadcasting</t>
  </si>
  <si>
    <t>60026134;60026134</t>
  </si>
  <si>
    <t>Vigo</t>
  </si>
  <si>
    <t>Universidade de Vigo</t>
  </si>
  <si>
    <t>Torino</t>
  </si>
  <si>
    <t>8306121700;55472194900</t>
  </si>
  <si>
    <t>Kim, Chan Kyu;Cho, Yong Soo</t>
  </si>
  <si>
    <t>Kim C.</t>
  </si>
  <si>
    <t>['simulation study', 'noise dominates', 'input multiple', 'differences shrink', 'channel interference', 'adaptive modulation', 'absolute numbers', '3 transmit']</t>
  </si>
  <si>
    <t>We describe a simulation study of a cellular system using multiple-input multiple-output (MIMO) antenna techniques along with adaptive modulation and aggressive frequency reuse. We show, for the case of 3 transmit and 3 receive antennas, how much MIMO systems outperform systems with receive-diversity-only when noise dominates. When co-channel interference from surrounding cells dominates, the differences shrink, as do the absolute numbers. We quantify these reductions for the specific cases studied, and discuss further areas of research.</t>
  </si>
  <si>
    <t>6602328165;7006761168;7004878411</t>
  </si>
  <si>
    <t>Catreux, S.;Driessen, P. F.;Greenstein, L. J.</t>
  </si>
  <si>
    <t>Catreux S.</t>
  </si>
  <si>
    <t>60024322;60024322;60024322</t>
  </si>
  <si>
    <t>United Kingdom;Netherlands</t>
  </si>
  <si>
    <t>Biotechnology and Biological Sciences Research Council</t>
  </si>
  <si>
    <t>G1998010100</t>
  </si>
  <si>
    <t>China;China</t>
  </si>
  <si>
    <t>Beijing;Beijing</t>
  </si>
  <si>
    <t>Tsinghua University;Institute of Botany Chinese Academy of Sciences</t>
  </si>
  <si>
    <t>60025278;60014773</t>
  </si>
  <si>
    <t>0011216X</t>
  </si>
  <si>
    <t>Crustaceana</t>
  </si>
  <si>
    <t>Waterloo</t>
  </si>
  <si>
    <t>Carl Tryggers Stiftelse f√∂r Vetenskaplig Forskning</t>
  </si>
  <si>
    <t>Denmark</t>
  </si>
  <si>
    <t>Proceedings of SPIE - The International Society for Optical Engineering</t>
  </si>
  <si>
    <t>Finland;United States</t>
  </si>
  <si>
    <t>Consiglio Nazionale delle Ricerche</t>
  </si>
  <si>
    <t>Lee, Kun Chou</t>
  </si>
  <si>
    <t>China;Russian Federation;Sweden</t>
  </si>
  <si>
    <t>Hangzhou;Saint Petersburg;Stockholm</t>
  </si>
  <si>
    <t>State Key Laboratory of Modern Optical Instrumentation;Saint Petersburg National Research University of Information Technologies, Mechanics and Optics University ITMO;The Royal Institute of Technology (KTH)</t>
  </si>
  <si>
    <t>60117981;60072485;60002014</t>
  </si>
  <si>
    <t>Photosynthetica</t>
  </si>
  <si>
    <t>Lin S.</t>
  </si>
  <si>
    <t>Vetenskapsr√•det</t>
  </si>
  <si>
    <t>VR</t>
  </si>
  <si>
    <t>['wild type', 'synechocystis sp', 'psbx protein', 'psbx gene', 'photosystem ii', 'pcc 6803', 'minor disconnection', 'less mutant', 'indirectly involved', 'electron transport', 'deletion mutant', 'completely segregated', '30 %.']</t>
  </si>
  <si>
    <t>815-827</t>
  </si>
  <si>
    <t>Funk, C.</t>
  </si>
  <si>
    <t>Funk C.</t>
  </si>
  <si>
    <t>Kadoma</t>
  </si>
  <si>
    <t>Netherlands;Netherlands</t>
  </si>
  <si>
    <t>Campinas</t>
  </si>
  <si>
    <t>Universidade Estadual de Campinas</t>
  </si>
  <si>
    <t>331-336</t>
  </si>
  <si>
    <t>Poland</t>
  </si>
  <si>
    <t>United States;United States;United States;United States;United States</t>
  </si>
  <si>
    <t>Journal of Communications Technology and Electronics</t>
  </si>
  <si>
    <t>60025997;60025997;60025997</t>
  </si>
  <si>
    <t>5 I</t>
  </si>
  <si>
    <t>Japan;United States</t>
  </si>
  <si>
    <t>1063651X</t>
  </si>
  <si>
    <t>Physical Review E - Statistical Physics, Plasmas, Fluids, and Related Interdisciplinary Topics</t>
  </si>
  <si>
    <t>Luce H.</t>
  </si>
  <si>
    <t>IEEE Communications Letters</t>
  </si>
  <si>
    <t>60028419;60028419;60028419;60028419</t>
  </si>
  <si>
    <t>Siemens AG</t>
  </si>
  <si>
    <t>Finland;Finland</t>
  </si>
  <si>
    <t>Espoo;Espoo</t>
  </si>
  <si>
    <t>Aalto University;Nokia Networks</t>
  </si>
  <si>
    <t>60103653;60098468</t>
  </si>
  <si>
    <t>60003003;60003003</t>
  </si>
  <si>
    <t>Universit√† degli Studi di Perugia</t>
  </si>
  <si>
    <t>60007457;60007457;60007457</t>
  </si>
  <si>
    <t>Lomonosov Moscow State University</t>
  </si>
  <si>
    <t>60032619;60032619;60032619</t>
  </si>
  <si>
    <t>Quebec</t>
  </si>
  <si>
    <t>Universit√© Laval</t>
  </si>
  <si>
    <t>Japan;Japan;Japan;Japan</t>
  </si>
  <si>
    <t>60010848;60010848;60010848;60015815</t>
  </si>
  <si>
    <t>17-23</t>
  </si>
  <si>
    <t>60030526;60030526</t>
  </si>
  <si>
    <t>36878981000;55633340100</t>
  </si>
  <si>
    <t>Nakayama, Kazuo;Nakano, Hisamatsu</t>
  </si>
  <si>
    <t>Hosei University</t>
  </si>
  <si>
    <t>Nakayama K.</t>
  </si>
  <si>
    <t>56-63</t>
  </si>
  <si>
    <t>Chen Y.</t>
  </si>
  <si>
    <t>101-111</t>
  </si>
  <si>
    <t>Fernandes H.</t>
  </si>
  <si>
    <t>Skobelev S.</t>
  </si>
  <si>
    <t>Saint Petersburg (ex Leningrad)</t>
  </si>
  <si>
    <t>Saint Petersburg State University</t>
  </si>
  <si>
    <t>['two stages', 'transmission performance', 'results indicate', 'proposed dbfaaa', 'paper proposes', 'mbps real', 'maximum eigenvalue', 'establishes synchronization', 'eigenvector beam', 'desired signal', 'dbfaaa optimizes', 'dbfaaa captures', 'beam pattern']</t>
  </si>
  <si>
    <t>60033041;60033041</t>
  </si>
  <si>
    <t>Egypt</t>
  </si>
  <si>
    <t>Alexandria</t>
  </si>
  <si>
    <t>Alexandria University</t>
  </si>
  <si>
    <t>Journal of Geophysical Research: Space Physics</t>
  </si>
  <si>
    <t>Vancouver</t>
  </si>
  <si>
    <t>Wang X.</t>
  </si>
  <si>
    <t>60110693;60110693</t>
  </si>
  <si>
    <t>55884101500;7003360986</t>
  </si>
  <si>
    <t>Dussopt L.</t>
  </si>
  <si>
    <t>Radiophysics and Quantum Electronics</t>
  </si>
  <si>
    <t>RFBR</t>
  </si>
  <si>
    <t>National Chiao Tung University</t>
  </si>
  <si>
    <t>Rostov-on-Don</t>
  </si>
  <si>
    <t>Leung, K. W.</t>
  </si>
  <si>
    <t>Leung K.</t>
  </si>
  <si>
    <t>60019544;60019544</t>
  </si>
  <si>
    <t>North Ryde</t>
  </si>
  <si>
    <t>Macquarie University</t>
  </si>
  <si>
    <t>Milligan, Tom</t>
  </si>
  <si>
    <t>Milligan T.</t>
  </si>
  <si>
    <t>173-178</t>
  </si>
  <si>
    <t>Trastoy A.</t>
  </si>
  <si>
    <t>60007284;60007284;60007284</t>
  </si>
  <si>
    <t>7404700802;36185130600;7401710989</t>
  </si>
  <si>
    <t>Ma, Y.;Chai, C. C.;Lim, T. J.</t>
  </si>
  <si>
    <t>Ma Y.</t>
  </si>
  <si>
    <t>Bit-error probabilities for 2- and 4-DPSK in general Nakagami fading channels with correlated Gaussian noise</t>
  </si>
  <si>
    <t>377-379</t>
  </si>
  <si>
    <t>Biochimica et Biophysica Acta - Bioenergetics</t>
  </si>
  <si>
    <t>Physics Letters, Section A: General, Atomic and Solid State Physics</t>
  </si>
  <si>
    <t>Communications Research Centre</t>
  </si>
  <si>
    <t>60015941;60015941</t>
  </si>
  <si>
    <t>7102309054;7102762205</t>
  </si>
  <si>
    <t>Ong, Keat Ghee;Grimes, Craig A.</t>
  </si>
  <si>
    <t>Ong K.</t>
  </si>
  <si>
    <t>37-40</t>
  </si>
  <si>
    <t>6507949230;6508203119;7003549059</t>
  </si>
  <si>
    <t>Azrar, A.;Aksas, R.;Vander Vorst, A.</t>
  </si>
  <si>
    <t>Azrar A.</t>
  </si>
  <si>
    <t>Spectral-domain integral-equation analysis of microstrip antenna working around 24 GHz</t>
  </si>
  <si>
    <t>60026134;60026134;60026134</t>
  </si>
  <si>
    <t>Electronics Letters</t>
  </si>
  <si>
    <t>Chair R.</t>
  </si>
  <si>
    <t>Luxey C.</t>
  </si>
  <si>
    <t>1559128X</t>
  </si>
  <si>
    <t>Applied Optics</t>
  </si>
  <si>
    <t>60008435;60008435</t>
  </si>
  <si>
    <t>28-39</t>
  </si>
  <si>
    <t>Manchester</t>
  </si>
  <si>
    <t>The University of Manchester</t>
  </si>
  <si>
    <t>7403252663;57213425197;56250080900;23023532000</t>
  </si>
  <si>
    <t>Song, C. T.P.;Hall, P. S.;Ghafouri-Shiraz, H.;Wake, D.</t>
  </si>
  <si>
    <t>Song C.</t>
  </si>
  <si>
    <t>Melbourne</t>
  </si>
  <si>
    <t>60013983;60013983;60013983;60013983;60013983</t>
  </si>
  <si>
    <t>Kim Y.J.</t>
  </si>
  <si>
    <t>Nature</t>
  </si>
  <si>
    <t>Journal of Photochemistry and Photobiology B: Biology</t>
  </si>
  <si>
    <t>Plasma Sources Science and Technology</t>
  </si>
  <si>
    <t>Altair Stt. R. and D. Institute</t>
  </si>
  <si>
    <t>60006288;60006288;60006288</t>
  </si>
  <si>
    <t>Delft</t>
  </si>
  <si>
    <t>Delft University of Technology</t>
  </si>
  <si>
    <t>Journal of Volcanology and Geothermal Research</t>
  </si>
  <si>
    <t>60010365;60010365</t>
  </si>
  <si>
    <t>The University of British Columbia</t>
  </si>
  <si>
    <t>IEEE Photonics Technology Letters</t>
  </si>
  <si>
    <t>60027090;60027090</t>
  </si>
  <si>
    <t>Blacksburg</t>
  </si>
  <si>
    <t>Virginia Polytechnic Institute and State University</t>
  </si>
  <si>
    <t>China;United States;United States</t>
  </si>
  <si>
    <t>60012370;60012370</t>
  </si>
  <si>
    <t>Voronezh</t>
  </si>
  <si>
    <t>Journal of Physical Chemistry B</t>
  </si>
  <si>
    <t>57198323343;35586300900;57206299488</t>
  </si>
  <si>
    <t>Bhatti A.</t>
  </si>
  <si>
    <t>Ammann, M. J.</t>
  </si>
  <si>
    <t>Ireland</t>
  </si>
  <si>
    <t>Dublin</t>
  </si>
  <si>
    <t>Technological University Dublin</t>
  </si>
  <si>
    <t>Ammann M.</t>
  </si>
  <si>
    <t>Biochemistry</t>
  </si>
  <si>
    <t>245-250</t>
  </si>
  <si>
    <t>Spain;United States</t>
  </si>
  <si>
    <t>Lund</t>
  </si>
  <si>
    <t>Proceedings of the National Academy of Sciences of the United States of America</t>
  </si>
  <si>
    <t>Journal of the American Chemical Society</t>
  </si>
  <si>
    <t>60013983;60013983;60006173</t>
  </si>
  <si>
    <t>Hong Kong;United States</t>
  </si>
  <si>
    <t>Kowloon;Columbia</t>
  </si>
  <si>
    <t>City University of Hong Kong;University of Missouri</t>
  </si>
  <si>
    <t>60013983;60006173</t>
  </si>
  <si>
    <t>288-289</t>
  </si>
  <si>
    <t>60022144;60022144</t>
  </si>
  <si>
    <t>Lu J.</t>
  </si>
  <si>
    <t>248-252</t>
  </si>
  <si>
    <t>Journal of Biological Chemistry</t>
  </si>
  <si>
    <t>Optics Letters</t>
  </si>
  <si>
    <t>6701478524;6602719287;7007050928;7102990710</t>
  </si>
  <si>
    <t>Moreaux, L.;Sandre, O.;Blanchard-Desce, M.;Mertz, J.</t>
  </si>
  <si>
    <t>Moreaux L.</t>
  </si>
  <si>
    <t>24774219300;7004510554;35563466100</t>
  </si>
  <si>
    <t>Yarovoy A.</t>
  </si>
  <si>
    <t>Optical Engineering</t>
  </si>
  <si>
    <t>849-857</t>
  </si>
  <si>
    <t>TIC97-1153</t>
  </si>
  <si>
    <t>Journal of Lightwave Technology</t>
  </si>
  <si>
    <t>7006293956;7402505705;7102722103;7103249917;57197372570</t>
  </si>
  <si>
    <t>Ortega, Beatriz;Cruz, Jos√© L.;Capmany, Jos√©;Andr√©s, Miguel V.;Pastor, Daniel</t>
  </si>
  <si>
    <t>Ortega B.</t>
  </si>
  <si>
    <t>Mechanisms of Development</t>
  </si>
  <si>
    <t>233-241</t>
  </si>
  <si>
    <t>Insect Biochemistry and Molecular Biology</t>
  </si>
  <si>
    <t>60003500;60003500;60003500</t>
  </si>
  <si>
    <t>Tainan</t>
  </si>
  <si>
    <t>National Cheng Kung University</t>
  </si>
  <si>
    <t>Germany;United States;Germany</t>
  </si>
  <si>
    <t>60019106;60019106</t>
  </si>
  <si>
    <t>Varanasi</t>
  </si>
  <si>
    <t>Indian Institute of Technology Banaras Hindu University</t>
  </si>
  <si>
    <t>Netherlands;Switzerland;Switzerland</t>
  </si>
  <si>
    <t>Noordwijk aan Zee;Lausanne;Neuchatel</t>
  </si>
  <si>
    <t>ESTEC - European Space Research and Technology Centre;Swiss Federal Institute of Technology Lausanne;Universit√© de Neuch√¢tel</t>
  </si>
  <si>
    <t>60031159;60028186;60002128</t>
  </si>
  <si>
    <t>Vaccaro S.</t>
  </si>
  <si>
    <t>354-357</t>
  </si>
  <si>
    <t>Applied Physics Letters</t>
  </si>
  <si>
    <t>Gene</t>
  </si>
  <si>
    <t>Proceedings of the Royal Society B: Biological Sciences</t>
  </si>
  <si>
    <t>7202843461;7005772755;7003361435</t>
  </si>
  <si>
    <t>Jacobsen S.</t>
  </si>
  <si>
    <t>Du B.</t>
  </si>
  <si>
    <t>Gentili G.</t>
  </si>
  <si>
    <t>60010818;60010818</t>
  </si>
  <si>
    <t>Canterbury</t>
  </si>
  <si>
    <t>University of Kent</t>
  </si>
  <si>
    <t>451-454</t>
  </si>
  <si>
    <t>Microelectronics Reliability</t>
  </si>
  <si>
    <t>United Kingdom;United States</t>
  </si>
  <si>
    <t>60013372;60013372;60013372</t>
  </si>
  <si>
    <t>Austin</t>
  </si>
  <si>
    <t>The University of Texas at Austin</t>
  </si>
  <si>
    <t>60024872;60024872;60024872</t>
  </si>
  <si>
    <t>Lo W.</t>
  </si>
  <si>
    <t>1519-1521</t>
  </si>
  <si>
    <t>Arrhenius Laboratory</t>
  </si>
  <si>
    <t>60021902;60021902;60021902</t>
  </si>
  <si>
    <t>56026474900;7004459157;35561582300</t>
  </si>
  <si>
    <t>Pretoria</t>
  </si>
  <si>
    <t>University of Pretoria</t>
  </si>
  <si>
    <t>Mayhew-Ridgers G.</t>
  </si>
  <si>
    <t>Wang C.</t>
  </si>
  <si>
    <t>Suh Y.</t>
  </si>
  <si>
    <t>60000221;60000221</t>
  </si>
  <si>
    <t>University of Colorado Boulder</t>
  </si>
  <si>
    <t>Stiftelsen f√∂r¬†Strategisk Forskning</t>
  </si>
  <si>
    <t>SSF</t>
  </si>
  <si>
    <t>Andersen, J√∏rgen Bach</t>
  </si>
  <si>
    <t>Aalborg</t>
  </si>
  <si>
    <t>Aalborg University</t>
  </si>
  <si>
    <t>Andersen J.</t>
  </si>
  <si>
    <t>Singapore;United States</t>
  </si>
  <si>
    <t>Teo P.</t>
  </si>
  <si>
    <t>Kim S.</t>
  </si>
  <si>
    <t>60017606;60017606</t>
  </si>
  <si>
    <t>7004556279;57196377347</t>
  </si>
  <si>
    <t>Aalo, Valentine A.;Zhang, Jingjun</t>
  </si>
  <si>
    <t>Boca Raton</t>
  </si>
  <si>
    <t>Florida Atlantic University</t>
  </si>
  <si>
    <t>Aalo V.</t>
  </si>
  <si>
    <t>Canadian Journal of Electrical and Computer Engineering</t>
  </si>
  <si>
    <t>Ottawa;Winnipeg</t>
  </si>
  <si>
    <t>Defence Research and Development Canada;University of Manitoba</t>
  </si>
  <si>
    <t>60017597;60009697</t>
  </si>
  <si>
    <t>0027657X</t>
  </si>
  <si>
    <t>NHK Laboratories Note</t>
  </si>
  <si>
    <t>Materials Science and Engineering B: Solid-State Materials for Advanced Technology</t>
  </si>
  <si>
    <t>Ooi B.</t>
  </si>
  <si>
    <t>FEBS Letters</t>
  </si>
  <si>
    <t>Sheffield</t>
  </si>
  <si>
    <t>The University of Sheffield</t>
  </si>
  <si>
    <t>['unmodified species', 'traditionally recognized', 'three pairs', 'terminal relationships', 'successive reweighting', "subgroups ',", 'subfamily rhagadotarsinae', 'strongly supported', 'species groups', 'seven species', 'separate analyses', 'rheumatobates using', 'relationships among', 'reconstructed phylogeny', 'previously recognized', 'preferred phylogeny', 'one group', 'major clades', 'little effort', 'largely upheld', 'hind legs', 'group species', 'good resolution', 'genital segments', 'general assumption', 'characters describing', 'basal relationships', 'among species', 'address concerns', '102 characters']</t>
  </si>
  <si>
    <t>The genus Rheumatobates comprises thirty-seven species and subspecies of New World water striders belonging to subfamily Rhagadotarsinae. Among species, males vary dramatically in the degree and nature of modifications of the antennae, three pairs of legs and abdominal and genital segments. Characters describing this modification have traditionally been used to differentiate and group species. The general assumption has been that modified species belong to one group and unmodified species to another. These two 'species groups' are subdivided into 'subgroups', but little effort has been made to resolve relationships among them. We conduct the first numerical cladistic analysis of Rheumatobates using a data set comprised of 102 characters, primarily describing modification of male external morphology. To address concerns about the inclusion of characters to be optimized on the phylogeny, characters describing modification of antennae and hind legs were included and then excluded in separate analyses. A preferred phylogeny was chosen from the four equally parsimonious cladograms found after successive reweighting of characters. There was good resolution at all levels of the phylogeny. Most of the major clades and terminal relationships were moderately to strongly supported, whereas the basal relationships were less well supported. The general assumption that unmodified and modified species form two monophyletic groups was not supported. However, traditionally recognized 'subgroups' within the modified species group were largely upheld. The analysis also suggested several major clades and relationships among these clades that were not previously recognized. The exclusion of characters describing modification of antennae and hind legs did not change the resolved major clades of the reconstructed phylogeny.</t>
  </si>
  <si>
    <t>125-145</t>
  </si>
  <si>
    <t>6603419333;7102018258;7101792932</t>
  </si>
  <si>
    <t>Westlake, Kathleen P.;Rowe, Locke;Currie, Douglas C.</t>
  </si>
  <si>
    <t>Toronto;Toronto</t>
  </si>
  <si>
    <t>University of Toronto;Royal Ontario Museum</t>
  </si>
  <si>
    <t>60016849;60004044</t>
  </si>
  <si>
    <t>Westlake K.</t>
  </si>
  <si>
    <t>Phylogeny of the water strider genus Rheumatobates (Heteroptera: Gerridae)</t>
  </si>
  <si>
    <t>95-100</t>
  </si>
  <si>
    <t>60015941;60015941;60015941;60015941</t>
  </si>
  <si>
    <t>Grimes C.A.</t>
  </si>
  <si>
    <t>Tani M.</t>
  </si>
  <si>
    <t>Eindhoven</t>
  </si>
  <si>
    <t>60007592;60007592;60007592;60007592</t>
  </si>
  <si>
    <t>60000745;60000745;60000745</t>
  </si>
  <si>
    <t>60014982;60014982;60014982;60014982;60014982</t>
  </si>
  <si>
    <t>Chen Y.C.</t>
  </si>
  <si>
    <t>210-218</t>
  </si>
  <si>
    <t>Universidad Aut√≥noma de Madrid</t>
  </si>
  <si>
    <t>225-229</t>
  </si>
  <si>
    <t>NYU Tandon School of Engineering</t>
  </si>
  <si>
    <t>7404759216;55664103800</t>
  </si>
  <si>
    <t>Wong, Kainam Thomas;Zoltowski, Michael D.</t>
  </si>
  <si>
    <t>Wong K.</t>
  </si>
  <si>
    <t>Annales des Telecommunications/Annals of Telecommunications</t>
  </si>
  <si>
    <t>International Journal of Communication Systems</t>
  </si>
  <si>
    <t>Newbury</t>
  </si>
  <si>
    <t>Vodafone</t>
  </si>
  <si>
    <t>Har D.</t>
  </si>
  <si>
    <t>Seattle</t>
  </si>
  <si>
    <t>Petosa A.</t>
  </si>
  <si>
    <t>Lee J.</t>
  </si>
  <si>
    <t>South Africa;United States</t>
  </si>
  <si>
    <t>Mak C.L.</t>
  </si>
  <si>
    <t>Dourthe C.</t>
  </si>
  <si>
    <t>University of Ottawa</t>
  </si>
  <si>
    <t>35-45</t>
  </si>
  <si>
    <t>60003554;60003554</t>
  </si>
  <si>
    <t>Totalforsvarets forskningsinstitut</t>
  </si>
  <si>
    <t>Belgium;Belgium</t>
  </si>
  <si>
    <t>Icheln C.</t>
  </si>
  <si>
    <t>Chen W.</t>
  </si>
  <si>
    <t>Ukraine;Ukraine</t>
  </si>
  <si>
    <t>295-300</t>
  </si>
  <si>
    <t>6507982815;7005398972;22955400400;57203046526</t>
  </si>
  <si>
    <t>Carat, Guillaume;Gillard, Rapha√´l;Citerne, Jacques;Wiart, Joe</t>
  </si>
  <si>
    <t>Issy-les-Moulineaux;Rennes</t>
  </si>
  <si>
    <t>Orange Labs;INSA Rennes</t>
  </si>
  <si>
    <t>60104081;60005049</t>
  </si>
  <si>
    <t>Carat G.</t>
  </si>
  <si>
    <t>Netherlands;Netherlands;Netherlands</t>
  </si>
  <si>
    <t>Irkutsk</t>
  </si>
  <si>
    <t>Institute of Solar-Terrestrial Physics SB RAS</t>
  </si>
  <si>
    <t>Schneider R.</t>
  </si>
  <si>
    <t>Kim B.</t>
  </si>
  <si>
    <t>Leuven;3000 Leuven</t>
  </si>
  <si>
    <t>Interuniversity Micro-Electronics Center at Leuven;KU Leuven</t>
  </si>
  <si>
    <t>60070034;60025063</t>
  </si>
  <si>
    <t>Soliman E.</t>
  </si>
  <si>
    <t>919-929</t>
  </si>
  <si>
    <t>10.1109/22.846718</t>
  </si>
  <si>
    <t>Pace P.</t>
  </si>
  <si>
    <t>['wave model', 'receive action', 'hybrid model', 'extended finite', 'experimental results', 'domain method', 'difference time', 'configuration using', 'circuited quarter', 'antenna consists', 'also presented', 'active quasi', 'active antenna']</t>
  </si>
  <si>
    <t>6602726590;16554512900;57213425197;7201658579</t>
  </si>
  <si>
    <t>Kalialakis, Christos;Cryan, Martin J.;Hall, Peter S.;Gardner, Peter</t>
  </si>
  <si>
    <t>Kalialakis C.</t>
  </si>
  <si>
    <t>Analysis and design of integrated active circulator antennas</t>
  </si>
  <si>
    <t>60030551;60030551;60030551</t>
  </si>
  <si>
    <t>Syracuse University</t>
  </si>
  <si>
    <t>['wireless communications', 'trunking efficiency', 'taken using', 'suburban environment', 'spatial signatures', 'signals present', 'several locations', 'random movement', 'processing techniques', 'performance analysis', 'nolos ),', 'moving terminal', 'mobile user', 'mobile transmitter', 'los cases', 'exists line', 'empirically represent', 'change much', 'car mobile', 'beta distribution', 'arrivals mostly', 'antenna array', 'adaptive signal']</t>
  </si>
  <si>
    <t>7003901755;7003360436;35613152700;7404265004</t>
  </si>
  <si>
    <t>Kavak, Adnan;Torlak, Murat;Vogel, Wolfhard J.;Xu, Guanghan</t>
  </si>
  <si>
    <t>Kavak A.</t>
  </si>
  <si>
    <t>CityU</t>
  </si>
  <si>
    <t>Minelli A.</t>
  </si>
  <si>
    <t>Baba Y.</t>
  </si>
  <si>
    <t>Journal of the Marine Biological Association of the United Kingdom</t>
  </si>
  <si>
    <t>Brisbane</t>
  </si>
  <si>
    <t>The University of Queensland</t>
  </si>
  <si>
    <t>Bialkowski M.</t>
  </si>
  <si>
    <t>United Kingdom;Sweden</t>
  </si>
  <si>
    <t>7102043788;56144070500</t>
  </si>
  <si>
    <t>Coetzee, J. C.;Xu, H. Y.</t>
  </si>
  <si>
    <t>Coetzee J.</t>
  </si>
  <si>
    <t>6603088639;6701836992</t>
  </si>
  <si>
    <t>Turki, Y.;Staraj, R.</t>
  </si>
  <si>
    <t>Turki Y.</t>
  </si>
  <si>
    <t>0006324X</t>
  </si>
  <si>
    <t>Proceedings of the Biological Society of Washington</t>
  </si>
  <si>
    <t>Journal of Neurobiology</t>
  </si>
  <si>
    <t>Mumbai;Bengaluru</t>
  </si>
  <si>
    <t>Tata Institute of Fundamental Research, Mumbai;National Centre for Biological Sciences</t>
  </si>
  <si>
    <t>60031855;60005502</t>
  </si>
  <si>
    <t>Moon J.I.</t>
  </si>
  <si>
    <t>Newcastle</t>
  </si>
  <si>
    <t>University of Northumbria</t>
  </si>
  <si>
    <t>Cell</t>
  </si>
  <si>
    <t>Klink S.I.</t>
  </si>
  <si>
    <t>507-515</t>
  </si>
  <si>
    <t>Ames</t>
  </si>
  <si>
    <t>Chizhik D.</t>
  </si>
  <si>
    <t>National Institute of Neurological Disorders and Stroke</t>
  </si>
  <si>
    <t>P01NS028495</t>
  </si>
  <si>
    <t>NINDS</t>
  </si>
  <si>
    <t>Journal of Comparative Neurology</t>
  </si>
  <si>
    <t>Sensors and Actuators, B: Chemical</t>
  </si>
  <si>
    <t>MIP-9703730</t>
  </si>
  <si>
    <t>['transmitted signals', 'training sequence', 'simulations show', 'provide diversity', 'optimum performance', 'noise components', 'model parameters', 'estimated parameters', 'adaptive receiver']</t>
  </si>
  <si>
    <t>Adaptive spatial diversity receiver | Correlated non-gaussian interference and noise | Em algorithm | Gaussian mixture distribution</t>
  </si>
  <si>
    <t>An adaptive receiver that uses multiple antennas to provide diversity against fading is developed for operation in an impulsive noise environment. The noise components at each sensor are assumed to be correlated. A mixture of multivariate Gaussian distributions is used to model the noise. Using a training sequence, model parameters are estimated by iterative procedures derived from the expectation-maximization (EM) algorithm. These estimated parameters are then used in a likelihood ratio test to recover the transmitted signals. Simulations show that the proposed adaptive receiver is robust, and near-optimum performance can be achieved when sufficient training data is available. ¬© 2000 IEEE.</t>
  </si>
  <si>
    <t>2172-2175</t>
  </si>
  <si>
    <t>Zhang, Yumin</t>
  </si>
  <si>
    <t>An adaptive receiver with an antenna array for channels with correlated non-gaussian interference and noise using the sage algorithm</t>
  </si>
  <si>
    <t>S1053587X00049424</t>
  </si>
  <si>
    <t>10.1109/78.847804</t>
  </si>
  <si>
    <t>2-s2.0-0033716424</t>
  </si>
  <si>
    <t>['wide variety', 'uniformly distributed', 'thermal noise', 'statistically dependent', 'small region', 'real receivers', 'problems defined', 'poisson distributed', 'physical situations', 'physical mechanisms', 'noise sources', 'model derived', 'mathematical modeling', 'generate noise', 'emission times', 'always present']</t>
  </si>
  <si>
    <t>Array processing | Class A noise | Impulsive noise | Non-Gaussian noise | Spatial processing</t>
  </si>
  <si>
    <t>A statistical noise model is developed from mathematical modeling of the physical mechanisms that generate noise in communication receivers employing antenna arrays. Such models have been lacking for cases where the antenna observations may be statistically dependent from antenna to antenna. The model is developed by generalizing an approach for single antenna cases suggested by Middleton. The model derived here is applicable to a wide variety of physical situations. The focus is primarily on problems defined by Middleton to be Class A interference. The number of noise sources in a small region of space is assumed to be Poisson distributed, and the emission times are assumed to be uniformly distributed over a long time interval. Finally, an additive Gaussian background component is included to represent the thermal noise that is always present in real receivers. ¬© 2000 IEEE.</t>
  </si>
  <si>
    <t>2044-2056</t>
  </si>
  <si>
    <t>McDonald, Keith F.</t>
  </si>
  <si>
    <t>McLean</t>
  </si>
  <si>
    <t>MITRE Corporation</t>
  </si>
  <si>
    <t>A statistical and physical mechanisms-based interference and noise model for array observations</t>
  </si>
  <si>
    <t>S1053587X0004928X</t>
  </si>
  <si>
    <t>10.1109/78.847789</t>
  </si>
  <si>
    <t>2-s2.0-0033718914</t>
  </si>
  <si>
    <t>['ventilation factor', 'typical heights', 'tracing techniques', 'term forecasts', 'temperatures measured', 'subsidence inversion', 'staggered set', 'simple vertically', 'shadow area', 'severe reduction', 'santiago basin', 'received signal', 'real time', 'radio waves', 'produce short', 'inversion drift', 'francis group', 'experimental results', 'expected transition', 'episodic conditions', 'discussed together', 'critical strength', 'critical heights', 'austral winter', 'atmospheric duct', 'alternative ways', 'also demonstrated']</t>
  </si>
  <si>
    <t>Air pollution | Atmospheric duct | Santiago (Chile) | Subsidence inversion | Wave propagation</t>
  </si>
  <si>
    <t>Most of the air pollution episodes in Santiago (Chile) occur during the austral winter in connection with downslope easterly winds forced by upper-air troughs crossing the Andes and the associated poleward propagation of coastal lows along central Chile. During this process the subsidence inversion strengthens and lowers with a severe reduction of the ventilation factor of the city. Efforts to produce short-term forecasts of the onset and exit conditions associated with those episodes have relied mostly upon winds and temperatures measured at hilltop automatic stations located around the typical heights of the subsidence inversion over the Santiago basin. In search of alternative ways to track in real time the presence of the inversion at critical heights and strengths, the trapping of radio waves through the inversion should provide a way to monitor basin scale properties. Ray-tracing techniques to model radio signals propagating in an ‚Äòatmospheric duct‚Äô associated with strong subsidence inversions are discussed together with experimental results from a 65 km UHF radio link encompassing the Santiago basin at a typical height associated with air pollution episodes. It is concluded that the shape of the received signal during an air pollution episode in September 1997 reproduces the expected transition from multi-ray constructive interference to the shadow area as the inversion moves vertically. It is also demonstrated that a simple vertically-staggered set of receiving antennas could monitor the inversion drift at the onset and exit of episodic conditions once the inversion has reached the critical strength to generate an atmospheric duct. ¬© 2000 Taylor &amp; Francis Group, LLC.</t>
  </si>
  <si>
    <t>809-814</t>
  </si>
  <si>
    <t>1479487X</t>
  </si>
  <si>
    <t>Environmental Technology (United Kingdom)</t>
  </si>
  <si>
    <t>60012464;60012464</t>
  </si>
  <si>
    <t>56481317700;7003372165</t>
  </si>
  <si>
    <t>Bustos, R.;Rutllant, J.</t>
  </si>
  <si>
    <t>Chile</t>
  </si>
  <si>
    <t>Santiago</t>
  </si>
  <si>
    <t>Universidad de Chile</t>
  </si>
  <si>
    <t>Bustos R.</t>
  </si>
  <si>
    <t>Uhf radio propagation experiment through the inversion capping santiago (chile) during an air pollution episode</t>
  </si>
  <si>
    <t>10.1080/09593330.2000.9618967</t>
  </si>
  <si>
    <t>2-s2.0-0033936698</t>
  </si>
  <si>
    <t>['villosa bores', 'soft bottoms', 'shallow waters', 'posterior notopodia', 'polydora triglanda', 'polydora species', 'polydora cf', 'needlelike spines', 'morphological differences', 'morphological characteristics', 'median antenna', 'mainland china', 'living corals', 'lian hsieh', 'include p', 'horseshoe crab', 'genus polydora', 'five species', 'cornuta bosc', 'black bands', '2 habitats']</t>
  </si>
  <si>
    <t>Morphology | Polydora | Spionid polychaete | Systematics</t>
  </si>
  <si>
    <t>Vasily I. Radashevsky and Hwey-Lian Hsieh (2000) Polydora (Polychaeta: Spionidae) species from Taiwan. Zoological Studies 39(3): 203-217. This report discusses 5 species of the genus Polydora (Polychaeta: Spionidae) from the shallow waters of Taiwan and off mainland China. These include P. cf. agassizi Clapar√®de, 1869, P. cornuta Bosc, 1802, and 3 new species: P. fusca, P. triglanda, and P. villosa. Polydora cf. agassizi inhabits mud tubes on the surface of a horseshoe crab; P. cornuta and P. fusca inhabit mud tubes on soft bottoms while P. villosa bores into skeletons of living corals. Polydora triglanda is both a shell-borer and a tube-dweller, and no morphological differences were found between individuals from the 2 habitats. Five species are described and illustrated, and a key is provided for their identification. Polydora species with black bands on the palps, median antenna on the caruncle, and needlelike spines on the posterior notopodia are reviewed, and their morphological characteristics are compared.</t>
  </si>
  <si>
    <t>203-217</t>
  </si>
  <si>
    <t>1810522X</t>
  </si>
  <si>
    <t>Zoological Studies</t>
  </si>
  <si>
    <t>60069618-60016969;60016969</t>
  </si>
  <si>
    <t>35613702100;7201610637</t>
  </si>
  <si>
    <t>Radashevsky, Vasily I.;Hsieh, Hwey Lian</t>
  </si>
  <si>
    <t>Russian Federation;Taiwan</t>
  </si>
  <si>
    <t>Vladivostok;Nankang</t>
  </si>
  <si>
    <t>National Scientific Center of Marine Biology, Far Eastern Branch, Russian Academy of Sciences;Academia Sinica Taiwan</t>
  </si>
  <si>
    <t>60069618;60016969</t>
  </si>
  <si>
    <t>Radashevsky V.</t>
  </si>
  <si>
    <t>Polydora (Polychaeta: Spionidae) species from Taiwan</t>
  </si>
  <si>
    <t>2-s2.0-0034216276</t>
  </si>
  <si>
    <t>['slight increase', 'roughly 10', 'probable progenitors', 'lower frequencies', 'large numbers', 'improved estimate', 'higher frequencies', 'helium cataclysmics', 'galactic binaries', 'cvn binaries', 'confusion noise', 'compact binaries', '5 hz', '3 mhz', '1 hz']</t>
  </si>
  <si>
    <t>Binaries: close | Gravitation | Novae, cataclysmic variables | White dwarfs</t>
  </si>
  <si>
    <t>For a gravitational wave antenna in space, radiation from very large numbers of galactic binaries will be present in the observable frequency band from roughly 10-5 Hz to 1 Hz. At frequencies above about 3 mHz, signals from thousands of compact binaries will be resolvable in both frequency and direction. At lower frequencies, there will be confusion noise from having more than one binary per frequency resolution bin, even with a year or more of data. In this paper, we extend previous discussions of the galactic binaries to include an improved estimate of the contributions to the confusion noise from AM CVn binaries and their probable progenitors, which we refer to as helium cataclysmics. We find only a slight increase in the confusion noise below about 3 mHz, and essentially no increase at higher frequencies.</t>
  </si>
  <si>
    <t>334-341</t>
  </si>
  <si>
    <t>6603466729;7006568657</t>
  </si>
  <si>
    <t>Hils, Dieter;Bender, Peter L.</t>
  </si>
  <si>
    <t>Hils D.</t>
  </si>
  <si>
    <t>Gravitational radiation from helium cataclysmics</t>
  </si>
  <si>
    <t>10.1086/308997</t>
  </si>
  <si>
    <t>2-s2.0-0034216428</t>
  </si>
  <si>
    <t>GR/K63184</t>
  </si>
  <si>
    <t>['theoretical characterization', 'small short', 'resonance frequency', 'range communications', 'radiation patterns', 'proposed structure', 'patch antenna', 'one tenth', 'mmic applications', 'initial experimental', 'examined using', 'difference time', 'circuited h', '98 ghz']</t>
  </si>
  <si>
    <t>A small short-circuited H-shaped GaAs monolithic microwave integrated circuits (MMICs) patch antenna is presented. Resonant at 5.98 GHz, it is the lowest frequency MMIC patch antenna reported that we are aware of and is intended for short-range communications (e.g., vehicular). Initial experimental and theoretical characterization of the proposed structure has been carried out on soft microstrip substrates. It has been shown that the size of an H-shaped patch antenna can be reduced to as low as one tenth of that of a half wavelength patch antenna resonant at the same frequency, saving valuable substrate space. Resonance frequency, radiation patterns and gain have been investigated. Ground plane truncation effects, which are important for MMIC applications, have been examined using the finite-difference time-domain (FDTD) method.</t>
  </si>
  <si>
    <t>1134-1141</t>
  </si>
  <si>
    <t>60019702;60000251-60019702;60000251-60019702;60000251-60019702</t>
  </si>
  <si>
    <t>7403594790;6602726590;7201658579;57213425197</t>
  </si>
  <si>
    <t>Singh, Dilbagh;Kalialakis, Christos;Gardner, Peter;Hall, Peter S.</t>
  </si>
  <si>
    <t>Birmingham;New York</t>
  </si>
  <si>
    <t>University of Birmingham;IEEE</t>
  </si>
  <si>
    <t>60019702;60000251</t>
  </si>
  <si>
    <t>Singh D.</t>
  </si>
  <si>
    <t>Small H-shaped antennas for MMIC applications</t>
  </si>
  <si>
    <t>10.1109/8.876333</t>
  </si>
  <si>
    <t>2-s2.0-0034217193</t>
  </si>
  <si>
    <t>DAAH04-95-1-0198</t>
  </si>
  <si>
    <t>['œª0 approx', 'vswr bandwidths', 'vswr bandwidth', 'substrate thickness', 'spacings considered', 'sequentially rotating', 'ring antenna', 'rigorously included', 'results demonstrate', 'rectangular patch', 'radiating element', 'proper design', 'mmics ).', 'mics ),', 'microstrip antenna', 'feed proximity', 'experiment demonstrate', 'element array', 'element antenna', 'db bandwidth', 'circular polarization', 'axial ratio', 'array environment', 'antenna elements', '325 ),', '2 db', '2 bandwidth', '1 %.', '035 ),']</t>
  </si>
  <si>
    <t>An analysis is presented for a microstrip-feed proximity-coupled ring antenna and a four-element array. Interactions between the embedded microstrip feed and the radiating element(s) are rigorously included. Results demonstrate that circular polarization of both senses can be achieved with a ring antenna with proper design of two inner stubs located at angles of ¬±45¬∞ with respect to the feedline. Theory and experiment demonstrate an axial ratio 3-dB bandwidth of 1% and the voltage standing wave ratio (VSWR) &lt;2 bandwidth of 6.1%. The axial ratio bandwidth is typical for a microstrip antenna with perturbations, while the VSWR bandwidth is larger than for the circular or rectangular patch with perturbations. A mutual coupling study between two elements shows that the axial ratio is less than 2 dB for interelement spacing greater than 0.55Œªeff, while the VSWR &lt;2 for all spacings considered. A comparison between theory and experiment is provided for a 2 √ó 2 element array. The benefits of sequentially rotating the antenna elements in an array environment are presented. The axial ratio and VSWR bandwidths are both increased to 6.1% and 18% for a four-element array. A single-element antenna with two orthogonal feeds to provide both senses of polarization is demonstrated. The ring antenna is small (D/Œª0 = 0.325), the substrate thickness is thin (H/Œª0 approx. 0.035), and the microstrip feed produces a completely planar antenna system, which is compatible with microwave and millimeter integrated circuits (MICs), and monolithic microwave integrated circuits (MMICs).</t>
  </si>
  <si>
    <t>1040-1047</t>
  </si>
  <si>
    <t>60000251-60007278;60007278;60000251-60007278</t>
  </si>
  <si>
    <t>36869107900;7003924393;7004468161</t>
  </si>
  <si>
    <t>Ramirez, Raul R.;De Flaviis, Franco;Alexopoulos, Nicolaos G.</t>
  </si>
  <si>
    <t>Irvine;New York</t>
  </si>
  <si>
    <t>University of California, Irvine;IEEE</t>
  </si>
  <si>
    <t>60007278;60000251</t>
  </si>
  <si>
    <t>Ramirez R.</t>
  </si>
  <si>
    <t>Single-feed circularly polarized microstrip ring antenna and arrays</t>
  </si>
  <si>
    <t>10.1109/8.876322</t>
  </si>
  <si>
    <t>2-s2.0-0034217194</t>
  </si>
  <si>
    <t>['vector product', 'transform relations', 'transform gives', 'spatial diversity', 'space diversity', 'space base', 'scattering distribution', 'scalar function', 'prevalent phenomena', 'mobile communications', 'incident waves', 'frequency tradeoff', 'frequency diversity', 'fourier relations', 'delay time', 'convenient route', 'configuring antennas', 'combined frequency', 'averaged power', 'assessing tradeoffs', 'antenna pattern']</t>
  </si>
  <si>
    <t>The Fourier relations between channel transfer function and scattering distribution can apply to personal and mobile communications where multipath is a prevalent phenomena. In this paper, the transform relations are reviewed and interpreted for the mobile radio channel. The effective scattering distribution is the vector product of the antenna pattern and the incident waves and is a scalar function of angle and delay time. The space base-band frequency correlation function transforms with the averaged power of the effective scattering distribution. If the angular power density marginal of the effective scattering distribution is known, then the transform relations can be used for configuring antennas for spatial diversity. Similarly, if the delay time marginal is known, then conditions for frequency diversity are available. The two-dimensional (2-D) transform gives a convenient route for assessing tradeoffs between combined frequency and space diversity. Using modeled distributions, solutions are given for spaced directive antennas and an example is discussed for the space-frequency tradeoff.</t>
  </si>
  <si>
    <t>1025-1032</t>
  </si>
  <si>
    <t>60000251-60015901</t>
  </si>
  <si>
    <t>Vaughan, Rodney</t>
  </si>
  <si>
    <t>New Zealand;United States</t>
  </si>
  <si>
    <t>Lower Hutt;New York</t>
  </si>
  <si>
    <t>Industrial Research Limited of New Zealand;IEEE</t>
  </si>
  <si>
    <t>60015901;60000251</t>
  </si>
  <si>
    <t>Vaughan R.</t>
  </si>
  <si>
    <t>Spaced directive antennas for mobile communications by the Fourier transform method</t>
  </si>
  <si>
    <t>10.1109/8.876319</t>
  </si>
  <si>
    <t>2-s2.0-0034217199</t>
  </si>
  <si>
    <t>['similar fractals', 'sierpinski dipole', 'results show', 'properly perturbating', 'multiband properties', 'interesting dual', 'fss response', 'fss ).', 'different angles', 'band behavior', 'advantageously exploited']</t>
  </si>
  <si>
    <t>The multiband properties of self-similar fractals can be advantageously exploited to design multiband frequency selective surfaces (FSS). A Sierpinski dipole FSS has been analyzed and measured and the results show an interesting dual-band behavior. Furthermore a near-field measurement technique is applied to characterize the FSS response to different angles of incidence. Finally, it will be shown that it is possible to tune the FSS response by properly perturbating the geometry of the Sierpinski dipole.</t>
  </si>
  <si>
    <t>1097-1105</t>
  </si>
  <si>
    <t>60000251-60007592;60000251-60027550</t>
  </si>
  <si>
    <t>56883021900;7102110120</t>
  </si>
  <si>
    <t>Romeu, Jordi;Rahmat-Samii, Yahya</t>
  </si>
  <si>
    <t>United States;Spain;United States</t>
  </si>
  <si>
    <t>Los Angeles;Barcelona;New York</t>
  </si>
  <si>
    <t>University of California, Los Angeles;Universitat Polit√®cnica de Catalunya;IEEE</t>
  </si>
  <si>
    <t>60027550;60007592;60000251</t>
  </si>
  <si>
    <t>Romeu J.</t>
  </si>
  <si>
    <t>Fractal FSS: a novel dual-band frequency selective surface</t>
  </si>
  <si>
    <t>10.1109/8.876329</t>
  </si>
  <si>
    <t>2-s2.0-0034217205</t>
  </si>
  <si>
    <t>['simultaneous equations', 'series representations', 'rigorous solution', 'reflection coefficient', 'plate waveguide', 'fourier transform', 'existing results', 'boundary conditions']</t>
  </si>
  <si>
    <t>A rigorous solution of coaxially fed monopole antenna radiation into a parallel-plate waveguide is obtained. The Fourier transform/series representations are used to represent scattered fields and the boundary conditions are enforced to obtain the simultaneous equations for discrete modal coefficients. Fast convergent series of the reflection coefficient is obtained and compared with other existing results.</t>
  </si>
  <si>
    <t>1142-1144</t>
  </si>
  <si>
    <t>60032144;60032144;60032144</t>
  </si>
  <si>
    <t>55112893800;7404468967;7103154434</t>
  </si>
  <si>
    <t>Eom, Hyo J.;Cho, Yong H.;Kwon, Min S.</t>
  </si>
  <si>
    <t>Eom H.</t>
  </si>
  <si>
    <t>Monopole antenna radiation into a parallel-plate waveguide</t>
  </si>
  <si>
    <t>10.1109/8.876334</t>
  </si>
  <si>
    <t>2-s2.0-0034217210</t>
  </si>
  <si>
    <t>['worst sidelobe', 'two circumferences', 'task provides', 'optimized configurations', 'optimization algorithm', 'new method', 'much larger', 'minimum spacing', 'minimizing sidelobes', 'main beam', 'given direction', 'following constraints', 'first derivative', 'element shift', 'element position', 'beam pattern', 'array elements', 'array beam', 'another constraint', 'analytical expression']</t>
  </si>
  <si>
    <t>A new method of minimizing sidelobes of a large array whose element spacing is much larger than the wavelength has been developed. The analytical expression for the first derivative of the array beam in respect to the element shift of the array is obtained. Using this expression, it is possible to minimize the value of a beam pattern for a given direction. The minimization of the array's worst sidelobe is carried out iteratively. At each iteration, the worst sidelobe found is suppressed. A task in the National Radio Astronomy Observatory (NRAO) astronomical image processing system (AIPS) was written to apply the optimization algorithm. This task provides the optimization of the array's element position and plots the initial and optimized configurations. The optimization can be carried out under the following constraints: doughnut, two circumferences, topography, and minimum spacing between the array elements. Another constraint can be added. The area of the sidelobes' minimizing is the circle in the sky with the center at the main beam.</t>
  </si>
  <si>
    <t>1075-1078</t>
  </si>
  <si>
    <t>Kogan, Leonid</t>
  </si>
  <si>
    <t>National Radio Astronomy Observatory</t>
  </si>
  <si>
    <t>Kogan L.</t>
  </si>
  <si>
    <t>Optimizing a large array configuration to minimize the sidelobes</t>
  </si>
  <si>
    <t>10.1109/8.876326</t>
  </si>
  <si>
    <t>2-s2.0-0034217211</t>
  </si>
  <si>
    <t>Chalmers Tekniska H√∂gskola</t>
  </si>
  <si>
    <t>643/16787918/00015</t>
  </si>
  <si>
    <t>['waveguide radius', 'tm modes', 'te modes', 'smooth ones', 'significant advantages', 'results characterizing', 'reflected power', 'radiating open', 'polarization level', 'nonmonotonic dependence', 'matching method', 'layer region', 'large diameters', 'independent subsystem', 'hard waveguides', 'frequency band', 'element spacing', 'central region', 'calculations show', 'aperture efficiency', 'also given']</t>
  </si>
  <si>
    <t>An infinite planar periodic antenna array of radiating open-ended circular waveguides is considered. The conducting waveguide walls are covered with dielectric layers loaded with longitudinal conducting strips for providing the hard wall boundary condition. Analysis of the array is carried out by the mode-matching method. The waveguide modes involved in the method are calculated by using the asymptotic strip boundary condition. It is shown that they are split into an independent subsystem of TE modes for the whole cross section and two independent subsystems of TM modes: one is for the central region and another is for the layer region. The calculations show that the operation of the hard waveguides in an array with small element spacing is similar to that of the multimode smooth wall waveguides completely filled with dielectric. For large diameters and element spacing, the hard waveguides have significant advantages over the smooth ones. It is shown that unlike an individual hard waveguide, the aperture efficiency of such a waveguide in array has a nonmonotonic dependence on the waveguide radius. The results characterizing the behavior of the aperture efficiency and cross-polarization level in a frequency band as well as the contribution of certain waveguide modes in the reflected power are presented and discussed. The examples of the element patterns corresponding to minimal cross polarization are also given.</t>
  </si>
  <si>
    <t>1106-1114</t>
  </si>
  <si>
    <t>60000251-60096210;60000251-60000990</t>
  </si>
  <si>
    <t>7004164152;7101988263</t>
  </si>
  <si>
    <t>Skobelev, Sergei P.;Kildal, Per Simon</t>
  </si>
  <si>
    <t>Russian Federation;Sweden;United States</t>
  </si>
  <si>
    <t>Moscow;Gothenburg;New York</t>
  </si>
  <si>
    <t>Joint-Stock Company Radiophyzika;Chalmers University of Technology;IEEE</t>
  </si>
  <si>
    <t>60096210;60000990;60000251</t>
  </si>
  <si>
    <t>Performance of an array of circular waveguides with strip-loaded dielectric hard walls</t>
  </si>
  <si>
    <t>10.1109/8.876330</t>
  </si>
  <si>
    <t>2-s2.0-0034217249</t>
  </si>
  <si>
    <t>['return loss', 'radiation patterns', 'measured results', 'matching software', 'low sidelobes', 'geostationary satellite', 'earth coverage', 'corrugated horns', 'axial ratio']</t>
  </si>
  <si>
    <t>A new multimode corrugated horn is described for full-earth coverage from a geostationary satellite. The horn has low sidelobes, low cross polarization, and is compact. We outline the design of this horn and compare its performance with other circular horn types, including conventional single and multimode-corrugated horns and dielectric loaded horns. A design was fabricated and measured results are described for return loss, radiation patterns, and axial ratio. These measurements demonstrate excellent agreement with computer predictions using mode-matching software.</t>
  </si>
  <si>
    <t>1125-1133</t>
  </si>
  <si>
    <t>60030000;60000251-60030000;60000251-60030000</t>
  </si>
  <si>
    <t>7003474509;7202832083;7201399131</t>
  </si>
  <si>
    <t>Granet, Christophe;Bird, Trevor S.;James, Graeme L.</t>
  </si>
  <si>
    <t>Sydney;New York</t>
  </si>
  <si>
    <t>CSIRO Industrial Physics;IEEE</t>
  </si>
  <si>
    <t>60030000;60000251</t>
  </si>
  <si>
    <t>Granet C.</t>
  </si>
  <si>
    <t>Compact multimode horn with low sidelobes for global earth coverage</t>
  </si>
  <si>
    <t>10.1109/8.876332</t>
  </si>
  <si>
    <t>2-s2.0-0034217264</t>
  </si>
  <si>
    <t>['proposed antennas', 'novel double', 'gain applications', 'focusing effect', 'field distribution', 'cavity model']</t>
  </si>
  <si>
    <t>Novel double-layer microstrip array antennas are introduced for high-gain applications. In the proposed antennas, the complex and lossy feed network is not needed. Rather the double structure provides the field distribution at the aperture for the beam-focusing effect. A relatively simple design method based on a cavity model is presented.</t>
  </si>
  <si>
    <t>1033-1035</t>
  </si>
  <si>
    <t>60000251-60017536;60000251-60017536</t>
  </si>
  <si>
    <t>7201941123;7410158021</t>
  </si>
  <si>
    <t>Hsieh, Tung Hung;Lee, Choon Sae</t>
  </si>
  <si>
    <t>Dallas;New York</t>
  </si>
  <si>
    <t>Southern Methodist University;IEEE</t>
  </si>
  <si>
    <t>60017536;60000251</t>
  </si>
  <si>
    <t>Hsieh T.</t>
  </si>
  <si>
    <t>Double-layer high-gain microstrip array antenna</t>
  </si>
  <si>
    <t>10.1109/8.876320</t>
  </si>
  <si>
    <t>2-s2.0-0034217266</t>
  </si>
  <si>
    <t>['two dual', 'tissue lowers', 'simulated results', 'reasonable agreement', 'particular interest', 'paper presents', 'operator tissue', 'method simulations', 'little influence', 'key indicators', 'individual branches', 'experimental study', 'experimental measurements', 'diversity performance', 'diversity operation', 'diversity gain', 'difference time', 'approaches indicating', '5 db']</t>
  </si>
  <si>
    <t>This paper presents a computational and experimental study of the diversity performance of two dual-antenna handsets operating indoor in the 902-928 MHz industrial, scientific, and medical (ISM) band. Of particular interest is the effect of the operator tissue on the diversity operation. Key indicators of diversity gain such as branch mean effective gain (MEG) and envelope correlation coefficient are obtained from finite-difference time-domain (FDTD) method simulations as well as from experimental measurements in three different indoor environments. Diversity gain for the handsets is also measured directly. Reasonable agreement is observed between the experimental and simulated results, with both approaches indicating that while the tissue lowers the MEG of individual branches by 3-5 dB, it has little influence on the handset overall diversity performance.</t>
  </si>
  <si>
    <t>1017-1024</t>
  </si>
  <si>
    <t>60006832;60000251-60006832</t>
  </si>
  <si>
    <t>55017512500;35597296700</t>
  </si>
  <si>
    <t>Green, Bruce M.;Jensen, Michael A.</t>
  </si>
  <si>
    <t>Provo;New York</t>
  </si>
  <si>
    <t>Brigham Young University;IEEE</t>
  </si>
  <si>
    <t>60006832;60000251</t>
  </si>
  <si>
    <t>Green B.</t>
  </si>
  <si>
    <t>Diversity performance of dual-antenna handsets near operator tissue</t>
  </si>
  <si>
    <t>10.1109/8.876318</t>
  </si>
  <si>
    <t>2-s2.0-0034217272</t>
  </si>
  <si>
    <t>['wave method', 'using tapered', 'slot antennas', 'printed antennas', 'new method', 'method yields', 'feed network', 'desired frequency', 'characterizing phased', 'back measurements', 'back configuration', 'array antennas']</t>
  </si>
  <si>
    <t>A back-to-back measurement method for characterizing phased-array antennas is described. The method yields the complex active impedance of an antenna in a large phased array at any desired frequency and scan angle without the need of a feed network to excite the antenna under test. This avoids the cost and de-embedding procedure associated with the feed network. Measurements are performed by using two different transmission networks to connect identical arrays in a back-to-back configuration. The new method is particularly well suited to printed antennas and is illustrated by using tapered-slot antennas. Back-to-back measurements in waveguide simulators compare well to traditional waveguide simulator measurements and measurements in an anechoic chamber compare well to results from computer codes based on full-wave method of moments.</t>
  </si>
  <si>
    <t>1079-1085</t>
  </si>
  <si>
    <t>60014313;60002959;60000251-60014313</t>
  </si>
  <si>
    <t>55176567600;56956627100;7006791463</t>
  </si>
  <si>
    <t>Chang, Wei Chun;Wunsch, Gregory J.;Schaubert, Daniel H.</t>
  </si>
  <si>
    <t>Amherst MA;Bethesda;New York</t>
  </si>
  <si>
    <t>University of Massachusetts Amherst;Lockheed Martin Corporation;IEEE</t>
  </si>
  <si>
    <t>60014313;60002959;60000251</t>
  </si>
  <si>
    <t>Chang W.</t>
  </si>
  <si>
    <t>Back-to-back measurement for characterization of phased-array antennas</t>
  </si>
  <si>
    <t>10.1109/8.876327</t>
  </si>
  <si>
    <t>2-s2.0-0034217275</t>
  </si>
  <si>
    <t>['triangular patch', 'side edges', 'results show', 'proposed dual', 'proposed design', 'proposed broad', 'polarization planes', 'novel dual', 'narrow slots', 'narrow slot', 'inserted slots', 'frequency operation', 'bottom edge', 'band operations', 'band operation', 'band designs', 'band design', 'antenna bandwidth', '6 times']</t>
  </si>
  <si>
    <t>By loading properly arranged slots in an equilateral-triangular microstrip patch, novel dual-frequency and broad-band operations of a single-feed triangular microstrip antenna are presented. For dual-frequency operation, the proposed design is achieved by loading two pair of narrow slots in the triangular patch, one embedded close to the side edges of the patch and the other inserted at the bottom edge of the patch. The obtained two operating frequencies are of same polarization planes and by varying the positions and lengths of the inserted slots at the bottom edge of the patch, a tunable frequency ratio of the two frequencies ranging from about 1.16 to 2.06 is obtained. Furthermore, it is found that by protruding a narrow slot out of the embedded slots close to the side edges, broad-band operation of the triangular microstrip antenna near its fundamental resonant mode can be achieved. Results show that the antenna bandwidth of the proposed broad-band design can be greater than 2.6 times that of a conventional triangular microstrip antenna. Details of the proposed dual-frequency and broad-band designs are described and typical experimental results are presented and discussed.</t>
  </si>
  <si>
    <t>1048-1054</t>
  </si>
  <si>
    <t>60000251-60116768;60011357;60000251-60011357</t>
  </si>
  <si>
    <t>7601561423;57213741151;35460663000</t>
  </si>
  <si>
    <t>Lu, Jui Han;Tang, Chia Luan;Wong, Kin Lu</t>
  </si>
  <si>
    <t>Taiwan;Taiwan;United States</t>
  </si>
  <si>
    <t>Kaohsiung;Kaohsiung;New York</t>
  </si>
  <si>
    <t>National Kaohsiung University of Science and Technology;National Sun Yat-Sen University;IEEE</t>
  </si>
  <si>
    <t>60116768;60011357;60000251</t>
  </si>
  <si>
    <t>Novel dual-frequency and broad-band designs of slot-loaded equilateral triangular microstrip antennas</t>
  </si>
  <si>
    <t>10.1109/8.876323</t>
  </si>
  <si>
    <t>2-s2.0-0034217319</t>
  </si>
  <si>
    <t>['transient connectivity', 'thus reducing', 'systems using', 'stations using', 'stations access', 'sophisticated csma', 'smart antennas', 'sdma protocol', 'sdma networks', 'recently however', 'portable signalling', 'performance improvements', 'operating parameter', 'much higher', 'interfering stations', 'included systems', 'hidden stations', 'csma systems', 'csma objective', 'coherence time', 'channel collisions', 'capacity performance', 'capacity models', 'beam system', 'basic version', 'basic csma', 'based protocols', 'also present']</t>
  </si>
  <si>
    <t>Studies have considered the possible performance improvements when smart antennas are used in packet-switched data networks. This work has included systems which operate using various ALOHA, polling, and reservation-based protocols. Recently however, a single-beam system was described which uses a smart antenna basestation to communicate with a set of stations using a carrier sense multiple access (CSMA) protocol. In this system, performance improvements are obtained by having the antenna dynamically point pattern nulls in the direction of interfering stations, thus reducing the effects of channel collisions. In this paper, we consider the performance of CSMA systems where stations access a smart antenna basestation using multibeam SDMA. As in other SDMA networks, the objective is for the basestation to transmit or receive multiple packets simultaneously. A basic CSMA/SDMA protocol is proposed for this purpose. Note that unlike conventional systems, the CSMA objective of isolating a single successful transmission is not desirable. Instead, our protocol uses carrier-sensing to synchronize various smart antenna operations. In this paper we also present a more sophisticated CSMA/SDMA protocol which incorporates novel basestation/portable signalling which mitigates the effects of hidden stations. The proposed mechanism takes into account the transient connectivity of such systems using the coherence time of the channel as an operating parameter. The performance of these systems is characterized and compared using analytical throughput/capacity models and mean delay simulations. It is shown that when hidden station effects are present, the capacity performance of the more sophisticated protocol may be much higher than that of the basic version.</t>
  </si>
  <si>
    <t>133-148</t>
  </si>
  <si>
    <t>International Journal of Wireless Information Networks</t>
  </si>
  <si>
    <t>60031828;60031828-60014171-60021378-100356255</t>
  </si>
  <si>
    <t>6507147812;7101635609</t>
  </si>
  <si>
    <t>Sakr, Charbel;Todd, Terence D.</t>
  </si>
  <si>
    <t>Canada;United States;Canada;United Kingdom</t>
  </si>
  <si>
    <t>Hamilton;Murray;Waterloo;Cambridge (ex Galt)</t>
  </si>
  <si>
    <t>McMaster University;Nokia Bell Labs;University of Waterloo;Olivetti and Oracle Res. Laboratory</t>
  </si>
  <si>
    <t>60031828;60021378;60014171;100356255</t>
  </si>
  <si>
    <t>Sakr C.</t>
  </si>
  <si>
    <t>Carrier-sense protocols for packet-switched smart antenna basestations</t>
  </si>
  <si>
    <t>10.1023/A:1009589512000</t>
  </si>
  <si>
    <t>2-s2.0-0034217333</t>
  </si>
  <si>
    <t>['two stubs', 'theoretical results', 'good agreement', 'frequency operation', 'feed axis', 'experimental results', 'exhibits dual']</t>
  </si>
  <si>
    <t>A circular microstrip antenna loaded along its feed axis with either one stub or two stubs has been analyzed using improved linear transmission line model. When the length of the stub is small, the frequency is tuned over 9% range in L-band and, when it is comparable to Œª/4, it exhibits dual-frequency operation. The experimental results are in good agreement with the theoretical results.</t>
  </si>
  <si>
    <t>1036-1039</t>
  </si>
  <si>
    <t>60000251-60070264;60000251-60014153</t>
  </si>
  <si>
    <t>India;India;United States</t>
  </si>
  <si>
    <t>Chennai;Mumbai;New York</t>
  </si>
  <si>
    <t>SAMEER-Centre for Electromagnetics India;Indian Institute of Technology Bombay;IEEE</t>
  </si>
  <si>
    <t>60070264;60014153;60000251</t>
  </si>
  <si>
    <t>Tuneable and dual-band circular microstrip antenna with stubs</t>
  </si>
  <si>
    <t>10.1109/8.876321</t>
  </si>
  <si>
    <t>2-s2.0-0034217340</t>
  </si>
  <si>
    <t>NSC 89-2218-E-009-041</t>
  </si>
  <si>
    <t>['usually produce', 'trained sonfin', 'take use', 'resolution direction', 'recent years', 'received radar', 'real time', 'proposed scheme', 'powerful self', 'phase difference', 'new high', 'new algorithm', 'neural networks', 'network structure', 'network size', 'network parameters', 'multilayer perceptron', 'line structure', 'large ).', 'give high', 'extra problems', 'estimation accuracy', 'empirically determining', 'e .,', 'doa estimation', 'convergence accuracy', 'computationally intensive', 'become popular', 'array signals', 'always find']</t>
  </si>
  <si>
    <t>A new high-resolution direction of arrival (DOA) estimation technique using a neural fuzzy network based on phase difference (PD) is proposed in this paper. The conventional DOA estimation method such as MUSIC and MLE, are computationally intensive and difficult to implement in real time. To attach these problems, neural networks have become popular for DOA estimation in recent years. However, the normal neural networks such as multilayer perceptron (MLP) and radial basis function network (RBFN) usually produce the extra problems of low convergence speed and/or large network size (i.e., the number of network parameters is large). Also, the way to decide the network structure is heuristic. To overcome these defects and take use of neural learning ability, a powerful self-constructing neural fuzzy inference network (SONFIN) is used to develop a new DOA estimation algorithm in this paper. By feeding the PD's of received radar-array signals, the trained SONFIN can give high-resolution DOA estimation. The proposed scheme is thus called PD-SONFIN. This new algorithm avoids the need of empirically determining the network size and parameters in normal neural networks due to the powerful on-line structure and parameter learning ability of SONFIN. The PD-SONFIN can always find itself an economical network size in fast learning process. Our simulation results show that the performance of the new algorithm is superior to the RBFN in terms of convergence accuracy, estimation accuracy, sensitivity to noise, and network size.</t>
  </si>
  <si>
    <t>1115-1124</t>
  </si>
  <si>
    <t>36784500600;8942403600</t>
  </si>
  <si>
    <t>Shieh, Ching Sung;Lin, Chin Teng</t>
  </si>
  <si>
    <t>Shieh C.</t>
  </si>
  <si>
    <t>Direction of arrival estimation based on phase differences using neural fuzzy network</t>
  </si>
  <si>
    <t>10.1109/8.876331</t>
  </si>
  <si>
    <t>2-s2.0-0034217341</t>
  </si>
  <si>
    <t>['time integration', 'newmark algorithm', 'krylov solver', 'experimental data', 'deduced thanks']</t>
  </si>
  <si>
    <t>In this paper an implicit Finite Element Time Domain (FETD) method is applied to the computation of the electromagnetic fields emitted by a commercial broadband log periodic antenna. The method is based on a Whitney edge finite element scheme for the space discretization together with a Newmark algorithm and a Krylov solver for the time integration. Global antenna performances are deduced thanks to a discrete Fourier Transform and a boundary element extrapolation, and are compared with experimental data.</t>
  </si>
  <si>
    <t>892-896</t>
  </si>
  <si>
    <t>4 I</t>
  </si>
  <si>
    <t>IEEE Transactions on Magnetics</t>
  </si>
  <si>
    <t>60000251-60000964;60000964;60000964;60000251-60000964</t>
  </si>
  <si>
    <t>35614216300;8041572100;23011189000;7005478569</t>
  </si>
  <si>
    <t>Geuzaine, Christophe;Meys, Beno√Æt;Beauvois, V√©ronique;Legros, Willy</t>
  </si>
  <si>
    <t>Belgium;United States</t>
  </si>
  <si>
    <t>Liege;New York</t>
  </si>
  <si>
    <t>Universit√© de Li√®ge;IEEE</t>
  </si>
  <si>
    <t>60000964;60000251</t>
  </si>
  <si>
    <t>Geuzaine C.</t>
  </si>
  <si>
    <t>FETD approach for the modeling of antennas</t>
  </si>
  <si>
    <t>10.1109/20.877587</t>
  </si>
  <si>
    <t>2-s2.0-0034217585</t>
  </si>
  <si>
    <t>['wire time', 'voltage source', 'voltage generator', 'paper deals', 'multiple junctions', 'electromagnetic perturbation', 'electric circuits', 'electric circuit', 'antenna theory', 'angular points']</t>
  </si>
  <si>
    <t>This paper deals with the modeling of the susceptibility of electric circuits. A thin-wire time-domain integral formulation based on the antenna theory is used to calculate both conducted current due to a voltage generator and induced current due to an electromagnetic perturbation. Special numerical treatment is used for angular points and multiple junctions in the electric circuit. Voltage source can be inserted in the model. Non linear components, such as diodes or transistors, are described under their high frequency behavior.</t>
  </si>
  <si>
    <t>960-963</t>
  </si>
  <si>
    <t>60030981;60030981;60023578</t>
  </si>
  <si>
    <t>7004395203;7006319312;6602137771</t>
  </si>
  <si>
    <t>Bost, Fran√ßois;Nicolas, Laurent;Rojat, G√©rard</t>
  </si>
  <si>
    <t>Ecully;Villeurbanne</t>
  </si>
  <si>
    <t>√âcole Centrale de Lyon;Universit√© Claude Bernard Lyon 1</t>
  </si>
  <si>
    <t>60030981;60023578</t>
  </si>
  <si>
    <t>Bost F.</t>
  </si>
  <si>
    <t>Study of conduction and induction phenomena in electric circuits using a time-domain integral formulation</t>
  </si>
  <si>
    <t>10.1109/20.877601</t>
  </si>
  <si>
    <t>2-s2.0-0034219620</t>
  </si>
  <si>
    <t>['semicircular reflector', 'selected antenna', 'present work', 'optimization procedure', 'numerical results', 'hyperthermia treatment', 'closed form', 'biological medium', 'array antenna']</t>
  </si>
  <si>
    <t>In the present work the synthesis of an array antenna for hyperthermia treatment is developed. The selected antenna is an array antenna surrounded by a semicircular reflector which has shown to ease the penetration and focalization in malignant biological tissues. A bolus is introduced as a protection in order to avoid an increasing heat hazard of superficial healthy tissues. The electric field within the biological medium will be modeled by means of the well known method of moments. The electromagnetic coupling problem is expressed in a closed form, enabling both a synthesis and an optimization procedure to be performed. Numerical results are included, illustrating the capabilities of the array antenna.</t>
  </si>
  <si>
    <t>1696-1699</t>
  </si>
  <si>
    <t>6602427978;55939570500;7003784434</t>
  </si>
  <si>
    <t>Sabariego, Ruth V.;Landesa, Luis;Obelleiro, Fernando</t>
  </si>
  <si>
    <t>Sabariego R.V.</t>
  </si>
  <si>
    <t>Synthesis of an array antenna for hyperthermia applications</t>
  </si>
  <si>
    <t>10.1109/20.877769</t>
  </si>
  <si>
    <t>2-s2.0-0034223314</t>
  </si>
  <si>
    <t>['used widely', 'tower struck', 'tem mode', 'shield wire', 'phase conductors', 'phase conductor', 'newly proposed', 'much lower', 'lightning currents', 'insulator voltages', 'footing resistance', 'emtp multi', 'coupling coefficient', 'conductor analyses']</t>
  </si>
  <si>
    <t>Lightniog surge characteristics of a transmission line comprising a tower, a shield wire and phase conductors are studied with the help of NEC-2. A tower struck by a lightning stroke behaves as an antenna until a traveling wave makes several roundtrips in the tower. During this interval, the tower footing impedance appears to be higher than the footing resistance, and the coupling coefficient between a shield wire and a phase conductor is much lower than that in the TEM mode. These affect the estimation of insulator voltages of transmission towers subject to lightning currents having short rise times. On the basis of these findings, the parameters in the multistory tower model, which has been used widely in EMTP multi-conductor analyses, are newly proposed.</t>
  </si>
  <si>
    <t>1010-1015</t>
  </si>
  <si>
    <t>IEEE Transactions on Power Delivery</t>
  </si>
  <si>
    <t>60000251-60010726;60000251-60025272</t>
  </si>
  <si>
    <t>35551223100;55513639500</t>
  </si>
  <si>
    <t>Baba, Yoshihiro;Ishii, Masaru</t>
  </si>
  <si>
    <t>The University of Tokyo;Doshisha University;IEEE</t>
  </si>
  <si>
    <t>60025272;60010726;60000251</t>
  </si>
  <si>
    <t>Numerical electromagnetic field analysis on lightning surge response of tower with shield wire</t>
  </si>
  <si>
    <t>10.1109/61.871367</t>
  </si>
  <si>
    <t>2-s2.0-0034223748</t>
  </si>
  <si>
    <t>['type antenna', 'tlm formulations', 'radiation properties', 'logging tools', 'frequency domains', 'cylindrical coordinates', 'conductive medium']</t>
  </si>
  <si>
    <t>Absorbing media | Inhomogeneous media | Matrix methods | Simulation | Time domain analysis | Transmission line</t>
  </si>
  <si>
    <t>A three-dimensional (3-D) transmission line matrix method (TLM) in cylindrical coordinates for simulation of logging tools is formulated and programmed. The radiation properties of a coil-type antenna in conductive medium are analyzed and simulated with TLM formulations. The symmetrical condensed nodes (SCN) are adopted. This algorithm can be applied to both induction and measuring-while-drilling (MWD) tools in both time and frequency domains, and the formation can be anisotropic. Perfectly matched layer (PML) absorbing boundary conditions are used to simulate infinite boundary in real logging situations. Verifications and some examples are presented. ¬© 2000 IEEE.</t>
  </si>
  <si>
    <t>1522-1529</t>
  </si>
  <si>
    <t>60010421-60005837;60000251-60005837</t>
  </si>
  <si>
    <t>57196159181;53878205000</t>
  </si>
  <si>
    <t>Li, Jing;Liu, Ce</t>
  </si>
  <si>
    <t>Chengdu;Houston;New York</t>
  </si>
  <si>
    <t>Southwest Jiaotong University;University of Houston;IEEE</t>
  </si>
  <si>
    <t>60010421;60005837;60000251</t>
  </si>
  <si>
    <t>A three-dimensional transmission line matrix method (TLM) for simulations of logging tools</t>
  </si>
  <si>
    <t>S0196289200059039</t>
  </si>
  <si>
    <t>10.1109/36.851952</t>
  </si>
  <si>
    <t>2-s2.0-0034224101</t>
  </si>
  <si>
    <t>MEXT</t>
  </si>
  <si>
    <t>['work properly', 'target positions', 'space available', 'small stones', 'seriously limited', 'resolution technique', 'real tests', 'necessarily uniform', 'locating targets', 'experiments show', 'experimental site', 'developed algorithm', 'conducting cylinder', 'computer simulation', 'based algorithm', 'also shown']</t>
  </si>
  <si>
    <t>In this paper, an analytical method based on the multiple signal classification (MUSIC) algorithm is applied to three-dimensional (3-D) estimation of target positions using a directional borehole radar. A cylindrical conformal array on a conducting cylinder in a borehole was used for experimental measurements estimating the position of targets. It is also shown that the algorithm provides much better resolution than the Fourier-based algorithm in both a computer simulation and real tests. Soil at the experimental site is not necessarily uniform, and there can be many clutter sources such as small stones in the subsurface. For this situation, it is difficult for the super-resolution technique to work properly. Results of the experiments show that the super-resolution technique for locating targets, despite being seriously limited by both the space available for the array and the bandwidth, is promising for directional borehole radar. In the developed algorithm, it is assumed that the distribution of electromagnetic constants inside a borehole is known before estimation of target positions.</t>
  </si>
  <si>
    <t>1725-1732</t>
  </si>
  <si>
    <t>60000251-60008435;60000251-60008435;60000251-60008435</t>
  </si>
  <si>
    <t>57213190913;7405726997;7006500813</t>
  </si>
  <si>
    <t>Ebihara, Satoshi;Sato, Motoyuki;Niitsuma, Hiroaki</t>
  </si>
  <si>
    <t>Sendai;New York</t>
  </si>
  <si>
    <t>Tohoku University;IEEE</t>
  </si>
  <si>
    <t>60008435;60000251</t>
  </si>
  <si>
    <t>Ebihara S.</t>
  </si>
  <si>
    <t>Super-resolution of coherent targets by a directional borehole radar</t>
  </si>
  <si>
    <t>10.1109/36.851971</t>
  </si>
  <si>
    <t>2-s2.0-0034224372</t>
  </si>
  <si>
    <t>['radiated power', 'power circuit', 'frequency range', 'experimental results', 'emi aspects', 'copper tracks', 'antenna theory', '8 mhz', '300 mhz', '30 mhz']</t>
  </si>
  <si>
    <t>In this paper, some EMI aspects of using coreless PCB transformers are addressed. Based on the antenna theory, the radiated power of a coreless PCB transformer is estimated and found to be negligible. The electromagnetic field plot of a power electronic circuit using a gate drive circuit isolated by a coreless PCB transformer has been recorded. The major radiated EMI source in the frequency range of 30 MHz to 300 MHz is found to be the copper tracks of the power circuit, where switching transients occur, rather than the coreless PCB transformer. Coreless PCB transformers essentially operate at relatively low frequency (8 MHz in this case) by near-field magnetic coupling. Experimental results have confirmed that the application of coreless PCB transformer in gate drive circuit will not impose any serious EMI problem on the power electronic circuit.</t>
  </si>
  <si>
    <t>805-810</t>
  </si>
  <si>
    <t>IEEE Transactions on Power Electronics</t>
  </si>
  <si>
    <t>60000251-60013983;60000251-60013983;60000251-60013983</t>
  </si>
  <si>
    <t>7202831744;24340444700;7404007467</t>
  </si>
  <si>
    <t>Hui, S. Y.;Tang, S. C.;Chung, Henry Shu Hung</t>
  </si>
  <si>
    <t>Kowloon;New York</t>
  </si>
  <si>
    <t>City University of Hong Kong;IEEE</t>
  </si>
  <si>
    <t>60013983;60000251</t>
  </si>
  <si>
    <t>Hui S.Y.</t>
  </si>
  <si>
    <t>Some electromagnetic aspects of coreless PCB transformers</t>
  </si>
  <si>
    <t>10.1109/63.849052</t>
  </si>
  <si>
    <t>2-s2.0-0034224695</t>
  </si>
  <si>
    <t>['united states', 'typical urban', 'time processing', 'subsequent equalizer', 'study space', 'significant improvement', 'results show', 'performance due', 'link performance', 'joint equalization', 'intersymbol interference', 'interference suppression', 'interference ratio', 'global evolution', 'feedback filter', 'diversity receiver', 'diversity branch', 'channel decoder', 'air interface']</t>
  </si>
  <si>
    <t>Enhanced Data Rates for Global Evolution (EDGE) is currently being standardized as an evolution of GSM in Europe and of IS-136 in the United States as an air interface for high speed data services for third generation mobile systems. In this paper, we study space-time processing for EDGE to provide interference suppression. We consider the use of two receive antennas and propose a joint equalization and diversity receiver. This receiver uses feedforward filters on each diversity branch to perform minimum mean-square error cochannel interference suppression, while leaving the intersymbol interference to be mitigated by the subsequent equalizer. The equalizer is a delayed decision feedback sequence estimator, consisting of a reduced-state Viterbi processor and a feedback filter. The equalizer provides soft output to the channel decoder after deinterleaving. We describe a novel weight generation algorithm and present simulation results on the link performance of EDGE with interference suppression. These results show a significant improvement in the signal-to-interference ratio (SIR) performance due to both diversity (against fading) and interference suppression. At a 10% block error rate, the proposed receiver provides a 20 dB improvement in SIR for both the typical urban and hilly terrain profiles.</t>
  </si>
  <si>
    <t>1214-1220</t>
  </si>
  <si>
    <t>100358783;60014300;60014300</t>
  </si>
  <si>
    <t>7006783653;7102662778;7005307748</t>
  </si>
  <si>
    <t>Ariyavisitakul, Sirikiat Lek;Winters, Jack H.;Sollenberger, Nelson R.</t>
  </si>
  <si>
    <t>San Antonio;Norcross</t>
  </si>
  <si>
    <t>AT&amp;T Inc.;Home Wireless Networks</t>
  </si>
  <si>
    <t>60014300;100358783</t>
  </si>
  <si>
    <t>Ariyavisitakul S.</t>
  </si>
  <si>
    <t>Joint equalization and interference suppression for high data rate wireless systems</t>
  </si>
  <si>
    <t>10.1109/49.857921</t>
  </si>
  <si>
    <t>2-s2.0-0034225222</t>
  </si>
  <si>
    <t>['interface trap', 'field stress', 'excellent resistance', 'electrical properties', 'bulk charge', 'boron penetration']</t>
  </si>
  <si>
    <t>This paper focuses attention on electrical properties of ultra-thin silicon nitride films grown by radial line slot antenna high-density plasma system at a temperature of 400¬∞C as an advanced gate dielectric film. The results show low density of interface trap and bulk charge, lower leakage current than jet vapor deposition silicon nitride and thermally grown silicon oxide with same equivalent oxide thickness. Furthermore, they represent high breakdown field intensity, almost no stress-induced leakage current, very little trap generation even in high-field stress, and excellent resistance to boron penetration and oxidation.</t>
  </si>
  <si>
    <t>1370-1374</t>
  </si>
  <si>
    <t>IEEE Transactions on Electron Devices</t>
  </si>
  <si>
    <t>60008435;60008435;60008435;60000251-60008435</t>
  </si>
  <si>
    <t>7102622481;56939600700;7202476162;36045550500</t>
  </si>
  <si>
    <t>Sekine, Katsuyuki;Saito, Yuji;Hirayama, Masaki;Ohmi, Tadahiro</t>
  </si>
  <si>
    <t>Sekine K.</t>
  </si>
  <si>
    <t>Highly robust ultrathin silicon nitride films grown at low-temperature by microwave-excitation high-density plasma for giga scale integration</t>
  </si>
  <si>
    <t>10.1109/16.848279</t>
  </si>
  <si>
    <t>2-s2.0-0034225418</t>
  </si>
  <si>
    <t>NSC-87-2721-2317-200</t>
  </si>
  <si>
    <t>['wafer edge', 'wafer center', 'various 3', 'tunneling current', 'thin oxides', 'significantly suppressed', 'pure oxides', 'pmos devices', 'plasma damage', 'nmos devices', 'nitrided oxides', 'induced damage', 'charging damage', 'breakdown measurements', 'also found']</t>
  </si>
  <si>
    <t>Plasma-induced damage in various 3-nm-thick gate oxides (i.e., pure oxides and N2O-nitrided oxides) was investigated by subjecting both nMOS and pMOS antenna devices to a photoresist ashing step after metal pad definition. Both charge-to-breakdown and gate leakage current measurements indicated that large leakage current occurs at the wafer center as well as the wafer edge for pMOS devices, while only at the wafer center for nMOS devices. These interesting observations could be explained by the strong polarity dependence of ultra-thin oxides in charge-to-breakdown measurements of nMOS devices. In addition, pMOS devices were found to be more susceptible to charging damage, which can be attributed to the intrinsic polarity dependence in tunneling current between n- and p-MOSFET,s. More importantly, our experimental results demonstrated that stress-induced leakage current (SILC) caused by plasma damage can be significantly suppressed in N2O-nitrided oxides, compared to pure oxides, especially for pMOS devices. Finally, nitrided oxides were also found to be more robust when subjected to high temperature stressing. Therefore, nitrided oxides appear to be very promising for reducing plasma charging damage in future ULSI technologies employing ultrathin gate oxides.</t>
  </si>
  <si>
    <t>1355-1360</t>
  </si>
  <si>
    <t>60012370;60000251-60015761;60000251-60012370;60018771;60012370;60012370;60000251-60012370-60015761;60015761</t>
  </si>
  <si>
    <t>7501965892;7405572215;56750287100;7202299502;13310372400;6603437183;7404961499;57202468279</t>
  </si>
  <si>
    <t>Chen, Chi Chun;Lin, Horng Chih;Chang, Chun Yen;Liang, Mong Song;Chien, Chao Hsin;Hsien, Szu Kang;Huang, Tiao Yuan;Chao, Tien Sheng</t>
  </si>
  <si>
    <t>Taiwan;Taiwan;Taiwan;United States</t>
  </si>
  <si>
    <t>Hsinchu;Hsinchu;Hsinchu;New York</t>
  </si>
  <si>
    <t>Taiwan Semiconductor Manufacturing Company;National Nano Device Laboratories Taiwan;National Chiao Tung University;IEEE</t>
  </si>
  <si>
    <t>60018771;60015761;60012370;60000251</t>
  </si>
  <si>
    <t>Plasma-induced charging damage in ultrathin (3-nm) gate oxides</t>
  </si>
  <si>
    <t>10.1109/16.848277</t>
  </si>
  <si>
    <t>2-s2.0-0034225788</t>
  </si>
  <si>
    <t>['positioned close', 'pavement profiling', 'investigated medium', 'inversion loop', 'inversion applied', 'field effects', 'experimental results', 'comprehensive analysis', 'aperture section']</t>
  </si>
  <si>
    <t>A comprehensive analysis of electromagnetic (EM) inversion applied to pavement profiling by using a monostatic ground penetrating radar (GPR) is presented. Since in GPR systems using transfers EM (TEM) horns, the antenna is positioned close to the investigated medium and a strong EM interaction occurs. This effect is taken into account by modeling the antenna with equivalent sources placed on the aperture section and by using an accurate EM modeling within the inversion loop in order to account for the contribution of near-field effects. Experimental results on the antenna modeling procedure and on a pavement profile estimation validate the feasibility of both the calibration and the inverse problem proposed.</t>
  </si>
  <si>
    <t>1936-1946</t>
  </si>
  <si>
    <t>4 II</t>
  </si>
  <si>
    <t>60023256;60000251-60023256</t>
  </si>
  <si>
    <t>55406639100;7003978442</t>
  </si>
  <si>
    <t>Gentili, Gian Guido;Spagnolini, Umberto</t>
  </si>
  <si>
    <t>Milan;New York</t>
  </si>
  <si>
    <t>Politecnico di Milano;IEEE</t>
  </si>
  <si>
    <t>60023256;60000251</t>
  </si>
  <si>
    <t>Electromagnetic inversion in monostatic ground penetrating radar: TEM horn calibration and application</t>
  </si>
  <si>
    <t>10.1109/36.851775</t>
  </si>
  <si>
    <t>2-s2.0-0034226383</t>
  </si>
  <si>
    <t>['work describes', 'wireless communications', 'surrounding components', 'standard 0', 'single die', 'quadrature generator', 'power amplifier', 'high level', 'final objective', 'direct quadrature', 'die area', 'conversion topology', '8 ghz', '6 mm2']</t>
  </si>
  <si>
    <t>This work describes the design and realization of a low voltage single-chip wireless transceiver front-end in a standard 0.25 Œºm CMOS technology. The presented prototype integrates the LNA, down-converters, VCO, quadrature generator, up-converter and pre-amplifier on a single die. A high level of integration is achieved by using a low-IF topology for reception, a direct quadrature up-conversion topology for transmission and an oscillator with on-chip integrated inductor. The final objective of this design is to develop a complete transceiver system for wireless communications at 1.8 GHz that can be built with a minimum of surrounding components: only an antenna, a duplexer, a power amplifier and a baseband signal processing chip. The presented circuit consumes 240 mW from a 2.5 V supply and occupies a die area of 8.6 mm2.</t>
  </si>
  <si>
    <t>83-99</t>
  </si>
  <si>
    <t>Analog Integrated Circuits and Signal Processing</t>
  </si>
  <si>
    <t>60025063-60018735-60027550;60025063;60025063;60025063;60025063-60018735-60025141;60025063-60021378;60025063;60025063-60018735-60025272;60025063-60018735-60007912;60025063-60025038</t>
  </si>
  <si>
    <t>34572758100;6701697044;7201733908;6602648236;35770857300;6701665105;6602087743;7004352984;35445143300;7102399083</t>
  </si>
  <si>
    <t>Steyaert, Michel S.J.;Borremans, Marc;Janssens, Johan;De Muer, Bram;Itoh, Nobuyuki;Craninckx, Jan;Crols, Jan;Morifuji, Eiji;Momose, Hisayo Sasaki;Sansen, Willy</t>
  </si>
  <si>
    <t>United States;Japan;Japan;Belgium;United States;United States;Japan;Japan</t>
  </si>
  <si>
    <t>Los Angeles;Tokyo;Tokyo;3000 Leuven;Berkeley;Murray;Tokyo;Tokyo</t>
  </si>
  <si>
    <t>University of California, Los Angeles;The University of Tokyo;Tokyo University of Science;KU Leuven;University of California, Berkeley;Nokia Bell Labs;Toshiba Corporation;Ochanomizu University</t>
  </si>
  <si>
    <t>60027550;60025272;60025141;60025063;60025038;60021378;60018735;60007912</t>
  </si>
  <si>
    <t>Steyaert M.</t>
  </si>
  <si>
    <t>Single-chip CMOS transceiver front-end for DCS-1800 wireless communications</t>
  </si>
  <si>
    <t>10.1023/A:1008326020149</t>
  </si>
  <si>
    <t>2-s2.0-0034226481</t>
  </si>
  <si>
    <t>['work develops', 'traditional clarke', 'time systems', 'time modem', 'time domain', 'paper extends', 'mobile unit', 'jakes model', 'interleaving depth', 'fading process', 'design rules', 'coherent space', 'antenna separation']</t>
  </si>
  <si>
    <t>This paper extends the traditional Clarke/Jakes model for a frequency flat fading process in a land mobile radio system to facilitate the examination of coherent space-time demodulation systems. The work develops a space-time correlation function using a ring of scatterers model around the mobile unit. The resulting correlation function permits the investigation of a variety of issues concerning base station configurations in space-time systems. The interrelationship of the fading process between the space and the time domain is explored. A detailed example regarding the effects of antenna separation in a receiver diversity system is considered. A set of design rules for interleaving depth and antenna separation in a space-time modem is presented and quantified.</t>
  </si>
  <si>
    <t>1175-1190</t>
  </si>
  <si>
    <t>60026638;60003500;100591134;60009254;101961900</t>
  </si>
  <si>
    <t>7405542463;7006406317;7202113187;55664103800;7102364054</t>
  </si>
  <si>
    <t>Chen, Tai Ann;Fitz, Michael P.;Kuo, Wen Yi;Zoltowski, Michael D.;Grimm, Jimm H.</t>
  </si>
  <si>
    <t>Finland;United States;United States;United States;United States</t>
  </si>
  <si>
    <t>Espoo;West Lafayette;Columbus;Herndon;</t>
  </si>
  <si>
    <t>Nokia Corporation;Purdue University;The Ohio State University;Grayson Wireless;Wiscom Technologies</t>
  </si>
  <si>
    <t>60026638;60009254;60003500;101961900;100591134</t>
  </si>
  <si>
    <t>Chen T.</t>
  </si>
  <si>
    <t>Space-time model for frequency nonselective Rayleigh fading channels with applications to space-time modems</t>
  </si>
  <si>
    <t>10.1109/49.857918</t>
  </si>
  <si>
    <t>2-s2.0-0034226544</t>
  </si>
  <si>
    <t>['reflected microwave', 'pvdf resin', 'contact angle', 'coating exhibited', '150 degrees']</t>
  </si>
  <si>
    <t>We developed a new water repellent coating consisting of PTFE particles dispersed in PVDF resin. This coating exhibited a contact angle of 150 degrees. By ice accreting test, the intensity of reflected microwave on the water-repellent coated plate did not decrease, whereas that on uncoated one decreased.</t>
  </si>
  <si>
    <t>1139-1141</t>
  </si>
  <si>
    <t>60022465;60002784;60025555</t>
  </si>
  <si>
    <t>55667020700;55290679100;57203645015</t>
  </si>
  <si>
    <t>Yamauchu, Goro;Takai, Kenichi;Saito, Hiroyuki</t>
  </si>
  <si>
    <t>Tokyo;Nagoya;Tokyo</t>
  </si>
  <si>
    <t>Nippon Telegraph and Telephone Corporation;Daido University;Sophia University</t>
  </si>
  <si>
    <t>60025555;60022465;60002784</t>
  </si>
  <si>
    <t>Yamauchu G.</t>
  </si>
  <si>
    <t>PTEE based water repellent coating for telecommunication antennas</t>
  </si>
  <si>
    <t>2-s2.0-0034226553</t>
  </si>
  <si>
    <t>['weight coefficients', 'stochastic method', 'steering direction', 'proposed approach', 'method acts', 'high flexibility', 'desired ones', 'array elements']</t>
  </si>
  <si>
    <t>A stochastic method is proposed that is aimed at designing a desired asymmetric beam pattern by a fully optimized linear array. The method acts on both the positrons and the weight coefficients of the array elements. The synthesized array configurations produce beam patterns that are similar to the desired ones and that keep their asymmetric profiles regardless of steering direction. The results obtained show the high flexibility of the proposed approach.</t>
  </si>
  <si>
    <t>347-350</t>
  </si>
  <si>
    <t>IEEE Journal of Oceanic Engineering</t>
  </si>
  <si>
    <t>Trucco, Andrea</t>
  </si>
  <si>
    <t>Genoa</t>
  </si>
  <si>
    <t>Universit√† degli Studi di Genova</t>
  </si>
  <si>
    <t>Trucco A.</t>
  </si>
  <si>
    <t>Synthesizing asymmetric beam patterns</t>
  </si>
  <si>
    <t>10.1109/48.855383</t>
  </si>
  <si>
    <t>2-s2.0-0034226748</t>
  </si>
  <si>
    <t>['secure deployment', 'rotational springs', 'reflective mesh', 'proper allocation', 'observed slightly', 'deployment experiment', 'deployment analysis', 'computational results', 'cables increase', 'cable network']</t>
  </si>
  <si>
    <t>Flexible multibody dynamics is applied to the deployment analysis of a large space antenna composed of a reflective mesh, a cable network and a deployable truss structure. It is clarified that the tension of some of the cables increase when the reflector is stowed. The largest deployment force is observed slightly before the completion of the deployment. A proper allocation of both translational and rotational springs can provide an efficient deployment force. A deployment experiment on a 4.8 m aperture reflector model verifies the computational results. It is concluded that a flexible multibody dynamics simulation is an indispensable design tool for reducing the weight and ensuring the secure deployment of low-cost mesh reflectors.</t>
  </si>
  <si>
    <t>19-26</t>
  </si>
  <si>
    <t>6701546237;7402305496;6602986506;7003764625</t>
  </si>
  <si>
    <t>Mitsugi, Jin;Ando, Kazuhide;Senbokuya, Yumi;Meguro, Akira</t>
  </si>
  <si>
    <t>Mitsugi J.</t>
  </si>
  <si>
    <t>Deployment analysis of large space antenna using flexible multibody dynamics simulation</t>
  </si>
  <si>
    <t>S009457650000014X</t>
  </si>
  <si>
    <t>10.1016/S0094-5765(00)00014-X</t>
  </si>
  <si>
    <t>2-s2.0-0034226984</t>
  </si>
  <si>
    <t>['wireless access', 'time domains', 'temporal filtering', 'taking advantage', 'suitable also', 'strongly endorsed', 'space domain', 'simpler sub', 'performed jointly', 'optimal space', 'observation interval', 'noise ratio', 'improves performance', 'future generation', 'flat spectrum', 'filter response', 'filter approaches', 'excess bandwidth', 'core technology', 'combined spatio', 'chip waveform', 'cdma demodulation', 'antenna array', 'also considered']</t>
  </si>
  <si>
    <t>Direct Sequence Code Division Multiple Access (DS-CDMA) is a core technology for wireless access that is proposed for future generation (3G) mobile and personal communication systems. The use of a base-station antenna array is strongly endorsed in these systems, because of its capabilities of filtering out the interference in the space domain. This paper considers space-time one shot single user receivers for DS-CDMA, based on a multiple input single output time invariant linear filter. The optimization of the filter response is performed jointly in the space and time domains yielding maximal signal-to-interference-plus-noise ratio. Using this framework, a Space-Time Noise Whitening Matched Filter (ST-NWMF) for DS-CDMA demodulation is introduced. It is shown that combined spatio-temporal filtering, taking advantage of the fact that the Multiple Access Interference is colored in the space as well as time domains, can reduce the effects of strong interference components and improves performance. Simpler sub-optimal space-time linear receivers, consisting of a single temporal filter following the antenna array, are also considered. It is shown that such a filter approaches the ST-NWMF in the limit, when the chip waveform has a flat spectrum with no excess bandwidth and the observation interval is infinite. These schemes, optimal as well as suboptimal, for large observation intervals are suitable also for DS-CDMA systems employing long sequence spreading.</t>
  </si>
  <si>
    <t>1191-1202</t>
  </si>
  <si>
    <t>8118863900;7006281736</t>
  </si>
  <si>
    <t>Huang, Yuejin;Leib, Harry</t>
  </si>
  <si>
    <t>Huang Y.</t>
  </si>
  <si>
    <t>SINR maximizing space-time filtering for asynchronous DS-CDMA</t>
  </si>
  <si>
    <t>10.1109/49.857919</t>
  </si>
  <si>
    <t>2-s2.0-0034227327</t>
  </si>
  <si>
    <t>['tolerate delay', 'time codes', 'time code', 'standard space', 'simple rate', 'significant gain', 'proposed approach', 'performance gain', 'outer coder', 'outer code', 'new family', 'interleaver determines', 'inner coder', 'inner code', 'codes employ', 'bit rate', 'also provide']</t>
  </si>
  <si>
    <t>In this letter, a new family of space-time codes is proposed. These codes employ a serially concatenated coding scheme with a standard space-time code as the outer code and a very simple rate-1 recursive code as the inner code. Adding this simple rate-1 recursive inner code does not decrease the bit rate and introduces only negligible complexity increase to the transmitter when compared to cases with standard space-time codes. An interleaver is embedded between the inner coder and the outer coder and the size of this interleaver determines the performance gain. We also provide a relatively low complexity iterative decoding procedure. For applications which can tolerate delay, significant gain can be achieved with the proposed approach.</t>
  </si>
  <si>
    <t>221-223</t>
  </si>
  <si>
    <t>7404513368;7202801624</t>
  </si>
  <si>
    <t>Lin, Xiaotong;Blum, Rick S.</t>
  </si>
  <si>
    <t>Lin X.</t>
  </si>
  <si>
    <t>Improved space-time codes using serial concatenation</t>
  </si>
  <si>
    <t>10.1109/4234.852921</t>
  </si>
  <si>
    <t>2-s2.0-0034228140</t>
  </si>
  <si>
    <t>['theoretical analysis', 'resonant frequency', 'remarkable improvement', 'receiving system', 'receiving power', 'normal conductor', 'moderate bandwidth', 'measured results', 'identical configuration', 'gold counterparts', 'gold array', 'axial ratio', '77 k']</t>
  </si>
  <si>
    <t>Single-feed circularly polarized microstrip patch and patch array antennas for 'direct-to-home' receiving system at around 12 GHz are studied by theoretical analysis and experiments. A full-wave microwave circuit simulator (Em), based on the method of moments and capable of handling the microwave surface impedance, has been used in the theoretical analysis of the antennas. Antennas have been fabricated from both normal conductor (gold) and YBa2Cu3O7-x (YBCO) superconductor for comparison. Measured results on resonant frequency (fr), return loss, gain, bandwidth, and axial ratio are presented. The antennas are found to show a very low axial ratio and a moderate bandwidth. In the comparison of gain, the superconducting antennas showed a remarkable improvement over their gold counterparts. The receiving power of a four-element array fabricated from a single-side YBCO thin film on (100 MgO single crystal substrate is found to be 1.8 dB higher than that of a gold array with identical configuration and both measured at 77 K.</t>
  </si>
  <si>
    <t>1095-1100</t>
  </si>
  <si>
    <t>7404482546;6603336963;7203068282</t>
  </si>
  <si>
    <t>Ali, M. I.;Ehata, K.;Ohshima, S.</t>
  </si>
  <si>
    <t>Ali M.</t>
  </si>
  <si>
    <t>Single-feed superconducting circularly polarized microstrip array antenna for direct-to-home receiving system</t>
  </si>
  <si>
    <t>10.1088/0953-2048/13/7/332</t>
  </si>
  <si>
    <t>2-s2.0-0034228176</t>
  </si>
  <si>
    <t>['two transmitters', 'simulate three', 'rectangular prisms', 'receiving antennas', 'realistic ground', 'radar unit', 'penetrating radar', 'multiple dielectric', 'difference time', 'cylindrical disks', 'buried objects', 'arbitrary polarizations', 'air interface']</t>
  </si>
  <si>
    <t>The finite-difference time-domain (FDTD) method is used to simulate three-dimensional (3-D) geometries of realistic ground-penetrating radar (GPR) scenarios. The radar unit is modeled with two transmitters and a receiver in order to cancel the direct signals emitted by the two transmitters at the receiver. The transmitting and receiving antennas are allowed to have arbitrary polarizations. Single or multiple dielectric and conducting buried targets are simulated. The buried objects are modeled as rectangular prisms and cylindrical disks. Perfectly-matched layer absorbing boundary conditions are adapted and used to terminate the FDTD computational domain, which contains a layered medium due to the ground-air interface.</t>
  </si>
  <si>
    <t>1513-1521</t>
  </si>
  <si>
    <t>60000251-60014808;60014808</t>
  </si>
  <si>
    <t>7004393069;6603795909</t>
  </si>
  <si>
    <t>G√ºrel, Levent;O«ßuz, U«ßur</t>
  </si>
  <si>
    <t>Ankara;New York</t>
  </si>
  <si>
    <t>Bilkent √úniversitesi;IEEE</t>
  </si>
  <si>
    <t>60014808;60000251</t>
  </si>
  <si>
    <t>G√ºrel L.</t>
  </si>
  <si>
    <t>Three-dimensional FDTD modeling of a ground-penetrating radar</t>
  </si>
  <si>
    <t>10.1109/36.851951</t>
  </si>
  <si>
    <t>2-s2.0-0034228258</t>
  </si>
  <si>
    <t>11450/95/NL/PB</t>
  </si>
  <si>
    <t>['viable solution', 'total fiber', 'inp technology', 'fiber loss', 'approximately 20db', '06 œºm']</t>
  </si>
  <si>
    <t>A photonic integrated circuit based on InGaAsP-InP technology has been realized as a viable solution for optical phase control at 1.06 Œºm. The packaged and pigtailed module exhibits a total fiber-to-fiber loss of approximately 20dB and its phase modulator sections can accomplish a total phase shift of 5œÄ with a maximum reverse bias voltage of 10V.</t>
  </si>
  <si>
    <t>876-878</t>
  </si>
  <si>
    <t>60033316;60033316;60033316;60033316;60074545;60018163;60033316;60033316;60018163</t>
  </si>
  <si>
    <t>8338675300;6603352734;7005875225;7004111340;7007145261;6602815690;35601646300;7004540925;7004314808</t>
  </si>
  <si>
    <t>Flamand, G.;De Mesel, K.;Moerman, I.;Dhoedt, B.;Hunziker, W.;Kalmar, A.;Baets, R.;Van Daele, P.;Leeb, W.</t>
  </si>
  <si>
    <t>Switzerland;Belgium;Austria</t>
  </si>
  <si>
    <t>Mezzovico;Ghent;Vienna</t>
  </si>
  <si>
    <t>Opto Speed AG;Universiteit Gent;Technische Universit√§t Wien</t>
  </si>
  <si>
    <t>60074545;60033316;60018163</t>
  </si>
  <si>
    <t>Flamand G.</t>
  </si>
  <si>
    <t>InP-based PIC for an optical phased-array antenna at 1.06 Œºm</t>
  </si>
  <si>
    <t>10.1109/68.853532</t>
  </si>
  <si>
    <t>2-s2.0-0034228396</t>
  </si>
  <si>
    <t>['without adopting', 'users location', 'user detector', 'thus leading', 'system loading', 'system capacity', 'solved simultaneously', 'rigorously analyzing', 'paper deals', 'outage probability', 'moe advantages', 'interference ratio', 'first time', 'cdma detectors', 'capacity increase', 'average gain']</t>
  </si>
  <si>
    <t>This paper deals with the problem of rigorously analyzing the forward link behavior of a power controlled CDMA-based satellite multibeam communication system. For the first time, the complete system links equations are expressed in a compact matrix form so that they can be solved simultaneously, thus leading to an exact problem solution. In particular, the effect of actual antenna beam patterns, overlapping satellites interference, users location, conventional and linear blind Minimum Output Energy (MOE) CDMA detectors are accounted for by comprehensive system analysis. Under simplified yet realistic system assumptions, the proposed technique allows us to derive the key satellite antenna parameters. It is shown that for power controlled CDMA satellite networks, the key antenna figure of merit is the average gain and the so-called antenna inverse average interference-to-carrier ratio rather than the more intuitive average carrier-to-interference ratio. It is shown that under simplified system assumptions, these parameters can be used to compute simple yet accurate one-dimensional system link budget. Also, by means of a simplified system analysis, the antenna beam overlapping point capacity impact is determined. Furthermore, results about system capacity and outage probability for a practical personal communication satellite network are presented with and without adopting an advanced CDMA MOE single-user detector. The MOE advantages in terms of capacity increase for a given outage probability are shown to be substantial when the system loading is appreciable, even assuming perfect power control.</t>
  </si>
  <si>
    <t>1230-1244</t>
  </si>
  <si>
    <t>60031159;60031159</t>
  </si>
  <si>
    <t>6603485919;7006784913</t>
  </si>
  <si>
    <t>Romero-Garc√≠a, Javier;De Gaudenzi, Riccardo</t>
  </si>
  <si>
    <t>Noordwijk aan Zee</t>
  </si>
  <si>
    <t>ESTEC - European Space Research and Technology Centre</t>
  </si>
  <si>
    <t>Romero-Garc√≠a J.</t>
  </si>
  <si>
    <t>On antenna design and capacity analysis for the forward link of a multibeam power controlled satellite CDMA network</t>
  </si>
  <si>
    <t>10.1109/49.857923</t>
  </si>
  <si>
    <t>2-s2.0-0034228533</t>
  </si>
  <si>
    <t>CCR-9902846</t>
  </si>
  <si>
    <t>['using dynamic', 'tdd bandwidth', 'steady interference', 'smart antennas', 'simulation results', 'rf design', 'reduced complexity', 'many benefits', 'great potential', 'downlink transmissions', 'directional antenna', 'channel reciprocity', 'cellular systems', 'base stations', 'also demonstrated']</t>
  </si>
  <si>
    <t>There are many benefits in using time division duplex (TDD) instead of frequency division duplex (FDD) schemes in fixed wireless cellular systems. To name a few; channel reciprocity for the single carrier frequency used on both up and downlinks will allow easy access to channel state information, reduced complexity of RF design, much higher flexibility in handling dynamic traffic, simpler frequency plan, etc. However, there exists a serious limiting factor in using dynamic-TDD (D-TDD) in cellular systems. This is due to a steady interference on uplinks in a cell, caused by downlink transmissions of other cells. Simulation results show in D-TDD cellular systems, performance is unacceptable, when omni-directional antenna is used at base stations. Simulation results have also demonstrated a great potential for smart antennas in fixed D-TDD bandwidth-on-demand wireless systems.</t>
  </si>
  <si>
    <t>218-220</t>
  </si>
  <si>
    <t>60001439;60001439;60001439;60021378</t>
  </si>
  <si>
    <t>7410061828;6602927853;7005636245;7101611306</t>
  </si>
  <si>
    <t>Li, Junsong;Farahvash, Shayan;Kavehrad, Mohsen;Valenzuela, Reinaldo</t>
  </si>
  <si>
    <t>Murray;University Park</t>
  </si>
  <si>
    <t>Nokia Bell Labs;Pennsylvania State University</t>
  </si>
  <si>
    <t>60021378;60001439</t>
  </si>
  <si>
    <t>Dynamic TDD and fixed cellular networks</t>
  </si>
  <si>
    <t>10.1109/4234.852920</t>
  </si>
  <si>
    <t>2-s2.0-0034228574</t>
  </si>
  <si>
    <t>['transmission scheme']</t>
  </si>
  <si>
    <t>We present a transmission scheme for exploiting diversity given by two transmit antennas when neither the transmitter nor the receiver has access to channel state information. The new detection scheme can use equal energy constellations and encoding is simple. At the receiver, decoding is achieved with low decoding complexity. The transmission provides full spatial diversity and requires no channel state side information at the receiver. The scheme can be considered as the extension of differential detection schemes to two transmit antennas.</t>
  </si>
  <si>
    <t>1169-1174</t>
  </si>
  <si>
    <t>60008383;60014300</t>
  </si>
  <si>
    <t>7005206764;7004144452</t>
  </si>
  <si>
    <t>Tarokh, Vahid;Jafarkhani, Hamid</t>
  </si>
  <si>
    <t>San Antonio;Florham Park</t>
  </si>
  <si>
    <t>AT&amp;T Inc.;AT&amp;T Laboratories Florham Park</t>
  </si>
  <si>
    <t>60014300;60008383</t>
  </si>
  <si>
    <t>Tarokh V.</t>
  </si>
  <si>
    <t>Differential detection scheme for transmit diversity</t>
  </si>
  <si>
    <t>10.1109/49.857917</t>
  </si>
  <si>
    <t>2-s2.0-0034228959</t>
  </si>
  <si>
    <t>Nokia</t>
  </si>
  <si>
    <t>['zero correlation', 'spatial diversity', 'significant reduction', 'relatively large', 'receivers significantly', 'multiuser receivers', 'multiple sensors', 'intercell multiple', 'error probability', 'diversity gain', 'comparing diversity', 'compared based', 'cellular networks', 'antenna elements', 'also seen', 'also demonstrated', '7 ).']</t>
  </si>
  <si>
    <t>Bit-error probability (BEP) analysis for linear multiuser receivers with multiple sensors in frequency selective Rayleigh fading channels is presented. The analysis is applied to evaluate the BEP in antenna diversity reception and in a cellular CDMA system. Diversity and multiuser receivers are compared based on the examples. It is observed that adding new diversity antenna elements improves performance even if the correlation between the antenna elements is relatively large (up to 0.7). However, the large correlation values pose a significant reduction in the diversity gain in comparison to the zero correlation. It is also seen that the macroscopic diversity improves the performance of receivers significantly in cellular CDMA networks. When comparing diversity and multiuser receivers it is concluded that multiuser receivers are necessary to provide low BEP's. It is also highly beneficial to have at least two diversity antennas available, in particular, if there is no multipath diversity provided by the channel. The results also show that the reduction of intercell multiple-access interference yields a significant performance advantage in cellular networks. It is also demonstrated that the combination of spatial diversity and a multiuser receiver provides a significant receiver performance or system capacity gain in comparison to implementing only one of them.</t>
  </si>
  <si>
    <t>1221-1229</t>
  </si>
  <si>
    <t>Juntti, Markku J.</t>
  </si>
  <si>
    <t>Oulu</t>
  </si>
  <si>
    <t>Centre for Wireless Communications</t>
  </si>
  <si>
    <t>Juntti M.</t>
  </si>
  <si>
    <t>Performance analysis of linear multisensor multiuser receivers for CDMA in fading channels</t>
  </si>
  <si>
    <t>10.1109/49.857922</t>
  </si>
  <si>
    <t>2-s2.0-0034229697</t>
  </si>
  <si>
    <t>['various manipulations', 'unique ultra', 'unique multimode', 'unique geometry', 'typical 3', 'special features', 'smart antennas', 'report development', 'powerful switching', 'even impossible', 'etc .,', 'db loss', 'among others', 'also shown', 'allow easy', 'achieve ultra', 'achieve performance']</t>
  </si>
  <si>
    <t>The spiral has been limited to applications for receive only because it is invariably loaded dissipatively, with a typical 3-dB loss and the resulting low efficiency. In this article, we treat the spiral as a traveling-wave (TW) structure that has unique ultra-broadband, complex, multi-facet radiation characteristics, and report development of spirals with efficient transmit performance suitable for all applications such as telecommunications and radar. Its excellent form factor and its size reduction potential are discussed. The spiral's unique geometry is also shown to allow easy and powerful switching, control and various manipulations, etc., to achieve performance and special features that are difficult or even impossible by antennas of other geometries. These unique multimode, multi-polarization, and inherent phase patterns are utilized to achieve ultra-broadband phased arrays and smart antennas for applications involving multifunction, real-time switched modes, among others.</t>
  </si>
  <si>
    <t>323-342</t>
  </si>
  <si>
    <t>Wang, Johnson J.H.</t>
  </si>
  <si>
    <t>Marietta</t>
  </si>
  <si>
    <t>Wang Electro-Opto Corporation (WEO)</t>
  </si>
  <si>
    <t>Wang J.J.H.</t>
  </si>
  <si>
    <t>The spiral as a traveling wave structure for broadband antenna applications</t>
  </si>
  <si>
    <t>10.1080/02726340050082155</t>
  </si>
  <si>
    <t>2-s2.0-0034236889</t>
  </si>
  <si>
    <t>['parasitic elements', 'maximum radiation', 'introduced near', 'ground plane', 'frequency response', 'frequency band', 'feed probe', 'fdtdm ).', 'domain method', 'difference time', 'corresponding improvement', 'axial ratio', 'approximately 3', 'antenna height', 'antenna forms', 'analyzed using', 'also calculated', '982f0 1', '54 ¬∞', '3 db', '2 dbi', '147 wavelength', '044f0 ).']</t>
  </si>
  <si>
    <t>A two-arm spiral antenna printed on a finite-sized dielectric substrate backed by an infinite-sized conducting plane is analyzed using the finite-difference time-domain method (FDTDM). The antenna is fed by a vertical probe located at the center of the antenna. The antenna height above the ground plane is 0.147 wavelength. The FDTDM analysis reveals that the antenna forms an elliptically polarized conical beam. Based on this investigation, two parasitic elements are introduced near the vertical feed probe to obtain a circularly polarized conical beam. It is found that the current on the vertical feed probe is approximately 180¬∞ out of phase with the currents on the two parasitic elements. This results in a reduction in the radiation from the feed probe, with a corresponding improvement in the axial ratio. The frequency response of the antenna with the parasitic elements is also calculated. The angle of maximum radiation is approximately Œ∏max = 54¬∞ for a bandwidth of 6.2% (0.982f0 1.044f0). Within this frequency band, the axial ratio is less than 3 dB, and the gain is approximately 3.2 dBi.</t>
  </si>
  <si>
    <t>343-356</t>
  </si>
  <si>
    <t>60030526;60030526;60030526</t>
  </si>
  <si>
    <t>7201878741;6504284826;55633340100</t>
  </si>
  <si>
    <t>Kawano, Toru;Tago, Ryuhei;Nakano, Hisamatsu</t>
  </si>
  <si>
    <t>Kawano T.</t>
  </si>
  <si>
    <t>A printed spiral antenna on a finite-sized dielectric substrate for generating a circularly polarized conical beam</t>
  </si>
  <si>
    <t>10.1080/02726340050082164</t>
  </si>
  <si>
    <t>2-s2.0-0034236896</t>
  </si>
  <si>
    <t>['spiral elements', 'small number', 'parasitic wires', 'numerically analyzed', 'maximum variation', 'ground plane', 'feed wire', 'copolarization component', 'circularly arrayed', 'calculations show', 'azimuth angle', 'axial ratio', 'array composed', 'appropriately chosen', 'also paid', '8 db', '5 db', '10 %.']</t>
  </si>
  <si>
    <t>An array composed of spiral elements, each having a small number of turns, is numerically analyzed. The spiral elements are circularly arrayed above a ground plane and are excited by a single vertical feed wire. As the number of the spiral elements increases, the copolarization component of the radiation becomes omnidirectional. The maximum variation in the copolarization component as a function of azimuth angle is 0.8 dB for four spiral elements. Attention is also paid to an improvement in the axial ratio. A technique of using parasitic wires around the feed wire is presented. Calculations show that, when the distance between the feed wire for four spiral elements and the parasitic wires is appropriately chosen, the axial ratio is improved. The 3-dB axial ratio frequency bandwidth evaluated in the maximum beam direction is found to be 10%. Within this bandwidth, the gain is more than 5 dB.</t>
  </si>
  <si>
    <t>295-310</t>
  </si>
  <si>
    <t>60003414;60003414;60030526</t>
  </si>
  <si>
    <t>7403255155;7404563720;55633340100</t>
  </si>
  <si>
    <t>Hirose, Kazuhide;Wada, Takehisa;Nakano, Hisamatsu</t>
  </si>
  <si>
    <t>Tokyo;Tokyo</t>
  </si>
  <si>
    <t>Hosei University;Tokyo Denki University</t>
  </si>
  <si>
    <t>60030526;60003414</t>
  </si>
  <si>
    <t>Hirose K.</t>
  </si>
  <si>
    <t>An outer-fed spiral antenna array radiating a circularly polarized conical beam</t>
  </si>
  <si>
    <t>10.1080/02726340050082137</t>
  </si>
  <si>
    <t>2-s2.0-0034236897</t>
  </si>
  <si>
    <t>['wire segments', 'type form', 'single integral', 'radiation fields', 'numerical procedures', 'integral equation', 'dielectric coating']</t>
  </si>
  <si>
    <t>A simplified integral equation for a dielectric-coated antenna composed of arbitrarily connected straight-wire segments is formulated in a Hallen-type form. The derived integral equation contains only a single integral for numerical procedures. The current distribution obtained for a short helical antenna coated with dielectric material agrees with that for previously published results. As an application of the integral equation, a rectangular spiral antenna is analyzed to show the effects of dielectric coating on the radiation fields.</t>
  </si>
  <si>
    <t>377-386</t>
  </si>
  <si>
    <t>60071399;60030526;60030526</t>
  </si>
  <si>
    <t>57224451970;56405174700;55633340100</t>
  </si>
  <si>
    <t>Van Su, Tran;Yamauchi, Junji;Nakano, Hisamatsu</t>
  </si>
  <si>
    <t>Viet Nam;Japan</t>
  </si>
  <si>
    <t>Ho Chi Minh City;Tokyo</t>
  </si>
  <si>
    <t>ƒê·∫°i h·ªçc C√¥ng ngh·ªá Th√†nh ph·ªë H·ªì Ch√≠ Minh;Hosei University</t>
  </si>
  <si>
    <t>60071399;60030526</t>
  </si>
  <si>
    <t>Van Su T.</t>
  </si>
  <si>
    <t>An integral equation for dielectric-coated wires-application to spiral antennas</t>
  </si>
  <si>
    <t>10.1080/02726340050082182</t>
  </si>
  <si>
    <t>2-s2.0-0034236908</t>
  </si>
  <si>
    <t>['usually optimized', 'small arrays', 'remain satisfactory', 'radiation zone', 'radiation pattern', 'radiation field', 'one side', 'monopole dimensions', 'like feed', 'hemispherical region', 'gain antenna', 'finite 4', 'experimental prototypes', 'curl antenna', 'compact high', 'certain regions', 'broadside radiation', 'back radiation', 'axial ratio', 'also used']</t>
  </si>
  <si>
    <t>The curl antenna is a single-turn horizontal spiral fed by a monopole-like feed. The spiral and monopole dimensions are usually optimized to improve its radiation field and axial ratio for broadside radiation. It is shown in this study that the axial ratio can be optimized in certain regions of the radiation zone. In addition, the radiation pattern can be tilted off its axis on one side, which may be used to improve the array pattern scanning in small arrays. The concept is used for design of small planar arrays for mobile satellite communications. The axial ratio and array gain enhancements, in an off-axis coverage zone, are initially investigated numerically. The array is placed over an infinite ground plane. Experimental prototypes are, however, implemented and tested over a finite 4.5Œª √ó 4.5Œª ground plane. The axial ratio performance appears to remain satisfactory, but the array gain reduces slightly, due to the back radiation. The curl antenna configuration, in dual inverted form, is also used for wide-angle axial ratio improvement. It provides a compact high-gain antenna with excellent circular polarization over most of the hemispherical region.</t>
  </si>
  <si>
    <t>271-293</t>
  </si>
  <si>
    <t>Shafai, L.</t>
  </si>
  <si>
    <t>Some array applications of the curl antenna</t>
  </si>
  <si>
    <t>10.1080/02726340050082128</t>
  </si>
  <si>
    <t>2-s2.0-0034236911</t>
  </si>
  <si>
    <t>['spiral elements', 'radius rcy', 'mom ).', 'length 2lcy', 'axial ratio', 'also investigated', '3 db']</t>
  </si>
  <si>
    <t>An N-spiral array antenna mounted on a finite-length conducting cylinder of length 2Lcy and radius rcy is numerically analyzed using the method of moments (MOM). The analysis is performed with 2Lcy = 2.7Œª0. It is found that the array antenna radiates a circularly polarized omnidirectional beam with an axial ratio of less than 3 dB when 5 ‚â§ N ‚â§ 7 for rcy = 0.25Œª0 and N = 7 for rcy = 0.5Œª0. The effects of mutual coupling among the spiral elements are also investigated. A comparison of the radiation patterns calculated with the MoM and the pattern multiplication method (PMM) reveals that the mutual effects become noticeable when N ‚â• 4 for rcy = 0.25Œª0 and N ‚â• 6 for rcy = 0.5Œª0.</t>
  </si>
  <si>
    <t>311-322</t>
  </si>
  <si>
    <t>Omnidirectional beam formation using spiral antennas above a conducting cylinder</t>
  </si>
  <si>
    <t>10.1080/02726340050082146</t>
  </si>
  <si>
    <t>2-s2.0-0034236915</t>
  </si>
  <si>
    <t>['relying instead', 'pattern measurements', 'new type', 'limited due', 'independent operation', 'feed structure', 'diameter spiral', 'broadband radiators', 'axial ratio', 'also given', 'absorbing cavities', '750 mhz', '72 cm', '250 mhz', '24 cm', '1 bandwidth']</t>
  </si>
  <si>
    <t>Previously, the broadband spiral class of antennas primarily consisted of the wire (or "printed") spiral and spirals with approximately complementary geometry. While both are very broadband radiators, they are still somewhat band-limited due to their associated balun structures, and bulky as a result of their absorbing cavities. A new type of spiral antenna utilizing slot radiating elements is presented that eliminates these drawbacks, relying instead on several new approaches to guarantee its frequency-independent operation over extremely broad bandwidths. The design and integration of a planar infinite balun/feed structure and very shallow reflecting cavity is presented and discussed, as is a new termination technique. Gain, axial ratio, and pattern measurements for both a 6‚Ä≥ (15.24 cm) diameter spiral, with flow = 750 MHz and 6.25:1 bandwidth, and an 18‚Ä≥ (45.72 cm) diameter spiral, with flow = 250 MHz and 15:1 bandwidth, are also given and reviewed.</t>
  </si>
  <si>
    <t>357-376</t>
  </si>
  <si>
    <t>60025778;60025778</t>
  </si>
  <si>
    <t>6603911095;7102576479</t>
  </si>
  <si>
    <t>Nurnberger, M. W.;Volakis, J. L.</t>
  </si>
  <si>
    <t>Nurnberger M.</t>
  </si>
  <si>
    <t>Extremely broadband slot spiral antenna with shallow reflecting cavities</t>
  </si>
  <si>
    <t>10.1080/02726340050082173</t>
  </si>
  <si>
    <t>2-s2.0-0034236916</t>
  </si>
  <si>
    <t>['space charge']</t>
  </si>
  <si>
    <t>The effect of the space charge on the impedance of the loop antenna placed in the magnetoactive ionospheric plasma is evaluated.</t>
  </si>
  <si>
    <t>788-789</t>
  </si>
  <si>
    <t>Lishin, I. V.</t>
  </si>
  <si>
    <t>Lishin I.</t>
  </si>
  <si>
    <t>Effect of Space Charge on the Impedance of the Loop Antenna in the Magnetoactive Ionospheric Plasma</t>
  </si>
  <si>
    <t>2-s2.0-0041729355</t>
  </si>
  <si>
    <t>['transmitter required', 'optimal processing', 'general expression', 'communication system', 'asymptotic capacity', 'also known']</t>
  </si>
  <si>
    <t>The asymptotic capacity of a communication system with m transmit and n receive antennas is derived for the case where the channel is known at the receiver only. Then, the general expression of the capacity when the channel is also known to the transmitter is presented. The asymptotic capacity also given for this case. Finally, the optimal processing at the transmitter required to achieve that capacity is determined.</t>
  </si>
  <si>
    <t>105-108</t>
  </si>
  <si>
    <t>60028897;60028897;60028897</t>
  </si>
  <si>
    <t>35856540400;7004741750;7003312690</t>
  </si>
  <si>
    <t>Gauthier, E.;Yonga√ßo«ßlu, A.;Chouinard, J. Y.</t>
  </si>
  <si>
    <t>Gauthier E.</t>
  </si>
  <si>
    <t>Capacity of multiple antenna systems in Rayleigh fading channels</t>
  </si>
  <si>
    <t>2-s2.0-18544403756</t>
  </si>
  <si>
    <t>['wave astronomy', 'russian academy', 'promise held', 'new methods', 'current status', 'considerable improvement', 'based antennae']</t>
  </si>
  <si>
    <t>The current status of gravitational-wave astronomy is renewed. Advances in ground-based antennae are discussed and new methods of measurement that promise a considerable improvement in sensitivity are described. The promise held out by the improved antenna technologies is discussed. ¬©2000 Uspekhi Fizicheskikh Nauk, Russian Academy of Sciences.</t>
  </si>
  <si>
    <t>691-699</t>
  </si>
  <si>
    <t>Physics-Uspekhi</t>
  </si>
  <si>
    <t>Braginski«ê, V. B.</t>
  </si>
  <si>
    <t>Braginski«ê V.B.</t>
  </si>
  <si>
    <t>Gravitational-wave astronomy: New methods of measurements</t>
  </si>
  <si>
    <t>10.1070/PU2000v043n07ABEH000775</t>
  </si>
  <si>
    <t>2-s2.0-23044524806</t>
  </si>
  <si>
    <t>NSC-87-2218-E-006-060</t>
  </si>
  <si>
    <t>['specimens decreases', 'rights reserved', 'real part', 'rapid increase', 'loss factor', 'grain size', 'field coefficient', 'dielectric loss', 'data obtained', 'curve fitting', 'al2o3 contents', '1 compare']</t>
  </si>
  <si>
    <t>Barium strontium titanate | Phased array antennas | Tunability</t>
  </si>
  <si>
    <t>DC electric field effects on the real part of the relative dielectric constant and the loss factor of barium strontium titanate for application in phased array antennas have been studied. The real part of the relative dielectric constant of the specimens decreases with increasing applied DC field. The loss factor under bias DC electric field is slighter than the real part of the relative dielectric constant does. The tunability is about 24% for barium strontium titanate doped with 1 wt.% Al2O3 content. Variation of fitted phenomenological coefficients with Al2O3 contents below 10 wt.% is small and a rapid increase of the fitted phenomenological coefficient occurs above 10 wt.%. Variation of field coefficient A and tunability with Al2O3 contents has the same trend as that of the grain size. The real part of the relative dielectric constant of Al2O3 doped barium strontium titanate decreases rapidly before 1.0 kV cm -1 and slowly after 1 kV cm-1 compare to the data obtained by the curve fitting. There is a conduction loss mechanism other than the intrinsic dielectric loss for the dielectric loss under bias electric field. ¬© 2000 Elsevier Science S.A. All rights reserved.</t>
  </si>
  <si>
    <t>60014982;60014982;60014982;60014982</t>
  </si>
  <si>
    <t>56404823300;7404904031;36929903800;7402628341</t>
  </si>
  <si>
    <t>Chen, Yih Chien;Wu, Long;Chou, Yi Ping;Tsai, Yuan Tu</t>
  </si>
  <si>
    <t>Curve-fitting of direct-current field dependence of dielectric constant and loss factor of Al&lt;inf&gt;2&lt;/inf&gt;O&lt;inf&gt;3&lt;/inf&gt;-doped barium strontium titanate</t>
  </si>
  <si>
    <t>S0921510700004153</t>
  </si>
  <si>
    <t>10.1016/S0921-5107(00)00415-3</t>
  </si>
  <si>
    <t>2-s2.0-0346479674</t>
  </si>
  <si>
    <t>['tivo polarizations', 'prototype antenna', 'proposed design', 'polarization levels', 'good cross', 'experimental results', 'coupled feed', 'antenna design', '32 db', '10 %.']</t>
  </si>
  <si>
    <t>Dual polarization | Patch antenna | Wideband operation</t>
  </si>
  <si>
    <t>The design of a dual-polarization wideband circular patch antenna excited by using both an aperture-coupled feed and a gap-coupled probe feed is presented. The circular patch antenna has a thick air substrate, and both of the 10 dB return-loss impedance bandn√Ødths for the fii'o polarizations can be greater than 10%. In addition, the proposed design can have high isolation (- -32 dB) bet\\-een the /iro feeding ports for the entire impedance bandwidth and good cross-polarization levels for the tivo polarizations. Details of the antenna design are described, and experimental results of a prototype antenna are presented. ¬© 2000 John Wiley &amp; Sons, Inc.</t>
  </si>
  <si>
    <t>37-39</t>
  </si>
  <si>
    <t>14023907400;7006351403;35460663000</t>
  </si>
  <si>
    <t>Chlou, Tzung Wern;Tung, Hao Chun;Wong, Kin Lu</t>
  </si>
  <si>
    <t>Chlou T.W.</t>
  </si>
  <si>
    <t>A dual-polarization wideband circular patch antenna with hybrid feeds</t>
  </si>
  <si>
    <t>10.1002/(sici)1098-2760(20000705)26:1&lt;37::aid-mop11&gt;3.0.co;2-g</t>
  </si>
  <si>
    <t>2-s2.0-0033728702</t>
  </si>
  <si>
    <t>['tlte elegance', 'source model', 'numerical results', 'gap model', 'fdtd delta', 'excitation zone', 'electric field', 'coaxial line', 'closely related']</t>
  </si>
  <si>
    <t>FDTD | Input impedance | Monopole antenna | Source model</t>
  </si>
  <si>
    <t>A qiiasistatic FDTD source model for a monopole antenna driren by a coaxial line is presented. In this model, the electric field of the excitation zone in the FDTD delta-gap model is replaced by a qiiasistatic electric field more closely related to the actual physical structure of the antenna feed region. Tlte elegance of this source model is its simplicity and ease of implementation. Numerical results are presented that illustrate the accuracy and utility of the source model. ¬© 2000 John Wiley &amp; Sons, Inc.</t>
  </si>
  <si>
    <t>30-34</t>
  </si>
  <si>
    <t>57192785073;7102762205</t>
  </si>
  <si>
    <t>Liu, Gang;Grimes, Craig A.</t>
  </si>
  <si>
    <t>Liu G.</t>
  </si>
  <si>
    <t>A quasistatic fdtd source model for coaxially driven monopole antennas</t>
  </si>
  <si>
    <t>10.1002/(SICI)1098-2760(20000705)26:1&lt;30::AID-MOP9&gt;3.0.CO;2-L</t>
  </si>
  <si>
    <t>2-s2.0-0033737773</t>
  </si>
  <si>
    <t>['truly artificial', 'transient irradiation', 'quantitative evaluation', 'polypyridine complexes', 'photosynthetic system', 'photosynthetic light', 'energy transport', 'electron transfer', 'derivatized polystyrene', 'conversion steps', 'components used']</t>
  </si>
  <si>
    <t>A molecular assembly based on derivatized polystyrene is described, which mimics both the light-harvesting and energy-conversion steps of photosynthesis. The system is unique in that the two key parts of a photosynthetic system are incorporated in a functional assembly constructed from polypyridine complexes of Ru11. This system is truly artificial, as none of the components used in construction of the assembly are present in a natural photosynthetic system. Quantitative evaluation of the energy and electron transfer dynamics after transient irradiation by visible light offers important insights into the mechanisms of energy transport and electron transfer that lead to photosynthetic light-to-chemical energy conversion.</t>
  </si>
  <si>
    <t>7687-7691</t>
  </si>
  <si>
    <t>60025111;60025111;60025111;60025111-60006164</t>
  </si>
  <si>
    <t>6603692850;7005540145;7101921433;35459150300</t>
  </si>
  <si>
    <t>Sykora, Milan;Maxwell, Kimberly A.;DeSimone, Joseph M.;Meyer, Thomas J.</t>
  </si>
  <si>
    <t>Chapel Hill;Los Alamos</t>
  </si>
  <si>
    <t>The University of North Carolina at Chapel Hill;Los Alamos National Laboratory</t>
  </si>
  <si>
    <t>60025111;60006164</t>
  </si>
  <si>
    <t>Sykora M.</t>
  </si>
  <si>
    <t>Mimicking the antenna-electron transfer properties of photosynthesis</t>
  </si>
  <si>
    <t>10.1073/pnas.97.14.7687</t>
  </si>
  <si>
    <t>2-s2.0-0034608817</t>
  </si>
  <si>
    <t>['proximity l', 'experimentally investigated', 'circular polarization', 'circular patch', '91 ghz', '4 db']</t>
  </si>
  <si>
    <t>A microstrip antenna array for circular polarization (CP) using a proximity L-strip line feed is proposed and experimentally investigated. By placing a cross-slot with unequal slot lengths on the circular patch, circular polarization can be excited. Also, a sequential rotation technique is adopted for the design of this CP antenna array to widen the bandwidth. The impedance and axial ratio bandwidth values are 78 and 16.15%, respectively. The boresight axial ratio is 0.4 dB at 1.91 GHz.</t>
  </si>
  <si>
    <t>1174-1175</t>
  </si>
  <si>
    <t>7201502439;55511318500;55510527400</t>
  </si>
  <si>
    <t>Lo, W. K.;Chan, C. H.;Luk, K. M.</t>
  </si>
  <si>
    <t>Circularly polarized patch antenna array using proximity-coupled L-strip line feed</t>
  </si>
  <si>
    <t>10.1049/el:20000878</t>
  </si>
  <si>
    <t>2-s2.0-0033689418</t>
  </si>
  <si>
    <t>['wireless lan', 'sided structure', 'enable transition', '2 ghz']</t>
  </si>
  <si>
    <t>A low cost microstrip-fed dual frequency dipole antenna has been developed for personal communication network (PCN) and wireless LAN (WLAN) applications in the 2.4 and 5.2 GHz bands. The antenna radiates bi-directionally and has a double-sided structure to enable transition from a balanced planar stripline to unbalanced microstrip line. The 10 dB bandwidths achieved were 18.75 and 7.7% at 2.4 and 5.2 GHz, respectively.</t>
  </si>
  <si>
    <t>1177-1179</t>
  </si>
  <si>
    <t>55423889100;7404879378</t>
  </si>
  <si>
    <t>Suh, Young Ho;Chang, Kai</t>
  </si>
  <si>
    <t>Low cost microstrip-fed dual frequency printed dipole antenna for wireless communications</t>
  </si>
  <si>
    <t>10.1049/el:20000880</t>
  </si>
  <si>
    <t>2-s2.0-0033701553</t>
  </si>
  <si>
    <t>['topped beams', 'topped beam', 'sidelobe levels', 'method used', 'elliptical contour', 'elliptical boundary', 'circular apertures', 'acceptable ripple']</t>
  </si>
  <si>
    <t>Shaped beams patterns with acceptable ripple and sidelobe levels are analyzed. The method used can be applied to circular apertures and circular grid arrays to synthesize rotationally symmetrical flat-topped beams with acceptable ripple and sidelobe levels. This can be extended to rectangular grid planar arrays possessing an elliptical boundary by carrying out one-dimensional linear stretching, creating a pattern that has a flat-topped beam with an elliptical contour, surrounded by ring sidelobes also having an elliptical contour but with the amplitude and sidelobe level still controlled.</t>
  </si>
  <si>
    <t>1180-1182</t>
  </si>
  <si>
    <t>60028419;60028419;60028419</t>
  </si>
  <si>
    <t>6507234410;6602260861;7006865572</t>
  </si>
  <si>
    <t>Trastoy-R√≠os, A.;Vicente-Lozano, M.;Ares-Pena, F.</t>
  </si>
  <si>
    <t>Trastoy-R√≠os A.</t>
  </si>
  <si>
    <t>Shaped beams from circular apertures and arrays with uniform amplitude</t>
  </si>
  <si>
    <t>10.1049/el:20000903</t>
  </si>
  <si>
    <t>2-s2.0-0033708043</t>
  </si>
  <si>
    <t>['upper band', 'undulation rate', 'lower band', 'integrated balun', 'frequency band', 'dipole arms', 'correctly choosing', '5 db', '3 db', '1 %,']</t>
  </si>
  <si>
    <t>The ability of a microstrip fed printed dipole which has an integrated balun to operate at dual frequency bands is demonstrated. By correctly choosing the double stub parameters and by modifying the shape of the dipole arms, two bandwidths defined for a voltage standing wave ratio (VSWR) lower than 2 of, respectively, 15.5 and 12.1%, can be obtained. Stable dipolar radiation characteristics are obtained in each frequency band with an undulation rate in the omnidirectional cut plane lower than 1.5 dB for the lower band and lower than 3 dB for the upper band.</t>
  </si>
  <si>
    <t>1175-1177</t>
  </si>
  <si>
    <t>100758660;100758660</t>
  </si>
  <si>
    <t>16023799600;6506014243</t>
  </si>
  <si>
    <t>Delaveaud, C.;Brocheton, C.</t>
  </si>
  <si>
    <t>Voreppe</t>
  </si>
  <si>
    <t>Radiall/Larsen Antenna Technologies</t>
  </si>
  <si>
    <t>Delaveaud C.</t>
  </si>
  <si>
    <t>Dual-band behaviour of printed dipole</t>
  </si>
  <si>
    <t>10.1049/el:20000846</t>
  </si>
  <si>
    <t>2-s2.0-0033708044</t>
  </si>
  <si>
    <t>['sierpinski carpet', 'return loss', 'band operation', 'attractive candidate', '7 db', '10 db']</t>
  </si>
  <si>
    <t>A novel square microstrip fractal patch antenna in a Sierpinski carpet is proposed for three-band operation. Measured results indicate that the return loss is better than 10 dB and that the gain is greater than 7 dB in each band. This antenna is an attractive candidate for wireless, satellite and mobile communication applications.</t>
  </si>
  <si>
    <t>1179-1180</t>
  </si>
  <si>
    <t>60015465;60015465;60015465;60015465</t>
  </si>
  <si>
    <t>6508342111;6506794708;7201897087;6701748447</t>
  </si>
  <si>
    <t>Hara Prasad, R. V.;Purushottam, Y.;Misra, V. C.;Ashok, N.</t>
  </si>
  <si>
    <t>Hara Prasad R.</t>
  </si>
  <si>
    <t>Microstrip fractal patch antenna for multi-band communication</t>
  </si>
  <si>
    <t>10.1049/el:20000832</t>
  </si>
  <si>
    <t>2-s2.0-0033717515</t>
  </si>
  <si>
    <t>['thereby rendering', 'press ),', 'oscillatory integrand', 'order zero', 'optical instruments', 'numerical quadrature', 'numerical procedure', 'modified version', 'j0 (.)', 'important role', 'image formation', 'diffraction theory', 'cusped focusing', 'convenient contour', 'computations use', 'bessel function', 'also derived']</t>
  </si>
  <si>
    <t>A numerical procedure for the evaluation of the Bessoid canonical integral J (x, y) is described. J (x, y) is defined, for x and y real, by J (x, y) = ‚à´‚àû0 J0(yt) t exp [i(t4 + xt2)] dt where J0(.) is a Bessel function of order zero. J (x, y) plays an important role in the description of cusped focusing when there is axial symmetry present. It arises in the diffraction theory of aberrations, in the design of optical instruments and of highly directional microwave antennas and in the theory of image formation for high-resolution electron microscopes. The numerical procedure replaces the integration path along the real t axis with a more convenient contour in the complex t plane, thereby rendering the oscillatory integrand more amenable to numerical quadrature. The computations use a modified version of the CUSPINT computer code (Kirk et al 2000 Comput. Phys. Commun. at press), which evaluates the cuspoid canonical integrals and their first-order partial derivatives. Plots and tables of J (x, y) and its zeros are presented for the grid - 8.0 ‚â§ x ‚â§ 8.0 and -8.0 ‚â§ y ‚â§ 8.0. Some useful series expansions of J (x, y) are also derived.</t>
  </si>
  <si>
    <t>4797-4808</t>
  </si>
  <si>
    <t>Journal of Physics A: Mathematical and General</t>
  </si>
  <si>
    <t>60020661;60003771;60003771-102073040;60014564</t>
  </si>
  <si>
    <t>7003408678;7401851756;22996652900;7103016885</t>
  </si>
  <si>
    <t>Kirk, N. P.;Connor, J. N.L.;Curtis, P. R.;Hobbs, C. A.</t>
  </si>
  <si>
    <t>United Kingdom;United Kingdom;United Kingdom;United Kingdom</t>
  </si>
  <si>
    <t>Liverpool;Oxford;Manchester;</t>
  </si>
  <si>
    <t>University of Liverpool;Oxford Brookes University;The University of Manchester;Itex (Jersey) Ltd.</t>
  </si>
  <si>
    <t>60020661;60014564;60003771;102073040</t>
  </si>
  <si>
    <t>Kirk N.P.</t>
  </si>
  <si>
    <t>Theory of axially symmetric cusped focusing: Numerical evaluation of a Bessoid integral by an adaptive contour algorithm</t>
  </si>
  <si>
    <t>S030544700011707X</t>
  </si>
  <si>
    <t>10.1088/0305-4470/33/26/306</t>
  </si>
  <si>
    <t>2-s2.0-0034616898</t>
  </si>
  <si>
    <t>['thermodynamical fluctuations', 'temperature dependence', 'refraction index', 'known noises', 'additional noise', '1 khz']</t>
  </si>
  <si>
    <t>Thermodynamical fluctuations of temperature in mirrors of gravitational wave antennae may be transformed into additional noise not only through thermal expansion coefficient [V.B. Braginsky, M.L. Gorodetsky, S.P. Vyatchanin, Phys. Lett. A 264 (1999) 1; cond-mat/9912139] but also through temperature dependence of refraction index. The intensity of this noise is comparable with other known noises at frequencies ~ 1 kHz. (C) 2000 Elsevier Science B.V.</t>
  </si>
  <si>
    <t>303-307</t>
  </si>
  <si>
    <t>7003908077;56264036600;6603764661</t>
  </si>
  <si>
    <t>Braginsky, V. B.;Gorodetsky, M. L.;Vyatchanin, S. P.</t>
  </si>
  <si>
    <t>Braginsky V.B.</t>
  </si>
  <si>
    <t>Thermo-refractive noise in gravitational wave antennae</t>
  </si>
  <si>
    <t>S0375960100003893</t>
  </si>
  <si>
    <t>10.1016/S0375-9601(00)00389-3</t>
  </si>
  <si>
    <t>2-s2.0-0034631708</t>
  </si>
  <si>
    <t>['wings sensilla', 'wing base', 'vibration perception', 'studied species', 'special structure', 'sound production', 'song production', 'small hairs', 'small amplitude', 'sem search', 'produce song', 'fly legs', 'fly aristae', 'fly antennae', 'electrophysiological recordings', 'drosophila species', 'disjuncta males', 'could play', 'carrier frequency', 'behavioral studies', 'alternative pathways', 'also covered', '2000 wiley', '000 hz']</t>
  </si>
  <si>
    <t>Cuticular structures | Fly | Microscopy | Sense organs | Song</t>
  </si>
  <si>
    <t>The discovery of new song types in Hawaiian Drosophila species has raised a question of alternative sound production and sound perception mechanisms in Drosophila. For example D. disjuncta males, which produce song with a carrier frequency of 5,000-6,000 Hz, do not vibrate their wings but only tremble them in a very small amplitude while singing. In our SEM search we found at the wing base of the flies of this species a special structure which could play a part in song production. Our search for auditory sense organs in Drosophila species revealed that the aristae on fly antennae are structurally not as simple as has been assumed. In Hawaiian D. planitibia subgroup species, the fly aristae are more regular than in other Drosophila species and they are also covered with small hairs. We did not find any sign of tympanic hearing organs in any of the studied species, but we discovered on fly legs and wings sensilla which could play a part in sound/vibration perception. Our SEM survey provides a good starting point in the search for alternative pathways for sound production and perception via transmission electron microscopy combined with behavioral studies and electrophysiological recordings in Hawaiian Drosophila species. (C) 2000 Wiley-Liss, Inc.</t>
  </si>
  <si>
    <t>161-168</t>
  </si>
  <si>
    <t>1059910X</t>
  </si>
  <si>
    <t>Microscopy Research and Technique</t>
  </si>
  <si>
    <t>60012954;60012954</t>
  </si>
  <si>
    <t>7004422996;7004482137</t>
  </si>
  <si>
    <t>Hoikkala, Anneli;Moro, Sulochana</t>
  </si>
  <si>
    <t>Oulun Yliopisto</t>
  </si>
  <si>
    <t>Hoikkala A.</t>
  </si>
  <si>
    <t>SEM search for sound production and sound perception organs in a variety of Drosophila species</t>
  </si>
  <si>
    <t>10.1002/1097-0029(20000715)50:2&lt;161::aid-jemt8&gt;3.0.co;2-%23</t>
  </si>
  <si>
    <t>2-s2.0-0034661639</t>
  </si>
  <si>
    <t>['¬© 2000', 'useful system', 'terahertz range', 'spectroscopic observations', 'rights reserved', 'readily altered', 'radiation sensing', 'quantum confinement', 'permit use', 'implementing one', 'dimensional arrays', 'american institute', 'active region']</t>
  </si>
  <si>
    <t>We propose the use of superconducting quantum well structures for use as detectors of submillimeter wave radiation. The energy levels formed due to quantum confinement by superconducting barriers provide a useful system for radiation sensing. The well width could be readily altered by varying the temperature or the strength of an applied magnetic field so that the levels can be shifted in energy. This provides a means of tuning the detector over a range of frequencies in the terahertz range, enabling both photometric and spectroscopic observations. Also, the structure of the device should permit use of cofabricated antennas allowing efficient radiation coupling into the active region of the device. The geometry also allows the possibility of implementing one- and two-dimensional arrays. ¬© 2000, American Institute of Physics. All rights reserved.</t>
  </si>
  <si>
    <t>432-434</t>
  </si>
  <si>
    <t>12241469100;7004444402</t>
  </si>
  <si>
    <t>Rahman, Faiz;Thornton, Trevor</t>
  </si>
  <si>
    <t>Rahman F.</t>
  </si>
  <si>
    <t>Superconducting quantum wells for the detection of submillimeter wave electromagnetic radiation</t>
  </si>
  <si>
    <t>10.1063/1.127000</t>
  </si>
  <si>
    <t>2-s2.0-34547430675</t>
  </si>
  <si>
    <t>['whole axis', 'vertebrate rhombomeres', 'two layers', 'terminal eosegments', 'stereotyped pattern', 'posterior boundary', 'phylogenetic terms', 'paper suggests', 'model presented', 'meromeric segmentation', 'mainly supported', 'known cellular', 'insect antenna', 'holomeric segmentation', 'eosegments );', 'distal part', 'developmental mechanisms', 'current views', 'comparative morphology', 'body plan']</t>
  </si>
  <si>
    <t>Explaining the origin and evolution of segmentation is central to understanding the body plan of major animal groups such as arthropods, annelids, and vertebrates. One major shortcoming of current views on segmentation is the failure to recognize the existence of two layers of segmentation. I distinguish here holomeric segmentation, involving the whole body axis (or the whole axis of an appendage) and producing 'true' segments (eosegments); and meromeric segmentation, producing merosegments within one or more eosegment(s). In terms of developmental mechanisms, meromeric segmentation is probably the same as compartmentalization. This process follows two rules: (1) merosegments are formed from a stereotyped pattern of subdivisions, where only the merosegments in contact to the anterior or posterior boundary of the eosegment are allowed to divide; (2) contiguous eosegments undergoing meromeric segmentation generate merosegments according to identical lineage patterns apart from possible lineage truncation in one or a few terminal eosegments. The segmentation model proposed in this paper is mainly supported by evidence from comparative morphology, but it is compatible with known cellular and developmental mechanisms. The development of vertebrate rhombomeres, the annulation of leeches, the subdivision of the distal part of insect antenna into flagellomeres and the segmentation of centipedes are interpreted here in terms of meromeric segmentation. Some of these phenomena, like centipede segmentation, have thus far defied all attempts at an explanation, both in mechanistic (developmental) and phylogenetic terms. The model presented in this paper suggests a rich research agenda at all levels, from molecular and genetic to morphological and phylogenetic.</t>
  </si>
  <si>
    <t>35-48</t>
  </si>
  <si>
    <t>1520541X</t>
  </si>
  <si>
    <t>Evolution and Development</t>
  </si>
  <si>
    <t>Minelli, Alessandro</t>
  </si>
  <si>
    <t>Holomeric vs. meromeric segmentation: A tale of centipedes, leeches, and rhombomeres</t>
  </si>
  <si>
    <t>10.1046/j.1525-142X.2000.00030.x</t>
  </si>
  <si>
    <t>2-s2.0-0033947969</t>
  </si>
  <si>
    <t>['znp performs', 'yield znp', 'two porphyrins', 'transfer event', 'sequential electron', 'separated state', 'remarkable lifetime', 'rate constants', 'porphyrin chromophores', 'intramolecular electron', 'high yield', 'h2p )).', 'fullerene moiety', 'final charge', 'energy transfer', 'e .,', 'deoxygenated benzonitrile', 'decays directly', 'c60 ¬∑-', 'c60 triad', 'antenna molecule', '21 œºs']</t>
  </si>
  <si>
    <t>A novel molecular triad, representing an artificial reaction center, was synthesized via linking a fullerene moiety to an array of two porphyrins (i.e., a zinc tetraphenyl porphyrin (ZnP) and a free base tetraphenyl porphyrin (H2P)). In this ZnP-H2P-C60 triad, the ZnP performs as an antenna molecule, transferring its singlet excited state energy to the energetically lower lying H2P. In benzonitrile, this energy transfer (k = 1.5 x 1010 s-1) is followed by a sequential electron-transfer relay evolving from the generated singlet excited state of H2P to yield ZnP- H2P¬∑+-C60¬∑- and subsequently ZnP¬∑+-H2P-C60¬∑- with rate constants of 7.0 x 109 s-1 and 2.2 x 10 9 s-1, respectively. The final charge-separated state, formed in high yield (0.4), gives rise to a remarkable lifetime of 21 Œºs in deoxygenated benzonitrile and decays directly to the singlet ground state. In contrast, in nonpolar toluene solutions the deactivation of the porphyrin chromophores (ZnP and H2P) takes place via singlet-singlet energy transfer leading to the fullerene singlet excited state. This stems from the unfavorable free energy changes for an intramolecular electron-transfer event in toluene from the singlet excited state of H2P to the adjacent fullerene acceptor.</t>
  </si>
  <si>
    <t>6535-6551</t>
  </si>
  <si>
    <t>60007259;60007259;60024322;60024322;60024322</t>
  </si>
  <si>
    <t>7402442261;7006253024;7006272128;57222378867;35427031400</t>
  </si>
  <si>
    <t>Luo, C.;Guldi, D. M.;Imahori, H.;Tamaki, K.;Sakata, Y.</t>
  </si>
  <si>
    <t>Suita;Notre Dame</t>
  </si>
  <si>
    <t>Osaka University;Notre Dame Radiation Laboratory</t>
  </si>
  <si>
    <t>60024322;60007259</t>
  </si>
  <si>
    <t>Luo C.</t>
  </si>
  <si>
    <t>Sequential energy and electron transfer in an artificial reaction center: Formation of a long-lived charge-separated state</t>
  </si>
  <si>
    <t>10.1021/ja993959z</t>
  </si>
  <si>
    <t>2-s2.0-0034686688</t>
  </si>
  <si>
    <t>['simulation results', 'radial resonances', 'piezoelectric polymer', 'optical response', 'modeling predicts', 'microcellular communications', 'limited detection', 'km length', 'frequencies higher', 'fiber antenna', 'element analysis', 'coating composite', 'coated circular', '8 mhz', '500 mhz', '5 mhz']</t>
  </si>
  <si>
    <t>An all-fiber antenna with a piezoelectric polymer-coated circular-core D fiber has been characterized by finite-element analysis. The response of the D-fiber antenna was determined over a wide frequency range from 1 to 500 MHz. The modeling predicts an electric-field-induced phase shift of 2.43 √ó 10‚àí5 rad/(V/m)/m at 5 MHz. At frequencies higher than 8 MHz the optical response is dominated by radial resonances of the D-fiber-coating composite. From the simulation results a minimum detectable electric field of 41-ŒºV/m has been achieved with a 1-km length of coated D fiber. In addition, a D-fiber antenna network intended for microcellular communications has been analyzed by shot-noise-limited detection. ¬© 2000 Optical Society of America.</t>
  </si>
  <si>
    <t>3626-3631</t>
  </si>
  <si>
    <t>60022046-100548644;60010818;60022046</t>
  </si>
  <si>
    <t>Bhatti, Ajaz;Al-Raweshidy, Hamid S.;Murtaza, Ghulam</t>
  </si>
  <si>
    <t>United Kingdom;United Kingdom;United Kingdom</t>
  </si>
  <si>
    <t>Manchester;Canterbury;Aylesbury</t>
  </si>
  <si>
    <t>Manchester Metropolitan University;University of Kent;Remec Airtech</t>
  </si>
  <si>
    <t>60022046;60010818;100548644</t>
  </si>
  <si>
    <t>Optical response of a D-fiber antenna in a finite-element analysis intended for radio-over-fiber applications</t>
  </si>
  <si>
    <t>10.1364/AO.39.003626</t>
  </si>
  <si>
    <t>2-s2.0-0000178520</t>
  </si>
  <si>
    <t>['‚ àöœº', 'unlike œµ', 'substrate offers', 'smaller patch', 'small increase', 'patch bandwidth', 'much shorter', 'low loss', 'important advantage', 'electric permeabilities', 'dielectric materials', '1 allows']</t>
  </si>
  <si>
    <t>The application of magneto-dielectric materials with magnetic and electric permeabilities (Œº and Œµ, respectively) greater than unity and low loss to antennas is investigated. It is shown that a substrate with Œº&gt;1 allows only a small increase in bandwidth over the same patch with Œº = 1. Unlike Œµ, Œº does not reduce the patch bandwidth. Such a substrate offers an important advantage: the patch resonant length is reduced by ‚àöŒº, so that a much shorter and smaller patch will have roughly the same bandwidth as patch with Œµ only.</t>
  </si>
  <si>
    <t>;60013372</t>
  </si>
  <si>
    <t>24512080300;36792453000</t>
  </si>
  <si>
    <t>Hansen, R. C.;Burke, Mary</t>
  </si>
  <si>
    <t>Hansen R.</t>
  </si>
  <si>
    <t>Antennas with magneto-dielectrics</t>
  </si>
  <si>
    <t>10.1002/1098-2760(20000720)26:2&lt;75::AID-MOP3&gt;3.0.CO;2-W</t>
  </si>
  <si>
    <t>2-s2.0-0033689717</t>
  </si>
  <si>
    <t>['pointing error', 'paper extends', 'orthogonal property', 'nominal one', 'music algorithm', 'impinge upon', 'calibration signal', 'calibration method', 'bearing estimation', 'basic idea', 'array uncertainties', 'array error', 'antenna array']</t>
  </si>
  <si>
    <t>In order to make an antenna array more robust to array uncertainties, this paper extends the gain/phase calibration technique proposed by Ng, Er, and Kot to the problems of bearing estimation and adaptive beamforming involving sensor position error and signal pointing error, respectively. The basic idea of this technique is that the true array steering vector is approximated in terms of the nominal one by applying the first-order Taylor series expansion, and then using the null spectrum characteristics of the MUSIC algorithm; the steering vector error containing the information on the array error can be obtained by solving a set of constrained minimization formulations. For sensor position error, a calibration signal is used to impinge upon an array at two different angles. As for pointing error, we impose the orthogonal property between the transformed steering vectors of the signal and jammers on the calibration method.</t>
  </si>
  <si>
    <t>132-137</t>
  </si>
  <si>
    <t>7601433253;7402539407;38061462600</t>
  </si>
  <si>
    <t>Chen, Yuan Hwang;Chang, Ann Chen;Lee, Hsiang Tai</t>
  </si>
  <si>
    <t>Array calibration methods for sensor position and pointing errors</t>
  </si>
  <si>
    <t>10.1002/1098-2760(20000720)26:2&lt;132::AID-MOP19&gt;3.0.CO;2-2</t>
  </si>
  <si>
    <t>2-s2.0-0033691743</t>
  </si>
  <si>
    <t>['two u', 'two arms', 'shaped slots', 'frequency ratio', 'frequency operation', 'fixed dual']</t>
  </si>
  <si>
    <t>A dual-band patch antenna with two U-shaped slots is demonstrated. By varying the length of the two arms of each slot, the frequency ratio can be tuned from about 1.43 to 1.6 and a considerable antenna size reduction for fixed dual-frequency operation can be achieved.</t>
  </si>
  <si>
    <t>60010080-60013983;60013983;60006173</t>
  </si>
  <si>
    <t>Hong Kong;China;United States</t>
  </si>
  <si>
    <t>Kowloon;Nanjing;Columbia</t>
  </si>
  <si>
    <t>City University of Hong Kong;Nanjing University of Science and Technology;University of Missouri</t>
  </si>
  <si>
    <t>60013983;60010080;60006173</t>
  </si>
  <si>
    <t>Dual-band patch antenna with two U-shaped slots</t>
  </si>
  <si>
    <t>10.1002/1098-2760(20000720)26:2&lt;73::AID-MOP2&gt;3.0.CO;2-4</t>
  </si>
  <si>
    <t>2-s2.0-0033716483</t>
  </si>
  <si>
    <t>['transmitter circuitry', 'spatial orthogonality', 'single lo', 'receiver circuitry', 'proposed scheme', 'patch edges', 'necessary coupling', 'multiple functionality', 'local oscillator', 'leakage ).', 'intentionally leaked']</t>
  </si>
  <si>
    <t>In this paper, we present a novel design scheme where the power of a local oscillator (LO) in a transmitter circuitry is intentionally leaked into the receiver circuitry through an antenna, and is used as the LO for the receiver. As a result, only a single LO is used for Tx/Rx duplex circuitry, while multiple functionality with the antenna is achieved. In our example, a single rectangular patch antenna is used, with its spatial orthogonality of the patch edges being utilized to achieve the necessary coupling (or leakage). Preliminary experimental results are presented to demonstrate the feasibility of the proposed scheme.</t>
  </si>
  <si>
    <t>60015913;60015913;60005244</t>
  </si>
  <si>
    <t>7601346688;7409467196;55734097400</t>
  </si>
  <si>
    <t>Zhang, Jiazong;Chen, Zhizhang;Wang, Yunyi</t>
  </si>
  <si>
    <t>Canada;China</t>
  </si>
  <si>
    <t>Halifax;Nanjing</t>
  </si>
  <si>
    <t>Dalhousie University;Southeast University</t>
  </si>
  <si>
    <t>60015913;60005244</t>
  </si>
  <si>
    <t>Use of antenna in constructing a single LO for transmitting and receiving duplex circuitry</t>
  </si>
  <si>
    <t>10.1002/1098-2760(20000720)26:2&lt;122::AID-MOP16&gt;3.0.CO;2-E</t>
  </si>
  <si>
    <t>2-s2.0-0033717876</t>
  </si>
  <si>
    <t>['reactive loading', 'proposed design', 'optimal dimensions', 'experimentally studied', 'experimental results', 'bandwidth enhancement', 'antenna bandwidth', '5 times']</t>
  </si>
  <si>
    <t>A novel broadband design of a single-feed rectangular microstrip antenna with an embedded reactive loading is presented. The reactive loading is provided by a structure of two cascaded microstrip-line sections embedded within a rectangular slot cut in the patch, and its optimal dimensions for bandwidth enhancement have been experimentally studied. With the proposed antenna design, the antenna bandwidth can be as large as about 2.5 times that of an antenna without reactive loading. Details of the proposed design are described, and experimental results are presented and discussed.</t>
  </si>
  <si>
    <t>93-96</t>
  </si>
  <si>
    <t>60116768;60019330</t>
  </si>
  <si>
    <t>7501612962;7406584064</t>
  </si>
  <si>
    <t>Chen, Hua Ming;Lin, Yi Fang</t>
  </si>
  <si>
    <t>Kaohsiung;Kaohsiung</t>
  </si>
  <si>
    <t>National Kaohsiung University of Science and Technology;Cheng Shiu University Taiwan</t>
  </si>
  <si>
    <t>Chen H.M.</t>
  </si>
  <si>
    <t>Bandwidth enhancement of a microstrip antenna with embedded reactive loading</t>
  </si>
  <si>
    <t>10.1002/1098-2760(20000720)26:2&lt;93::AID-MOP7&gt;3.0.CO;2-O</t>
  </si>
  <si>
    <t>2-s2.0-0033717877</t>
  </si>
  <si>
    <t>['three pairs', 'space setup', 'perform broadband', 'measurement plane', 'measured results', 'hostile environments', 'frequency measurement', 'frequency dependence', 'existing data', 'difficulties associated', 'common samples', 'adapted easily']</t>
  </si>
  <si>
    <t>In this paper, we present a free-space setup for the high- and low-temperature dielectric characterization of materials from 8.0 to 110 GHz along with the measured results. Using an HP 8510 XF single-connection, single-sweep network analyzer along with three pairs of spot-focused horn lens antennas, it is possible to perform broadband in-situ and real-time dielectric characterization of materials. Presently, all other methods have the disadvantages of either being narrowband or single-frequency measurement, and the difficulties associated with accurate sample preparation for different frequency bands. This method, based on a microwave beam focused to a measurement plane, is noncontact, so it can be adapted easily for measurements in high-temperature and hostile environments. The frequency dependence of the complex dielectric properties of a number of common samples is measured as a function of temperature and frequency, and is compared with existing data.</t>
  </si>
  <si>
    <t>100-105</t>
  </si>
  <si>
    <t>102016493;60001439;102016493;60001439;60001439</t>
  </si>
  <si>
    <t>36766335400;7005956560;6506487511;7202350150;36039583900</t>
  </si>
  <si>
    <t>Hollinger, Richard D.;Jose, K. A.;Tellakula, Anilkumar;Varadan, V. V.;Varadan, V. K.</t>
  </si>
  <si>
    <t>University Park;</t>
  </si>
  <si>
    <t>Pennsylvania State University;HVS Technologies Inc.</t>
  </si>
  <si>
    <t>60001439;102016493</t>
  </si>
  <si>
    <t>Hollinger R.</t>
  </si>
  <si>
    <t>Microwave characterization of dielectric materials from 8 to 110 GHz using a free-space setup</t>
  </si>
  <si>
    <t>10.1002/1098-2760(20000720)26:2&lt;100::AID-MOP10&gt;3.0.CO;2-3</t>
  </si>
  <si>
    <t>2-s2.0-0033723518</t>
  </si>
  <si>
    <t>['radiation resistance', 'radiation pattern', 'radiation characteristics', 'quickly obtain', 'numerical results', 'explicit method', 'antenna system']</t>
  </si>
  <si>
    <t>Antenna or array antenna systems based on metallic photonic bandgap structures are considered. An explicit method is introduced to quickly obtain the radiation characteristics for such an antenna system. Numerical results for the radiation pattern and the radiation resistance are presented, and are compared with those obtained by the method of moments.</t>
  </si>
  <si>
    <t>67-73</t>
  </si>
  <si>
    <t>60117981-60002014;60072485;60002014</t>
  </si>
  <si>
    <t>36048024500;35572352400;57206127276</t>
  </si>
  <si>
    <t>He, Sailing;Simovski, Constantin R.;Popov, Mikhail</t>
  </si>
  <si>
    <t>Explicit and efficient method for obtaining the radiation characteristics of wire antennas in metallic photonic bandgap structures</t>
  </si>
  <si>
    <t>10.1002/1098-2760(20000720)26:2&lt;67::AID-MOP1&gt;3.0.CO;2-X</t>
  </si>
  <si>
    <t>2-s2.0-0033727073</t>
  </si>
  <si>
    <t>['output signal', 'outage probability', 'noise ratio', 'form expressions', 'desired signal', 'convenient tool', 'cochannel interference']</t>
  </si>
  <si>
    <t>The effect of cochannel interference on the performance of digital cellular mobile radio communication systems have been studied. The desired signal as well as the interferers are assumed to be subject independent Rayleigh fading. The outage probability of an M-element antenna array with maximal ratio combiner which maximizes the output signal to noise ratio (SNR) in the presence of cochannel interference and noise is analyzed. Closed-form expressions which provide a convenient tool for the system performance analysis are derived for the outage probability.</t>
  </si>
  <si>
    <t>1314-1315</t>
  </si>
  <si>
    <t>7004556279;6508303964</t>
  </si>
  <si>
    <t>Aalo, V. A.;Chayawan, C.</t>
  </si>
  <si>
    <t>Outage probability of cellular radio systems using maximal ratio combining in Rayleigh fading channel with multiple interferers</t>
  </si>
  <si>
    <t>10.1049/el:20000910</t>
  </si>
  <si>
    <t>2-s2.0-0034227103</t>
  </si>
  <si>
    <t>['unloaded lwa', 'radiating edges', 'propagation characteristics', 'main beam', 'fixed frequency', 'controlled reactances', 'angle observed']</t>
  </si>
  <si>
    <t>The influence of capacitors periodically soldered along the radiating edges of a leaky wave antenna (LWA) is described. As the propagation characteristics are modified, the main beam is tilted from the angle observed for the unloaded LWA. This property allows beam steering applications at a fixed frequency if bias-controlled reactances are used.</t>
  </si>
  <si>
    <t>1259-1260</t>
  </si>
  <si>
    <t>11838770200;7003360986</t>
  </si>
  <si>
    <t>Luxey, C.;Laheurte, J. M.</t>
  </si>
  <si>
    <t>Effect of reactive loading in microstrip leaky wave antennas</t>
  </si>
  <si>
    <t>10.1049/el:20000932</t>
  </si>
  <si>
    <t>2-s2.0-0034227708</t>
  </si>
  <si>
    <t>['well adapted', 'transducers attached', 'tiga ),', 'systematically assessing', 'suitable locations', 'satisfactory precision', 'reliable conclusions', 'realistic mistunings', 'real value', 'properly understood', 'polyhedric shape', 'perturbative nature', 'pentagonal hexa', 'natural multimode', 'multiple set', 'multifrequency device', 'motion sensing', 'mode sensed', 'mode channels', 'mathematical model', 'larger sphere', 'joint dynamics', 'gw ).', 'gravitational waves', 'experimental data', 'device parameters', 'consistently found', 'analytical approach', 'actual range']</t>
  </si>
  <si>
    <t>Gravitation | Instrumentation: detectors | Methods: laboratory | Waves</t>
  </si>
  <si>
    <t>Apart from being omnidirectional, a solid elastic sphere is a natural multimode and multifrequency device for the detection of gravitational waves (GW). Motion sensing in a spherical GW detector thus requires a multiple set of transducers attached to it at suitable locations. If these are resonant then they exert a significant back action on the larger sphere and, as a consequence, the joint dynamics of the entire system must be properly understood before reliable conclusions can be drawn from data obtained using this system. In this paper, I present and develop an analytical approach to the study of such dynamics, which generalizes the currently existing ones and clarifies their actual range of validity. In addition, the new formalism shows that resonator layouts exist that are alternatives to the highly symmetric Truncated Icosahedron Gravitational Antenna (TIGA), and that they have potentially interesting properties. I will describe in detail one resonance layout that has mode channels, only requires five resonators per quadrupole-mode sensed and is based on a Pentagonal Hexa-Contrahedron (PHC) polyhedric shape. Also, the perturbative nature of the proposed approach makes it very well adapted to systematically assessing the consequences of realistic mistunings in the device parameters, by robust analytic methods. In order to check the real value of the mathematical model, its predictions have been compared with experimental data from the Louisiana State University (LSU) prototype detector TIGA and agreement between the predictions and data is consistently found to reach a satisfactory precision of four decimal places.</t>
  </si>
  <si>
    <t>173-194</t>
  </si>
  <si>
    <t>Monthly Notices of the Royal Astronomical Society</t>
  </si>
  <si>
    <t>Lobo, J. Alberto</t>
  </si>
  <si>
    <t>Universitat de Barcelona</t>
  </si>
  <si>
    <t>Lobo J.</t>
  </si>
  <si>
    <t>Multiple mode gravitational wave detection with a spherical antenna</t>
  </si>
  <si>
    <t>10.1046/j.1365-8711.2000.03492.x</t>
  </si>
  <si>
    <t>2-s2.0-0001711957</t>
  </si>
  <si>
    <t>National Institute of Mental Health</t>
  </si>
  <si>
    <t>P50MH050733</t>
  </si>
  <si>
    <t>NIMH</t>
  </si>
  <si>
    <t>['receptor activation', 'odorant receptors', 'odor may', 'neurons expressing', 'molecular description', 'genes encoding', 'dimensional map', 'antennal lobe', '57 genes']</t>
  </si>
  <si>
    <t>We have isolated the 'complete' repertoire of genes encoding the odorant receptors in Drosophila and employ these genes to provide a molecular description of the organization of the peripheral olfactory system. The repertoire of Drosophila odorant receptors is encoded by 57 genes. Individual sensory neurons are likely to express only a single receptor gene. Neurons expressing a given gene project axons to one or two spatially invariant glomeruli in the antennal lobe. The insect brain therefore retains a two-dimensional map of receptor activation such that the quality of an odor may be encoded by different spatial patterns of activity in the antennal lobe.</t>
  </si>
  <si>
    <t>147-159</t>
  </si>
  <si>
    <t>60011605;60011605;60011605</t>
  </si>
  <si>
    <t>6701388717;7403147634;7006007097</t>
  </si>
  <si>
    <t>Vosshall, Leslie B.;Wong, Allan M.;Axel, Richard</t>
  </si>
  <si>
    <t>Vagelos College of Physicians and Surgeons</t>
  </si>
  <si>
    <t>Vosshall L.B.</t>
  </si>
  <si>
    <t>An olfactory sensory map in the fly brain</t>
  </si>
  <si>
    <t>S0092867400000210</t>
  </si>
  <si>
    <t>10.1016/S0092-8674(00)00021-0</t>
  </si>
  <si>
    <t>2-s2.0-0034697964</t>
  </si>
  <si>
    <t>['two light', 'two lhcs', 'small differences', 'six chlorophylls', 'photosystem ii', 'particular reference', 'overall conformation', 'higher plants', 'extended family', 'cp29 ),', 'corresponding molecules', 'bulk complex']</t>
  </si>
  <si>
    <t>Two light-harvesting proteins associated with photosystem II of higher plants, namely the major antenna complex LHCIIb and the minor Lhcb4 protein (CP29), have been investigated by resonance Raman spectroscopy. One of the two chlorophylls b and up to five of the six chlorophylls a present in Lhcb4 are shown to adopt similar binding conformations to the (presumably) corresponding molecules in LHCIIb, whereas at least two chlorophylls in the former protein assume unique conformations relative to the bulk complex. The overall conformation of bound xanthophyll molecules is identical in the two antenna proteins, although some small differences are apparent. The pigment binding properties of these two LHCs are discussed, with particular reference to possible structural motifs within this extended family of proteins.</t>
  </si>
  <si>
    <t>22031-22036</t>
  </si>
  <si>
    <t>60008134-60032256;60011604-60001881;60011604;60001881;60011604;60008134</t>
  </si>
  <si>
    <t>7006934557;55953278000;7004095338;57203184101;56216930900;7103125115</t>
  </si>
  <si>
    <t>Pascal, Andy;Wacker, Ulrich;Irrgang, Klaus Dieter;Horton, Peter;Renger, Gernot;Robert, Bruno</t>
  </si>
  <si>
    <t>Italy;Germany;France;United Kingdom</t>
  </si>
  <si>
    <t>Verona;Berlin;Paris;Sheffield</t>
  </si>
  <si>
    <t>Universit√† degli Studi di Verona;Technical University of Berlin;CNRS Centre National de la Recherche Scientifique;The University of Sheffield</t>
  </si>
  <si>
    <t>60032256;60011604;60008134;60001881</t>
  </si>
  <si>
    <t>Pascal A.</t>
  </si>
  <si>
    <t>Pigment binding site properties of two photosystem II antenna proteins: A resonance Raman investigation</t>
  </si>
  <si>
    <t>10.1074/jbc.M000658200</t>
  </si>
  <si>
    <t>2-s2.0-0034698078</t>
  </si>
  <si>
    <t>College of Environmental Science and Forestry, State University of New York</t>
  </si>
  <si>
    <t>ERBFMBICT983497</t>
  </si>
  <si>
    <t>ESF</t>
  </si>
  <si>
    <t>['xanthophylls suggested', 'trimers led', 'trimerisation caused', 'specific distortion', 'special role', 'protein conformation', 'parallel appearance', 'oligomerisation state', 'observations suggest', 'neoxanthin molecule', 'nature 367', 'may reflect', 'major light', 'lutein molecule', 'lutein absorption', 'lhciib sense', 'important step', 'higher plants', 'harvesting complex', 'harvesting antenna', 'first time', 'electronic transitions', 'absorption bands', '437 nm', '430 nm', '2000 federation', '2 transitions']</t>
  </si>
  <si>
    <t>The electronic transitions of lutein and neoxanthin in the major light-harvesting complex, LHCIIb, have been identified for the first time. It was found that 0-0, 0-1 and 0-2 transitions of neoxanthin were located around 486, 457 and 430 nm, whilst those for lutein were dependent on the oligomerisation state. For the monomer, the absorption bands of lutein were found at 495, 466 and 437 nm. Trimerisation caused a decrease in lutein absorption and the parallel appearance of an additional absorption band around 510 nm, which was identified by resonance Raman excitation spectra to originate from lutein. Circular dichroism measurements together with analysis of the ŒΩ4 resonance Raman region of xanthophylls suggested that this lutein molecule is distorted in the trimer. This feature is not predicted by the LHCIIb atomic model of Kuhlbrandt and co-workers [Kuhlbrandt, W., Wang, D.N. and Fugiyoshi, Y. (1994) Nature 367, 614-621] and is an important step in understanding pigment dynamics of the complex. Oligomerisation of trimers led to a specific distortion of the neoxanthin molecule. These observations suggest that the xanthophylls of LHCIIb sense the protein conformation and which may reflect their special role in the assembly and function of the light-harvesting antenna of higher plants. Copyright (C) 2000 Federation of European Biochemical Societies.</t>
  </si>
  <si>
    <t>60001881;60032256-60008134;60008134</t>
  </si>
  <si>
    <t>7102944615;7006934557;7103125115</t>
  </si>
  <si>
    <t>Ruban, Alexander V.;Pascal, Andrew A.;Robert, Bruno</t>
  </si>
  <si>
    <t>Italy;France;United Kingdom</t>
  </si>
  <si>
    <t>Verona;Paris;Sheffield</t>
  </si>
  <si>
    <t>Universit√† degli Studi di Verona;CNRS Centre National de la Recherche Scientifique;The University of Sheffield</t>
  </si>
  <si>
    <t>60032256;60008134;60001881</t>
  </si>
  <si>
    <t>Ruban A.</t>
  </si>
  <si>
    <t>Xanthophylls of the major photosynthetic light-harvesting complex of plants: Identification, conformation and dynamics</t>
  </si>
  <si>
    <t>S0014579300017993</t>
  </si>
  <si>
    <t>10.1016/S0014-5793(00)01799-3</t>
  </si>
  <si>
    <t>2-s2.0-0034698273</t>
  </si>
  <si>
    <t>['thylacoid membrane', 'separated using', 'ps ii', 'protein components', 'proposed rplc', 'photosystem ii', 'mass spectrometry', 'mass accuracy', 'major light', 'lhc ii', 'important role', 'harvesting complex', 'electrospray ion', 'conventional technique', 'antenna system', 'acetonitrile gradient', '29 000', '22 000']</t>
  </si>
  <si>
    <t>Light-harvesting complex | Photosystem II | Proteins</t>
  </si>
  <si>
    <t>Reversed-phase liquid chromatography (RPLC) was interfaced to mass spectrometry (MS) with an electrospray ion (ESI) source for the separation and accurate molecular mass determination of the individual intrinsic membrane proteins that comprise the photosystem II (PS II) major light-harvesting complex (LHC II) and minor (CP24, CP26 and CP29) antenna system, whose molecular masses range between 22 000 and 29 000. PS II is a supramolecular complex intrinsic of the thylacoid membrane, which plays the important role in photosynthesis of capturing solar energy, and transferring it to photochemical reaction centers where energy conversion occurs. The protein components of the PS II major and minor antenna systems were extracted from spinach thylacoid membranes and separated using a butyl-silica column eluted by an acetonitrile gradient in 0.05% (v/v) aqueous trifluoroacetic acid. On-line electrospray MS allowed accurate molecular mass determination and identification of the protein components of PS II major and minor antenna system. The proposed RPLC-ESI-MS method holds several advantages over sodium dodecyl sulfate-polyacrylamide gel electrophoresis, the conventional technique for studying membrane proteins, including a better protein separation, mass accuracy, speed and efficiency. Copyright (C) 2000 Elsevier Science B.V.</t>
  </si>
  <si>
    <t>111-121</t>
  </si>
  <si>
    <t>Journal of Chromatography A</t>
  </si>
  <si>
    <t>60021199;60008222;60050715;60050715</t>
  </si>
  <si>
    <t>9036207200;7203045415;6603831098;7004750167</t>
  </si>
  <si>
    <t>Corradini, Danilo;Huber, Christian G.;Timperio, Anna Maria;Zolla, Lello</t>
  </si>
  <si>
    <t>Italy;Italy;Austria</t>
  </si>
  <si>
    <t>Viterbo;Rome;Innsbruck</t>
  </si>
  <si>
    <t>Universit√† degli Studi della Tuscia Viterbo;Consiglio Nazionale delle Ricerche;Medizinische Universitat Innsbruck</t>
  </si>
  <si>
    <t>60050715;60021199;60008222</t>
  </si>
  <si>
    <t>Corradini D.</t>
  </si>
  <si>
    <t>Resolution and identification of the protein components of the photosystem II antenna system of higher plants by reversed-phase liquid chromatography with electrospray-mass spectrometric detection</t>
  </si>
  <si>
    <t>S0021967300004490</t>
  </si>
  <si>
    <t>10.1016/S0021-9673(00)00449-0</t>
  </si>
  <si>
    <t>2-s2.0-0034698478</t>
  </si>
  <si>
    <t>['universal detector', 'significantly different', 'refractive index', 'qualitatively accounts', 'packing material', 'observed trends', 'movable along', 'monitor separations', 'inexpensive means', 'illuminated region', 'flash chromatography', 'exit time', 'empirical model', 'column analysis', 'analytes move']</t>
  </si>
  <si>
    <t>Flash chromatography | Refractive index detection</t>
  </si>
  <si>
    <t>A universal detector for on-column analysis in flash chromatography is reported. The detection scheme takes advantage of refractive index changes as analytes move through an illuminated region of the column. The column packing material is a diffuse scattering medium when the refractive index of the solvent is significantly different than that of the packing material. The magnitude of the 'signal' depends on the degree to which the refractive index mismatch is changed. An empirical model that qualitatively accounts for the observed trends is presented. This detection scheme provides a simple, inexpensive means to monitor the end of a flash chromatography column in order to determine the exit time of the species of interest, thus greatly reducing the post-column analysis time. Additionally, the detector is movable along the length of the column, offering the potential to monitor separations as they occur. ¬© 2000 Elsevier Science B.V.</t>
  </si>
  <si>
    <t>6507676887;7003752381</t>
  </si>
  <si>
    <t>Westerbuhr, Sarah G.;Rowlen, Kathy L.</t>
  </si>
  <si>
    <t>Westerbuhr S.</t>
  </si>
  <si>
    <t>On-column refractive index detector for flash chromatography</t>
  </si>
  <si>
    <t>S002196730000488X</t>
  </si>
  <si>
    <t>10.1016/S0021-9673(00)00488-X</t>
  </si>
  <si>
    <t>2-s2.0-0034698501</t>
  </si>
  <si>
    <t>['results obtained', 'radiated field', 'optic field', 'mapping system', 'gaas probes', 'external electro', '100 ghz']</t>
  </si>
  <si>
    <t>External electro-optic probes fabricated from two different crystal orientations of GaAs have been implemented in an electro-optic sampling system that is capable of mapping three independent orthogonal components of free-space electric fields. The results obtained for the radiated field from a microstrip patch antenna by the GaAs probes are compared with results on the same antenna obtained using bismuth silicate and lithium tantalate probes. An 8 Œºm spatial resolution has also been demonstrated for the electro-optic field-mapping system, and the capability for the system to measure field patterns at frequencies up to 100 GHz has been shown. ¬© 2000 American Institute of Physics.</t>
  </si>
  <si>
    <t>486-488</t>
  </si>
  <si>
    <t>7404291764;56246062600;7202748624</t>
  </si>
  <si>
    <t>Yang, K.;Katehi, L. P.B.;Whitaker, J. F.</t>
  </si>
  <si>
    <t>Electro-optic field mapping system utilizing external gallium arsenide probes</t>
  </si>
  <si>
    <t>10.1063/1.127019</t>
  </si>
  <si>
    <t>2-s2.0-0001179102</t>
  </si>
  <si>
    <t>['spatial resolution', 'smaller aperture', 'resolution may', 'photoconducting antennas', 'field probe', 'collection modes', 'broadband spectrum', '60 œºm', '5 thz', '1 ].']</t>
  </si>
  <si>
    <t>A near-field probe fabrication technique for far-infrared frequencies based on photoconducting antennas is developed. A subwavelength-size field source is accomplished by means of an aperture and protruding high refractive index tip. The near-field probe is tested by using free space traveling electromagnetic pulses with a broadband spectrum in the range of 0.3-1.5 THz. A spatial resolution of 60 Œºm is achieved for a 50 Œºm aperture. The described probe may be used for near-field transmission microscopy in illumination and collection modes. Resolution may be further improved by means of a smaller aperture. ¬© 2000 American Institute of Physics. [S0003-6951(00)04630-1].</t>
  </si>
  <si>
    <t>591-593</t>
  </si>
  <si>
    <t>60022904-60021378;60021378;60021378;60021378;60021378;60021378;60022904</t>
  </si>
  <si>
    <t>7003451569;7006620746;7004972007;7004044583;7102253473;7202888997;7003491165</t>
  </si>
  <si>
    <t>Mitrofanov, O.;Brener, I.;Wanke, M. C.;Ruel, R. R.;Wynn, J. D.;Bruce, A. J.;Federici, J.</t>
  </si>
  <si>
    <t>Mitrofanov O.</t>
  </si>
  <si>
    <t>Near-field microscope probe for far infrared time domain measurements</t>
  </si>
  <si>
    <t>10.1063/1.127054</t>
  </si>
  <si>
    <t>2-s2.0-0001493379</t>
  </si>
  <si>
    <t>['sampling rate', 'providing time', 'power supply', 'operation time', 'new method', 'logging facility', 'large vertebrates', 'indexed data', 'homing pigeons', 'ground speed', 'geographic positions', 'dc converter', '33 g', '3 h']</t>
  </si>
  <si>
    <t>The GPS recorder consists of a GPS receiver board, a logging facility, an antenna, a power supply, a DC-DC converter and a casing. Currently, it has a weight of 33 g. The recorder works reliably with a sampling rate of 1/s and with an operation time of about 3 h, providing time-indexed data on geographic positions and ground speed. The data are downloaded when the animal is recaptured. Prototypes were tested on homing pigeons. The records of complete flight paths with surprising details illustrate the potential of this new method that can be used on a variety of medium-sized and large vertebrates.</t>
  </si>
  <si>
    <t>278-279</t>
  </si>
  <si>
    <t>Naturwissenschaften</t>
  </si>
  <si>
    <t>60007762;60007762;101887530;60007762</t>
  </si>
  <si>
    <t>6506726697;35958450600;6602493370;7004694269</t>
  </si>
  <si>
    <t>Von H√ºnerbein, K.;Hamann, H. J.;R√ºter, E.;Wiltschko, W.</t>
  </si>
  <si>
    <t>Frankfurt am Main;Minden</t>
  </si>
  <si>
    <t>Goethe-Universit√§t Frankfurt am Main;R√ºter EPV-Systeme GmbH</t>
  </si>
  <si>
    <t>60007762;101887530</t>
  </si>
  <si>
    <t>Von H√ºnerbein K.</t>
  </si>
  <si>
    <t>A GPS-based system for recording the flight paths of birds</t>
  </si>
  <si>
    <t>10.1007/s001140050721</t>
  </si>
  <si>
    <t>2-s2.0-0033920959</t>
  </si>
  <si>
    <t>PHY9800097</t>
  </si>
  <si>
    <t>['thermodynamical fluctuations', 'test mass', 'several times', 'however analysis', 'effect consists', 'coordinate averaged', 'causes fluctuations', 'back surface', 'averaged coordinate']</t>
  </si>
  <si>
    <t>Gravitational antennae | Internal noise of test mass</t>
  </si>
  <si>
    <t>We discuss how much can be the value of compensation of the internal mechanical noise in test mass if ideal position meter is used for measurement of the difference between averaged coordinate on reflecting face surface of test mass and coordinate averaged all over the back surface of the same test mass. It is shown that this compensation can help to overcome the standard quantum limit (SQL) by several times. However analysis of concrete interferometric meter with beams propagating inside test mass gives that parasitic thermorefractive effect obstructs the compensation. This effect consists in thermodynamical fluctuations of temperature which causes fluctuations of refractive index due to its dependence on temperature. (C) 2000 Elsevier Science B.V.</t>
  </si>
  <si>
    <t>143-150</t>
  </si>
  <si>
    <t>60007457;60007457</t>
  </si>
  <si>
    <t>6506214593;6603764661</t>
  </si>
  <si>
    <t>Strigin, S. E.;Vyatchanin, S. P.</t>
  </si>
  <si>
    <t>Strigin S.E.</t>
  </si>
  <si>
    <t>The problem of compensation of internal mechanical noise in test mass of gravitational wave antennae</t>
  </si>
  <si>
    <t>S0375960100004187</t>
  </si>
  <si>
    <t>10.1016/S0375-9601(00)00418-7</t>
  </si>
  <si>
    <t>2-s2.0-0034709856</t>
  </si>
  <si>
    <t>['significantly enhanced', 'resonance condition', 'properly tuned', 'plasma uniformity', 'optimized near', 'key element', 'induce lc', 'coil system', 'antenna configuration']</t>
  </si>
  <si>
    <t>An antenna configuration for uniform plasma generation in a large-area inductively coupled plasma (ICP) source is presented and investigated using numerical analysis. The numerical results show that a properly tuned, segmented coil system with an external variable capacitor can allow antenna voltage, currents, and plasma uniformity to be controlled in the large-area ICP source. The key element of this concept is to induce LC-resonance in the coil system by the external capacitance variation, Through the LC-resonance, not only a small antenna voltage can be obtained, but also a selected coil current near a low plasma density regime can be significantly enhanced. Self-consistent fluid simulations for Ar and Cl2 plasmas indicate that the radial plasma spread can be optimized near the LC-resonance condition. ¬© 2000 American Institute of Physics.</t>
  </si>
  <si>
    <t>492-494</t>
  </si>
  <si>
    <t>60032144;60032144;60032144;60004739</t>
  </si>
  <si>
    <t>55763540300;7407522064;57219497484;55728255300</t>
  </si>
  <si>
    <t>Kim, S. S.;Chang, H. Y.;Chang, C. S.;Yoon, N. S.</t>
  </si>
  <si>
    <t>Daejeon;Cheongju</t>
  </si>
  <si>
    <t>Korea Advanced Institute of Science and Technology;Chungbuk National University</t>
  </si>
  <si>
    <t>60032144;60004739</t>
  </si>
  <si>
    <t>Kim S.S.</t>
  </si>
  <si>
    <t>Antenna configuration for uniform large-area inductively coupled plasma production</t>
  </si>
  <si>
    <t>10.1063/1.127021</t>
  </si>
  <si>
    <t>2-s2.0-0038817713</t>
  </si>
  <si>
    <t>['xps ).', 'surface tensions', 'sectioned side', 'plasma generated', 'obviously change', 'nodes structure', 'modified eptfe', 'mechanical strength', 'interior fibrils', 'initiation effect', 'grafted eptfe', 'graft polymerization', 'functional groups', 'ftir microscopy', 'expanded poly', 'eptfe surfaces', 'eptfe sheet', 'cof species', 'co2 antenna', 'chemically modified', 'binding energies', 'acrylic acid', 'aac penetrated', 'aac ).', '60 œºm']</t>
  </si>
  <si>
    <t>Surfaces of the expanded poly(tetrafluoroethylene) (ePTFE) sheets were chemically modified with the assistance of CO2 cold plasma generated by antenna coupling guided microwave. The plasma pretreated ePTFE surface did not obviously change in terms of morphology of nodes structure but increased surface tension and promoted subsequent capability to graft polymerization with acrylic acid (AAc). The modified ePTFE were then characterized using FTIR-ATR and X-ray photoelectron spectroscopy (XPS). Morphologies of ePTFE surfaces and the cross-sectioned side of AAc-grafted ePTFE were examined by SEM and FTIR microscopy. Experimental results indicated that AAc penetrated to a depth of ca. 60 Œºm and bonded on the surfaces of nodes and fibrils. Generation of COF species on the ePTFE surfaces by CO2 plasma contributed to this initiation effect. Current data also supported that plasma generated by the CO2 antenna-coupling microwave system could efficiently activate the exposed ePTFE surfaces of interior fibrils and nodes. The variations of IR vibrational modes, binding energies of functional groups, and surface tensions were correlated with the chemical modifications applied on the ePTFE sheet. The mechanical strength of the pAAc-grafted ePTFE sheet appeared to be enhanced.</t>
  </si>
  <si>
    <t>5638-5643</t>
  </si>
  <si>
    <t>Macromolecules</t>
  </si>
  <si>
    <t>60029740;60029740;60029740;;;60029740</t>
  </si>
  <si>
    <t>6701603966;55682765100;6604014871;39861618500;37043487700;57213375251</t>
  </si>
  <si>
    <t>Chen-Yang, Y. W.;Liao, J. D.;Kau, J. Y.;Huang, J.;Chang, W. T.;Chen, C. W.</t>
  </si>
  <si>
    <t>Chung-Li</t>
  </si>
  <si>
    <t>Chung Yuan Christian University</t>
  </si>
  <si>
    <t>Chen-Yang Y.W.</t>
  </si>
  <si>
    <t>Surface modifications of expanded poly(tetrafluoroethylene) sheets assisted by CO&lt;inf&gt;2&lt;/inf&gt; antenna coupling microwave plasma</t>
  </si>
  <si>
    <t>10.1021/ma990065q</t>
  </si>
  <si>
    <t>2-s2.0-0034224807</t>
  </si>
  <si>
    <t>['two types', 'two chlorophylls', 'state absorption', 'preparation consisting', 'photosystem ii', 'low temperatures', 'lhca4 proteins', 'lhca3 proteins', 'harvesting complex', 'fluorescence spectroscopy', 'first dimer', 'emission maxima', 'chlorophylls responsible', 'chlorophylls observed', 'chlorophylls arises', 'absorption arises', '733 nm', '730 originates', '702 nm']</t>
  </si>
  <si>
    <t>A preparation consisting of isolated dimeric peripheral antenna complexes from green plant photosystem I (light-harvesting complex I or LHCI) has been characterized by means of (polarized) steady-state absorption and fluorescence spectroscopy at low temperatures. We show that this preparation can be described reasonably well by a mixture of two types of dimers. In the first dimer about 10% of all Q(y) absorption of the chlorophylls arises from two chlorophylls with absorption and emission maxima at about 711 and 733 nm, respectively, whereas in the second about 10% of the absorption arises from two chlorophylls with absorption and emission maxima at about 693 and 702 nm, respectively. The remaining chlorophylls show spectroscopic properties comparable to those of the related peripheral antenna complexes of photosystem II. We attribute the first dimer to a heterodimer of the Lhca1 and Lhca4 proteins and the second to a hetero- or homodimer of the Lhca2 and/or Lhca3 proteins. We suggest that the chlorophylls responsible for the 733 nm emission (F-730) and 702 nm emission (F-702) are excitonically coupled dimers and that F-730 originates from one of the strongest coupled pair of chlorophylls observed in nature.</t>
  </si>
  <si>
    <t>8625-8631</t>
  </si>
  <si>
    <t>60032398;60008734;60008734;60032256;60032256;60032256;60008734;60032398;60008734</t>
  </si>
  <si>
    <t>6701516212;6603107782;7801507851;57217903031;7005812451;35553979700;35599806700;56994119500;7202457418</t>
  </si>
  <si>
    <t>Ihalainen, Janne A.;Gobets, Bas;Sznee, Kinga;Brazzoli, Michela;Croce, Roberta;Bassi, Roberto;Van Grondelle, Rienk;Korppi-Tommola, Jouko E.I.;Dekker, Jan P.</t>
  </si>
  <si>
    <t>Finland;Italy;Netherlands</t>
  </si>
  <si>
    <t>Jyvaskyla;Verona;Amsterdam</t>
  </si>
  <si>
    <t>University of Jyv√§skyl√§;Universit√† degli Studi di Verona;Vrije Universiteit Amsterdam</t>
  </si>
  <si>
    <t>60032398;60032256;60008734</t>
  </si>
  <si>
    <t>Ihalainen J.A.</t>
  </si>
  <si>
    <t>Evidence for two spectroscopically different dimers of light-harvesting complex I from green plants</t>
  </si>
  <si>
    <t>10.1021/bi0007369</t>
  </si>
  <si>
    <t>2-s2.0-0034713906</t>
  </si>
  <si>
    <t>Minist√®re de l'√âducation Nationale</t>
  </si>
  <si>
    <t>['variant mtf', 'two n', 'primary structures', 'neu5ac hydroxylase', 'mouse liver', 'methylation analysis', 'major glycans', 'iv contained', 'high activity', 'glycovariant mtf', 'glycovariant contains', 'glycolylneuraminic acid', 'glycans possessed', 'glcnac sialyltransferase', 'glcnac linkage', 'galactose either', 'fucose residue', 'fraction mtf', 'five variants', 'designated mtf', 'common trimannosyl', 'cellulose chromatography', 'carbohydrate composition', 'antennae linked', 'additional neu5gc', 'acetyllactosamine type', '6 ).', '3 ).']</t>
  </si>
  <si>
    <t>Glycoprotein | Mouse | N-Glycolylneuraminic acid | Sialyltransferase ST6GlcNAc | Transferrin</t>
  </si>
  <si>
    <t>Five variants of mouse serum transferrin (mTf, designated mTf-I to mTf-V) with respect to carbohydrate composition have been isolated by DEAE-cellulose chromatography in the following relative percentages: mTf-I: 0.55; mTf-II: 0.79; mTf-III: 71.80; mTf-VI: 21.90 and mTf-V: 4.96. The primary structures of the major glycans from mTf-III and mTf-IV were determined by methylation analysis and 1H-nuclear magnetic resonance (NMR) spectroscopy. All glycans possessed a common trimannosyl-N,N'-diacetylchitobiose core. From the glycovariant mTf-III two isomers of a conventional biantennary N-acetyllactosamine type were isolated, in which two N-glycolylneuraminic acid (Neu5Gc) residues are linked to galactose either by a (Œ±2-6) or (Œ±2-3) linkage. A subpopulation of this glycovariant contains a fucose residue (Œ±1-6)-linked to GlcNAc-1. The structure of the major glycan found in variant mTf-IV contained an additional Neu5Gc and possessed the following new type of linkage: Neu5Gc(Œ±2-3)Gal(Œ≤1-3)[Neu5Gc(Œ±2-6)]GlcNAc(Œ≤1-2)Man(Œ±1-3). In addition to this glycan, a minor compound contained the same antennae linked to Man(Œ±1-6). In fraction mTf-V, which was found to be very heterogeneous by 1H NMR analysis, carbohydrate composition and methylation analysis suggested the presence of tri'-antennary glycans sialylated by Neu5Gc Œ±-2,6- and Œ±-2,3-linked to the terminal galactose residues. In summary, mTf glycans differed from those of other analyzed mammalian transferrins by the presence of Neu5Gc and by a Neu5Gc(Œ±2-6)GlcNAc linkage in trisialylated biantennary structures, reflecting in mouse liver, a high activity of CMP-Neu5Ac hydroxylase and (Œ±2-6)GlcNAc sialyltransferase. Copyright (C) 2000 Elsevier Science B.V.</t>
  </si>
  <si>
    <t>321-328</t>
  </si>
  <si>
    <t>Biochimica et Biophysica Acta - General Subjects</t>
  </si>
  <si>
    <t>60104298;60071027;60104298;60104298;60104298</t>
  </si>
  <si>
    <t>6602132334;7007020991;7103289522;6603759083;7006843431</t>
  </si>
  <si>
    <t>Coddeville, Bernadette;Regoeczi, Erwin;Strecker, G√©rard;Plancke, Yves;Spik, Genevi√®ve</t>
  </si>
  <si>
    <t>France;Canada</t>
  </si>
  <si>
    <t>Villeneuve-d'Ascq;Hamilton</t>
  </si>
  <si>
    <t>Unit√© de Glycobiologie Structurale et Fonctionnelle (UGSF);McMaster University Medical Centre</t>
  </si>
  <si>
    <t>60104298;60071027</t>
  </si>
  <si>
    <t>Coddeville B.</t>
  </si>
  <si>
    <t>Structural analysis of trisialylated biantennary glycans isolated from mouse serum transferrin. Characterization of the sequence Neu5Gc(Œ±2-3)Gal(Œ≤1-3)[Neu5Gc(Œ±2-6)]GlcNAc(Œ≤1-2)Man</t>
  </si>
  <si>
    <t>S0304416500000830</t>
  </si>
  <si>
    <t>10.1016/S0304-4165(00)00083-0</t>
  </si>
  <si>
    <t>2-s2.0-0034718121</t>
  </si>
  <si>
    <t>['terahertz imaging', 'signal processing', 'rights reserved', 'discuss implementation']</t>
  </si>
  <si>
    <t>Optoelectronics | T-ray imaging | Terahertz | Wavelets</t>
  </si>
  <si>
    <t>In this paper we analyse the trade-offs for a terahertz imaging system and discuss implementation of a terahertz micro antenna array for imaging. We also describe applications of terahertz imaging and improvements in the signal processing. ¬© 2000 Elsevier Science Ltd. All rights reserved.</t>
  </si>
  <si>
    <t>503-514</t>
  </si>
  <si>
    <t>Microelectronics Journal</t>
  </si>
  <si>
    <t>60009512;60009512;60009512;60025534;60031564</t>
  </si>
  <si>
    <t>7004011290;56053895400;7102005151;7410280543;6701489697</t>
  </si>
  <si>
    <t>Mickan, S.;Abbott, D.;Munch, J.;Zhang, X. C.;Van Doorn, T.</t>
  </si>
  <si>
    <t>Australia;United States;Australia</t>
  </si>
  <si>
    <t>Adelaide;Troy;Adelaide</t>
  </si>
  <si>
    <t>Royal Adelaide Hospital;Rensselaer Polytechnic Institute;The University of Adelaide</t>
  </si>
  <si>
    <t>60031564;60025534;60009512</t>
  </si>
  <si>
    <t>Mickan S.</t>
  </si>
  <si>
    <t>Analysis of system trade-offs for terahertz imaging</t>
  </si>
  <si>
    <t>S0026269200000239</t>
  </si>
  <si>
    <t>10.1016/s0026-2692(00)00023-9</t>
  </si>
  <si>
    <t>2-s2.0-0001183362</t>
  </si>
  <si>
    <t>['without giving', 'radiating elements', 'present method', 'periodic technique', 'paper proposes', 'one side', 'narrow band', 'mutual coupling', 'microstrip antenna', 'low profile', 'light weight', 'larger coupling', 'ground plane', 'example five', 'elements due', 'element spacings', 'coupling effect', '20 %.', '10 dbi']</t>
  </si>
  <si>
    <t>This paper proposes a method of constructing a log-periodic microstrip antenna. Log-periodic technique is considered to be useful for improving the characteristics of a microstrip antenna (MSA) which is narrow band in nature, without giving up the advantages of low profile and light weight. The radiating elements are coax-fed and arranged on one side of the common feed line behind the ground plane. This arrangement necessarily decreases the element spacings, and increases the mutual coupling between elements. The coupling effect has acted to fill up the inactive frequency regions. Larger coupling between elements due to the necessarily dense arrangement enables obtaining wide-band frequency characteristics. An example five-element case proves that the present method is useful, giving a gain of 6 to 10 dBi over a bandwidth of about 20%.</t>
  </si>
  <si>
    <t>58-64</t>
  </si>
  <si>
    <t>7006133214;7404169327;7003894513;56216531000</t>
  </si>
  <si>
    <t>Ozeki, Hidekatsu;Hayashi, Shigeo;Kikuma, Nobuyoshi;Inagaki, Naoki</t>
  </si>
  <si>
    <t>Ozeki H.</t>
  </si>
  <si>
    <t>Quasi-log-periodic microstrip antenna with closely coupled elements</t>
  </si>
  <si>
    <t>10.1002/(SICI)1520-6416(20000730)132:2&lt;58::AID-EEJ7&gt;3.0.CO;2-2</t>
  </si>
  <si>
    <t>2-s2.0-0033729333</t>
  </si>
  <si>
    <t>60027313;60027313;60018735;60018735;60018735;60018735;60018735;60018735</t>
  </si>
  <si>
    <t>35461836000;7402659102;55724308000;57205939895;6603049081;55471596800;7101667721;7404693287</t>
  </si>
  <si>
    <t>Okabe, Shigemitsu;Ohno, Takahiro;Kobayashi, Tsuneo;Kawaguchi, Kenji;Ishioka, Yasuaki;Inoue, Tamotsu;Saida, Toshiyuki;Ikeda, Masami</t>
  </si>
  <si>
    <t>Tokyo Electric Power Company Holdings, Incorporated;Toshiba Corporation</t>
  </si>
  <si>
    <t>60027313;60018735</t>
  </si>
  <si>
    <t>Okabe S.</t>
  </si>
  <si>
    <t>Study on decomposition gas for diagnostics of gas-insulated transformers</t>
  </si>
  <si>
    <t>10.1002/(SICI)1520-6416(20000730)132:2&lt;29::AID-EEJ4&gt;3.0.CO;2-B</t>
  </si>
  <si>
    <t>2-s2.0-85047696821</t>
  </si>
  <si>
    <t>['terbium complex', 'temperature phosphorescence', 'luminescent properties', 'indicates energy', 'hexadentate ligand', 'estimated based', 'complex exhibits', 'calibration graph', 'aqueous solution', 'antenna moiety', '546 nm', '3 œé', '3 ppt', '288 nm', '2 ms']</t>
  </si>
  <si>
    <t>The luminescent properties of a terbium complex with a hexadentate ligand of N,N'-Bis(2-hydroxybenzyl)ethylenediamine-N,N'-diacetic acid (HBED) having a phenolate functional group as antenna moiety, have been investigated. The complex exhibits a high emission quantum yield (œÜ = 0.222, ex. 288 nm, em. 546 nm) with a long decay lifetime (œÑ(H2O) = 1.2 ms) in aqueous solution, which indicates energy-transfer type emission. The number of metal-bound water molecules in the complex was determined to be q = 1.8. The triplet energy level was estimated based on the data of its low-temperature phosphorescence. The calibration graph for Tb(III) was linear over the range from 3 x 10-11 to 1 x 10-8 mol dm-3. A 3 œÉ-blank detection limit of 3 ppt was achieved.</t>
  </si>
  <si>
    <t>1817-1821</t>
  </si>
  <si>
    <t>Bulletin of the Chemical Society of Japan</t>
  </si>
  <si>
    <t>24516714500;7201966734;7102225540</t>
  </si>
  <si>
    <t>Saito, S.;Hoshino, H.;Yotsuyanagi, T.</t>
  </si>
  <si>
    <t>Saito S.</t>
  </si>
  <si>
    <t>Highly sensitive energy-transfer luminescence of the N,N'-Bis(2-hydroxybenzyl)-ethylenediamine-N,N'-diacetatoterbium(I II) complex in aqueous solution</t>
  </si>
  <si>
    <t>10.1246/bcsj.73.1817</t>
  </si>
  <si>
    <t>2-s2.0-0033848366</t>
  </si>
  <si>
    <t>Institut National de la Recherche Agronomique</t>
  </si>
  <si>
    <t>INRA</t>
  </si>
  <si>
    <t>['stimuli tested', 'specific neurons', 'single components', 'significantly lower', 'response pattern', 'response characteristics', 'pheromone blends', 'olfactory interneurons', 'neuronal basis', 'mature males', 'male moth', 'less pronounced', 'large proportion', 'juvenile hormone', 'jh injections', 'ipsilon blend', 'different ages', 'described according', 'antennal lobe', 'agrotis ipsilon']</t>
  </si>
  <si>
    <t>Agrotis ipsilon | Antennal lobe | Juvenile hormone | Olfaction | Sex pheromone</t>
  </si>
  <si>
    <t>In the male moth, Agrotis ipsilon, the neuronal basis for juvenile hormone (JH)-linked modulation of sex pheromone responsiveness was investigated following stimulation of the antenna with i) an extract of female pheromone gland, ii) the synthetic pheromone blends from A. ipsilon and a closely related species, A. segetum, and iii) single components of the A. ipsilon blend. Response characteristics of olfactory interneurons were studied in the antennal lobe (AL) at different ages and with manipulated JH levels using intracellular recording techniques. Blend-specific, generalist and component-specific neurons were identified and described according to their response pattern. The proportion of low threshold AL interneurons increased significantly with age for all stimuli tested. Changes were, however, less pronounced for the minor single components. The proportion of low threshold AL interneurons in allatectomized (JH-deprived) mature males was significantly lower for all stimuli than in intact mature males. A large proportion of low threshold AL interneurons responding to the pheromone blends, but not as pronounced for single pheromone components, could be restored/induced by injecting JH either into JH-deprived mature males or into young immature males. The specificity for the species-specific blend compared to the A. segetum blend increased with age and JH injections. (C) 2000 Elsevier Science Ltd.</t>
  </si>
  <si>
    <t>1195-1206</t>
  </si>
  <si>
    <t>60070476;60029170</t>
  </si>
  <si>
    <t>6603865546;7005809476</t>
  </si>
  <si>
    <t>Gadenne, Christophe;Anton, Sylvia</t>
  </si>
  <si>
    <t>France;Sweden</t>
  </si>
  <si>
    <t>Villenave-d'Ornon;Lund</t>
  </si>
  <si>
    <t>Centre INRAE Nouvelle-Aquitaine Bordeaux;Lunds Universitet</t>
  </si>
  <si>
    <t>Gadenne C.</t>
  </si>
  <si>
    <t>Central processing of sex pheromone stimuli is differentially regulated by juvenile hormone in a male moth</t>
  </si>
  <si>
    <t>S0022191000000408</t>
  </si>
  <si>
    <t>10.1016/S0022-1910(00)00040-8</t>
  </si>
  <si>
    <t>2-s2.0-0033944657</t>
  </si>
  <si>
    <t>['vertical profiles', 'turbulent parameters', 'technique uses', 'specific choice', 'sound waves', 'rass sounding', 'radio waves', 'radar techniques', 'meteorological parameters', 'mean field', 'hundreds meter', 'height ranges', 'height range', 'geometric configuration', 'fixed echo', 'environmental noise', 'atmospheric stability', 'atmospheric absorption', 'antennas rass', 'acoustic wave']</t>
  </si>
  <si>
    <t>The combination of acoustic and radio waves called RASS (Radio Acoustic Sounding System) allows ground based measurements of the vertical profiles for temperature, wind and turbulent parameters. The technique uses the scattering of the radio waves at the density fluctuations caused by the acoustic wave field. Compared to SODAR or RADAR techniques which have proven their reliable routine operation in various applications RASS shows no sensitivity to fixed echo, to environmental noise or to precipitation. The height range of the RASS sounding is limited only by the atmospheric absorption of the sound waves and the shift of the acoustic wave with the mean field. Depending on the specific choice of acoustic and radio operation frequencies and the geometric configuration of the antennas RASS can be optimized for profiling in height ranges of some hundreds meter to some kilometer. In view of on-line environmental monitoring at industrial sites RASS allows direct measurements of the profiles of the meteorological parameters for transport and dispersion, atmospheric stability and the formation and decay of inversions.</t>
  </si>
  <si>
    <t>144-151</t>
  </si>
  <si>
    <t>Kerntechnik</t>
  </si>
  <si>
    <t>100513303;60025775;60028229</t>
  </si>
  <si>
    <t>6602973667;6507271182;7401522856</t>
  </si>
  <si>
    <t>Kirtzel, H. J.;Voelz, E.;Peters, G.</t>
  </si>
  <si>
    <t>Hamburg;Essen;Elmshorn</t>
  </si>
  <si>
    <t>Universit√§t Hamburg;E.ON;Metek GmbH</t>
  </si>
  <si>
    <t>60028229;60025775;100513303</t>
  </si>
  <si>
    <t>Kirtzel H.J.</t>
  </si>
  <si>
    <t>RASS - a new remote sensing system for the surveillance of meteorological dispersion</t>
  </si>
  <si>
    <t>2-s2.0-0034238615</t>
  </si>
  <si>
    <t>DAAL003-91-C-0034</t>
  </si>
  <si>
    <t>['usually limited', 'simultaneously limited', 'rotor position', 'polarized radiation', 'polarization radiation', 'platform interactions', 'loops dictates', 'loop antennas', 'induced currents', 'helicopter platforms', 'dipole moment', 'antenna placement']</t>
  </si>
  <si>
    <t>Antennas at VHF frequencies mounted to small (with respect to wavelength) helicopter platforms are usually limited to whip and loop antennas. Antenna placement and rotor position can drastically change antenna performance due to induced currents on the platform. This work illustrates deliberate antenna-platform interactions that cause induced currents to reinforce and improve the radiating system performance. Additionally, rotor modulation effects can be simultaneously limited. This is accomplished by using oppositely placed loop antennas at a location on the airframe that is nominally one wavelength in circumference. The resulting broadcast pattern admits low cross-polarization radiation and low copolarized rotor modulation, but is not uniform. The dipole moment of the loops dictates this nonuniformity. Double-loop antennas are used to create a more uniform broadcast pattern without sacrificing the desired low cross-polarized radiation and low copolarized rotor modulation.</t>
  </si>
  <si>
    <t>298-302</t>
  </si>
  <si>
    <t>60000251-60015720;60015720</t>
  </si>
  <si>
    <t>7103311439;7202537194</t>
  </si>
  <si>
    <t>Richie, James E.;Barrett, Tony J.</t>
  </si>
  <si>
    <t>Milwaukee;New York</t>
  </si>
  <si>
    <t>Marquette University;IEEE</t>
  </si>
  <si>
    <t>60015720;60000251</t>
  </si>
  <si>
    <t>Richie J.</t>
  </si>
  <si>
    <t>VHF helicopter antennas that incorporate the airframe and reduce rotor modulation</t>
  </si>
  <si>
    <t>10.1109/15.865337</t>
  </si>
  <si>
    <t>2-s2.0-0034244830</t>
  </si>
  <si>
    <t>['studied theoretically', 'slot offset', 'rectangular cavity', 'moment method', 'matching method', 'magnetic current', 'integral equation', 'input impedance', 'good agreement', 'derived using', 'cavity size']</t>
  </si>
  <si>
    <t>A slot-excited hemispherical dielectric resonator antenna backed by a rectangular cavity is studied theoretically and experimentally. The magnetic-type dyadic Green's function for the rectangular cavity is derived using the mode-matching method. An integral equation for the equivalent magnetic current is obtained by enforcing the boundary condition across the slot. The moment method with the Galerkin's procedure is then used to find the magnetic current in the slot and, hence, the input impedance of the antenna. Measurements were carried out to verify the theory and good agreement is obtained. The effects of the slot inclination angle, of the slot offset, and of the cavity size on the input impedance are discussed.</t>
  </si>
  <si>
    <t>290-297</t>
  </si>
  <si>
    <t>60013983;60000251-60013983</t>
  </si>
  <si>
    <t>7202180867;56415172000</t>
  </si>
  <si>
    <t>Chow, Kut Yuen;Leung, Kwok Wa</t>
  </si>
  <si>
    <t>Chow K.</t>
  </si>
  <si>
    <t>Theory and experiment of the cavity-backed slot-excited dielectric resonator antenna</t>
  </si>
  <si>
    <t>10.1109/15.865336</t>
  </si>
  <si>
    <t>2-s2.0-0034245205</t>
  </si>
  <si>
    <t>DAAH04-96-1-0087</t>
  </si>
  <si>
    <t>['wire currents', 'thin wire', 'resulting fields', 'electromagnetic coupling', 'coupled half']</t>
  </si>
  <si>
    <t>Electromagnetic coupling through a narrow slot aperture in an infinite ground plane is considered when a thin wire is present in the coupled half-space. The effect of the wire on coupling is determined. The slot has width and depth. The method of moments is applied to determine equivalent aperture currents and wire currents. Then coupling is calculated from the resulting fields. Results are presented for high and low Q slots and on and off resonance.</t>
  </si>
  <si>
    <t>60000251-60002162;60000251-60002162</t>
  </si>
  <si>
    <t>15124334200;7005555698</t>
  </si>
  <si>
    <t>Lail, Brian A.;Castillo, Steven P.</t>
  </si>
  <si>
    <t>Las Cruces;New York</t>
  </si>
  <si>
    <t>New Mexico State University;IEEE</t>
  </si>
  <si>
    <t>60002162;60000251</t>
  </si>
  <si>
    <t>Lail B.A.</t>
  </si>
  <si>
    <t>Coupling through narrow slot apertures to thin-wire structures</t>
  </si>
  <si>
    <t>10.1109/15.865334</t>
  </si>
  <si>
    <t>2-s2.0-0034245262</t>
  </si>
  <si>
    <t>['user interactions', 'small antennas', 'offer solutions', 'circular polorization', 'beam quality', 'basic topology']</t>
  </si>
  <si>
    <t>An overview is given on a class of small antennas that offer solutions to close proximity detuning, user interactions and beam quality for both linear and circular polorization. A basic topology of a dielectric loaded twisted loop antenna designed to minimize the fields that are incident on the user's head is introduced. Further, three of the variants of this topology for GPS, Bluetooth and dual band GSM/UMTS are described.</t>
  </si>
  <si>
    <t>31-32, 34, 37</t>
  </si>
  <si>
    <t>AUG./SEPT.</t>
  </si>
  <si>
    <t>6701760387;35562114200;12759242900</t>
  </si>
  <si>
    <t>Leisten, O.;Vardaxoglou, J. C.;McEvoy, P.</t>
  </si>
  <si>
    <t>Leisten O.</t>
  </si>
  <si>
    <t>Miniature dielectric-loaded antennas for personal telephony and mobility</t>
  </si>
  <si>
    <t>2-s2.0-0034245463</t>
  </si>
  <si>
    <t>['proposed music', 'identical subarrays', 'cartesian direction']</t>
  </si>
  <si>
    <t>A sparse uniform Cartesian-grid array suffers cyclic ambiguity in its Cartesian direction-cosine estimates due to the spatial Nyquist sampling theorem. The proposed MUSIC-based or MODE-based algorithm improves and generalizes previous disambiguation schemes that populate the thin array grid with identical subarrays - such as electromagnetic vector sensors, underwater acoustic vector hydrophones, or half-wavelength spaced subarrays.</t>
  </si>
  <si>
    <t>2205-2210</t>
  </si>
  <si>
    <t>60009254;60002798</t>
  </si>
  <si>
    <t>55664103800;7404759216</t>
  </si>
  <si>
    <t>Zoltowski, Michael D.;Wong, Kainam Thomas</t>
  </si>
  <si>
    <t>United States;Hong Kong</t>
  </si>
  <si>
    <t>West Lafayette;Hong Kong</t>
  </si>
  <si>
    <t>Purdue University;Chinese University of Hong Kong</t>
  </si>
  <si>
    <t>Zoltowski M.</t>
  </si>
  <si>
    <t>Closed-form eigenstructure-based direction finding using arbitrary but identical subarrays on a sparse uniform Cartesian array grid</t>
  </si>
  <si>
    <t>10.1109/78.852001</t>
  </si>
  <si>
    <t>2-s2.0-0034245499</t>
  </si>
  <si>
    <t>DAAH04-95-1-0246</t>
  </si>
  <si>
    <t>['six electromagnetic', 'simulations demonstrate', 'orthogonally oriented', 'novel esprit', 'incident source', 'half wavelength', 'field components', 'distinctly measuring', 'coarse reference', 'channel communications', 'based two', 'aperture extension', '., thin']</t>
  </si>
  <si>
    <t>Aperture extension (interferometry baseline extension) is achieved in this novel ESPRIT-based two-dimensional (2-D) arrival angle estimation scheme using a sparse (a.k.a., thin or thinned) uniform rectangular array of electromagnetic vector sensors spaced much farther apart than a half-wavelength. An electromagnetic vector sensor is composed of six spatially co-located, orthogonally oriented, diversely polarized antennas, distinctly measuring all six electromagnetic-field components of an incident multisource wavefield. Each incident source's direction of arrival (DOA) is estimated from the source's electromagnetic-field vector component and serves as a coarse reference to disambiguate the cyclic phase ambiguities in ESPRIT's eigenvalues when the intervector sensor spacing exceeds a half wavelength. Simulations demonstrate the significant performance gain realizable by this method for radar and wireless mobile fading-channel communications.</t>
  </si>
  <si>
    <t>2195-2204</t>
  </si>
  <si>
    <t>ESPRIT-based 2-D direction finding with a sparse uniform array of electromagnetic vector sensors</t>
  </si>
  <si>
    <t>10.1109/78.852000</t>
  </si>
  <si>
    <t>2-s2.0-0034246199</t>
  </si>
  <si>
    <t>['slow changes', 'sinr ).', 'resolved paths', 'receiver comprising', 'rake combiner', 'promising technique', 'preliminary laboratory', 'powerful means', 'paper presents', 'instantaneous signal', 'instantaneous changes', 'field experiments', 'coherently combines', 'channel conditions', 'caaad receiver', 'average powers', 'antenna beam']</t>
  </si>
  <si>
    <t>In wideband direct sequence code division multiple access (W-CDMA), employing an adaptive antenna array is a very promising technique to reduce severe multiple access interference (MAI) from high rate users. A four-antenna pilot symbol-assisted coherent adaptive antenna array diversity (PSA-CAAAD) receiver comprising an adaptive antenna array based on a minimum mean squared error (MMSE) criterion and a Rake combiner is implemented in preliminary laboratory and field experiments. There are two important design concepts of the PSA-CAAAD receiver. The first is that the adaptive antenna array forms an antenna beam for each resolved propagation path and tracks only slow changes in the directions of arrival (DOA's) and average powers of the desired and interfering user signals. The second is that the Rake combiner tracks the instantaneous changes in channel conditions and coherently combines the signals of the desired user propagating along the resolved paths to maximize the instantaneous signal-to-interference plus background noise power ratio (SINR). This paper presents, both by laboratory and field experiments, the effectiveness of PSA-CAAAD receiver as a powerful means to reduce severe MAI from high rate users, and that it is more effective than using a space diversity receiver with the same number of antennas in the W-CDMA reverse link.</t>
  </si>
  <si>
    <t>1495-1504</t>
  </si>
  <si>
    <t>55649567818;57206187624;55411183500;7103400688</t>
  </si>
  <si>
    <t>Tanaka, Shinya;Harada, Atsushi;Sawahashi, Mamoru;Adachi, Fumiyuki</t>
  </si>
  <si>
    <t>Tanaka S.</t>
  </si>
  <si>
    <t>Experiments on coherent adaptive antenna array diversity for wideband DS-CDMA mobile radio</t>
  </si>
  <si>
    <t>10.1109/49.864013</t>
  </si>
  <si>
    <t>2-s2.0-0034246442</t>
  </si>
  <si>
    <t>This paper proposes a new digital beamforming adaptive array antenna (DBFAAA) that is effective in severe multipath environments in which timing and carrier synchronization circuits cannot function ideally resulting in the DBFAAA losing control. The proposed DBFAAA has two stages. In the first, the DBFAAA captures the desired signal and establishes synchronization. In the second, the DBFAAA optimizes the beam pattern of the signal. The proposed configuration employs an eigenvector beam of the maximum eigenvalue in the first stage beam-forming. In addition, a fractionally-spaced-tapped-delay-line (FS-TDL) with real tap weights, which is placed after the beam-former, is applied to achieve timing synchronization. The behavior of the proposed DBFAAA for asynchronous sampling data is investigated and the results indicate that the proposed configuration enables asynchronous sampling at the A/D converter. A prototype of the proposed DBFAAA achieving 38-Mbps real-time data communication is introduced and the transmission performance is shown.</t>
  </si>
  <si>
    <t>1678-1687</t>
  </si>
  <si>
    <t>7005529399;7403954564;7006575598;7402411659</t>
  </si>
  <si>
    <t>Takatori, Yasushi;Cho, Keizo;Nishimori, Kentaro;Hori, Toshikazu</t>
  </si>
  <si>
    <t>Takatori Y.</t>
  </si>
  <si>
    <t>Adaptive array employing eigenvector beam of maximum eigenvalue and fractionally-spaced TDL with real tap</t>
  </si>
  <si>
    <t>2-s2.0-0034246477</t>
  </si>
  <si>
    <t>['infinite case', 'element circumference', 'currents induced', 'current distributions']</t>
  </si>
  <si>
    <t>To study the influence of the edges on the currents induced in finite arrays used as frequency selective surfaces (FSS), large arrays of dual polarised elements have been modelled. The elements are rings, which provide azimuthal symmetry and do not restrict the current distributions. Current amplitudes fluctuate widely across the arrays, as do the orientations of nulls in the current distributions around the element circumference. Results for a sequence of arrays of increasing size illustrate how the currents eventually settle to the infinite case.</t>
  </si>
  <si>
    <t>311-313</t>
  </si>
  <si>
    <t>6701407340;7201840709</t>
  </si>
  <si>
    <t>Savia, S. B.;Parker, E. A.</t>
  </si>
  <si>
    <t>Savia S.B.</t>
  </si>
  <si>
    <t>Currents induced in the edge regions of FSS arrays</t>
  </si>
  <si>
    <t>10.1049/ip-map:20000514</t>
  </si>
  <si>
    <t>2-s2.0-0034246739</t>
  </si>
  <si>
    <t>['strain sensors', 'saw sensor', 'salient feature', 'remote reading', 'reflected back', 'reading system', 'propagation characteristics', 'power source', 'operating principle', 'linbo3 wafer', 'investigated theoretically', 'inductively coupled', 'indentity tags', 'icma ).', 'fm radar', 'electromagnetic wave', 'digital transducer', 'converted back', 'also suitable']</t>
  </si>
  <si>
    <t>The design and development of a smart wireless system for remote reading of a passive surface acoustic wave (SAW) sensor is presented in this paper. The SAW sensor is a lithium niobate wafer with an inter-digital transducer (IDT) with reflectors, which is inductively coupled to a microstrip meander antenna (ICMA). The reading system is a special FM radar, which transmits and receives FM electromagnetic signals. The transmitted FM signal is picked up by the ICMA which subsequently, converts into a SAW in the LiNbO3 wafer through the IDTs. These SAWs are reflected back to the IDTs by the reflectors, converted back to an electromagnetic wave and returned to the FM radar by the ICMA. The acoustic velocity varies as a function of the propagation characteristics of the SAW in the substrate and results in varying time delay of the echoes, which is detected by the system. The resolution and accuracy of such a system are investigated theoretically and experimentally. The operating principle is evaluated for a remote temperature measurement system. The salient feature of this system is that no power source is required at the sensor and thus is applicable for remote temperature sensing of propellant in barrel-launched adaptive munitions (BLAM), tank rounds and other munitions and missiles. This is also suitable for other remote reading SAW sensors such as indentity tags, wireless pressure sensors, wireless gas sensors, strain sensors, hospital sterilizer sensors, etc.</t>
  </si>
  <si>
    <t>379-388</t>
  </si>
  <si>
    <t>Smart Materials and Structures</t>
  </si>
  <si>
    <t>60001439;60001439;60001439;60001439</t>
  </si>
  <si>
    <t>36039583900;7006685082;7005956560;7202350150</t>
  </si>
  <si>
    <t>Varadan, V. K.;Teo, P. T.;Jose, K. A.;Varadan, V. V.</t>
  </si>
  <si>
    <t>Varadan V.</t>
  </si>
  <si>
    <t>Design and development of a smart wireless system for passive temperature sensors</t>
  </si>
  <si>
    <t>10.1088/0964-1726/9/4/301</t>
  </si>
  <si>
    <t>2-s2.0-0034246823</t>
  </si>
  <si>
    <t>N00014-98-1-0875</t>
  </si>
  <si>
    <t>['wcdma waveforms', 'wcdma systems', 'wcdma ).', 'various subsystems', 'simultaneously access', 'satisfy ever', 'potential enhancements', 'multiple antennas', 'multicarrier cdma', 'mobile channels', 'interference suppression', 'increasing demands', 'basic characteristics']</t>
  </si>
  <si>
    <t>To satisfy ever-increasing demands for higher data rates, as well as to allow more users to simultaneously access the network, interest has peaked in what has come to be known as wideband code division multiple access (WCDMA). In this paper, we discuss those basic characteristics of WCDMA waveforms that make them attractive for high data rate transmission over wireless and mobile channels. We emphasize how the choice of spread bandwidth affects the bit error rate of the system, as well as how it affects the reliability of various subsystems, such as those that perform coarse acquisition and adaptive power control. We then discuss how some of the waveforms being considered for cellular WCDMA systems differ from those in use in the narrowband CDMA cellular system, and emphasize, as an example, multicarrier CDMA. Finally, we discuss other potential enhancements to WCDMA systems, such as the use of interference suppression at the receiver, or multiple antennas at the transmitter.</t>
  </si>
  <si>
    <t>1344-1354</t>
  </si>
  <si>
    <t>Milstein, Laurence B.</t>
  </si>
  <si>
    <t>The Electrical and Computer Engineering Department</t>
  </si>
  <si>
    <t>Milstein L.B.</t>
  </si>
  <si>
    <t>Wideband code division multiple access</t>
  </si>
  <si>
    <t>10.1109/49.864000</t>
  </si>
  <si>
    <t>2-s2.0-0034246956</t>
  </si>
  <si>
    <t>['results show', 'paper reports', 'costs less']</t>
  </si>
  <si>
    <t>This paper reports on using a dual reflector antenna to improve the bandwidth of a free space material measurement system that was based on dielectric lens horn antennas. Low-cost offset parabolic dishes, intended for the domestic satellite TV market, are used to generate the required focused beam. Results show that, for a system that costs less, the operating frequency band of the lens system may be doubled.</t>
  </si>
  <si>
    <t>862-866</t>
  </si>
  <si>
    <t>IEEE Transactions on Instrumentation and Measurement</t>
  </si>
  <si>
    <t>;60001565</t>
  </si>
  <si>
    <t>6507045820;7202292380</t>
  </si>
  <si>
    <t>Matlacz, J.;Palmer, K. D.</t>
  </si>
  <si>
    <t>Stellenbosch</t>
  </si>
  <si>
    <t>Stellenbosch University</t>
  </si>
  <si>
    <t>Matlacz J.</t>
  </si>
  <si>
    <t>Using offset parabolic reflector antennas for free space material measurement</t>
  </si>
  <si>
    <t>10.1109/19.863939</t>
  </si>
  <si>
    <t>2-s2.0-0034247030</t>
  </si>
  <si>
    <t>['sensor consists', 'resonant frequency', 'relative humidity', 'planar inductor', 'new type', 'monitoring pressure', 'loop antenna', 'interrogation field']</t>
  </si>
  <si>
    <t>A new type of remote query sensor for monitoring pressure, relative humidity, and phase-transitions is presented. The sensor consists of a planar inductor-capacitor resonant circuit, the resonant frequency of which changes in response to different environmental parameters. The sensor does not require an internal power source, rather it responds to the interrogation field. A loop antenna is used to monitor the sensor.</t>
  </si>
  <si>
    <t>421-428</t>
  </si>
  <si>
    <t>Resonant printed-circuit sensor for remote query monitoring of environmental parameters</t>
  </si>
  <si>
    <t>10.1088/0964-1726/9/4/305</t>
  </si>
  <si>
    <t>2-s2.0-0034247081</t>
  </si>
  <si>
    <t>['wide range', 'relative directions', 'plasma density', 'operation parameters', 'operation modes', 'input power', 'helicon waves', 'experimental values', 'experimental results', 'experimental data', 'examined experimentally', 'electrostatic waves', 'due regard', 'depend strongly', 'computed dependences', 'antenna loops', '6 mtorr', '0 antenna']</t>
  </si>
  <si>
    <t>Operation modes of helicon discharge excited by double m = 0 antenna at high argon pressures of 51 and 6 mTorr are examined experimentally and theoretically. The behaviour of the discharge, including abrupt density jumps, is found to depend strongly on the relative directions of the currents in the antenna loops (on the antenna spectrum). Experimental results are interpreted in terms of theory which considers the radio frequency power absorption with due regard to the conversion of helicon waves into electrostatic waves. Computed dependences of the plasma load resistance on plasma density and input power, and magnetic field profiles satisfactorily agree with experimental data over a wide range of operation parameters. Thresholds for density jumps estimated from the power balance consideration are also in agreement with experimental values.</t>
  </si>
  <si>
    <t>865-880</t>
  </si>
  <si>
    <t>60011047;60011047-60005722</t>
  </si>
  <si>
    <t>7102082310;6701557700</t>
  </si>
  <si>
    <t>Shinohara, Shunjiro;Shamrai, Konstantin P.</t>
  </si>
  <si>
    <t>Japan;Ukraine</t>
  </si>
  <si>
    <t>Fukuoka;Kiev</t>
  </si>
  <si>
    <t>Kyushu University;Institute of Nuclear Research, National Academy of Sciences in Ukraine</t>
  </si>
  <si>
    <t>60011047;60005722</t>
  </si>
  <si>
    <t>Direct comparison of experimental and theoretical results on the antenna loading and density jumps in a high pressure helicon source</t>
  </si>
  <si>
    <t>10.1088/0741-3335/42/8/301</t>
  </si>
  <si>
    <t>2-s2.0-0034247083</t>
  </si>
  <si>
    <t>Secretar√≠a General de Ciencia y Tecnolog√≠a , Universidad Nacional del Sur</t>
  </si>
  <si>
    <t>SGCYT, UNS</t>
  </si>
  <si>
    <t>['ssb modulation', 'real alternative', 'optical signal', 'modulation techniques', 'microwave antennas', 'less demanding', 'experimental analysis', 'demonstrate wide', 'beamforming applications', 'band operation', 'amplitude response', '18 ghz']</t>
  </si>
  <si>
    <t>We present a theoretical and experimental analysis of the performance of phased-array antennas steered by a single chirped fiber grating. Two approaches consisting of conventional and single-sideband (SSB) modulation techniques of the optical signal are presented in order to compare their performance and suitability for beamforming applications in microwave antennas. By using a 40-cm-long chirped grating, we measure the phase and amplitude response and calculate the corresponding radiation patterns to demonstrate wide-band operation and continuous spatial scanning properties of both configurations. SSB modulation is presented as a real alternative to the first one offering broader operation band (4-18 GHz) for a given chirped grating and being less demanding on the fiber grating characteristics.</t>
  </si>
  <si>
    <t>1352-1360</t>
  </si>
  <si>
    <t>60011476;60002644;60002644;60011476;60002644</t>
  </si>
  <si>
    <t>Variable delay line for phased-array antenna based on a chirped fiber grating</t>
  </si>
  <si>
    <t>10.1109/22.859480</t>
  </si>
  <si>
    <t>2-s2.0-0034247084</t>
  </si>
  <si>
    <t>['urban terrain', 'potential application', 'mobile communications', 'evaluated accordingly', 'dipole port', 'cylindrical surface', 'currents along', 'current vector', 'current density']</t>
  </si>
  <si>
    <t>A linear dipole array mounted on a finite solid conducting cylinder is analyzed by the method of moments with piecewise overlapping triangular functions and complex Fourier mode expansions. The port-current vector is obtained by shaped beam pattern synthesis procedure, and the port voltage vector is computed with mutual coupling included. Currents along the dipoles and the current density on the cylindrical surface are calculated. Active input impedance at each dipole port is evaluated accordingly. The antenna has potential application for mobile communications in urban terrain.</t>
  </si>
  <si>
    <t>60013983;60013983;60013983;60004407;60025578</t>
  </si>
  <si>
    <t>57213542314;55510527400;55511318500;7403018268;7403280923</t>
  </si>
  <si>
    <t>Zhang, X. M.;Luk, K. M.;Chan, C. H.;James, J. R.;Liang, C. H.</t>
  </si>
  <si>
    <t>China;Hong Kong;United Kingdom</t>
  </si>
  <si>
    <t>Xi'an;Kowloon;Cranfield</t>
  </si>
  <si>
    <t>Xidian University;City University of Hong Kong;Cranfield University</t>
  </si>
  <si>
    <t>60025578;60013983;60004407</t>
  </si>
  <si>
    <t>Zhang X.</t>
  </si>
  <si>
    <t>Design of a shaped beam cylindrical dipole array for cellular base stations</t>
  </si>
  <si>
    <t>10.1049/ip-map:20000597</t>
  </si>
  <si>
    <t>2-s2.0-0034247661</t>
  </si>
  <si>
    <t>['using four', 'user case', 'two users', 'target eb', 'results indicate', 'required eb', 'observation period', 'k slots', 'increased mai', 'fast tpc', 'experimentally evaluated', 'desired user', 'combined effect', 'channel estimation', 'branch rake', 'average ber', 'approximately 2', 'approximately 0', 'also clarified', '5 db', '10 symbols', '096 mchip']</t>
  </si>
  <si>
    <t>The combined effect of coherent Rake combining using the weighted multislot averaging (WMSA) channel estimation filter and closed-loop fast transmit power control (TPC) in the 4.096 Mchip/s direct sequence code division multiple access (DS-CDMA) mobile radio reverse link is experimentally evaluated. The WMSA channel estimation filter utilizes periodically transmitted pilot symbols (four pilot symbols are time-multiplexed in each 40-symbol time slot). Its observation period is extended to 2-K slots in order to improve the accuracy of the channel estimation. The fast TPC is based on the measurement of signal-to-interference plus background noise ratio (SIR) using pilot symbols. Laboratory experiments show that the use of the K = 2 WMSA channel estimation filter reduces the required Eb/Io at the average BER of 10-3 by approximately 0.5 dB compared to use of the linear interpolation filter, and that the required Eb/Io is minimized when the SIR measurement interval is M = 10 symbols (one slot TPC delay). It was also clarified that SIR-based TPC works satisfactorily when two users with different information data rates, i.e., SF, independently employ fast TPC. Field experimental results conducted in an area nearby Tokyo showed that the average BER of 10-3 is achieved at the target Eb/Io per antenna of approximately 2.5 dB by using four-finger/branch Rake and two-branch antenna diversity. Although the target Eb/Io to achieve same BER, when there is one interfering user with a fourfold greater transmit power than that of the desired user that independently employs fast TPC, is almost the same as that in the single-user case, the mobile transmit power is increased by 1.0-2.0 dB due to the increased MAI. These results indicate that the combination of coherent Rake combining and fast TPC works well in practical multipath fading channels.</t>
  </si>
  <si>
    <t>1526-1535</t>
  </si>
  <si>
    <t>60025555;60025555;60025555;60025555;60008435</t>
  </si>
  <si>
    <t>35560451600;7007165309;7103299306;55411183500;7103400688</t>
  </si>
  <si>
    <t>Higuchi, Kenichi;Andoh, Hidehiro;Okawa, Koichi;Sawahashi, Mamoru;Adachi, Fumiyuki</t>
  </si>
  <si>
    <t>Higuchi K.</t>
  </si>
  <si>
    <t>Experimental evaluation of combined effect of coherent Rake combining and SIR-based fast transmit power control for reverse link of DS-CDMA mobile radio</t>
  </si>
  <si>
    <t>10.1109/49.864016</t>
  </si>
  <si>
    <t>2-s2.0-0034247672</t>
  </si>
  <si>
    <t>['tissues located', 'sophisticated two', 'reasonable images', 'ray exposure', 'peripheral areas', 'newton algorithm', 'malignant tumors', 'easier access', 'dimensional model', 'calculations show', '2 ghz']</t>
  </si>
  <si>
    <t>In this paper, we report a two-dimensional computer simulation of a microwave flat antenna array for breast cancer tomography. This new technology promises reduction of X-ray exposure and easier access to peripheral areas of the breast. Using our version of the Newton algorithm, we studied two simple mathematical objects and a more sophisticated two-dimensional model of the breast that takes into account dielectrical properties of different human tissues and malignant tumors. Our calculations show that, operating at 2 GHz, this device may give very reasonable images of tissues located up to 3-4 cm beneath the surface.</t>
  </si>
  <si>
    <t>1413-1415</t>
  </si>
  <si>
    <t>60030824;60030824;60030824;60030824;60030824</t>
  </si>
  <si>
    <t>7004513697;6603892892;7103074188;7006328323;7003956496</t>
  </si>
  <si>
    <t>Souvorov, Alexandre E.;Bulyshev, Alexander E.;Semenov, Serguei Y.;Svenson, Robert H.;Tatsis, George P.</t>
  </si>
  <si>
    <t>Charlotte</t>
  </si>
  <si>
    <t>Carolinas Medical Center</t>
  </si>
  <si>
    <t>Souvorov A.E.</t>
  </si>
  <si>
    <t>Two-dimensional computer analysis of a microwave flat antenna array for breast cancer tomography</t>
  </si>
  <si>
    <t>10.1109/22.859490</t>
  </si>
  <si>
    <t>2-s2.0-0034248046</t>
  </si>
  <si>
    <t>['wider range', 'waveguide broad', 'slot width', 'moreno couplers', 'magnetic polarisability', 'lower limit', 'good performance', 'electric polarisability', 'directivity may', 'coupling measurements', 'coupling apertures', 'also shown']</t>
  </si>
  <si>
    <t>The crossed-waveguide broad-wall-to-broad-wall directional coupler is a compact device capable of good performance over a wide frequency band. However, no complete design procedure is available. The small aperture coupling theory of this broad-wall (Moreno) coupler is reviewed and extended. It is shown that a lower limit on the directivity is given by the ratio of magnetic polarisability to electric polarisability for the coupling apertures. Hence, directivity may be improved by using very narrow crossed slots for coupling. It is also shown that the coupling and lower limit on directivity may be calculated for any slot width by using published values of crossed slot polarisabilities. The results of coupling measurements on Moreno couplers are presented in the paper to demonstrate the accuracy of the small-aperture design procedure. Application of these results should permit the broad-wall cross coupler to be used in a wider range of applications.</t>
  </si>
  <si>
    <t>249-254</t>
  </si>
  <si>
    <t>60020321;60090804</t>
  </si>
  <si>
    <t>57204947560;6505917776</t>
  </si>
  <si>
    <t>Ball, J. A.R.;Sulda, T. M.</t>
  </si>
  <si>
    <t>Canberra;Toowoomba</t>
  </si>
  <si>
    <t>Royal Australian Air Force;University of Southern Queensland</t>
  </si>
  <si>
    <t>60090804;60020321</t>
  </si>
  <si>
    <t>Ball J.</t>
  </si>
  <si>
    <t>Small aperture crossed waveguide broad-wall directional couplers</t>
  </si>
  <si>
    <t>10.1049/ip-map:20000570</t>
  </si>
  <si>
    <t>2-s2.0-0034248206</t>
  </si>
  <si>
    <t>['viable alternative', 'system design', 'rf communications', 'potential advantages', 'narrow field', 'link systems', 'laser cross', 'laser communications', 'intersatellite links', 'article presents']</t>
  </si>
  <si>
    <t>Laser communications offer a viable alternative to RF communications for intersatellite links and other applications where high performance links are a necessity. High data rate, small antenna size, narrow beam divergence, and a narrow field of view are characteristics of laser communications that offer a number of potential advantages for system design. This article presents an overview and tutorial of laser cross-link systems and technologies.</t>
  </si>
  <si>
    <t>126-132</t>
  </si>
  <si>
    <t>Begley, David L.</t>
  </si>
  <si>
    <t>Ball Aerospace</t>
  </si>
  <si>
    <t>Begley D.</t>
  </si>
  <si>
    <t>Laser cross-link systems and technology</t>
  </si>
  <si>
    <t>10.1109/35.860863</t>
  </si>
  <si>
    <t>2-s2.0-0034248209</t>
  </si>
  <si>
    <t>AO F383</t>
  </si>
  <si>
    <t>['using monte', 'system performance', 'spectrum multiple', 'sequence spread', 'rate formula', 'interfering users', 'gaussian approximation', 'effectively suppressing', 'desired user', 'correlation coefficients', 'characteristic functions', 'carlo simulations', 'analytical methods']</t>
  </si>
  <si>
    <t>In this paper, a spatio-temporal matched filter receiver for direct-sequence spread-spectrum multiple-access (DS/SSMA) communications with aperiodic random quadriphase spreading sequences is derived, and the system performance is analyzed. It is shown with the method of characteristic functions that the cross-correlation coefficients between the desired user's and the interfering users' spreading sequences tend, in distribution, to independently and identically distributed circularly symmetric complex Gaussian random variables as the processing gain goes to infinity. Based on this Gaussian approximation, the structure of the spatio-temporal matched filter receiver is derived and a bit-error-rate formula is obtained. Using Monte-Carlo simulations, as well as analytical methods, it is shown that the spatio-temporal matched filter receiver achieves a significant performance improvement over the conventional, temporal, and spatial matched filter receivers by effectively suppressing the multiple-access-interference.</t>
  </si>
  <si>
    <t>1505-1515</t>
  </si>
  <si>
    <t>7403536383;7006074700</t>
  </si>
  <si>
    <t>Cho, Joon Ho;Lehnert, James S.</t>
  </si>
  <si>
    <t>Cho J.</t>
  </si>
  <si>
    <t>Performance of a spatio-temporal matched filter receiver for DS/SSMA communications</t>
  </si>
  <si>
    <t>10.1109/49.864014</t>
  </si>
  <si>
    <t>2-s2.0-0034248457</t>
  </si>
  <si>
    <t>['three times', 'results show', 'proposed antenna', 'operating bandwidth', 'novel design', 'experimentally studied', 'also constructed', '46 %,']</t>
  </si>
  <si>
    <t>A novel design of a microstrip-line-fed printed semicircular slot antenna is proposed. A prototype of the proposed antenna is also constructed and experimentally studied. Results show that, by protruding a small rectangular slot of proper dimensions along the direction of the microstrip feed line, good impedance matching over a wide operating bandwidth for the proposed antenna can be obtained. The constructed prototype shows an operating bandwidth, determined by the 10 dB return loss, of about 46%, which is about three times that of a corresponding conventional printed wide rectangular slot antenna. Details of the proposed antenna and obtained experimental results are presented.</t>
  </si>
  <si>
    <t>237-239</t>
  </si>
  <si>
    <t>7409640753;7406883544;35460663000</t>
  </si>
  <si>
    <t>Chen, Wen Shan;Huang, Chieh Chin;Wong, Kin Lu</t>
  </si>
  <si>
    <t>Novel microstrip-line-fed printed semicircular slot antenna for broadband operation</t>
  </si>
  <si>
    <t>10.1002/1098-2760(20000820)26:4&lt;237::AID-MOP10&gt;3.0.CO;2-I</t>
  </si>
  <si>
    <t>2-s2.0-0034248711</t>
  </si>
  <si>
    <t>['via measurement', 'standard qha', 'receiver chain', 'received signals', 'potential solution', 'performance degradation', 'path effect', 'los situations', 'little shadowing', 'greatly shadowed', 'four elements', 'extra receivers', 'diversity gains', 'different sites', '6db due', '14db relative']</t>
  </si>
  <si>
    <t>An investigation, via measurement, is presented of the potential for using a quadrifilar helix antenna (QHA) as a diversity antenna within a mobile satellite communications environment where there is a non-line-of-sight (LOS) link between the satellite base station and the mobile. Received signals from the four elements of the QHA were collected at different sites, such that the effects of the presence of both buildings and trees were observed. Diversity gains of up to 14dB relative to a standard QHA have been observed in areas where the signal is greatly shadowed. However, there is a penalty of up to 6dB due to the noise from the extra receivers when using maximum ratio diversity combining within areas where the signals are not decorrelated, such as in LOS situations or in areas where there is little shadowing or multi-path effect. A potential solution to the performance degradation in LOS situations is by applying complex weights to the signals and summing them prior to the receiver, rather than applying them after the receiver chain at baseband. However, there are complexity and cost penalties associated with this solution.</t>
  </si>
  <si>
    <t>60021097;60021097;60021097;60021097</t>
  </si>
  <si>
    <t>7103073614;6603994383;6701860053;7202876045</t>
  </si>
  <si>
    <t>Leach, S. M.;Agius, A. A.;Stavrou, S.;Saunders, S. R.</t>
  </si>
  <si>
    <t>Guildford</t>
  </si>
  <si>
    <t>University of Surrey</t>
  </si>
  <si>
    <t>Leach S.</t>
  </si>
  <si>
    <t>Diversity performance of the intelligent quadrifilar helix antenna in mobile satellite systems</t>
  </si>
  <si>
    <t>10.1049/ip-map:20000427</t>
  </si>
  <si>
    <t>2-s2.0-0034248774</t>
  </si>
  <si>
    <t>National Foundation for Science and Technology Development</t>
  </si>
  <si>
    <t>NAFOSTED</t>
  </si>
  <si>
    <t>['two 2', 'time domain', 'scattering mechanisms', 'sampling oscilloscope', 'response measurement', 'pulse time', 'pulse generator', 'processing separated', 'measured frequency', 'main advantages', 'impulse response', 'horn antennas', 'flat plate', 'domain setup', 'domain data', 'conventional frequency', 'article illustrates', 'additional system', '100 ps']</t>
  </si>
  <si>
    <t>This article illustrates the potentials of ultra-short-pulse time-domain scattering measurements, and describes a facility to perform such measurements. The main advantages of measuring in the time domain are the high range resolution and the relatively simple measurement setup. A time-domain radar cross section measurement of a flat plate is performed, to illustrate the advantages of such methods over a conventional frequency-domain setup. The measurement was performed with a sampling oscilloscope, a pulse generator, and two 2-12 GHz ridged-horn antennas. Because the horns were not designed for transmitting transient signals, an additional system-response measurement, in combination with a software deconvolution algorithm, restored the impulse response of the object under test. Further processing separated the response of the object from clutter. A comparison of the time-domain data with calculated and measured frequency-domain radar cross sections shows good agreement. The high range resolution (100 ps) enabled the separation of scattering mechanisms (i.e., reflection, single and multiple diffraction). It is concluded that ultra-short-pulse time-domain measurements could be very beneficial.</t>
  </si>
  <si>
    <t>100691375;100691375;60006288</t>
  </si>
  <si>
    <t>55946043500;7004510554;35563466100</t>
  </si>
  <si>
    <t>Van Cappellen, W. A.;De Jongh, R. V.;Ligthart, L. P.</t>
  </si>
  <si>
    <t>Delft;Delft</t>
  </si>
  <si>
    <t>Delft University of Technology;Signaal Delft</t>
  </si>
  <si>
    <t>60006288;100691375</t>
  </si>
  <si>
    <t>Van Cappellen W.</t>
  </si>
  <si>
    <t>Potentials of ultra-short-pulse time-domain scattering measurements</t>
  </si>
  <si>
    <t>10.1109/74.868051</t>
  </si>
  <si>
    <t>2-s2.0-0034248882</t>
  </si>
  <si>
    <t>NSC 87-2213-E-009-127</t>
  </si>
  <si>
    <t>['two icsa', 'slightly longer', 'radial electric', 'novel use', 'longer arm', 'heating region', 'heating performances', 'heating performance', 'enhanced tip', 'dominant contributor', 'distal arm', 'design method', '433 mhz']</t>
  </si>
  <si>
    <t>In this paper, a novel use of an asymmetrically fed insulated coaxial slot antenna (ICSA) type of applicator for interstitial microwave hyperthermia that simultaneously exhibits good impedance matching and enhanced tip-heating performances is presented. Theoretical analysis reveals that by making the distal arm much shorter than the other arm of the antenna, charge densities distributed over the distal arm of the antenna increase significantly. This, in turn, can result in the radial electric-field component becoming the dominant contributor to the specific absorption rate (SAR) over the distal arm side of the heating region and, therefore, the achievement of enhanced tip-heating performance. With the length of the longer arm chosen to be slightly longer than a quarter-wavelength, good impedance matching and enhanced tip-heating performances are achieved when the length of the shorter distal arm is reduced to no more than 25% of that of the longer arm. Good agreements observed between theoretical and measured SAR patterns for two ICSA's designed for operation at 915 and 433 MHz, respectively, confirm the validity of the design method.</t>
  </si>
  <si>
    <t>1369-1374</t>
  </si>
  <si>
    <t>60012370;60012370-60095332</t>
  </si>
  <si>
    <t>7404903021;7201718116</t>
  </si>
  <si>
    <t>Wu, Lin Kun;Su, David Wen Fong</t>
  </si>
  <si>
    <t>Hsinchu;Hsinchu</t>
  </si>
  <si>
    <t>Alpha Networks Inc.;National Chiao Tung University</t>
  </si>
  <si>
    <t>60095332;60012370</t>
  </si>
  <si>
    <t>Wu L.K.</t>
  </si>
  <si>
    <t>Design and analysis of an asymmetrically fed insulated coaxial slot antenna with enhanced tip-heating performance</t>
  </si>
  <si>
    <t>10.1109/22.859482</t>
  </si>
  <si>
    <t>2-s2.0-0034248919</t>
  </si>
  <si>
    <t>['wave propagation', 'systems computations', 'sky wave', 'rural travelers', 'road hazards', 'road conditions', 'radio waves', 'quite different', 'provide information', 'prediction models', 'predicted data', 'precision location', 'paper discusses', 'modeling techniques', 'methods used', 'methodology used', 'incident reporting', 'ground wave', 'dgps ),', 'designing systems', 'computer program', 'broadcast band', 'basic aspects', 'antenna modeling', 'another application', 'analyze antennas', 'also discussed', 'also contained', '325 khz', '30 mhz', '1705 khz', '1605 khz', '10 khz']</t>
  </si>
  <si>
    <t>This paper discusses the basic aspects of radio-wave propagation and antenna modeling in the band of frequencies from 150 to 1705 kHz. The paper contains descriptions of both sky-wave and ground-wave propagation-prediction models, in addition to the methodology used to analyze antennas that operate in this band. A method of calculating and normalizing antenna gain for systems computations is also discussed. The sky-wave models described in this paper are valid from 150 to 1705 kHz. The ground-wave models described in this paper are valid from 10 kHz to 30 MHz. The propagation of radio waves in the band of frequencies from 150 to 1705 kHz includes both a ground wave and a sky wave, and is quite different from propagation at any other frequency. The methods used for antenna modeling and analysis in this band are also quite unlike those in other bands. The AM broadcast band of 535 to 1605 kHz is planned to be used in the Advanced Traveler Information Systems (ATIS) of Intelligent Transportation Systems (ITS), to provide information such as road conditions, road hazards, weather, and incident reporting for rural travelers. The band of frequencies from 285 to 325 kHz is presently being used in another application of ITS, called the Differential Global Positioning System (DGPS), which will be used for precision location of vehicles. The propagation-prediction models and antenna-analysis methods described here can be used for designing systems and making performance predictions for both of these ITS applications, or for any other systems that operate in this band of frequencies from 150 to 1705 kHz. Some examples of comparisons of measured and predicted data are also contained in this paper. A computer program that includes all of these propagation-prediction models and antenna-modeling techniques was used to generate these examples.</t>
  </si>
  <si>
    <t>DeMinco, Nicholas</t>
  </si>
  <si>
    <t>Institute for Telecommunication Sciences</t>
  </si>
  <si>
    <t>DeMinco N.</t>
  </si>
  <si>
    <t>Propagation prediction techniques and antenna modeling (150 to 1705 kHz) for Intelligent Transportation Systems (ITS) broadcast applications</t>
  </si>
  <si>
    <t>10.1109/74.868050</t>
  </si>
  <si>
    <t>2-s2.0-0034249014</t>
  </si>
  <si>
    <t>['using quasi', 'symmetrical h', 'successfully constructed', 'repeatable manner', 'power beamwidth', 'polar level', 'plane pattern', 'plane half', 'plane far', 'plane cross', 'parameter measurements', 'optical techniques', 'micromachined reduced', 'height g', 'height air', 'ghz operation', 'fabrication technique', 'fabricated structures', 'experimental results', 'circumvent problems', 'band waveguides', '33 db', '23 ¬∞', '100 œºm']</t>
  </si>
  <si>
    <t>The fabrication and characterization of micromachined reduced-height air-filled rectangular waveguide components suitable for integration is reported in this paper. The lithographic technique used permits structures with heights of up to 100 Œºm to be successfully constructed in a repeatable manner. Waveguide S-parameter measurements at frequencies between 75-110 GHz using a vector network analyzer demonstrate low loss propagation in the TE10 mode reaching 0.2 dB per wavelength. Scanning electron microscope photographs of conventional and micromachined waveguides show that the fabrication technique can provide a superior surface finish than possible with commercially available components. In order to circumvent problems in efficiently coupling free-space propagating beams to the reduced-height G-band waveguides, as well as to characterize them using quasi-optical techniques, a novel integrated micromachined slotted horn antenna has been designed and fabricated. E-, H-, and D-plane far-field antenna pattern measurements at different frequencies using a quasi-optical setup show that the fabricated structures are optimized for 180-GHz operation with an E-plane half-power beamwidth of 32¬∞ elevated 35¬∞ above the substrate, a symmetrical H-plane pattern with a half-power beamwidth of 23¬∞ and a maximum D-plane cross-polar level of -33 dB. Far-field pattern simulations using HFSS show good agreement with experimental results.</t>
  </si>
  <si>
    <t>1293-1302</t>
  </si>
  <si>
    <t>60015138;60012070;60015138;60012197;60015138;60012070;60015138;60012197;60015138;60012070;60015138;60012197;60015138</t>
  </si>
  <si>
    <t>7004754932;7103075999;7003966706;13807074700;6603957535;7402066733;15018904600;56897613300;56044473600;7003453160;6603204978;7004279952;7403126222</t>
  </si>
  <si>
    <t>Digby, John W.;McIntosh, Caroline E.;Parkhurst, Geoff M.;Towlson, Brian M.;Hadjiloucas, Silas;Bowen, John W.;Martyn Chamberlain, J.;Pollard, Roger D.;Miles, Robert E.;Paul Steenson, D.;Karatzas, Lucas S.;Cronin, Nigel J.;Davies, Steve R.</t>
  </si>
  <si>
    <t>Nottingham;Reading;Leeds</t>
  </si>
  <si>
    <t>University of Nottingham;University of Reading;University of Leeds</t>
  </si>
  <si>
    <t>60015138;60012197;60012070</t>
  </si>
  <si>
    <t>Digby J.</t>
  </si>
  <si>
    <t>Fabrication and characterization of micromachined rectangular waveguide components for use at millimeter-wave and terahertz frequencies</t>
  </si>
  <si>
    <t>10.1109/22.859472</t>
  </si>
  <si>
    <t>2-s2.0-0034249044</t>
  </si>
  <si>
    <t>['problems induced', 'paper presents', 'effectively confront', 'directional patterns', 'antenna design']</t>
  </si>
  <si>
    <t>This paper presents a new printed switched array antenna suitable for indoor mobile communications. The antenna uses printed active elements and produces either omni-directional or many directional overlapping patterns. The omni-directionality is needed in order to implement the collision avoidance algorithms in next generation wireless systems, while directional patterns are needed to effectively confront the problems induced by the noisy indoor channel to the highly demanding wireless applications. An electromagnetic simulation tool was used to evaluate the antenna design. ¬© 2000 IEEE.</t>
  </si>
  <si>
    <t>531-538</t>
  </si>
  <si>
    <t>IEEE Transactions on Consumer Electronics</t>
  </si>
  <si>
    <t>60031155;60031155;60031155</t>
  </si>
  <si>
    <t>11440755700;7003458202;7003938485</t>
  </si>
  <si>
    <t>Kalis, Antonis;Antonakopoulos, Theodore;Makios, Vassilios</t>
  </si>
  <si>
    <t>Rio</t>
  </si>
  <si>
    <t>University of Patras</t>
  </si>
  <si>
    <t>Kalis A.</t>
  </si>
  <si>
    <t>A printed circuit switched array antenna for indoor communications</t>
  </si>
  <si>
    <t>10.1109/30.883406</t>
  </si>
  <si>
    <t>2-s2.0-0034249376</t>
  </si>
  <si>
    <t>['water tower', 'tank design', 'specification based', 'showed deterioration', 'project involved', 'presurface preparation', 'paint system', 'major concern', 'interior painting', 'initial assessment', 'included plans', 'engineering services', 'done followed', '14 companies']</t>
  </si>
  <si>
    <t>The Yankee Doodle Reservoir, located in Eagan, MN, US, showed deterioration in tank's paint system. The extent of corrosion in the tank and it's rehabilitation was a major concern. This project involved the input and expertise of 14 companies and agencies. The initial assessment was done followed by contracts for engineering services that included plans and specification based on the tank's reports. The factors affected included antennas on water tower for mobile phone communications systems. The estimate of the engineers for painting the exterior and other improvements in tank design was prepared. Exterior and interior painting was then carried out. This included paint chip sampling and analysis, presurface preparation and application of paints.</t>
  </si>
  <si>
    <t>Journal of Protective Coatings and Linings</t>
  </si>
  <si>
    <t>Zienty, Dan</t>
  </si>
  <si>
    <t>Saint Paul</t>
  </si>
  <si>
    <t>Short Elliott Hendrickson Inc.</t>
  </si>
  <si>
    <t>Zienty D.</t>
  </si>
  <si>
    <t>Tank rehabilitated for corrosion protection and aesthetics</t>
  </si>
  <si>
    <t>2-s2.0-0034249739</t>
  </si>
  <si>
    <t>['studied analytically', 'statistical performance', 'standard algorithm', 'spread angle', 'source subject', 'ray model', 'propagation environment', 'plane wavefronts', 'local scattering', 'complexity algorithm']</t>
  </si>
  <si>
    <t>In antenna array applications, the propagation environment is often more complicated than the ordinarily assumed model of plane wavefronts. Here, a low-complexity algorithm is suggested for estimating both the DOA and the spread angle of a source subject to local scattering, using a uniform linear array. The parameters are calculated from the estimates obtained using a standard algorithm such as root-MUSIC to fit a two-ray model to the data. The algorithm is shown to give consistent estimates, and the statistical performance is studied analytically and through simulations.</t>
  </si>
  <si>
    <t>2185-2194</t>
  </si>
  <si>
    <t>57193744800;7007005676</t>
  </si>
  <si>
    <t>Bengtsson, Mats;Ottersten, Bj√∂rn</t>
  </si>
  <si>
    <t>Bengtsson M.</t>
  </si>
  <si>
    <t>Low-complexity estimators for distributed sources</t>
  </si>
  <si>
    <t>10.1109/78.851999</t>
  </si>
  <si>
    <t>2-s2.0-0034250085</t>
  </si>
  <si>
    <t>['received field', 'microwave signal', 'linear polarization', 'incident wave', 'dc one', 'conversion circuit', 'appropriate state', 'always obtain', 'allows us', 'adjusting polarization']</t>
  </si>
  <si>
    <t>A self-adjusting polarization-agile patch antenna is presented. It allows us to track a linear polarization, if the received field is depolarized, to always obtain the maximum signal level. Two varactor diodes are connected to the patch to produce three states of linear polarization. The depolarization of the incident wave is used to produce the appropriate state of dc voltage biasing, using a conversion circuit of a microwave signal into a dc one, and then to control the independently biased varactors. Unlike a circular polarization antenna, this patch allows us to avoid a 3 dB loss of the received signal magnitude.</t>
  </si>
  <si>
    <t>260-262</t>
  </si>
  <si>
    <t>Polarization-agile self-adjusting microstrip antenna</t>
  </si>
  <si>
    <t>10.1002/1098-2760(20000820)26:4&lt;260::AID-MOP16&gt;3.0.CO;2-Z</t>
  </si>
  <si>
    <t>2-s2.0-0034250162</t>
  </si>
  <si>
    <t>['wireless communications', 'time processing', 'time filtering', 'time concept', 'shannon capacity', 'shannon bound', 'provide yet', 'processing needed', 'practical solution', 'performance results', 'output signal', 'noise ratio', 'nearly information', 'n times', 'matched filter', 'lower bound', 'loss due', 'layered space', 'information capacity', 'grow linearly', 'first time', 'embodiment utilizes', 'capacity achievable', 'average snr', 'antenna elements', 'achieved within', '3 db', '2 db']</t>
  </si>
  <si>
    <t>By deriving a generalized Shannon capacity formula for multiple-input, multiple-output Rayleigh fading channels, and by suggesting a layered space-time architecture concept that attains a tight lower bound on the capacity achievable, Foschini has shown a potential enormous increase in the information capacity of a wireless system employing multiple-element antenna arrays at both the transmitter and receiver. The layered space-time architecture allows signal processing complexity to grow linearly, rather than exponentially, with the promised capacity increase. This paper includes two important contributions: First, we show that Foschini's lower bound is, in fact, the Shannon bound when the output signal-to-noise ratio (SNR) of the space-time processing in each layer is represented by the corresponding `matched filter' bound. This proves the optimality of the layered space-time concept. Second, we present an embodiment of this concept for a coded system operating at a low average SNR and in the presence of possible intersymbol interference. This embodiment utilizes the already advanced space-time filtering, coding and turbo processing techniques to provide yet a practical solution to the processing needed. Performance results are provided for quasi-static Rayleigh fading channels with no channel estimation errors. We see for the first time that the Shannon capacity for wireless communications can be both increased by N times (where N is the number of the antenna elements at the transmitter and receiver) and achieved within about 3 dB in average SNR, about 2 dB of which is a loss due to the practical coding scheme we assume - the layered space-time processing itself is nearly information-lossless!</t>
  </si>
  <si>
    <t>1347-1359</t>
  </si>
  <si>
    <t>Ariyavisitakul, Sirikiat Lek</t>
  </si>
  <si>
    <t>Norcross</t>
  </si>
  <si>
    <t>Home Wireless Networks</t>
  </si>
  <si>
    <t>Turbo space-time processing to improve wireless channel capacity</t>
  </si>
  <si>
    <t>10.1109/26.864172</t>
  </si>
  <si>
    <t>2-s2.0-0034250314</t>
  </si>
  <si>
    <t>['reflective half', 'proposed antenna', 'problems resulting', 'higher gain']</t>
  </si>
  <si>
    <t>A reflective half-cylindrical Fresnel zone plate antenna is presented in this paper. Numerical results based on the FDTD method show that the proposed antenna has very low backward radiation and a higher gain than other kinds of cylindrical Fresnel zone plate antennas reported in the literature. The problems resulting from the short focal length in the zoning and in the analysis by the conventional diffraction integral method are highlighted.</t>
  </si>
  <si>
    <t>219-221</t>
  </si>
  <si>
    <t>60005510;60005510</t>
  </si>
  <si>
    <t>7202202368;7403365955</t>
  </si>
  <si>
    <t>Ye, Chun Fei;Tan, Soon Yim</t>
  </si>
  <si>
    <t>Ye C.</t>
  </si>
  <si>
    <t>Reflective half-cylindrical Fresnel zone plate antenna with low backward radiation for wireless LAN</t>
  </si>
  <si>
    <t>10.1002/1098-2760(20000820)26:4&lt;219::AID-MOP4&gt;3.0.CO;2-0</t>
  </si>
  <si>
    <t>2-s2.0-0034251210</t>
  </si>
  <si>
    <t>['œ ∏', 'whole patch', 'upper patch', 'two designs', 'trapezoidal shape', 'shorting wall', 'shorter edges', 'shorter edge', 'second design', 'resonant frequency', 'patch antenna', 'lower patch', 'layer dual', 'first design', 'constructed based', 'connected directly', 'coaxial feed', 'broadside direction', 'bandwidth 8', '7 dbi', '5 dbi', '40 ¬∞.']</t>
  </si>
  <si>
    <t>Two designs are constructed based on a two-layer dual-patch antenna with coaxial feed. One of the shorter edges of the upper patch is connected to the lower patch and the other shorter edge is connected directly to the ground by another vertical wall without touching the lower patch. In the first design the upper patch is rectangular and the shorting wall to the ground is narrower than the width of the whole patch. In this case the resonant frequency of the patch can reduce by 72% when compared with the conventional halfwave patch. It has a bandwidth of 8.8% and a gain of -1.7 dBi in the broadside direction. The pattern has a maximum gain 0.5 dBi occurring at Œ∏ = -40¬∞. In the second design, the upper patch is modified into a trapezoidal shape. The resonant frequency of this patch can reduce by 72% when compared with the conventional halfwave patch. It has a bandwidth 8.3% and a gain of -1.7 dBi in the broadside direction. The pattern has a maximum gain 1.5 dBi at the direction of -35¬∞ direction. Compared with the first design, a 1dBi gain improvement is obtained.</t>
  </si>
  <si>
    <t>273-276</t>
  </si>
  <si>
    <t>35569904600;55510527400;7501501369</t>
  </si>
  <si>
    <t>Chair, R.;Luk, K. M.;Lee, K. F.</t>
  </si>
  <si>
    <t>Miniature shorted dual-patch antenna</t>
  </si>
  <si>
    <t>10.1049/ip-map:20000596</t>
  </si>
  <si>
    <t>2-s2.0-0034251314</t>
  </si>
  <si>
    <t>['users significantly', 'user capacity', 'training signals', 'thus increasing', 'system employing', 'reverse link', 'reduce interferences', 'optimal beamformer', 'multicarrier code', 'fading channel', 'division multiple', 'cdma system', 'cdma approach', 'base station', 'arrival estimation', 'approaches employ', 'antenna array']</t>
  </si>
  <si>
    <t>In this letter, we propose a multicarrier code-division multiple-access (MC-CDMA) system employing an antenna array at the base station, and analyze the performance of the MC-CDMA system in a fading channel. An optimal beamformer not requiring explicit direction of arrival estimation or training signals is derived for the MC-CDMA system in the reverse link, and is shown to reduce interferences from other users significantly, thus increasing the system's user capacity. Also, it is shown that the MC-CDMA approach can achieve better performance than the direct-sequence CDMA approach when both approaches employ the code filtering technique for antenna array.</t>
  </si>
  <si>
    <t>1257-1261</t>
  </si>
  <si>
    <t>60001558;60001558</t>
  </si>
  <si>
    <t>Performance of a wireless MC-CDMA system with an antenna array in a fading channel: Reverse link</t>
  </si>
  <si>
    <t>10.1109/26.864162</t>
  </si>
  <si>
    <t>2-s2.0-0034251376</t>
  </si>
  <si>
    <t>['vial surfaces', 'two pbps', 'sex pheromone', 'sensory neuron', 'recombinant pbps', 'pheromone enters', 'pheromone binding', 'pbp concentrations', 'lymantria dispar', 'hydrophobic ligands', 'higher affinity', 'gypsy moth', 'first time', 'equilibrium conditions', 'disparlure enantiomers', 'disparlure binding', 'dispar pbps', 'dispar differ', 'dependent adsorption', 'bound ligand', 'binding assay', 'aqueous solution', 'antheraea polyphemus', 'also able', '(-) enantiomer', '(+)- disparlure', '(+) enantiomer']</t>
  </si>
  <si>
    <t>The gypsy moth, Lymantria dispar, uses (7R, 8S)-cis-2-methyl-7, 8-epoxyoctadecane, (+)-disparlure, as a sex pheromone. The (-) enantiomer of the pheromone is a strong behavioral antagonist. Specialized sensory hairs, sensillae, on the antennae of male moths detect the pheromone. Once the pheromone enters a sensillum, the very abundant pheromone binding protein (PBP) transports the odorant to the sensory neuron. We have expressed the two PBPs found in gypsy moth antennae, PBP1 and PBP2, and we have studied the affinity of these recombinant PBPs for the enantiomers of disparlure. To study pheromone binding under equilibrium conditions, we developed and validated a binding assay. We have addressed the two major problems with hydrophobic ligands in aqueous solution: (1) concentration-dependent adsorption of the ligand on vial surfaces and (2) separation of the protein-bound ligand from the material remaining free in solution. We used this assay to demonstrate for the first time that pheromone binding to PBP is reversible and that the two PBPs from L. dispar differ in their enantiomer binding preference. PBP1 has a higher affinity for the (-) enantiomer, while PBP2 has a higher affinity for the (+) enantiomer. The PBP from the wild silk moth, Antheraea polyphemus (Apol-3) bound the disparlure enantiomers more weakly than either of the L. dispar PBPs, but Apol-3 was also able to discriminate the enantiomers. We have observed extensive aggregation of both L. dispar PBPs and an increase in pheromone binding at high (&gt; 2 ŒºM) PBP concentrations. We present a model of disparlure binding to the two PBPs.</t>
  </si>
  <si>
    <t>8953-8962</t>
  </si>
  <si>
    <t>60018491;60025488;60025488;60025488</t>
  </si>
  <si>
    <t>6602826136;7007005467;57189020405;36043755100</t>
  </si>
  <si>
    <t>Plettner, E.;Lazar, J.;Prestwich, E. G.;Prestwich, G. D.</t>
  </si>
  <si>
    <t>United States;Canada</t>
  </si>
  <si>
    <t>Salt Lake City;Burnaby</t>
  </si>
  <si>
    <t>The University of Utah;Simon Fraser University</t>
  </si>
  <si>
    <t>60025488;60018491</t>
  </si>
  <si>
    <t>Plettner E.</t>
  </si>
  <si>
    <t>Discrimination of pheromone enantiomers by two pheromone binding proteins from the gypsy moth Lymantria dispar</t>
  </si>
  <si>
    <t>10.1021/bi000461x</t>
  </si>
  <si>
    <t>2-s2.0-0034254740</t>
  </si>
  <si>
    <t>['various parameters', 'theoretical analysis', 'shows resonance', 'return loss', 'radiated power', 'mutual coupling', 'input impedance', 'inductive coupling', 'increasing permittivity', 'depends directly', 'critical value', 'coaxially fed', 'circuit theory', 'capacitive coupling', 'bandwidth etc', 'also observed', '0 ghz']</t>
  </si>
  <si>
    <t>Theoretical analysis of a coaxially fed, electromagnetically coupled two-layer elliptical microstrip stacked antenna based on circuit theory is presented in which mutual coupling is considered. Consequently, various parameters such as input impedance, VSWR, return loss, bandwidth etc. are investigated as a function of frequency, which shows resonance at 3.0 GHz. It is also observed that there exists a critical value of frequency (3.0 GHz) below which capacitive coupling is dominant and above which inductive coupling is dominant. The electromagnetic coupling enhances the radiated power which depends directly on the permittivity of the substrate, in spite of the fact that radiated power generally decreases with increasing permittivity of the substrate.</t>
  </si>
  <si>
    <t>981-993</t>
  </si>
  <si>
    <t>7006472841;7003714798</t>
  </si>
  <si>
    <t>Yadava, R. L.;Vishvakarma, Babau R.</t>
  </si>
  <si>
    <t>Yadava R.</t>
  </si>
  <si>
    <t>Analysis of electromagnetically coupled two-layer elliptical microstrip stacked antennas</t>
  </si>
  <si>
    <t>10.1080/002072100404631</t>
  </si>
  <si>
    <t>2-s2.0-0034256730</t>
  </si>
  <si>
    <t>['resonant frequency', 'operational modes', 'greatly affected', 'gap width', 'effective permittivity']</t>
  </si>
  <si>
    <t>Formulation and computation of the resonant frequency of an air gap tuned circular disc microstip antenna was presented. An expression for effective permittivity was obtained and combined with a suitable radius extension formula. It was observed that the accuracy of the results was very good for various structural parameters and operational modes and was not greatly affected by the gap width.</t>
  </si>
  <si>
    <t>973-979</t>
  </si>
  <si>
    <t>6602912753;7003893885</t>
  </si>
  <si>
    <t>G√ºrel, √ái«ßdem Se√ßkin;Yazgan, Erdem</t>
  </si>
  <si>
    <t>G√ºrel C.</t>
  </si>
  <si>
    <t>Resonant frequency of an air gap tuned circular disc microstrip antenna</t>
  </si>
  <si>
    <t>10.1080/002072100404622</t>
  </si>
  <si>
    <t>2-s2.0-0034256772</t>
  </si>
  <si>
    <t>['thin cylinder', 'rotating objects', 'reliable discrimination', 'reconstructed images', 'point objects', 'object images', 'like objects', 'interperiodica ".', 'accompanying background']</t>
  </si>
  <si>
    <t>A scheme is presented for producing optical holograms of rotating objects by illuminating the object by a single-frequency coherent laser beam. Along one axis, the synthesis takes place due to rotation of the object; along the other axis, the hologram is synthesized by the coherent radiation field generated by a long linear optical antenna. Numerical simulation shows that reliable discrimination of object images from the accompanying background is possible, for point objects, using a single hologram recorded at one angular position and, for extended flat objects or thin cylinder-like objects, using holograms recorded at two or three angular positions. If the holograms are synthesized in the presence of normally distributed random phase noise, the quality of the reconstructed images of rotating objects remains sufficiently high for root-mean-square noise amplitudes exceeding œÄ/2 and reaching the limiting value 2œÄ/3. ¬© 2000 MAIK "Nauka/Interperiodica".</t>
  </si>
  <si>
    <t>290-299</t>
  </si>
  <si>
    <t>0030400X</t>
  </si>
  <si>
    <t>Optics and Spectroscopy (English translation of Optika i Spektroskopiya)</t>
  </si>
  <si>
    <t>101227038;60027251;60027251</t>
  </si>
  <si>
    <t>36864127200;8633977600;6602882122</t>
  </si>
  <si>
    <t>Bogdanova, T. V.;Titar', V. P.;Tomchuk, E. Ya</t>
  </si>
  <si>
    <t>Kharkiv;Kharkov</t>
  </si>
  <si>
    <t>V. N. Karazin Kharkiv National University;Res. Institute of Laser Technology</t>
  </si>
  <si>
    <t>60027251;101227038</t>
  </si>
  <si>
    <t>Bogdanova T.</t>
  </si>
  <si>
    <t>Imaging of Rotating Objects by Means of Synthesized Optical Holograms</t>
  </si>
  <si>
    <t>10.1134/1.1307450</t>
  </si>
  <si>
    <t>2-s2.0-0141450228</t>
  </si>
  <si>
    <t>['using mid', 'resolution time', 'optical true', 'independent control', 'element x', 'delay devices', 'band antenna', 'antenna arrays']</t>
  </si>
  <si>
    <t>Performance of an optically controlled phased-array antenna system employing novel single-chip optical wavelength selective true time-delay devices is reported. High-resolution time-delays are demonstrated using integrated delay lines. Extension to two-dimensional (2-D) antenna arrays with independent control of azimuth and elevation by using mid-stage optical wavelength conversion is proposed and demonstrated. An optical true-time-delay steered two-element X-band antenna was assembled to verify the wide instantaneous bandwidth operation.</t>
  </si>
  <si>
    <t>1049-1051</t>
  </si>
  <si>
    <t>6603785823;7004889917</t>
  </si>
  <si>
    <t>Yegnanarayanan, S.;Jalali, B.</t>
  </si>
  <si>
    <t>Yegnanarayanan S.</t>
  </si>
  <si>
    <t>Wavelength-selective true time delay for optical control of phased-array antenna</t>
  </si>
  <si>
    <t>10.1109/68.868004</t>
  </si>
  <si>
    <t>2-s2.0-0343442456</t>
  </si>
  <si>
    <t>['virtual cathodes', 'passive schemes', 'paa design', 'numerical simulation', 'increasing power', 'coupling coefficient', 'coherence degree', 'analyzed separately']</t>
  </si>
  <si>
    <t>We present the results of numerical simulation of two different design schemes for phased antenna arrays (PAAs) based on vircators, i.e., microwave oscillators with virtual cathodes. The active and passive schemes of PAA design are analyzed separately. It is shown that in the case of an active PAA scheme, the degree of tuning the vircator to the master oscillator increases with increasing power of the latter, while in the case of a passive PAA scheme, the coherence degree of two vircators due to waveguide coupling increases with increase in the coupling coefficient.</t>
  </si>
  <si>
    <t>637-642</t>
  </si>
  <si>
    <t>60069258;60069258;60069258</t>
  </si>
  <si>
    <t>7006063366;7005751529;7004023810</t>
  </si>
  <si>
    <t>Dubinov, A. E.;Selemir, V. D.;Tsarev, A. V.</t>
  </si>
  <si>
    <t>Dubinov A.</t>
  </si>
  <si>
    <t>Phased antenna arrays based on vircators: Numerical experiments</t>
  </si>
  <si>
    <t>10.1023/A:1004809403664</t>
  </si>
  <si>
    <t>2-s2.0-84871346406</t>
  </si>
  <si>
    <t>['typical case', 'relative error', 'radiation pattern', 'mirror antenna', 'feeder system', 'detection probability', 'arbitrary shape', 'antenna icing', 'aerosol precipitations']</t>
  </si>
  <si>
    <t>We estimate the error of target-detection probability by a radar, resulting from the effect of aerosol precipitations (AP) deposited on the elements of its antenna-feeder system. Within the framework of this problem, we develop a technique for calculating the radiation pattern (RP) of a mirror antenna in the case where its feeder and reflector are covered by a given AP layer with an arbitrary shape and the known complex relative dielectric permittivity. An example of estimation of the relative error (with respect to the 0.9 confidence level calculated neglecting AP) of target-detection probability is given for the typical case of antenna icing.</t>
  </si>
  <si>
    <t>632-636</t>
  </si>
  <si>
    <t>120999632;120999632;120999632</t>
  </si>
  <si>
    <t>6504233407;57197938040;6506535835</t>
  </si>
  <si>
    <t>Kiryanov, O. E.;Mikhailov, G. D.;Tosenko, V. M.</t>
  </si>
  <si>
    <t>The 5th Central Research and Test Institute of the Ministry of Defense of the Russian Federation</t>
  </si>
  <si>
    <t>Kiryanov O.</t>
  </si>
  <si>
    <t>Estimation of the effect of aerosol precipitations on radar efficiency</t>
  </si>
  <si>
    <t>10.1023/A:1004857319594</t>
  </si>
  <si>
    <t>2-s2.0-85050464347</t>
  </si>
  <si>
    <t>['vehicular communications', 'surface currents', 'mitigate interference', 'metal exterior', 'lie adjacent', 'beam diversity']</t>
  </si>
  <si>
    <t>A four-sector diversity antenna on a high-impedance ground plane has been built for use in vehicular communications. The high-impedance ground plane suppresses the propagation of surface currents, and allows the antenna to lie adjacent to the metal exterior of the vehicle. Switched-beam diversity is used to mitigate interference.</t>
  </si>
  <si>
    <t>1343-1345</t>
  </si>
  <si>
    <t>60021939;60021939;60021939;60021939;60021939;60021939</t>
  </si>
  <si>
    <t>6701347150;7402358345;7005066766;7004418575;57198241377;6506880949</t>
  </si>
  <si>
    <t>Sievenpiper, D.;Hsu, H. P.;Schaffner, J.;Tangonan, G.;Garcia, R.;Ontiveros, S.</t>
  </si>
  <si>
    <t>Malibu</t>
  </si>
  <si>
    <t>HRL Laboratories</t>
  </si>
  <si>
    <t>Sievenpiper D.</t>
  </si>
  <si>
    <t>Low-profile, four-sector diversity antenna on high-impedance ground plane</t>
  </si>
  <si>
    <t>10.1049/el:20001015</t>
  </si>
  <si>
    <t>2-s2.0-0034247890</t>
  </si>
  <si>
    <t>['topped beam', 'sum pattern', 'squared pattern', 'phase distribution', 'constant pre', 'authors describe']</t>
  </si>
  <si>
    <t>The authors describe the design of linear antenna arrays that generate multiple radiation patterns by switching between different excitation phase distributions while maintaining a constant pre-established amplitude distribution. Examples are given of antennas with uniform or Gaussian amplitude distributions that, depending on their phase distribution, generate a sum pattern, a flat-topped beam or a cosec-squared pattern.</t>
  </si>
  <si>
    <t>1345-1346</t>
  </si>
  <si>
    <t>56227940600;6701881810;7006865572</t>
  </si>
  <si>
    <t>D√ºrr, M.;Trastoy, A.;Ares, F.</t>
  </si>
  <si>
    <t>D√ºrr M.</t>
  </si>
  <si>
    <t>Multiple-pattern linear antenna arrays with single prefixed amplitude distributions: Modified Woodward-Lawson synthesis</t>
  </si>
  <si>
    <t>10.1049/el:20000980</t>
  </si>
  <si>
    <t>2-s2.0-0034248572</t>
  </si>
  <si>
    <t>[]</t>
  </si>
  <si>
    <t>A new wiregrid modelling scheme for a curvature varying scatterer is proposed. A conducting elliptic cylinder is modelled by wires with radii of different sizes depending on the radius of curvature on the surface. The size of each wire is generated from the model equation suggested in the study. Numerical results show that this new wiregrid model can be applied to enhance the accuracy of solutions for a curvature varying scatterer.</t>
  </si>
  <si>
    <t>1352-1354</t>
  </si>
  <si>
    <t>56659536400;57188926977</t>
  </si>
  <si>
    <t>Shim, Jaeruen;Kim, Hyo Tae</t>
  </si>
  <si>
    <t>Shim J.</t>
  </si>
  <si>
    <t>Wiregrid modelling scheme for curvature varying surface</t>
  </si>
  <si>
    <t>10.1049/el:20000937</t>
  </si>
  <si>
    <t>2-s2.0-0034248573</t>
  </si>
  <si>
    <t>['simulation results', 'radiation patterns', 'minimum gain', 'maximum gain', 'environmental tolerances', 'back ratios', 'azimuth plane', 'array consists', 'antenna covers', '4 dbi', '360 ¬∞.', '2 dbi', '1900 mhz', '15 db']</t>
  </si>
  <si>
    <t>Simulation results for a dual-band switched parasitic smart antenna array designed for cellular communications systems are presented. The array consists of six loaded monopole elements on an infinite ground plane and offers five switched directions equally spaced through 360¬∞. At 900 and 1900 MHz the 10 dB bandwidths are 15 and 13%, respectively. The antenna covers the azimuth plane with a maximum gain of 4 dBi and a minimum gain of 2 dBi. The front-to-back ratios of the radiation patterns are better than -15 dB. The design is robust in terms of manufacturing and environmental tolerances.</t>
  </si>
  <si>
    <t>1342-1343</t>
  </si>
  <si>
    <t>60032987;60032987;60032987;60032987</t>
  </si>
  <si>
    <t>6602358577;36893654800;55806552500;55670447300</t>
  </si>
  <si>
    <t>Schlub, R.;Thiel, D. V.;Lu, J. W.;O'Keefe, S. G.</t>
  </si>
  <si>
    <t>Griffith University</t>
  </si>
  <si>
    <t>Schlub R.</t>
  </si>
  <si>
    <t>Dual-band six-element switched parasitic array for smart antenna cellular communications systems</t>
  </si>
  <si>
    <t>10.1049/el:20000995</t>
  </si>
  <si>
    <t>2-s2.0-0034249661</t>
  </si>
  <si>
    <t>['wireless technologies', 'wideband antenna', 'studied using', 'significant applications', 'radiation characteristics', 'radiation bandwidth', 'principle planes', 'polarization across', 'new design', 'moment technique', 'measured results', 'impedance matching', 'impedance bandwidth', 'entire bandwidth', 'coplanar waveguide']</t>
  </si>
  <si>
    <t>A new design for a coplanar waveguide (CPW) fed slot antenna is presented. The impedance matching and the radiation characteristics of this structure were studied using the method of moment technique. This antenna has an impedance bandwidth (for a VSWR&lt;2) of 49% and a radiation bandwidth of 42% about its 4.8 GHz centre frequency, compared to the 12-20% impedance bandwidth of the standard CPW fed slot antenna. The cross-polarization in both the principle planes is at least 20 dB below co-polarization across the entire bandwidth. Simulated and measured results of the antenna are presented. This wideband antenna has significant applications in wireless technologies.</t>
  </si>
  <si>
    <t>1340-1342</t>
  </si>
  <si>
    <t>60000221;60023053-60004835;60000221;60009469</t>
  </si>
  <si>
    <t>6603039852;7101643443;56969598400;55448539100</t>
  </si>
  <si>
    <t>Bhobe, A. U.;Holloway, C. L.;Piket-May, M.;Hall, R.</t>
  </si>
  <si>
    <t>Gaithersburg;Pittsburgh;Boulder;Boulder</t>
  </si>
  <si>
    <t>National Institute of Standards and Technology;Ansoft Corporation;Institute for Telecommunication Sciences;University of Colorado Boulder</t>
  </si>
  <si>
    <t>60023053;60009469;60004835;60000221</t>
  </si>
  <si>
    <t>Bhobe A.U.</t>
  </si>
  <si>
    <t>Coplanar waveguide fed wideband slot antenna</t>
  </si>
  <si>
    <t>10.1049/el:20000984</t>
  </si>
  <si>
    <t>2-s2.0-0034249715</t>
  </si>
  <si>
    <t>['wave step', 'technique could', 'synthesizing pairs', 'subsiding grounds', 'phase comparison', 'mine fields', 'active volcanoes']</t>
  </si>
  <si>
    <t>A ground-based interferometric synthetic aperture radar is presented for rapid remote tomographic mapping. The continuous-wave step-frequency radar operates by synthesizing pairs of microwave holographic images taken at different antenna heights to obtain terrain elevation maps by phase comparison. The technique could be used to map inaccessible terrain such as active volcanoes or mine fields, and to monitor unstable terrain such as subsiding grounds or landscapes.</t>
  </si>
  <si>
    <t>1416-1417</t>
  </si>
  <si>
    <t>7004143631;7006020032;7003584165</t>
  </si>
  <si>
    <t>Pieraccini, M.;Luzi, G.;Atzeni, C.</t>
  </si>
  <si>
    <t>Pieraccini M.</t>
  </si>
  <si>
    <t>Ground-based interferometric SAR for terrain elevation mapping</t>
  </si>
  <si>
    <t>10.1049/el:20000997</t>
  </si>
  <si>
    <t>2-s2.0-0034249764</t>
  </si>
  <si>
    <t>['suboptimal control', 'selecting one', 'proposed technique', 'optimum beamform', 'limited number', 'computation required', 'cdma systems', 'beam directivity', 'base station']</t>
  </si>
  <si>
    <t>A beam pattern selection diversity technique combined with transmit power control (TPC) is proposed for suppressing high level interference from high bit rate terminals to low bit rate terminals in the uplink of DS/CDMA systems. The proposed system employs a delay profile measurement based beamforming technique to calculate the optimum beamform for the reception of signals from terminals. To reduce the amount of computation required to control the beam directivity, the proposed system calculates the optimum beam directivity for only a limited number of terminals located far from the base station, and signals from the rest of the terminals are demodulated by selecting one of the most reliable adaptive array combined signals. TPC is employed to compensate for the performance degradation caused by such suboptimal control. Computer simulation confirms that the proposed technique is effective in suppressing high level interference with a relatively low signal processing load.</t>
  </si>
  <si>
    <t>1419-1420</t>
  </si>
  <si>
    <t>56172049800;7004748293;7103183522</t>
  </si>
  <si>
    <t>Watanabe, K.;Sampei, S.;Morinaga, N.</t>
  </si>
  <si>
    <t>Watanabe K.</t>
  </si>
  <si>
    <t>Beam pattern selection diversity technique for DS/CDMA reverse link</t>
  </si>
  <si>
    <t>10.1049/el:20000969</t>
  </si>
  <si>
    <t>2-s2.0-0034251276</t>
  </si>
  <si>
    <t>['ordinate transformation', 'form solutions', 'elliptical cross', 'dimensional plane', 'characteristic parameters', 'biconical antenna']</t>
  </si>
  <si>
    <t>Co-ordinate transformation and conformal mapping methods have been applied to study the problem of radiation from a biconical antenna with elliptical cross-section. The infinite elliptical cone geometry can be transformed into the two-dimensional plane under the assumption of pure TEM spherical waves. Closed-form solutions for the characteristic parameters are presented.</t>
  </si>
  <si>
    <t>1339-1340</t>
  </si>
  <si>
    <t>Ruan, Chengli</t>
  </si>
  <si>
    <t>Chengdu</t>
  </si>
  <si>
    <t>University of Electronic Science and Technology of China</t>
  </si>
  <si>
    <t>Ruan C.</t>
  </si>
  <si>
    <t>Biconical antennas with elliptical cross-sections</t>
  </si>
  <si>
    <t>10.1049/el:20000882</t>
  </si>
  <si>
    <t>2-s2.0-0034251426</t>
  </si>
  <si>
    <t>Coordena√ß√£o de Aperfei√ßoamento de Pessoal de N√≠vel Superior</t>
  </si>
  <si>
    <t>CAPES</t>
  </si>
  <si>
    <t>['vibronic coupling', 'thus eliminated', 'sparkle model', 'quantum efficiencies', 'previously synthesized', 'partially quenching', 'lanthanide complexes', 'golden rule', 'exchange mechanisms', 'electronically equivalent', 'efficient antennas', 'designing ligands', 'designed eu', 'central atom', 'benzoyltrifluoroacetylimide anion', 'benzoylacetylimide anion', 'benzoylacetonate ),', '5d0 level']</t>
  </si>
  <si>
    <t>Energy transfer | Lanthanide complexes | Quantum efficiencies of luminescence | Sparkle model</t>
  </si>
  <si>
    <t>In this paper we exemplify how to use our sparkle model for the calculation of lanthanide complexes (SMLC-AM1-INDO/S-CI) together with Fermi's golden rule with the multipolar and exchange mechanisms to describe the ligand-lanthanide ion energy transfer for the purpose of designing ligands to obtain complexes displaying high quantum efficiencies of luminescence. Accordingly, we propose aromatic imides as efficient antennas and energy transfer ligands when coordinated to Eu3+ ion. More specifically we designed Eu(btfai)3bipy (btfai = benzoyltrifluoroacetylimide anion and bipy = bipyridine) and Eu(bzaci)3bipy (bzaci = benzoylacetylimide anion) which we then compare with their Œ≤-diketone analogues Eu(btfa)3bipy (btfa = benzoyltrifluoroacetonate) and Eu(bzac)3bipy (bzac = benzoylacetonate), which have been previously synthesized and whose quantum efficiencies we have also previously measured. Our theoretical results indicate that indeed the quantum efficiencies of Eu(btfai)3bipy and Eu(bzaci)3bipy are electronically equivalent to their highly luminescent Œ≤-diketone analogues with the advantage of one less hydrogen directly bonded to the central atom of the Œ≤-dicarbonylic anionic species. Indeed the possibility of vibronic coupling through that bond vibrational mode, which may be partially quenching the luminescence from the 5D0 level of the Eu3+ ion in the Œ≤-diketone analogues case, is thus eliminated. (C) 2000 Elsevier Science B.V.</t>
  </si>
  <si>
    <t>245-251</t>
  </si>
  <si>
    <t>Journal of Molecular Structure: THEOCHEM</t>
  </si>
  <si>
    <t>60031482;60031482;60031482;60031482;60031482;60031482</t>
  </si>
  <si>
    <t>6506249349;7102518082;6603327772;7003484421;7004281939;7004652706</t>
  </si>
  <si>
    <t>Faustino, W. M.;Rocha, G. B.;Gon√ßalves E Silva, F. R.;Malta, O. L.;De S√°, G. F.;Simas, A. M.</t>
  </si>
  <si>
    <t>Recife</t>
  </si>
  <si>
    <t>Universidade Federal de Pernambuco</t>
  </si>
  <si>
    <t>Faustino W.</t>
  </si>
  <si>
    <t>Design of ligands to obtain lanthanide ion complexes displaying high quantum efficiencies of luminescence using the sparkle model</t>
  </si>
  <si>
    <t>S0166128000004978</t>
  </si>
  <si>
    <t>10.1016/S0166-1280(00)00497-8</t>
  </si>
  <si>
    <t>2-s2.0-0034604371</t>
  </si>
  <si>
    <t>['unique fiber', 'splitter cubes', 'remotely fed', 'polarization elements', 'polarization beam', 'photonic delay', 'overall system', 'optical signals', 'optical signal', 'multiport assemblies', 'mode polarization', 'maintaining fibers', 'line architectures', 'input single', 'ferroelectric liquid', 'different paths', 'design issues', 'array design']</t>
  </si>
  <si>
    <t>A 7-bit multichannel photonic delay line for phased-array antenna control is demonstrated. Multichannel (33-pixel) ferroelectric liquid-crystal (FLC) devices are used as polarization rotation elements, and polarization beam-splitter cubes are used as polarization elements that route the optical signals to different paths. The controller is remotely fed by a unique fiber-optic-array design that uses gradientindex lens collimators for the input single-mode polarization-maintaining fibers. The optical signal is collected by a similar fiber array that uses multimode fibers for improved coupling efficiency. Photonic delay-line (PDL) design issues such as multiport assemblies, multipixel FLC designs, and delay-line architectures are discussed. Furthermore, various PDL parameters are examined. High electrical isolation numbers are obtained for both the within-channel leakage noise (e.g., less than ‚àí70 dB) and the interchannel cross talk (e.g., less than ‚àí90 dB). Optical and electrical insertion loss is examined for the PDL as well as for the overall system. A high-compression dynamic range of 149 dB z Hz and a spurious free dynamic range of 105 dB z Hz2y3 are presented. ¬© 2000 Optical Society of America.</t>
  </si>
  <si>
    <t>4168-4181</t>
  </si>
  <si>
    <t>6604012410;7103231658</t>
  </si>
  <si>
    <t>Madamopoulos, Nicholas;Riza, Nabeel A.</t>
  </si>
  <si>
    <t>Madamopoulos N.</t>
  </si>
  <si>
    <t>Demonstration of an all-digital 7-bit 33-channel photonic delay line for phased-array radars</t>
  </si>
  <si>
    <t>10.1364/AO.39.004168</t>
  </si>
  <si>
    <t>2-s2.0-0042761000</t>
  </si>
  <si>
    <t>['whereas lhca1', 'type plants', 'two photosystems', 'psak cdna', 'photosynthetic machinery', 'peripheral light', 'partially dissociated', 'less lhca3', 'less lhca2', 'less capacity', 'lacking psi', 'k protein', 'k compensate', 'higher chlorophyll', 'harvesting complexes', 'electron transport', 'deficient plants', 'core antenna', 'b ratio', 'antisense orientation']</t>
  </si>
  <si>
    <t>PSI-K is a subunit of photosystem I. The function of PSI-K was characterized in Arabidopsis plants transformed with a psaK cDNA in antisense orientation, and several lines without detectable PSI-K protein were identified. Plants without PSI-K have a 19% higher chlorophyll a/b ratio and 19% more P700 than wild-type plants. Thus, plants without PSI-K compensate by making more photosystem I. The photosystem I electron transport in vitro is unaffected in the absence of PSI-K. Light response curves for oxygen evolution indicated that the photosynthetic machinery of PSI-K-deficient plants have less capacity to utilize light energy. Plants without PSI-K have less state 1-state 2 transition. Thus, the redistribution of absorbed excitation energy between the two photosystems is reduced. Low temperature fluorescence emission spectra revealed a 2-nm blue shift in the long wavelength emission in plants lacking PSI-K. Furthermore, thylakoids and isolated PSI without PSI-K had 20-30% less Lhca2 and 30-40% less Lhca3, whereas Lhca1 and Lhca4 were unaffected. During electrophoresis under mildly denaturing conditions, all four Lhca subunits were partially dissociated from photosystern I lacking PSI-K. The observed effects demonstrate that PSI-K has a role in organizing the peripheral light-harvesting complexes on the core antenna of photosystem I.</t>
  </si>
  <si>
    <t>24701-24708</t>
  </si>
  <si>
    <t>60007971;60007971;60007971;60007971</t>
  </si>
  <si>
    <t>57197343005;7005810801;57209923288;55664625200</t>
  </si>
  <si>
    <t>Jensen, E. P.;Gilpin, M.;Jurgen, K.;Scheller, H. V.</t>
  </si>
  <si>
    <t>Copenhagen</t>
  </si>
  <si>
    <t>University of Copenhagen, Faculty of Life Sciences</t>
  </si>
  <si>
    <t>Jensen E.P.</t>
  </si>
  <si>
    <t>The PSI-K subunit of photosystem I is involved in the interaction between light-harvesting complex I and the photosystem I reaction center core</t>
  </si>
  <si>
    <t>10.1074/jbc.M000550200</t>
  </si>
  <si>
    <t>2-s2.0-0034637484</t>
  </si>
  <si>
    <t>['‚ àº10', '¬© 2000', 'useful redundancy', 'twelve one', 'three spacecraft', 'study low', 'spacecraft separations', 'six one', 'six measured', 'six lasers', 'sensitivity results', 'rigidly connected', 'rigidly carrying', 'require data', 'proposed mission', 'previously showed', 'presenting time', 'precisely equal', 'power spectra', 'phase locking', 'michelson interferometry', 'lisa spacecraft', 'lisa mission', 'like x', 'level proof', 'inertial motions', 'full drag', 'free configuration', 'four one', 'doppler shifts', 'doppler data', 'denoted e', 'delay equations', 'cancel exactly', 'beam splitters', 'actual drag']</t>
  </si>
  <si>
    <t>LISA (Laser Interferometer Space Antenna) is a proposed mission which will use coherent laser beams exchanged between three remote spacecraft to detect and study low-frequency cosmic gravitational radiation. Modeling each spacecraft as moving almost inertially, rigidly carrying a laser, beam splitters and photodetectors, we previously showed how the measured time series of Doppler shifts of the six one-way laser beams between spacecraft pairs could be combined, with suitable time delays, to cancel exactly the otherwise overwhelming phase noise of the lasers. Three of the combinations synthesized data that could in principle be obtained if the spacecraft separations were very precisely equal, as in Michelson interferometry; seven other combinations offered possible design advantages and useful redundancy. Here we extend those results by presenting time-delay equations for Doppler data from the actual drag-free configuration envisaged for the LISA mission. Each spacecraft will carry two proof-masses, shielded within two non-inertial optical benches carrying lasers and photodetectors. In this full drag-free configuration there are now twelve Doppler data streams, six measured with beams between the three vertex spacecraft and two with beams between each of the optical bench pairs on the three spacecraft. We show that generalizations of our previous linear data combinations, now using these twelve one-way Doppler measurements, can cancel the noises of all six lasers and also remove Doppler shifts due to the non-inertial motions of the six optical benches. It is noteworthy that adjacent optical benches need not be rigidly connected and that no phase locking of their lasers is required. From the latest LISA estimates for power spectra of remaining Doppler noises (very-low-level proof-mass "acceleration" noise, photodetector shot noise, and beam pointing noise) we compute the sensitivities of the generalized data combinations X and P. In the Appendix we give defining equations and sensitivity results for two additional data combinations, denoted E and U. Like X and P, these combinations only require data from four one-way laser links between the LISA spacecraft. LISA can achieve the desired gravitational wave strain performance of ‚àº10-23 with any of these combinations. ¬©2000 The American Physical Society.</t>
  </si>
  <si>
    <t>Physical Review D - Particles, Fields, Gravitation and Cosmology</t>
  </si>
  <si>
    <t>6701562756;7003271412;7403155808</t>
  </si>
  <si>
    <t>Estabrook, F. B.;Tinto, Massimo;Armstrong, J. W.</t>
  </si>
  <si>
    <t>Estabrook F.B.</t>
  </si>
  <si>
    <t>Time-delay analysis of LISA gravitational wave data: Elimination of spacecraft motion effects</t>
  </si>
  <si>
    <t>10.1103/PhysRevD.62.042002</t>
  </si>
  <si>
    <t>2-s2.0-0003848004</t>
  </si>
  <si>
    <t>['two instruments', 'semidiurnal tide', 'perot spectrometers', 'optical measurements', 'oh emission', 'mesospheric winds', 'mean wind', 'fpss observed', 'dominant periodicity', 'diurnal tide', 'copyright 2000', '6 ¬∞']</t>
  </si>
  <si>
    <t>Optical measurements of mesospheric winds by Fabry-Perot spectrometers, FPSs, at Mawson, 67.6¬∞ S 62.9¬∞ E, and Davis, 68.6¬∞ S 78.0¬∞ E, Antarctica are compared with similar measurements obtained using a spacedantenna MF radar at Davis. The FPSs observed the OH emission. Different analysis procedures, used to determine the mean wind, and amplitude and phase of the semidiurnal tide, have been compared. At these latitudes the diurnal tide is weak and the semi-diurnal tide, although highly variable in amplitude, is usually the dominant periodicity. When comparing the amplitude and phase of the semidiurnal tide good agreement is obtained between measurements by the two instruments. Copyright 2000 by the American Geophysical Union.</t>
  </si>
  <si>
    <t>2477-2480</t>
  </si>
  <si>
    <t>60019943-60006925;60009512;60006925-60009512;60019943</t>
  </si>
  <si>
    <t>6701679469;7404062063;7202620125;24545701600</t>
  </si>
  <si>
    <t>Greet, P. A.;Murphy, D. J.;Vincent, R.;Dyson, P. L.</t>
  </si>
  <si>
    <t>Kingston;Adelaide;Melbourne</t>
  </si>
  <si>
    <t>Australian Antarctic Division;The University of Adelaide;La Trobe University</t>
  </si>
  <si>
    <t>60019943;60009512;60006925</t>
  </si>
  <si>
    <t>Greet P.A.</t>
  </si>
  <si>
    <t>A comparison of optical and radar measurements of mesospheric winds and tides</t>
  </si>
  <si>
    <t>10.1029/2000GL000036</t>
  </si>
  <si>
    <t>2-s2.0-0034352674</t>
  </si>
  <si>
    <t>['¬© 2000', 'solar mass', 'newtonian approximation', 'hollow sphere', 'dicke theory', 'cross sections', 'binary system']</t>
  </si>
  <si>
    <t>We study the response and cross sections for the absorption of GW energy generated in a Jordan-Brans-Dicke theory by a resonant mass detector shaped as a hollow sphere. As a source of the GW we take a binary system in the Newtonian approximation. For masses of the stars of the order of the solar mass, the emitted GW sweeps a range of frequencies which include the first resonant mode of the detector. ¬©2000 The American Physical Society.</t>
  </si>
  <si>
    <t>60027509;60027509;60027509;60001576</t>
  </si>
  <si>
    <t>7005568912;6701588483;8407049900;35607588100</t>
  </si>
  <si>
    <t>Coccia, E.;Fucito, F.;Salvino, M.;Lobo, J. A.</t>
  </si>
  <si>
    <t>Italy;Spain</t>
  </si>
  <si>
    <t>Rome;Barcelona</t>
  </si>
  <si>
    <t>Universit√† degli Studi di Roma "Tor Vergata";Universitat de Barcelona</t>
  </si>
  <si>
    <t>60027509;60001576</t>
  </si>
  <si>
    <t>Coccia E.</t>
  </si>
  <si>
    <t>Detection of scalar gravitational waves with a hollow spherical antenna</t>
  </si>
  <si>
    <t>10.1103/PhysRevD.62.044019</t>
  </si>
  <si>
    <t>2-s2.0-17044437310</t>
  </si>
  <si>
    <t>['single integrals', 'radiation pattern', 'numerical computation', 'modelling method', 'ground plane', 'finite extent', 'dielectric truncations', 'analytical green']</t>
  </si>
  <si>
    <t>The effect of ground plane and dielectric truncations on the radiation pattern of a slot antenna etched in a substrate covered conductor plane of finite extent is modelled, measured and validated. The modelling method is based on the evaluation of analytical Green's functions and the numerical computation of single integrals. The importance of taking the surface wave diffraction into account is demonstrated.</t>
  </si>
  <si>
    <t>1444-1446</t>
  </si>
  <si>
    <t>60000874;60000874;60000874</t>
  </si>
  <si>
    <t>6602959756;7004061951;7003549059</t>
  </si>
  <si>
    <t>Stockbroeckx, B.;Huynen, I.;Vander Vorst, A.</t>
  </si>
  <si>
    <t>Effect of surface wave diffraction on radiation pattern of slot antenna etched in finite ground plane</t>
  </si>
  <si>
    <t>10.1049/el:20001075</t>
  </si>
  <si>
    <t>2-s2.0-0034250061</t>
  </si>
  <si>
    <t>NAS5-30702</t>
  </si>
  <si>
    <t>['upper limit', 'testing long', 'star formation', 'standing theories', 'scale structure', 'passively cooled', 'optical spectrometer', 'obtain large', 'observing giant', 'molecular clouds', 'lying transition', 'lines swas', 'h2 ).', 'ground state', 'form stars', 'early stages', 'dominant coolants', 'direct measurements', 'dark clouds', 'cooling mechanisms', 'chemical models', '553 ghz', '490 ghz', '1998 december', '13co lines', '103 cm', '1 km']</t>
  </si>
  <si>
    <t>ISM: clouds | Stars: formation | Submillimeter</t>
  </si>
  <si>
    <t>The Submillimeter Wave Astronomy Satellite (SWAS), launched in 1998 December, is a NASA mission dedicated to the study of star formation through direct measurements of (1) molecular cloud composition and chemistry, (2) the cooling mechanisms that facilitate cloud collapse, and (3) the large-scale structure of the UV-illuminated cloud surfaces. To achieve these goals, SWAS is conducting pointed observations of dense [n(H2) &gt; 103 cm-3] molecular clouds throughout our Galaxy in either the ground state or a low-lying transition of five astrophysically important species: H2O, H218O, O2, C I, and 13CO. By observing these lines SWAS is (1) testing long-standing theories that predict that these species are the dominant coolants of molecular clouds during the early stages of their collapse to form stars and planets and (2) supplying previously missing information about the abundance of key species central to the chemical models of dense interstellar gas. SWAS carries two independent Schottky barrier diode mixers - passively cooled to ‚àº175 K - coupled to a 54 √ó 68 cm off-axis Cassegrain antenna with an aggregate surface error ‚àº11 Œºm rms. During its baseline 3 yr mission, SWAS is observing giant and dark cloud cores with the goal of detecting or setting an upper limit on the water and molecular oxygen abundance of 3 √ó 10-6 (relative to H2). In addition, advantage is being taken of SWAS's relatively large beam size of 3‚Ä≤.3 √ó 4‚Ä≤.5 at 553 GHz and 3‚Ä≤.5 √ó 5‚Ä≤.0 at 490 GHz to obtain large-area (‚àº1¬∞ √ó 1¬∞) maps of giant and dark clouds in the 13;CO and C I lines. With the use of a 1.4 GHz bandwidth acousto-optical spectrometer, SWAS has the ability to simultaneously observe either the H2O, O2, C I, and 13CO lines or the H218O, O2, and C I lines. All measurements are being conducted with a velocity resolution less than 1 km s-1.</t>
  </si>
  <si>
    <t>2 PART 2</t>
  </si>
  <si>
    <t>60020680;60020680;60020680;60020680;60006337;60014313;60007776;;60014313;60020680;60004179;60005248;60020680;60020680;60024025;60014313;60020680;60020680;60024025;60020680</t>
  </si>
  <si>
    <t>36238284500;7101886027;57203076914;7004934665;7102677087;7006178166;7102734848;7005934725;43961128700;7006158715;35559088600;35227790400;7006513477;7004220684;7003579648;7101697233;6601993602;36062232800;7004569088;7601322820</t>
  </si>
  <si>
    <t>Melnick, Gary J.;Stauffer, John R.;Ashby, Matthew L.N.;Bergin, Edwin A.;Chin, Gordon;Erickson, Neal R.;Goldsmith, Paul F.;Harwit, Martin;Howe, John E.;Kleiner, Steven C.;Koch, David G.;Neufeld, David A.;Patten, Brian M.;Plume, Ren√©;Schieder, Rudolf;Snell, Ronald L.;Tolls, Volker;Wang, Zhong;Winnewisser, Gisbert;Zhang, Yun Fei</t>
  </si>
  <si>
    <t>Germany;United States;United States;United States;United States;United States;United States</t>
  </si>
  <si>
    <t>Koln;Cambridge;Amherst MA;Ithaca;Greenbelt;Baltimore;Moffett Field</t>
  </si>
  <si>
    <t>University of Cologne;Harvard-Smithsonian Center for Astrophysics;University of Massachusetts Amherst;Cornell University;NASA Goddard Space Flight Center;Johns Hopkins University;NASA Ames Research Center</t>
  </si>
  <si>
    <t>60024025;60020680;60014313;60007776;60006337;60005248;60004179</t>
  </si>
  <si>
    <t>Melnick G.J.</t>
  </si>
  <si>
    <t>The Submillimeter Wave Astronomy Satellite: Science objectives and instrument description</t>
  </si>
  <si>
    <t>10.1086/312856</t>
  </si>
  <si>
    <t>2-s2.0-0034692003</t>
  </si>
  <si>
    <t>Division of Loan Repayment</t>
  </si>
  <si>
    <t>DLR</t>
  </si>
  <si>
    <t>['value estimated', 'para ratio', 'instrumental profile', 'hydroxyl molecules', 'fwhm ).', 'elliptical beam', 'assumed ortho', '8 km', '69 ut', '4 km', '1 within']</t>
  </si>
  <si>
    <t>Comets: general | Comets: individual (Lee (C/1999 H1))</t>
  </si>
  <si>
    <t>We have detected the 110-101 pure rotational transition of water vapor toward comet C/1999 H1 using the Submillimeter Wave Astronomy Satellite. Over the period 1999 May 19.01-23.69 UT, the average integrated antenna temperature was 1.79 ¬± 0.03 K km s-1 within a 3‚Ä≤.3 √ó 4‚Ä≤.5 (FWHM) elliptical beam. For an assumed ortho-to-para ratio of 3, we estimate the total water production rate as 8 √ó 1028 s-1. This value lies approximately 50% above the value estimated by Biver et al. from contemporaneous radio observations of hydroxyl molecules. The observed line width of 1.8 km s-1 (FWHM) is broader than the instrumental profile and suggests an intrinsic line width of about 1.4 km s-1 (FWHM). The data, taken during a portion of every 97 minute spacecraft orbit over a 4.68 day period, provide no evidence for variability.</t>
  </si>
  <si>
    <t>60005248;60020680;60020680;60020680;60020680;60020680;60020680;60006337;60014313;60007776;;60014313;60004179;60020680;60024025;60014313;60020680;60024025;60020680;60020680</t>
  </si>
  <si>
    <t>35227790400;7101886027;7004934665;7006158715;7006513477;36062232800;57203076914;7102677087;7006178166;7102734848;7005934725;43961128700;35559088600;7004220684;7003579648;7101697233;6601993602;7004569088;7601322820;36238284500</t>
  </si>
  <si>
    <t>Neufeld, D. A.;Stauffer, J. R.;Bergin, E. A.;Kleiner, S. C.;Patten, B. M.;Wang, Z.;Ashby, M. L.N.;Chin, G.;Erickson, N. R.;Goldsmith, P. F.;Harwit, M.;Howe, J. E.;Koch, D. G.;Plume, R.;Schieder, R.;Snell, R. L.;Tolls, V.;Winnewisser, G.;Zhang, Y. F.;Melnick, G. J.</t>
  </si>
  <si>
    <t>Neufeld D.A.</t>
  </si>
  <si>
    <t>Submillimeter Wave Astronomy Satellite observations of water vapor toward comet C/1999 H1 (Lee)</t>
  </si>
  <si>
    <t>10.1086/312851</t>
  </si>
  <si>
    <t>2-s2.0-18844474203</t>
  </si>
  <si>
    <t>['results show', 'optical engineering', 'levels comparable', 'international society', 'induced damage', 'hdp usg', 'hdp fsg', 'deposition processes', 'characterized based']</t>
  </si>
  <si>
    <t>Antenna ratios | Antenna test structures | Area-intensive | Edge-intensive | Gate leakage | Plasma induced charging damage | Threshold voltage shift</t>
  </si>
  <si>
    <t>In this work, plasma induced damage resulting from high density plasma (HDP) undoped silicate glass (USG) and fluorinated silicate glass (FSG) deposition processes was studied. The extent of the plasma damage due to the two HDP processes were characterized based on 0.18 Œºm transistor test structures with different antenna ratios. Our results show that the plasma-induced damage from HDP FSG is greater than that from HDP USG. We have developed a novel integration scheme that is effective in reducing the damage from HDP FSG down to levels comparable to that of USG. ¬© 2000 SPIE-The International Society for Optical Engineering.</t>
  </si>
  <si>
    <t>151-158</t>
  </si>
  <si>
    <t>100795120;60005510;100795120;100795120;100795120</t>
  </si>
  <si>
    <t>57209422619;56998304700;57209426177;7403040244;7102037477</t>
  </si>
  <si>
    <t>Ang, T. C.;Tse, M. S.;Loong, S. Y.;Wong, Y. C.;Loh, W. B.</t>
  </si>
  <si>
    <t>Singapore;Singapore</t>
  </si>
  <si>
    <t>Singapore City;Singapore City</t>
  </si>
  <si>
    <t>Nanyang Technological University;Chartered Semiconductor Manufacturing</t>
  </si>
  <si>
    <t>60005510;100795120</t>
  </si>
  <si>
    <t>Ang T.</t>
  </si>
  <si>
    <t>High density plasma FSG charging damage</t>
  </si>
  <si>
    <t>10.1117/12.410073</t>
  </si>
  <si>
    <t>2-s2.0-0034538737</t>
  </si>
  <si>
    <t>['typical cho', 'type glycans', 'truncated antennae', 'structural analyses', 'recombinant glycodelin', 'particularly suited', 'lectin immunoassays', 'human glycodelin', 'glycodelin produced', 'glucose concentration', 'glucosamine resulted', 'gda ).', 'contraceptive agent', 'complex glycans', 'carbohydrate structures', 'based glycans', 'attractive candidate', 'acetylgalactosaminyltransferase functioning']</t>
  </si>
  <si>
    <t>Cell culture conditions | Cell-specific glycosylation | Mammalian cells | N,N'-diacetyllactosediamine-based glycans | Structural analysis</t>
  </si>
  <si>
    <t>We have produced human recombinant glycodelin in human kidney 293 cells and in Chinese hamster ovary (CHO) cells. Structural analyses by lectin immunoassays and fast atom bombardment mass spectrometry showed that recombinant human glycodelin produced in CHO cells contains only typical CHO-type glycans and is devoid of any of the N,N'-diacetyllactosediamine (lacdiNAc)-based chains previously identified in glycodelin-A (GdA). By contrast, human kidney 293 cells produced recombinant glycodelin with the same type of carbohydrate structures as GdA. The presence of a Œ≤1‚Üí4-N-acetylgalactosaminyltransferase functioning in the synthesis of lacdiNAc-based glycans in human kidney 293 cells is concluded to be the cause of the occurrence of lacdiNAc-based glycans on glycodelin produced in these cells. Furthermore, human kidney 293 cells were found to be particularly suited for the production of recombinant glycodelin when they were cultured in high glucose media. Lowering the glucose concentration and the addition of glucosamine resulted in higher relative amounts of oligomannosidic-type glycans and complex glycans with truncated antennae. Human glycodelin is an attractive candidate for the development of a contraceptive agent, and this study gives valuable information for selecting the proper expression system and cell culture conditions for the production of a correctly glycosylated recombinant form.</t>
  </si>
  <si>
    <t>4753-4762</t>
  </si>
  <si>
    <t>60008734;60016987;60015150;60016987;60003237;60015150;60008734;60016987;60015150;60008734</t>
  </si>
  <si>
    <t>6506706248;7003612125;7004476498;7006574669;6603488193;7401534652;7006103374;35475165300;7103412653;7005814609</t>
  </si>
  <si>
    <t>Van Den Nieuwenhof, Ingrid M.;Koistinen, Hannu;Easton, Richard L.;Koistinen, Riitta;K√§m√§r√§inen, Meerit;Morris, Howard R.;Van Die, Irma;Sepp√§l√§, Markku;Dell, Anne;Van Den Eijnden, Dirk H.</t>
  </si>
  <si>
    <t>Finland;United Kingdom;Netherlands;Finland</t>
  </si>
  <si>
    <t>Helsinki;London;Amsterdam;Helsinki</t>
  </si>
  <si>
    <t>Helsinki University Hospital;Imperial College London;Vrije Universiteit Amsterdam;Haartman Institute</t>
  </si>
  <si>
    <t>60016987;60015150;60008734;60003237</t>
  </si>
  <si>
    <t>Van Den Nieuwenhof I.</t>
  </si>
  <si>
    <t>Recombinant glycodelin carrying the same type of glycan structures as contraceptive glycodelin-A can be produced in human kidney 293 cells but not in Chinese hamster ovary cells</t>
  </si>
  <si>
    <t>10.1046/j.1432-1327.2000.01528.x</t>
  </si>
  <si>
    <t>2-s2.0-0033863867</t>
  </si>
  <si>
    <t>['volume element', 'two sources', 'standard pennes', 'segmented semiautomatically', 'rf exposure', 'power absorbed', 'metal box', 'generated using', 'exposure guidelines', 'electromagnetic field', 'different types', 'cellular telephones', 'calculated using']</t>
  </si>
  <si>
    <t>A finite element thermal model of the head has been developed to calculate temperature rises generated in the brain by radiation from cellular telephones and similar electromagnetic devices. A 1 mm resolution MRI dataset was segmented semiautomatically, assigning each volume element to one often tissue types. A finite element mesh was then generated using a fully automatic tetrahedral mesh generator developed at NRPB. There are two sources of heat in the model: firstly the natural metabolic heat production; and secondly the power absorbed from the electromagnetic field. The SAR was derived from a finite difference time domain model of the head, coupled to a model 'mobile phone', namely a quarter-wavelength antenna mounted on a metal box. The steady-state temperature distribution was calculated using the standard Pennes 'bioheat equation'. In the normal cerebral cortex the high blood perfusion rate serves to provide an efficient cooling mechanism. In the case of equipment generally available to the public, the maximum temperature rise found in the brain was about 0.1 ¬∞C. These results will help in the further development of criteria for exposure guidelines, and the technique developed may be used to assess temperature rises associated with SARs for different types of RF exposure.</t>
  </si>
  <si>
    <t>2363-2372</t>
  </si>
  <si>
    <t>Physics in Medicine and Biology</t>
  </si>
  <si>
    <t>Wainwright, P.</t>
  </si>
  <si>
    <t>Didcot</t>
  </si>
  <si>
    <t>Radiation Protection Division</t>
  </si>
  <si>
    <t>Wainwright P.</t>
  </si>
  <si>
    <t>Thermal effects of radiation from cellular telephones</t>
  </si>
  <si>
    <t>S0031915500116331</t>
  </si>
  <si>
    <t>10.1088/0031-9155/45/8/321</t>
  </si>
  <si>
    <t>2-s2.0-0033862649</t>
  </si>
  <si>
    <t>['without bias', 'thz radiation', 'third harmonic', 'miniband electrons', 'harmonic generation', 'frequency modulation', 'frequency doubling', 'frequency 0', 'electron laser', 'biased gaas', 'alas superlattice', '7 thz']</t>
  </si>
  <si>
    <t>We report on frequency doubling and tripling of THz radiation in a voltage-biased GaAs/AlAs superlattice. By use of a corner cube antenna system, radiation from the Santa Barbara free-electron laser (frequency 0.7 THz) was guided into a superlattice mesa element and the second and third harmonic were coupled out of the mesa. Without bias only radiation of the third harmonic was generated, while the biased superlattice emitted radiation of both the second and third harmonic. We attribute the harmonic generation to frequency modulation of damped Bloch oscillations of the miniband electrons in the superlattice. ¬© 2000 American Institute of Physics.</t>
  </si>
  <si>
    <t>1259-1261</t>
  </si>
  <si>
    <t>60030807-60007774;60030807;60030807;60030807;60030807;60029241;60029241;60115148;60000297;60000297;60000297</t>
  </si>
  <si>
    <t>6603876346;7004874154;6701588855;6507429407;7005754838;7004972007;35417089300;7101837651;35393681800;35379962200;35393362500</t>
  </si>
  <si>
    <t>Winnerl, S.;Schomburg, E.;Brandl, S.;Kus, O.;Renk, K. F.;Wanke, M. C.;Allen, S. J.;Ignatov, A. A.;Ustinov, V.;Zhukov, A.;Kop'ev, P. S.</t>
  </si>
  <si>
    <t>Russian Federation;Germany;United States;Germany;Russian Federation</t>
  </si>
  <si>
    <t>Kstovo;Regensburg;Santa Barbara;J√ºlich;Saint Petersburg (ex Leningrad)</t>
  </si>
  <si>
    <t>The Institute for Physics of Microstructures of the Russian Academy of Sciences;Universit√§t Regensburg;University of California, Santa Barbara;Forschungszentrum J√ºlich (FZJ);Ioffe Institute</t>
  </si>
  <si>
    <t>60115148;60030807;60029241;60007774;60000297</t>
  </si>
  <si>
    <t>Winnerl S.</t>
  </si>
  <si>
    <t>Frequency doubling and tripling of terahertz radiation in a GaAs/AlAs superlattice due to frequency modulation of Bloch oscillations</t>
  </si>
  <si>
    <t>10.1063/1.1290141</t>
  </si>
  <si>
    <t>2-s2.0-0001267915</t>
  </si>
  <si>
    <t>['thz radiation', 'primary process', 'photon absorption', 'nonquadratic dependence', 'midgap states', 'laser intensity', 'grown gaas', 'detection efficiency', 'approximately 10']</t>
  </si>
  <si>
    <t>THz radiation is detected by a low-temperature-grown GaAs (LT-GaAs) photoconductive antenna probed with a 1.55 Œºm probe laser. The detection efficiency is found to be approximately 10% of that obtained with a 780 nm probe. From the nonquadratic dependence of photoconductivity on laser intensity, two-step photoabsorption mediated by midgap states in LT-GaAs is suggested, instead of the two-photon absorption, as the primary process for the photoconductivity. ¬© 2000 American Institute of Physics.</t>
  </si>
  <si>
    <t>1396-1398</t>
  </si>
  <si>
    <t>60025534;60025534;60025534</t>
  </si>
  <si>
    <t>7202550229;36071937100;7410280543</t>
  </si>
  <si>
    <t>Tani, Masahiko;Lee, Kwang Su;Zhang, X. C.</t>
  </si>
  <si>
    <t>Troy</t>
  </si>
  <si>
    <t>Rensselaer Polytechnic Institute</t>
  </si>
  <si>
    <t>Detection of terahertz radiation with low-temperature-grown GaAs-based photoconductive antenna using 1.55 Œºm probe</t>
  </si>
  <si>
    <t>10.1063/1.1289914</t>
  </si>
  <si>
    <t>2-s2.0-0001511153</t>
  </si>
  <si>
    <t>['wide variety', 'unique assemblage', 'three strains', 'strain lbb1', 'spheroidene pathway', 'sediment samples', 'rhodovulum species', 'range 0', 'proposed herein', 'properties observed', 'physiological studies', 'ph 9', 'organic compounds', 'nitrogen fixation', 'new genus', 'neither photoautotrophy', 'lake bogoria', 'known rhodobacter', 'grew optimally', 'electron microscopy', 'described species', 'crater lake', 'chemotrophic growth', 'c content', '10 %).']</t>
  </si>
  <si>
    <t>Alkaliphily | Extreme environments | Photosynthesis Anoxygenic phototrophic bacteria | Purple nonsulfur bacteria</t>
  </si>
  <si>
    <t>From enrichment cultures established for purple nonsulfur bacteria using water and sediment samples from Lake Bogoria and Crater Lake, two soda lakes in the African Rift Valley, three strains of purple nonsulfur bacteria were isolated; strain LBB1 was studied in detail. Cells of strain LBB 1 were motile and spherical to rod-shaped, suggesting a relationship to Rhodobacter or Rhodovulum species, and the organism was capable of both phototrophic and chemotrophic growth on a wide variety of organic compounds. Phototrophically grown cultures were yellow to yellow-brown in color and grew optimally at pH 9 (pH range 7.5-10) and 1% NaCl (range 0-10%). In physiological studies of strain LBB1, neither photoautotrophy (H2- or sulfide-dependent) nor nitrogen fixation was observed. Absorption spectra revealed that all three strains contained bacteriochlorophyll a and carotenoids of the spheroidene pathway and synthesized only a light-harvesting (LH) I-type photosynthetic antenna complex. Electron microscopy of cells of strain LBB1 revealed a vesicular intracytoplasmic membrane system, although only a few vesicles were observed per cell. The G+C content of strain LBB1 DNA was 59 mol%, significantly lower than that of known Rhodobacter and Rhodovulum species, and its phylogeny as determined by ribosomal RNA gene sequencing placed it within the Rhodobacter/Rhodovulum clade yet distinct from all described species of either of these genera. The unique assemblage of properties observed in strain LBB 1 warrants its inclusion in a new genus of purple nonsulfur bacteria and the name Rhodobaca bogoriensis is proposed herein, the genus name reflecting morphological characteristics and the species epithet referring to the habitat.</t>
  </si>
  <si>
    <t>18-27</t>
  </si>
  <si>
    <t>Archives of Microbiology</t>
  </si>
  <si>
    <t>60029472;60029472;60029472;60029472</t>
  </si>
  <si>
    <t>15828087700;7003369205;7201711253;7005169480</t>
  </si>
  <si>
    <t>Milford, Amy D.;Achenbach, Laurie A.;Jung, Deborah O.;Madigan, Michael T.</t>
  </si>
  <si>
    <t>Carbondale</t>
  </si>
  <si>
    <t>Southern Illinois University Carbondale</t>
  </si>
  <si>
    <t>Milford A.</t>
  </si>
  <si>
    <t>Rhodobaca bogoriensis gen. nov. and sp. nov., an alkaliphilic purple nonsulfur bacterium from African Rift Valley soda lakes</t>
  </si>
  <si>
    <t>10.1007/s002030000166</t>
  </si>
  <si>
    <t>2-s2.0-0033900361</t>
  </si>
  <si>
    <t>['triplet states', 'triplet annihilation', 'times ranging', 'structural changes', 'slow decay', 'several microseconds', 'quenchers could', 'produced directly', 'limited processes', 'laser flash', 'initial light', 'induced changes', 'harvesting antenna', 'fluorescence yield', 'fluorescence quenching', 'chl triplets', 'chl cations', 'car molecules']</t>
  </si>
  <si>
    <t>Laser flash-induced changes of the fluorescence yield were studied in aggregates of light-harvesting complex II (LHCII) on a time scale ranging from microseconds to seconds. Carotenoid (Car) and chlorophyll (Chl) triplet states, decaying with lifetimes of several microseconds and hundreds of microseconds, respectively, are responsible for initial light-induced fluorescence quenching via singlet - triplet annihilation. In addition, at times ranging from milliseconds to seconds, a slow decay of the light-induced fluorescence quenching can be observed, indicating the presence of additional quenchers generated by the laser. The generation of the quenchers is found to be sensitive to the presence of oxygen. It is proposed that long-lived fluorescence quenchers can be generated from Chl triplets that are not transferred to Car molecules. The quenchers could be Chl cations or other radicals that are produced directly from Chl triplets or via Chl triplet-sensitized singlet oxygen. Decay of the quenchers takes place on a millisecond to second time scale. The decay is slowed by a few orders of magnitude at 77 K indicating that structural changes or migration-limited processes are involved in the recovery. Fluorescence quenching is not observed for trimers, which is explained by a reduction of the quenching domain size compared to that of aggregates. This type of fluorescence quenching can operate under very high light intensities when Chl triplets start to accumulate in the light-harvesting antenna.</t>
  </si>
  <si>
    <t>10468-10477</t>
  </si>
  <si>
    <t>60008734-60030612;60008734-60105695;60105695;60008734;60008734</t>
  </si>
  <si>
    <t>6602717941;6602435804;7003564034;35599806700;7007181446</t>
  </si>
  <si>
    <t>Barzda, V.;Vengris, M.;valkunas, L.;van Grondelle, R.;van Amerongen, H.</t>
  </si>
  <si>
    <t>Lithuania;United States;Netherlands</t>
  </si>
  <si>
    <t>Vilnius;San Diego;Amsterdam</t>
  </si>
  <si>
    <t>Fizini≈≥ ir Technologijos Moksl≈≥ Centras;University of California, San Diego;Vrije Universiteit Amsterdam</t>
  </si>
  <si>
    <t>60105695;60030612;60008734</t>
  </si>
  <si>
    <t>Barzda V.</t>
  </si>
  <si>
    <t>Generation of fluorescence quenchers from the triplet states of chlorophylls in the major light-harvesting complex II from green plants</t>
  </si>
  <si>
    <t>10.1021/bi992826n</t>
  </si>
  <si>
    <t>2-s2.0-0034730084</t>
  </si>
  <si>
    <t>['second slot', 'rectangular patch', 'cp bandwidth', 'compact structure', 'basic antenna', 'authors present', 'added along']</t>
  </si>
  <si>
    <t>The authors present the design of a wideband circularly polarized antenna with switchable polarization sense. The basic antenna is a circularly polarized aperture coupled patch antenna with a slot excitation located along the diagonal of a rectangular patch. A second slot is added along the other diagonal and beam-lead pin diodes are inserted in both slots to allow a dual sense operation for a compact structure in a 4% CP bandwidth.</t>
  </si>
  <si>
    <t>1518-1519</t>
  </si>
  <si>
    <t>6506106409;55884101500;7003360986</t>
  </si>
  <si>
    <t>Boti, M.;Dussopt, L.;Laheurte, J. M.</t>
  </si>
  <si>
    <t>Boti M.</t>
  </si>
  <si>
    <t>Circularly polarized antenna with switchable polarization sense</t>
  </si>
  <si>
    <t>10.1049/el:20001098</t>
  </si>
  <si>
    <t>2-s2.0-0034248547</t>
  </si>
  <si>
    <t>['wave antenna', 'image theorem', 'fourier transform']</t>
  </si>
  <si>
    <t>A rigorous dispersion equation for a groove nonradiative dielectric (GNRD) waveguide is presented, using mode matching, the Fourier transform, and the image theorem. The solution is useful for the design of millimeter-wave antenna and passive devices using GNRD waveguides.</t>
  </si>
  <si>
    <t>1553-1554</t>
  </si>
  <si>
    <t>7404468967;55112893800</t>
  </si>
  <si>
    <t>Cho, Yong H.;Eom, Hyo J.</t>
  </si>
  <si>
    <t>Cho Y.H.</t>
  </si>
  <si>
    <t>Dispersion equation for groove nonradiative dielectric waveguide</t>
  </si>
  <si>
    <t>10.1049/el:20001115</t>
  </si>
  <si>
    <t>2-s2.0-0034249928</t>
  </si>
  <si>
    <t>['rf front', 'radiator within', 'problems associated', 'novel method', 'gallium arsenide', 'end chip', 'antenna gain', 'alternative solution']</t>
  </si>
  <si>
    <t>A novel method is presented for achieving a complete RF front end product equipped with its radiator within a single chip package. This packaging technique provides an alternative solution to problems associated with reduced size antennas implemented on gallium arsenide (GaAs) substrates, such as restoration of the antenna gain by 15dB. This configuration will help to reduce manufacturing costs associated with connecting the antenna to the RF front-end chip.</t>
  </si>
  <si>
    <t>1524-1525</t>
  </si>
  <si>
    <t>60019702;60019702;60005510;60014174</t>
  </si>
  <si>
    <t>United Kingdom;United Kingdom;Singapore</t>
  </si>
  <si>
    <t>Birmingham;Ipswich;Singapore City</t>
  </si>
  <si>
    <t>University of Birmingham;British Telecom Research Lab;Nanyang Technological University</t>
  </si>
  <si>
    <t>60019702;60014174;60005510</t>
  </si>
  <si>
    <t>Packaging technique for gain enhancement of electrically small antenna designed on gallium arsenide</t>
  </si>
  <si>
    <t>10.1049/el:20000996</t>
  </si>
  <si>
    <t>2-s2.0-0034250616</t>
  </si>
  <si>
    <t>['system performance', 'significant gain', 'prefilter length', 'optimal performance', 'additional antennas', '5 db']</t>
  </si>
  <si>
    <t>A transmit diversity system with liner prefilters exhibiting near-optimal performance is proposed. Without the need for additional antennas, a significant gain can be obtained by increasing the prefilter length and adopting optimal MAP equalization. As the prefilter length increases, the system performance is improved and closely approaches optimal performance. At a BER of 10-3, the performance of the proposed system attains optimal performance within 0.5 dB.</t>
  </si>
  <si>
    <t>1586-1587</t>
  </si>
  <si>
    <t>60032144-60026790;60032144</t>
  </si>
  <si>
    <t>7501563982;26643137100</t>
  </si>
  <si>
    <t>Kim, Bonghoe;Lee, Hwang Soo</t>
  </si>
  <si>
    <t>Daejeon;Youngdungpo-gu</t>
  </si>
  <si>
    <t>Korea Advanced Institute of Science and Technology;LG Corporation</t>
  </si>
  <si>
    <t>60032144;60026790</t>
  </si>
  <si>
    <t>Transmit diversity system with linear prefilters exhibiting near-optimal performance</t>
  </si>
  <si>
    <t>10.1049/el:20001129</t>
  </si>
  <si>
    <t>2-s2.0-0034250809</t>
  </si>
  <si>
    <t>['weight correlation', 'two methods', 'smart antenna', 'partial ic', 'ic owing', 'ic ).', 'degrading effect', 'authors present']</t>
  </si>
  <si>
    <t>The authors present an efficiently combined structure of a smart antenna and a partial interference canceller (IC). Two methods are proposed to estimate proper fractional weights for the partial IC. The fast method improves the performance by preventing performance degradation of the IC owing to incorrect symbol decision using adaptive fractional weights. The second method improves performance by reducing the degrading effect of the partial IC, using modified fractional weights. Simulation results show that the proposed methods outperform a combined structure based on weight correlation.</t>
  </si>
  <si>
    <t>1583-1584</t>
  </si>
  <si>
    <t>60002445;60002445</t>
  </si>
  <si>
    <t>57219192015;36480661400</t>
  </si>
  <si>
    <t>Kim, Young Hun;Yoon, Won Sik</t>
  </si>
  <si>
    <t>Kyonggi-do</t>
  </si>
  <si>
    <t>Ajou University</t>
  </si>
  <si>
    <t>Kim Y.H.</t>
  </si>
  <si>
    <t>Efficiently combined structure of smart antenna and interference canceller using symbol reliability</t>
  </si>
  <si>
    <t>10.1049/el:20001101</t>
  </si>
  <si>
    <t>2-s2.0-0034251384</t>
  </si>
  <si>
    <t>['two subgroups', 'spectral position', 'reaction center', 'pigment pool', 'photophysical properties', 'phonon coupling', 'individual photosystem', 'burning data']</t>
  </si>
  <si>
    <t>Photophysical properties of low-energy antenna chlorophylls were probed in individual Photosystem I complexes from the cyanobacterium Synechococcus elongatus. Temperature activated fluorescence quenching unravels energy transfer pathways within the red-most pigment pool and to the reaction center. Low-temperature spectroscopy indicates that two subgroups of pigments which are present in the red antenna pool differ not only by their spectral position but also by the strength of electron-phonon coupling. Possible dimeric nature of the strongly phonon coupled red-most state is discussed in context of hole-burning data.</t>
  </si>
  <si>
    <t>8093-8096</t>
  </si>
  <si>
    <t>60015815;60015815;60015815;60015815;60011604</t>
  </si>
  <si>
    <t>6603745032;56200070000;6507283815;7003408400;7004288731</t>
  </si>
  <si>
    <t>Jelezko, F.;Tietz, C.;Gerken, U.;Wrachtrup, J.;Bittl, R.</t>
  </si>
  <si>
    <t>Stuttgart;Berlin</t>
  </si>
  <si>
    <t>Universit√§t Stuttgart;Technical University of Berlin</t>
  </si>
  <si>
    <t>60015815;60011604</t>
  </si>
  <si>
    <t>Jelezko F.</t>
  </si>
  <si>
    <t>Single-molecule spectroscopy on Photosystem I pigment-protein complexes</t>
  </si>
  <si>
    <t>10.1021/jp001332t</t>
  </si>
  <si>
    <t>2-s2.0-0034251542</t>
  </si>
  <si>
    <t>['vehicle battery', 'total sweep', 'successful steering', 'radiation pattern', 'easily provided']</t>
  </si>
  <si>
    <t>The successful steering of a three element array beam was demonstrated. The beam was squinted over a total sweep of 30¬∞ without significant degradation being observed in the radiation pattern. Applied field changes of only 40Oe were required to sweep the beam, which dissipated approximately 4W in the coils. The necessary power could be easily provided by a vehicle battery.</t>
  </si>
  <si>
    <t>1521-1522</t>
  </si>
  <si>
    <t>7006362200;7102439597</t>
  </si>
  <si>
    <t>Cahill, B. M.;Batchelor, J. C.</t>
  </si>
  <si>
    <t>Cahill B.</t>
  </si>
  <si>
    <t>Electromagnetic scanning three element array with integral phase shifters</t>
  </si>
  <si>
    <t>10.1049/el:20001112</t>
  </si>
  <si>
    <t>2-s2.0-0034251544</t>
  </si>
  <si>
    <t>['rectangular patch', 'radiation patterns', 'pull mode', 'power radiated', 'measurements show', 'introduced modifications', 'bias voltage']</t>
  </si>
  <si>
    <t>A new integrated self-oscillating patch antenna is presented. Two bipolar transistors, operating in push-pull mode, are embedded in a rectangular opening inside a rectangular patch in order to increase the power radiated by the antenna. Measurements show a high radiated power and linear frequency change with bias voltage. The radiation patterns of the patch are not affected by the introduced modifications.</t>
  </si>
  <si>
    <t>1522-1523</t>
  </si>
  <si>
    <t>60159855;60159855;60159855</t>
  </si>
  <si>
    <t>6602371741;35618374900;7003852951</t>
  </si>
  <si>
    <t>Bonefaƒçiƒá, D.;Bartoliƒá, J.;≈†ipu≈°, Z.</t>
  </si>
  <si>
    <t>Croatia</t>
  </si>
  <si>
    <t>Zagreb</t>
  </si>
  <si>
    <t>University of Zagreb, Faculty of Electrical Engineering and Computing</t>
  </si>
  <si>
    <t>Bonefaƒçiƒá D.</t>
  </si>
  <si>
    <t>Integrated push-pull oscillating antenna</t>
  </si>
  <si>
    <t>10.1049/el:20001122</t>
  </si>
  <si>
    <t>2-s2.0-0342521480</t>
  </si>
  <si>
    <t>['transistor oscillator', 'rectangular opening', 'polarization levels', 'measured co', 'clean spectrum']</t>
  </si>
  <si>
    <t>A novel oscillating antenna is realized by integrating a transistor oscillator and a line impedance transformer inside a rectangular opening in a rectangular patch antenna. This active antenna exhibits stable operation and a clean spectrum. The measured co-polarization radiation patterns are not affected by the modification of the patch while the cross-polarization levels are low.</t>
  </si>
  <si>
    <t>60159855;60159855</t>
  </si>
  <si>
    <t>6602371741;35618374900</t>
  </si>
  <si>
    <t>Bonefaƒçiƒá, D.;Bartoliƒá, J.</t>
  </si>
  <si>
    <t>Compact active integrated antenna with transistor oscillator and line impedance transformer</t>
  </si>
  <si>
    <t>10.1049/el:20001111</t>
  </si>
  <si>
    <t>2-s2.0-0343391064</t>
  </si>
  <si>
    <t>['resonance levels', 'polymer suggests', 'phenathroline groups', 'phenanthroline groups', 'magnitude compared', 'luminescence spectra', 'low content', 'fluorescent properties', 'excitation energy', 'europium poly', 'effect ).', 'containing grafted', 'chromophoric groups', 'acrylic acid', 'acrylates ).']</t>
  </si>
  <si>
    <t>Fluorescent properties of Eu3+ dibenzoylmethanate macromolecular complexes with poly(acrylic acid) containing grafted o-phenathroline groups were studied. Examination of the luminescence spectra of the polymer suggests the existence of the effective intramolecular transfer of excitation energy from the resonance levels of chromophoric groups to Eu3+ (the "antenna" effect). The intensity of luminescence for the complex with a low content of Eu3+ ([Eu3+] = 0.75 wt %) and a 2% content of phenanthroline groups is higher by an order of magnitude compared to europium poly(acrylates).</t>
  </si>
  <si>
    <t>271-272</t>
  </si>
  <si>
    <t>Polymer Science - Series B</t>
  </si>
  <si>
    <t>60110441;60110441;60110441</t>
  </si>
  <si>
    <t>7004342631;6701321105;7103346767</t>
  </si>
  <si>
    <t>Mirochnik, A. G.;Petrochenkova, N. V.;Karasev, V. E.</t>
  </si>
  <si>
    <t>Vladivostok</t>
  </si>
  <si>
    <t>Institute of Chemistry FEB RAS</t>
  </si>
  <si>
    <t>Mirochnik A.</t>
  </si>
  <si>
    <t>"Antenna Effect" in Macromolecular Complexes of Eu&lt;sup&gt;3+&lt;/sup&gt; Dibenzoylmethanate with Poly(acrylic acid) Containing Chromophoric Groups</t>
  </si>
  <si>
    <t>2-s2.0-0010813722</t>
  </si>
  <si>
    <t>['thus even', 'temporal pattern', 'odor specific', 'odor intensity', 'neither oscillatory', 'moth antennal', 'molecular identity', 'information processing', 'individual odorants', 'glomerular activity', 'examine odor', 'early stage', 'different odors', 'contextual variables', 'coding ensemble']</t>
  </si>
  <si>
    <t>We used neural ensemble recording to examine odor-evoked ensemble patterns in the moth antennal (olfactory) lobe. Different odors are thought to evoke unique spatiotemporal patterns of glomerular activity, but little is known about the population dynamics underlying formation of these patterns. Using a silicon multielectrode array, we observed dynamic network interactions within and between glomeruli. Whereas brief odor pulses repeatedly triggered activity in the same coding ensemble, the temporal pattern of synchronous activity superimposed on the ensemble was neither oscillatory nor odor specific. Rather, synchrony strongly depended on contextual variables such as odor intensity and intermittency. Also, because of emergent inhibitory circuit interactions, odor blends evoked temporal ensemble patterns that could not be predicted from the responses to the individual odorants. Thus even at this early stage of information processing, the timing of odor-evoked neural representations is modulated by key stimulus factors unrelated to the molecular identity of the odor.</t>
  </si>
  <si>
    <t>927-931</t>
  </si>
  <si>
    <t>Nature Neuroscience</t>
  </si>
  <si>
    <t>60023324;60023324;60023324;60023324</t>
  </si>
  <si>
    <t>57213669759;6603564115;57053671300;7102653635</t>
  </si>
  <si>
    <t>Christensen, Thomas A.;Pawlowski, Vincent M.;Lei, Hong;Hildebrand, John G.</t>
  </si>
  <si>
    <t>Christensen T.</t>
  </si>
  <si>
    <t>Multi-unit recordings reveal context-dependent modulation of synchrony in odor-specific neural ensembles</t>
  </si>
  <si>
    <t>10.1038/78840</t>
  </si>
  <si>
    <t>2-s2.0-0033863464</t>
  </si>
  <si>
    <t>['source current', 'remote sensing', 'performed analytically', 'much larger', 'integral analysis', 'gain function', 'extra term', 'based observer']</t>
  </si>
  <si>
    <t>We model a lightning return stroke by a vertical traveling wave of current with a complex propagation constant. The Sommerfeld-integral analysis is similar to that of a vertical electric dipole over a lossy earth except that the source is distributed in height. When the integration over the source current is performed analytically, an extra term appears in addition to the classical Sommerfeld attenuation function. This term is a result of the height-gain function of the distributed source due to an effective elevated height of the source dipole moment. In most cases of interest, the extra term is small and the height-gain function is not much larger than one. The results have application to remote sensing of lighting from a ground-based observer.</t>
  </si>
  <si>
    <t>1349-1353</t>
  </si>
  <si>
    <t>;60000251-60023053</t>
  </si>
  <si>
    <t>7103195054;56050028200</t>
  </si>
  <si>
    <t>Wait, James R.;Hill, David A.</t>
  </si>
  <si>
    <t>Gaithersburg;New York</t>
  </si>
  <si>
    <t>National Institute of Standards and Technology;IEEE</t>
  </si>
  <si>
    <t>60023053;60000251</t>
  </si>
  <si>
    <t>Wait J.</t>
  </si>
  <si>
    <t>Ground wave of an idealized lightning return stroke</t>
  </si>
  <si>
    <t>10.1109/8.898767</t>
  </si>
  <si>
    <t>2-s2.0-0034261607</t>
  </si>
  <si>
    <t>['skin depth', 'power loss', 'one gigabyte', 'numerical model', 'million unknowns', 'magnetic fields', 'magnetic field', 'magnet used', 'logging tool', 'good agreement', 'fine discretization', 'fem ).', 'fairly common', 'element method', 'direct application', 'design process', 'copper conductor', 'conductor thickness', 'computed using', 'axial direction', '47 œºm', '35 h', '2 mhz']</t>
  </si>
  <si>
    <t>The magnetic fields of antenna and magnet used in inside-out nuclear magnetic resonance (NMR) well-logging tool are computed using a finite-element method (FEM). A typical operating frequency of such tools is 2 MHz, at which the skin depth is about 47 Œºm for copper conductor. A direct application of FEM to evaluate power loss at such frequency, therefore, requires very fine discretization of the conductors, which, in turn, makes the problem numerically ill-conditioned. A perturbation technique along with FEM is used to evaluate the power loss in conductors that avoids the need for small discretization steps along the conductor thickness. The design of the magnet, on the other hand, is complicated by the fact that the model is nonlinear in nature because of the presence of ferrites and steel materials surrounding the magnet and because the size of the problem is usually quite large; quarter of a million unknowns is fairly common. A typical nonlinear FEM model requires about 35 h of central processing unit (CPU) time on a Sun Ultra 60 296 MHz workstation with one gigabyte of RAM. The magnet is built by stacking several magnet segments along the axial direction and the objective of the design is to magnetize these segments in such a way so as to produce a desired field profile in front of the magnet. It generally requires many executions of the nonlinear FEM model. An optimal control technique is used in conjunction with the FEM to speed up the design process. Very good agreement between the measured and computed antenna efficiency and magnetic field is obtained thus validating the numerical model.</t>
  </si>
  <si>
    <t>1393-1402</t>
  </si>
  <si>
    <t>60000251-60074308;60000251-60074308;60074308</t>
  </si>
  <si>
    <t>7004302566;56439764700;36931509000</t>
  </si>
  <si>
    <t>Goswami, Jaideva C.;Sezginer, Apo;Luong, Bruno</t>
  </si>
  <si>
    <t>Sugar Land;New York</t>
  </si>
  <si>
    <t>Schlumberger Limited;IEEE</t>
  </si>
  <si>
    <t>60074308;60000251</t>
  </si>
  <si>
    <t>Goswami J.</t>
  </si>
  <si>
    <t>On the design of NMR sensor for well-logging applications</t>
  </si>
  <si>
    <t>10.1109/8.898772</t>
  </si>
  <si>
    <t>2-s2.0-0034261613</t>
  </si>
  <si>
    <t>['wave reflected', 'wave coupling', 'time derivative', 'scattering matrix', 'reflected waves', 'quantitative determination', 'polarimetric channel', 'polarimetric approach', 'plane scatter', 'plane fracture', 'moving average', 'measured waveforms', 'measured data', 'hole measurement', 'hole arrangements', 'extract information', 'experimental data', 'effectively reduced', 'copolarized channels', 'adding vertical']</t>
  </si>
  <si>
    <t>A polarimetric approach is presented to extract information of reflected waves that is masked by the transmitter-receiver directly coupled wave in a single-hole borehole radar measurement. Radar polarimetry theory is expanded to an omnidirectional radar system with electric and magnetic dipoles arranged on the same axis. First, we formulate the transfer functions directly coupled between the antennas for cross-hole and single-hole arrangements in copolarized channels. We found that the theoretical scattering matrices of the direct-wave coupling is identical to the scattering matrix from a dihedral corner reflector. Second, we also consider signals in polarimetric channel of a wave reflected from a plane scatter in single-hole arrangements. As advanced reflection borehole radar measurement, we demonstrate a technique for both reduction of the directly coupled wave and enhancement of the reflected waves from a plane fracture with measured data in dipole-dipole and slot-slot antenna combinations. For quantitative determination of the scattering matrix, we use a technique to compensate the antenna transfer functions by the time derivative of the directly coupled signals in single-hole measurement. Also, we propose a technique to reduce the directly coupled component by adding vertical (VV) and horizontal (HH) signals and we showed that the directly coupled wave is effectively reduced and reflected waves are enhanced with experimental data. Finally, we show that this technique is more useful for near-range reflector detection than a conventional subtraction technique with moving average of the measured waveforms.</t>
  </si>
  <si>
    <t>1430-1437</t>
  </si>
  <si>
    <t>60032315;60000251-60008435;60000251-60008435</t>
  </si>
  <si>
    <t>Chofu;Sendai;New York</t>
  </si>
  <si>
    <t>The University of Electro-Communications;Tohoku University;IEEE</t>
  </si>
  <si>
    <t>60032315;60008435;60000251</t>
  </si>
  <si>
    <t>Enhancement of reflected waves in single-hole polarimetric borehole radar measurement</t>
  </si>
  <si>
    <t>10.1109/8.898777</t>
  </si>
  <si>
    <t>2-s2.0-0034261616</t>
  </si>
  <si>
    <t>DAAG55-98-1-0403</t>
  </si>
  <si>
    <t>['systems proposed', 'scattered field', 'rocks ).', 'propagating waves', 'preliminary examination', 'particular interest', 'near field', 'evanescent waves', 'buried objects', 'buried object']</t>
  </si>
  <si>
    <t>In some electromagnetic (EM) systems proposed for the detection of buried objects, such as landmines, the transducers (antennas) are located very close to the surface of the earth. The coupling of energy into the earth is then by the near field of the transducers, or, more precisely, by evanescent waves as well as propagating waves in the spectrum for the radiation from the transducers. Evanescent waves also contribute to the coupling of the scattered field from the shallowly buried object to the transducers. In this paper, we use simple models based on a plane-wave spectral analysis to perform a preliminary examination of the role that evanescent waves can play in the detection and identification of the buried object. The degree to which features in the image of the object can be resolved is of particular interest, since the features can be used to distinguish the object from clutter (such as rocks). The effect of loss in the soil on imaging is also of interest.</t>
  </si>
  <si>
    <t>1295-1300</t>
  </si>
  <si>
    <t>60000251-60021032;60021032</t>
  </si>
  <si>
    <t>7406739047;6507645334</t>
  </si>
  <si>
    <t>Smith, Glenn S.;Rickard Petersson, L. E.</t>
  </si>
  <si>
    <t>Smith G.</t>
  </si>
  <si>
    <t>On the use of evanescent electromagnetic waves in the detection and identification of objects buried in lossy soil</t>
  </si>
  <si>
    <t>10.1109/8.898761</t>
  </si>
  <si>
    <t>2-s2.0-0034261629</t>
  </si>
  <si>
    <t>['vector direction', 'synchronized transmitter', 'significantly stronger', 'receiving dipoles', 'receiving antennas', 'quasistatic theory', 'oc ).', 'mode radiation', 'khz waves', 'ionospheric sounding', 'electrostatic wave', 'electric field', 'dipole antenna', 'bistatic investigation']</t>
  </si>
  <si>
    <t>The theory of whistler-mode radiation from a dipole antenna has been tested in the ionospheric sounding-rocket experiment OEDIPUS-C (OC). In this bistatic investigation, 25-kHz waves were received at a distance of 1200 m from a synchronized transmitter. Electric fields near the group resonance cone were significantly stronger than in other directions, as predicted by theory. The transmitting antenna RF current was obtained from an equivalent circuit including an antenna impedance predicted by quasistatic theory. This current was applied to resonance-cone radiation theory. Observed radiated levels are about a hundred times greater than theoretical predictions based on some assumptions about the electromagnetics of the transmitting and receiving antennas. The modulation of the received signal caused by the spins of the transmitting and receiving dipoles was consistent with the electric field being polarized predominantly along the electrostatic wave-vector direction.</t>
  </si>
  <si>
    <t>James, H. Gordon</t>
  </si>
  <si>
    <t>James H.</t>
  </si>
  <si>
    <t>Electrostatic resonance-cone waves emitted by a dipole in the ionosphere</t>
  </si>
  <si>
    <t>10.1109/8.898766</t>
  </si>
  <si>
    <t>2-s2.0-0034261631</t>
  </si>
  <si>
    <t>['used extensively', 'sequence code', 'sectorization benefits', 'reparameterization yielding', 'proposed method', 'new technique', 'division multiple', 'cellular systems', 'cellular system', 'cell sectorization']</t>
  </si>
  <si>
    <t>Cell sectorization is used extensively to increase the capacity of cellular systems; however, intersector interference caused by nonideal sector antennas limits full realization of sectorization benefits. In this paper, we propose a new technique for sector beam synthesis using phased antenna arrays. We adopt the criterion of minimizing intersector interference, subject to a peak-to-peak ripple constraint on the in-sector power pattern. Spectral factorization permits a reparameterization yielding an easily solved fractional linear program. The proposed procedure accommodates nonisotropic antenna elements, arbitrary element spacing, and arbitrary sector boundaries, but is limited to uniformly spaced linear arrays. To demonstrate the utility of the proposed method, it is used to predict antenna array size requirements for a direct-sequence code-division multiple-access (DS-CDMA) cellular system.</t>
  </si>
  <si>
    <t>1784-1792</t>
  </si>
  <si>
    <t>Sabharwal, Ashutosh</t>
  </si>
  <si>
    <t>Sabharwal A.</t>
  </si>
  <si>
    <t>Sector beam synthesis for cellular systems using phased antenna arrays</t>
  </si>
  <si>
    <t>10.1109/25.892583</t>
  </si>
  <si>
    <t>2-s2.0-0034261711</t>
  </si>
  <si>
    <t>Texas Instruments</t>
  </si>
  <si>
    <t>TI</t>
  </si>
  <si>
    <t>['received signals', 'pilot power', 'pilot channels', 'dimensional rake', 'despread signals', 'computed using', 'computational complexity', 'beamforming vectors', 'also presented']</t>
  </si>
  <si>
    <t>In the presence of pilot channels in the reverse-link, some approaches to compute the coherent beamforming vectors for the two-dimensional Rake (2-D Rake) combiner are considered. Since the beamforming vectors are computed using the despread signals, the computational complexity of the approaches is lower than that of the approach which uses the received signals before despreading. It has been shown that the beamforming performance depends on the accuracy of channel parameter estimation. The approach which provides better channel parameter estimates can give a better beamforming performance. The effect of the pilot power on the performance is also presented.</t>
  </si>
  <si>
    <t>1760-1775</t>
  </si>
  <si>
    <t>Choi, Jinho</t>
  </si>
  <si>
    <t>Konkuk University</t>
  </si>
  <si>
    <t>Choi J.</t>
  </si>
  <si>
    <t>Pilot channel-aided techniques to compute the beamforming vector for CDMA systems with antenna array</t>
  </si>
  <si>
    <t>10.1109/25.892581</t>
  </si>
  <si>
    <t>2-s2.0-0034261790</t>
  </si>
  <si>
    <t>DAA B07-93C-C501</t>
  </si>
  <si>
    <t>['transceiver design', 'system synchronization', 'system features', 'spectrum techniques', 'shift keying', 'require low', 'radio frequency', 'proposed transceiver', 'pattern matching', 'locked loops', 'implemented using', 'hopped spread', 'gain combining', 'fading channels', 'energy detection', 'conversion receivers', 'conversion architecture', 'baseband reduces', 'antenna diversity', 'also described']</t>
  </si>
  <si>
    <t>Personal Communications Services (PCS) require low-power radio technologies. One such transceiver architecture employing frequency-hopped spread-spectrum techniques is presented. System features such as antenna diversity with equal-gain combining and sequential hop combining are incorporated into the transceiver design to achieve robust wireless digital data transmission over fading channels. A direct-conversion architecture from radio frequency (RF) to baseband reduces the overall power consumption by eliminating intermediate frequency (IF) components. High-rate frequency hopping with frequency-shift keying (FSK) modulation is implemented using a direct digital frequency synthesis technique. A multiplierless correlation FSK detector, suitable for direct-conversion receivers, has been designed for quadrature noncoherent detection. Robust acquisition algorithms based on energy detection and pattern matching and tracking architectures using digital phase-locked loops are also described for system synchronization. The proposed transceiver is well-suited for low-power PCS applications and other portable wireless communications.</t>
  </si>
  <si>
    <t>1719-1731</t>
  </si>
  <si>
    <t>Min, Jonathan S.</t>
  </si>
  <si>
    <t>Min J.</t>
  </si>
  <si>
    <t>Analysis and design of a frequency-hopped spread-spectrum transceiver for wireless personal communications</t>
  </si>
  <si>
    <t>10.1109/25.892577</t>
  </si>
  <si>
    <t>2-s2.0-0034261794</t>
  </si>
  <si>
    <t>['three algorithms', 'temporal reference', 'spatial references', 'signal received', 'sequence estimation', 'redundant structure', 'proper use', 'power 12', 'path propagation', 'paper proposes', 'others use', 'msa algorithm', 'joint use', 'isi ).', 'fano metric', 'computer simulations', 'complicated situation', 'ber performances', 'ber ).', 'antenna array']</t>
  </si>
  <si>
    <t>This paper proposes the joint use of antenna array and sequential sequence estimation (SSE) technique for the equalization of multipath fading channels suffering from severe intersymbol interference (ISI). It is shown that with the proper use of the multiple stack algorithm (MSA), exploiting the redundant structure of the signal received by multiple antenna array elements can enhance the uniqueness of the sequence estimation, thereby significantly reducing the frame erasure probability. Three new algorithms are derived for vector channel identification, the results of which are used to calculate the Fano metric for SSE. The first algorithm uses just a temporal reference, and others use both temporal and spatial references. Impacts of using the temporal and spatial references are investigated in terms of the channel identification accuracy as well as overall frame erasure rate (ERR) and bit error rate (BER). Results of computer simulations are then presented to compare the performances of the three algorithms for vector channel identification. The propagation scenario assumed in the simulations is equal-power 12-path propagation, in which, even with binary phase shift keying (BPSK), maximum likelihood sequence estimation (MLSE) requires 2048 states. It is shown that even in such a complicated situation, the MSA algorithm can achieve excellent ERR and BER performances with reasonable computational complexity.</t>
  </si>
  <si>
    <t>1776-1783</t>
  </si>
  <si>
    <t>Matsumoto, Tadashi</t>
  </si>
  <si>
    <t>Matsumoto T.</t>
  </si>
  <si>
    <t>Channel identification and sequential sequence estimation using antenna array for broad-band mobile communications</t>
  </si>
  <si>
    <t>10.1109/25.892582</t>
  </si>
  <si>
    <t>2-s2.0-0034261862</t>
  </si>
  <si>
    <t>['urban areas', 'transmitted signals', 'system capacity', 'street form', 'shaped cell', 'reverse link', 'reuse efficiency', 'radio resources', 'radio channel', 'one microzone', 'neighboring microzones', 'multiple microzones', 'multiple directional', 'microzone using', 'intersecting streets', 'directed along', 'conventional system', 'cochannel interference', 'antenna beams', 'adjacent microzones']</t>
  </si>
  <si>
    <t>A new microcell configuration scheme in urban areas is proposed in order to increase the reuse efficiency of radio resources. Multiple directional-beam antennas lined up along a street form a cigar-shaped cell. Antennas are located at intersection and are directed along the intersecting streets. Two antennas facing each other form a microzone and, therefore, a cigar-shaped cell consists of multiple microzones in a line. Each microzone is protected against cochannel interference from neighboring microzones by confinement of transmitted signals to a microzone using down-tilting of antenna beams. Therefore, a radio channel which is occupied in one microzone can be used in adjacent microzones. An increase in system capacity is achieved by the high reuse efficiency of radio resources. The proposed system increases system capacity up to 560% with a call blocking probability of 1% when compared with a conventional system. In addition, a macrodiversity scheme using two antennas in a microzone improves call quality on reverse link.</t>
  </si>
  <si>
    <t>1669-1677</t>
  </si>
  <si>
    <t>Cho, Ho Shin</t>
  </si>
  <si>
    <t>Cho H.S.</t>
  </si>
  <si>
    <t>High reuse efficiency of radio resources in urban microcellular systems</t>
  </si>
  <si>
    <t>10.1109/25.892551</t>
  </si>
  <si>
    <t>2-s2.0-0034261877</t>
  </si>
  <si>
    <t>['widespread belief', 'using spatial', 'unitary transformation', 'theoretical model', 'theoretical evaluation', 'theoretical derivation', 'straightforward one', 'spatial rotation', 'receiver antennas', 'polarization diversity', 'model accounts', 'mobile communication', 'loeve expansion', 'l branches', 'global system', 'downlink systems', 'diversity gain']</t>
  </si>
  <si>
    <t>We propose a theoretical evaluation of the matched filter bound (MFB) of L-branch antenna diversity with maximal-ratio-combining (MRC) in a frequency-selective Rayleigh fading channel. The theoretical derivation is based on a Karhunen-Loeve expansion. Although many previous approaches of this kind have been presented in the past, we give a more general and straightforward one as our model accounts for the correlations between the L branches and between the channel taps within each branch, as well as the mismatch between the average received power per branch. The usefulness of our approach is shown through two different applications. First the benefits of a two branch receiver (L = 2) using spatial or polarization diversity for global system for mobile communication (GSM) and Interim Standard 95 (IS-95) downlink systems both using binary signaling, are compared. Second, with the use of our theoretical model, it is proved that diversity gain is invariant by any unitary transformation. As a result, and contrary to widespread belief, polarization diversity gain is shown to be invariant by spatial rotation of the receiver antennas.</t>
  </si>
  <si>
    <t>1832-1845</t>
  </si>
  <si>
    <t>Visoz, Raphael</t>
  </si>
  <si>
    <t>Issy-les-Moulineaux</t>
  </si>
  <si>
    <t>Orange Labs</t>
  </si>
  <si>
    <t>Visoz R.</t>
  </si>
  <si>
    <t>Matched filter bound for multichannel diversity over frequency-selective Rayleigh-fading mobile channels</t>
  </si>
  <si>
    <t>10.1109/25.892587</t>
  </si>
  <si>
    <t>2-s2.0-0034261879</t>
  </si>
  <si>
    <t>['transformation technique', 'sc ),', 'proposed approach', 'presented examples', 'performance analysis', 'paper proposes', 'novel method', 'fading signals', 'easily evaluated', 'diversity reception', 'correlated raleigh', 'based upon']</t>
  </si>
  <si>
    <t>This paper proposes a novel method for performance analysis of diversity reception with two correlated Raleigh-fading signals. Based upon a transformation technique, two correlated Raleigh-fading signals can be converted into two independent Raleigh-fading signals. The performance of the diversity reception can be easily evaluated by analyzing the two independent Raleigh-fading signals. The presented examples, performance analysis of maximal ratio combining (MRC), selection combining (SC), and equal gain combining (EGC) diversity reception with correlated Raleigh-fading signals, show that the proposed approach is simple and effective.</t>
  </si>
  <si>
    <t>1807-1812</t>
  </si>
  <si>
    <t>Fang, Liquan</t>
  </si>
  <si>
    <t>Fang L.</t>
  </si>
  <si>
    <t>New method of performance analysis for diversity reception with correlated Rayleigh-fading signals</t>
  </si>
  <si>
    <t>10.1109/25.892585</t>
  </si>
  <si>
    <t>2-s2.0-0034261885</t>
  </si>
  <si>
    <t>['undesirable inter', 'system reduces', 'system ).', 'required number', 'problems related', 'nonmoving elevator', 'modeling results', 'metal structure', 'macro diversity', 'insufficient time', 'indoor environments', 'horizontal motion', 'floor handoffs', 'elevator moves', 'channels compared', 'cell systems', 'cell system', 'building floors', 'base station']</t>
  </si>
  <si>
    <t>To plan efficient future PCS networks, indoor environments as well as outdoor environments must be considered. Users typically exhibit vertical motion through elevators and horizontal motion on building floors in indoor environments. A user on the way into or out of an elevator may experience difficulty in communicating with a base station (BS) due to large signal attenuation caused by the metal structure of the elevator, especially the door. The user also may suffer from handoffs as the user passes several floors during the course of a call as the elevator moves. It is necessary to overcome these problems related to elevators for indoor cell planning. In this paper, a nonmoving and two moving elevator-cell systems for a building are considered. The undesirable inter-floor handoffs while the user is inside the elevator of the nonmoving elevator-cell system (N-system) are eliminated by introduction of two moving elevator-cell systems: a simple moving elevator-cell system (S-system) and a proposed moving elevator-cell system (P-system). The S-system does not seamlessly maintain calls between an elevator and adjacent floors due to insufficient time when the elevator is open to complete the handoff, while the P-system seamlessly maintains calls using a macro diversity with a distributed antenna scheme. The movements of an elevator and users are modeled and the P-system is compared with the S-system in terms of the required number of channels. The P-system reduces the total required number of channels compared with the S-system under heavy traffic conditions. The elevator-cell system and modeling results can be used in the design of future indoor wireless systems.</t>
  </si>
  <si>
    <t>1743-1751</t>
  </si>
  <si>
    <t>Kim, Tai Suk</t>
  </si>
  <si>
    <t>Kim T.S.</t>
  </si>
  <si>
    <t>Moving elevator-cell system in indoor buildings</t>
  </si>
  <si>
    <t>10.1109/25.892579</t>
  </si>
  <si>
    <t>2-s2.0-0034261894</t>
  </si>
  <si>
    <t>['thorough understanding', 'standard deviation', 'specific floor', 'special feature', 'single floor', 'similar construction', 'signal propagation', 'predicted values', 'potential implementation', 'mhz band', 'measured values', 'different floors', 'building prediction', 'also applicable']</t>
  </si>
  <si>
    <t>The potential implementation of wireless radio local area networks and personal communication services inside buildings require a thorough understanding of signal propagation in a building. In this paper, an in-building prediction is presented. This prediction model focuses on a single floor of a building, but is applicable to different floors of the building. This model is also applicable to the through-building propagation loss by applying the same principle. The validation of this model was done in two different buildings of similar construction in the 900-MHz band. A special feature of this model is its capability to handle different types of obstructions. The model is validated by gathering the measured values for a specific floor of a building and comparing them with the predicted values. The standard deviation for measured versus predicted signal is within 3 dB.</t>
  </si>
  <si>
    <t>1529-1533</t>
  </si>
  <si>
    <t>60008652;60008652</t>
  </si>
  <si>
    <t>55658055134;7407085969</t>
  </si>
  <si>
    <t>Lee, David J.Y.;Lee, William C.Y.</t>
  </si>
  <si>
    <t>Lee D.J.Y.</t>
  </si>
  <si>
    <t>Propagation prediction in and through buildings</t>
  </si>
  <si>
    <t>10.1109/25.892536</t>
  </si>
  <si>
    <t>2-s2.0-0034261896</t>
  </si>
  <si>
    <t>['turbo coding', 'turbo codes', 'symbol rate', 'sufficient precision', 'solomon codes', 'soft decoder', 'significantly lower', 'outperform reed', 'ofdm system', 'less clear', 'convolutional codes', 'better choice']</t>
  </si>
  <si>
    <t>This letter presents simulation results for the application of Turbo coding to an OFDM system with diversity. First, results are presented for convolutional and Reed-Solomon codes. It is shown that even with short constraint lengths, convolutional codes have the potential to outperform Reed-Solomon codes, provided that sufficient precision is used in the soft decoder. We then evaluate the performance of Turbo codes under slow fading conditions the study the effects of varying codeword size. Increasing codeword size theoretically provides better interleaving between the two component codes. However, this advantage is less clear when the fading is significantly lower than the symbol rate, which is typical of the high-data-rate systems considered here. Under such conditions, the advantage of using two component convolutional codes in Turbo codes is limited. A single convolutional code with a long constraint length may be a better choice.</t>
  </si>
  <si>
    <t>277-279</t>
  </si>
  <si>
    <t>;60014300;60014300</t>
  </si>
  <si>
    <t>26661601900;35494080500;7201692515</t>
  </si>
  <si>
    <t>Lin, Lang;Cimini, Leonard J.;Chuang, Justin C.I.</t>
  </si>
  <si>
    <t>Lin L.</t>
  </si>
  <si>
    <t>Comparison of convolutional and Turbo codes for OFDM with antenna diversity in high-bit-rate wireless applications</t>
  </si>
  <si>
    <t>10.1109/4234.873485</t>
  </si>
  <si>
    <t>2-s2.0-0034262441</t>
  </si>
  <si>
    <t>['transmitting antenna', 'tomographic reconstructions', 'reconstructed images', 'probing line', 'paper deals', 'microwave tomography', 'measurements using', 'many applications', 'incident near', 'frequency band', 'diffraction tomography', 'different positions', 'different frequencies', 'crucial importance', 'buried objects', 'buried inhomogeneities', 'broadband antenna', 'backscattered field']</t>
  </si>
  <si>
    <t>The detection and identification of buried inhomogeneities using electromagnetic waves are of crucial importance for many applications. The paper deals with reconstructed images from measurements using an inversion qualitative algorithm for microwave tomography. The algorithm is based on diffraction tomography for detecting and locating buried objects. The backscattered field is measured at different frequencies over a probing line above or in contact with the soil at different receiver locations and for different positions of a transmitting antenna (multistatic configuration). The reconstruction algorithm processes the backscattered field generated by the buried inhomogeneities and incorporates the incident near-field distribution transmitted in the soil by the broadband antenna. Tomographic reconstructions of buried objects are presented for a situation of practical interest using bow tie antennas in the frequency band [0.3-1.3] GHz.</t>
  </si>
  <si>
    <t>1097-1108</t>
  </si>
  <si>
    <t>101637673-100519147;60110693-60110755;60110693-60110755;100934253</t>
  </si>
  <si>
    <t>6701826993;57206342086;6603031706;57197318466</t>
  </si>
  <si>
    <t>Dourthe, C.;Pichot, C.;Dauvignac, J. Y.;Cariou, J.</t>
  </si>
  <si>
    <t>France;France;France;France;France</t>
  </si>
  <si>
    <t>Sophia Antipolis;Nice;Sophia Antipolis;Le Grand-Quevilly;Sophia Antipolis</t>
  </si>
  <si>
    <t>Laboratoire D'√©lectronique, Antennes et T√©l√©communications;Universit√© C√¥te d'Azur;Info. Calcul Sci. Inst. Natl. R.;Lab. Regl. des Ponts et Chaussees;Amadeus</t>
  </si>
  <si>
    <t>60110755;60110693;101637673;100934253;100519147</t>
  </si>
  <si>
    <t>Inversion algorithm and measurement system for microwave tomography of buried object</t>
  </si>
  <si>
    <t>10.1029/1999RS002244</t>
  </si>
  <si>
    <t>2-s2.0-0034263101</t>
  </si>
  <si>
    <t>['weather conditions', 'tuned configuration', 'theoretical calculations', 'subsequent interpretation', 'standard air', 'snow fills', 'snow accumulated', 'signal level', 'short antennas', 'scientific data', 'riometer beam', 'receiver network', 'operate efficiently', 'measured response', 'largest effect', 'january 1998', 'increasing community', 'halley mean', 'ground plane', 'effects predicted', 'dipole antennas', 'considerable relevance', 'buried completely', 'becoming snow', '9 db', '76 ¬∞', '64 crossed', '64 antennas', '5 db', '4 œª']</t>
  </si>
  <si>
    <t>In January 1998 an imaging riometer system was deployed at Halley, Antarctica (76¬∞S, 27¬∞W), involving the construction of an array of 64 crossed-dipole antennas and a ground plane. Weather conditions at Halley mean that such an array will rapidly bury beneath the snow, so the system was tuned to operate efficiently when buried. Theoretical calculations indicate that because the distance between the ground plane and the array was scaled to be 1/4 Œª in the snow, as snow fills the gap the signal will increase by 0.6-2.5 dB. Similarly, the short antennas are resonant when operated in snow, not in air. Theoretical calculations show that the largest effect of this is the mismatch of their feed point impedance to the receiver network. As the signal for each riometer beam is composed of contribution from all 64 antennas, for each antenna that buries the signal level will increase by 1/64 of approx. 9 dB. The measured response of the system to burial showed significant changes as snow accumulated in an over the array during 1998. The changes are consistent with the magnitude of the effects predicted by the theoretical calculations. The Halley imaging riometer system, having now been buried completely, is operating more efficiently that if a standard air-tuned configuration had been deployed. The results are of considerable relevance to the ever-increasing community of imaging riometer users regarding both deployment and the subsequent interpretation of scientific data. Some systems will experience similar permanent burial, while others will be subject to significant annual variability as a result of becoming snow-covered during winter and clear during summer.</t>
  </si>
  <si>
    <t>1143-1153</t>
  </si>
  <si>
    <t>60025990;60025990;60025990;60025990;60020304</t>
  </si>
  <si>
    <t>8560020100;57198249844;6603793985;6601960019;7102636042</t>
  </si>
  <si>
    <t>Rose, Mike C.;Jarvis, Martin J.;Clilverd, Mark A.;Maxfield, David J.;Rosenberg, Theodore J.</t>
  </si>
  <si>
    <t>Cambridge;College Park</t>
  </si>
  <si>
    <t>British Antarctic Survey;University of Maryland, College Park</t>
  </si>
  <si>
    <t>60025990;60020304</t>
  </si>
  <si>
    <t>Rose M.</t>
  </si>
  <si>
    <t>Effect of snow accumulation on imaging riometer performance</t>
  </si>
  <si>
    <t>10.1029/2000RS002314</t>
  </si>
  <si>
    <t>2-s2.0-0034263131</t>
  </si>
  <si>
    <t>['subband signals', 'sampling lattice', 'reconstruction error', 'oversampling reduces', 'invariant subbands', 'improved robustness', 'discretized using', 'critically sampled', 'ccd array', 'additive noise']</t>
  </si>
  <si>
    <t>A semidiscrete wavelet transform is realized using optical subband decomposition through which a signal is decomposed into translation-invariant subbands. Correspondingly, the translation parameter within each subband is discretized using a CCD array. Since the sampling lattice of a CCD array is fixed, the subband signals can be oversampled, critically sampled, or undersampled. The oversampled subband signals contribute to reduced translation dependence and improved robustness. In the presence of additive noise, we show that oversampling reduces the reconstruction error.</t>
  </si>
  <si>
    <t>2422-2430</t>
  </si>
  <si>
    <t>60015574-60004862;60015574</t>
  </si>
  <si>
    <t>7409488095;7202145402</t>
  </si>
  <si>
    <t>Chen, Zikuan;Karim, Mohammad A.</t>
  </si>
  <si>
    <t>Knoxville;Fayetteville</t>
  </si>
  <si>
    <t>The University of Tennessee, Knoxville;University of Arkansas</t>
  </si>
  <si>
    <t>60015574;60004862</t>
  </si>
  <si>
    <t>Oversampled optical subband decomposition</t>
  </si>
  <si>
    <t>10.1117/1.1287993</t>
  </si>
  <si>
    <t>2-s2.0-0034264651</t>
  </si>
  <si>
    <t>['switching speeds', 'special gradient', 'pdl module', 'multichannel operation', 'line module', 'experimentally demonstrated', 'dependent design', 'also proposed', 'also performed', '40 db', '10 œºs']</t>
  </si>
  <si>
    <t>Compact and all-fiber connectorized photonic delay-line modules based on three-dimensional bulk polarization optics are proposed and experimentally demonstrated. The modules are built on a single optical microbench and demonstrate optical leakage noise performance of -40 dB at switching speeds of 10 Œºs. Insertion loss analysis is also performed. A special gradient-index lens fiber optic collimator design is proposed to further reduce the optical insertion loss of the delay-line module. A wavelength-dependent design is also proposed for expanding the applicability of the PDL module to multichannel operation.</t>
  </si>
  <si>
    <t>2338-2344</t>
  </si>
  <si>
    <t>All-fiber connectorized compact fiber optic delay-line modules using three-dimensional polarization optics</t>
  </si>
  <si>
    <t>10.1117/1.1287449</t>
  </si>
  <si>
    <t>2-s2.0-0034264775</t>
  </si>
  <si>
    <t>['water droplets', 'vlbi scans', 'van vleck', 'thereby lowering', 'millimeter wavelengths', 'interferometer phases', 'instrumental effects', 'greater improvement', 'general trend', 'coherence time', 'average improvement', 'antenna measurements']</t>
  </si>
  <si>
    <t>The coherence of very long baseline interferometry (VLBI) at millimeter wavelengths can be improved through the use of a water vapor radiometer (WVR) to estimate the atmospheric path length variations along the line of sight to each antenna Measurements of the water vapor emission spectrum using a simple scanning WVR have been used to correct the interferometer phases, thereby lowering the rms phase variation and increasing the coherence time. The average improvement in the coherent fringe amplitude of 400 s VLBI scans at 3 mm wavelength was 20% with a general trend of a greater improvement for the scans with larger phase variations. Sampling of the spectrum from 18 to 26 GHz allows separation of the water vapor emission from instrumental effects and from the emission of water droplets in clouds. The observed line profiles favor the Van Vleck-Weisskopf line shape.</t>
  </si>
  <si>
    <t>1241-1251</t>
  </si>
  <si>
    <t>60015009;60015009</t>
  </si>
  <si>
    <t>57189232428;7402815984</t>
  </si>
  <si>
    <t>Tahmoush, David A.;Rogers, Alan E.E.</t>
  </si>
  <si>
    <t>Westford</t>
  </si>
  <si>
    <t>MIT Haystack Observatory</t>
  </si>
  <si>
    <t>Tahmoush D.</t>
  </si>
  <si>
    <t>Correcting atmospheric path variations in millimeter wavelength very long baseline interferometry using a scanning water vapor spectrometer</t>
  </si>
  <si>
    <t>10.1029/2000RS002334</t>
  </si>
  <si>
    <t>2-s2.0-0034265063</t>
  </si>
  <si>
    <t>['varying nature', 'variant environment', 'typical approach', 'traditional approach', 'time invariant', 'station receiver', 'spectrum code', 'solution subspace', 'slow variations', 'slow convergence', 'simultaneous solution', 'sequence spread', 'separating filters', 'remain within', 'order statistics', 'multiuser interference', 'multiscale decomposition', 'multiresolution decomposition', 'multipath compensation', 'mobile transmitter', 'first step', 'filter components', 'exponential framework', 'essentially constraining', 'drawbacks associated', 'division multiple', 'detection problem', 'convergence time', 'convergence point', 'cellular direct', 'arbitrarily varying', 'almost static', 'adaptive algorithm']</t>
  </si>
  <si>
    <t>A new approach based on multiscale decomposition and higher-order statistics is presented for the simultaneous solution of multiuser interference and time-varying multipath propagation in the uplink of a cellular direct-sequence spread-spectrum code-division multiple-access (DS/CDMA) system. Each channel between the mobile transmitter and the base-station receiver is unknown and arbitrarily varying with time. The optimum filter achieving separation and multipath compensation is time-variant. The typical approach in many multiuser detectors recently proposed is to assume that the channel is almost static (time invariant) and attempt detection according to this model. Slow variations of the channels are then compensated using adaptive algorithms that force the estimates (of the channels or of the separating filters) to be constantly in search of a convergence point. If the channel coefficients variations in time are fast with respect to the convergence time of the adaptive algorithm, significant degradation may result. In this work, we depart from this traditional approach and we investigate new kernels that more accurately can characterize the time-varying nature of the detection problem. As a first step, we show that the super-exponential framework can still be applied in a time-variant environment. Then, we describe a multiresolution decomposition of the filter components, essentially constraining its variations in time to remain within the solution subspace. The resulting algorithm overcomes some of the drawbacks associated with slow convergence and insufficient tracking capability typical of many blind approaches and several nonblind methods based on the slow fading assumption.</t>
  </si>
  <si>
    <t>1590-1600</t>
  </si>
  <si>
    <t>Marione, Massimiliano</t>
  </si>
  <si>
    <t>WJ Communications</t>
  </si>
  <si>
    <t>Marione M.</t>
  </si>
  <si>
    <t>Blind adaptive detection of DS/CDMA signals on time-varying multipath channels with antenna arrays using high-order statistics</t>
  </si>
  <si>
    <t>10.1109/26.870026</t>
  </si>
  <si>
    <t>2-s2.0-0034267711</t>
  </si>
  <si>
    <t>['uniquely suited', 'records left', 'rcs ),', 'range tracking', 'radial velocity', 'polarization ratios', 'polarization ratio', 'perseid data', 'orbiting spacecraft', 'observed using', 'multihorn feed', 'instrumentation radar', 'high sensitivity', 'frequency radar', 'dually polarized', 'depth analysis', 'altair uses']</t>
  </si>
  <si>
    <t>The 1998 Perseid meteor shower was observed using the Advanced Research Projects Agency (ARPA) Long-Range Tracking and Instrumentation Radar (ALTAIR) in order to study potential meteoroid impact on orbiting spacecraft. ALTAIR is a dual-frequency radar that operates at VHF and UHF, and its high sensitivity and precise calibration make it uniquely suited for detecting meteor head echoes. ALTAIR is dually polarized and records left-circularly and right-circularly polarized signal returns, which allow the determination of polarization ratios. ALTAIR uses a multihorn feed and interferometry to measure target angle of arrival. This paper contains analysis on Perseid data that were collected at VHF (158 MHz). Meteor head echo statistics are presented, including mean altitude, radial velocity, radar cross section (RCS), and polarization ratio. ALTAIR's VHF detection rate was approximately 1 head echo per second. An in-depth analysis on select head echoes to estimate meteor decelerations and densities has also been included.</t>
  </si>
  <si>
    <t>1233-1240</t>
  </si>
  <si>
    <t>60024592;60024592;60018306;60005304-60018306</t>
  </si>
  <si>
    <t>7003698948;7402383483;6603391626;6506109498</t>
  </si>
  <si>
    <t>Close, S.;Hunt, S. M.;Minardi, M. J.;McKeen, F. M.</t>
  </si>
  <si>
    <t>Lexington;Dayton;Waltham</t>
  </si>
  <si>
    <t>Lincoln Laboratory;Wright State University;Raytheon</t>
  </si>
  <si>
    <t>60024592;60018306;60005304</t>
  </si>
  <si>
    <t>Close S.</t>
  </si>
  <si>
    <t>Analysis of perseid meteor head echo data collected using the advanced research projects Agency Long-Range Tracking and Instrumentation Radar (ALTAIR)</t>
  </si>
  <si>
    <t>10.1029/1999RS002277</t>
  </si>
  <si>
    <t>2-s2.0-0034267712</t>
  </si>
  <si>
    <t>['œé ¬∞', 'vertical axis', 'two days', 'track position', 'system resulted', 'sidelooking radar', 'rotated around', 'radial direction', 'radar echo', 'preliminary optimization', 'predicted performance', 'overpass consist', 'multiple beam', 'measurement acquisitions', 'incident angles', 'imaged pixel', 'image pixel', 'global coverage', 'fanbeam antenna', 'different combinations', 'developed concept', 'circular donut', 'beam radar', 'adeos ),', '725 km', '11 times']</t>
  </si>
  <si>
    <t>Ocean wind | Range-gating | Rotating fanbeam | Scatterometry | Spaceborne radar</t>
  </si>
  <si>
    <t>A new simple scatterometer concept combines the advantages of both the fixed, multiple beam, sidelooking radar such as AMI-Wind (ERS-1/2) and NSCAT (ADEOS), and the conically scanning pencil-beam radar such as SeaWinds. A wide, fanbeam antenna is rotated around a vertical axis with a slow rotation rate. For a satellite at an altitude of 725 km, the antenna footprint sweeps a circular donut of 1500 km diameter. Such a slow conical scan combined with the motion of the satellite at ‚âà7 km/s ground speed results in highly overlapping successive sweeps such that an image pixel is revisited up to 10-11 times during an overpass. The pixels in the radial direction are resolved by range-gating the radar echo. Depending on the across-track position of the imaged pixel, the measurement acquisitions during an overpass consist of a set of œÉ¬∞ at different combinations of the azimuth and incident angles. A preliminary optimization of the system resulted in a C-band radar concept with a 15 km multiple-look spatial resolution and global coverage in two days. A sketch of the developed concept, preliminary system design, and predicted performance are described. ¬© 2000 IEEE.</t>
  </si>
  <si>
    <t>2114-2121</t>
  </si>
  <si>
    <t>109341245;109341245;109341245;101950374;101950374</t>
  </si>
  <si>
    <t>8261790900;56152716400;55358041600;57190663489;7202425081</t>
  </si>
  <si>
    <t>Lin, Chung Chi;Rommen, Bj√∂rn;Wilson, J. J.W.;Impagnatiello, F.;Park, Peter S.</t>
  </si>
  <si>
    <t>Noordwijk;Leiden</t>
  </si>
  <si>
    <t>European Space Agency (ESTEC/APP-FPE);Moon Maiden BV</t>
  </si>
  <si>
    <t>109341245;101950374</t>
  </si>
  <si>
    <t>An analysis of a rotating, range-gated, fanbeam spaceborne scatterometer concept</t>
  </si>
  <si>
    <t>S0196289200089129</t>
  </si>
  <si>
    <t>10.1109/36.868870</t>
  </si>
  <si>
    <t>2-s2.0-0034269408</t>
  </si>
  <si>
    <t>['unitary space', 'time signals', 'time across', 'systematically produces', 'systematic method', 'successively rotating', 'remaining signals', 'receiver knows', 'oblong complex', 'first signal', 'familiar maximum', 'fading coefficients', 'exploiting multiple', 'distance norm', 'dimensional signals', 'differs markedly', 'creating constellations', 'construction begins', 'antenna diversity']</t>
  </si>
  <si>
    <t>We propose a systematic method for creating constellations of unitary space-time signals for multiple-antenna communication links. Unitary space-time signals, which are orthonormal in time across the antennas, have been shown to be well-tailored to a Rayleigh fading channel where neither the transmitter nor the receiver knows the fading coefficients. The signals can achieve low probability of error by exploiting multiple-antenna diversity. Because the fading coefficients are not known, the criterion for creating and evaluating the constellation is nonstandard and differs markedly from the familiar maximum-Euclidean-distance norm. Our construction begins with the first signal in the constellation - an oblong complex-valued matrix whose columns are orthonormal - and systematically produces the remaining signals by successively rotating this signal in a high-dimensional complex space. This construction easily produces large constellations of high-dimensional signals. We demonstrate its efficacy through examples involving one, two, and three transmitter antennas.</t>
  </si>
  <si>
    <t>1962-1973</t>
  </si>
  <si>
    <t>60000251;60000251-60021378-60028186;60000251-60028186;60000251;60000251-60021378-60028186</t>
  </si>
  <si>
    <t>35499388800;7003696826;57208459743;7003890464;55811587000</t>
  </si>
  <si>
    <t>Hochwald, Bertrand M.;Marzetta, Thomas L.;Richardson, Thomas J.;Sweldens, Wim;Urbanke, R√ºdiger</t>
  </si>
  <si>
    <t>Switzerland;United States;United States</t>
  </si>
  <si>
    <t>Lausanne;Murray;New York</t>
  </si>
  <si>
    <t>Swiss Federal Institute of Technology Lausanne;Nokia Bell Labs;IEEE</t>
  </si>
  <si>
    <t>60028186;60021378;60000251</t>
  </si>
  <si>
    <t>Hochwald B.M.</t>
  </si>
  <si>
    <t>Systematic design of unitary space-time constellations</t>
  </si>
  <si>
    <t>10.1109/18.868472</t>
  </si>
  <si>
    <t>2-s2.0-0034270364</t>
  </si>
  <si>
    <t>['radiation dynamics', 'photonic crystals', 'photonic crystal', 'natural modes', 'markovian bath', 'harmonic oscillators', 'emission spectra', 'dipole antenna', 'decay times']</t>
  </si>
  <si>
    <t>An initially excited harmonic oscillator, coupled to a non-Markovian bath of harmonic oscillators, was used to study the radiation dynamics of a dipole antenna in a photonic crystal. The coupling constants based on the natural modes of the photonic crystals, like Bloch waves, are derived. Decay times and emission spectra are reproduced for simple model systems.</t>
  </si>
  <si>
    <t>4251-4260</t>
  </si>
  <si>
    <t>3 B</t>
  </si>
  <si>
    <t>60016849-60029428;60016849;60016849;60019544</t>
  </si>
  <si>
    <t>55588172700;6602287741;7202387266;57204202554</t>
  </si>
  <si>
    <t>Busch, Kurt;Vats, Nipun;John, Sajeev;Sanders, Barry C.</t>
  </si>
  <si>
    <t>Germany;Australia;Canada</t>
  </si>
  <si>
    <t>Karlsruhe;North Ryde;Toronto</t>
  </si>
  <si>
    <t>Karlsruhe Institute of Technology, Campus South;Macquarie University;University of Toronto</t>
  </si>
  <si>
    <t>60029428;60019544;60016849</t>
  </si>
  <si>
    <t>Busch K.</t>
  </si>
  <si>
    <t>Radiating dipoles in photonic crystals</t>
  </si>
  <si>
    <t>10.1103/PhysRevE.62.4251</t>
  </si>
  <si>
    <t>2-s2.0-0034271101</t>
  </si>
  <si>
    <t>['static terms', 'static term', 'spatial domain', 'shielded green', 'series involved', 'quasistatic term', 'parts technique', 'order quasi', 'numerically evaluating', 'numerical evaluation', 'new algorithm', 'greatly accelerates', 'functions arising', 'efficient technique', 'drastic reduction', 'discrete sequences', 'convergence rate', 'computational effort']</t>
  </si>
  <si>
    <t>In this paper we present new contributions to the computation of the Green's functions arising in the analysis of multilayered shielded printed circuits and antennas. First the quasistatic term of the spectral domain Green's functions is extracted so that the convergence of the reminder dynamic modal series is enhanced. Moreover, it is shown that by extracting a second-order quasi-static term the convergence is further improved. In regard to the quasi-static terms they are computed in the spatial domain by numerically evaluating the associated spatial images series. Then a new and efficient technique is developed for the summation of the slowly convergent modal series. The technique can be viewed as the application of the integration by parts technique to discrete sequences and greatly accelerates the convergence rate of the series involved. It is shown that the new algorithm is numerically very robust and leads to a drastic reduction in the computational effort and time usually required for the numerical evaluation of the shielded Green's functions.</t>
  </si>
  <si>
    <t>1492-1504</t>
  </si>
  <si>
    <t>6603078652;7006665188</t>
  </si>
  <si>
    <t>Alvarez-Melc√∂n, Alejandro;Mosig, Juan R.</t>
  </si>
  <si>
    <t>Alvarez-Melc√∂n A.</t>
  </si>
  <si>
    <t>Two techniques for the efficient numerical calculation of the Green's functions for planar shielded circuits and antennas</t>
  </si>
  <si>
    <t>10.1109/22.869000</t>
  </si>
  <si>
    <t>2-s2.0-0034271131</t>
  </si>
  <si>
    <t>['srtm mission', 'sar products', 'sar product', 'prelaunch study', 'paper provides', 'numerical study', 'also presented', 'actual scenes']</t>
  </si>
  <si>
    <t>Sar interferometry | Synthetic aperture radar (sar)</t>
  </si>
  <si>
    <t>A prelaunch study on performances of the X-SAR/SRTM mission in case of outboard antenna mast bending is presented. The paper provides the assessment of SAR products, raw data complex images, and interferograms. Theoretical analysis shows the influence of mast oscillation parameters on each SAR product. Employing a SAR raw data simulator, a numerical study on canonical as well as actual scenes is also presented. Numerical results confirm theoretical analysis and quantitatively show SAR products degradation. ¬© 2000 IEEE.</t>
  </si>
  <si>
    <t>2361-2372</t>
  </si>
  <si>
    <t>60000251-60009037;60000251-60017293;60000251-60017293;60000251-60017293-60021199</t>
  </si>
  <si>
    <t>7006413404;7003793925;6506558363;7006577607</t>
  </si>
  <si>
    <t>Franceschetti, Giorgio;Lodice, Antonio;Maddaluno, Stefania;Riccio, Daniele</t>
  </si>
  <si>
    <t>Italy;Italy;United States;United States</t>
  </si>
  <si>
    <t>Rome;Naples;Pasadena;New York</t>
  </si>
  <si>
    <t>Consiglio Nazionale delle Ricerche;Universit√† degli Studi di Napoli Federico II;Jet Propulsion Laboratory;IEEE</t>
  </si>
  <si>
    <t>60021199;60017293;60009037;60000251</t>
  </si>
  <si>
    <t>Franceschetti G.</t>
  </si>
  <si>
    <t>Effect of antenna mast motion on X-SAR/SRTM performance</t>
  </si>
  <si>
    <t>S0196289200062197</t>
  </si>
  <si>
    <t>10.1109/36.868892</t>
  </si>
  <si>
    <t>2-s2.0-0034271592</t>
  </si>
  <si>
    <t>['within 1', 'viable tool', 'unacceptable errors', 'source parameters', 'plane waves', 'paraxial region', 'optimization algorithm', 'numerical computations', 'liquid muscle', 'global maximum', 'gbm ),', 'field formulations', 'experimental results', 'efie ),', 'determined accurately', 'cancer therapy', 'aperture antenna']</t>
  </si>
  <si>
    <t>This paper presents field source-modeling, for applications to hyperthermia, by utilizing experimental data from the paraxial region of a liquid muscle-like phantom irradiated by an aperture antenna. The data are used in an optimization algorithm, applied to a Gaussian beam model (GBM), to determine the source parameters for GBM-computations of specific absorption rates everywhere, accurate to within 1% (relative to the global maximum) of the experimental results. This paper also shows how the aperture and incident fields may be determined accurately by the GBM and links them to the electric-field integral equation (EFIE), as an example, to improve the accuracy of numerical computations of the electric or magnetic fields associated with the EFIE, the magnetic-field integral equation, or any other field formulations. It is further demonstrated that models of plane waves, or approximate source fields, predict power levels with significant, unacceptable errors. Finally, it is concluded that the GBM is a viable tool for characterizing aperture antennas used in hyperthermia for cancer therapy.</t>
  </si>
  <si>
    <t>1522-1530</t>
  </si>
  <si>
    <t>Lum√∂ri, Mikaya L.D.</t>
  </si>
  <si>
    <t>Vrije Universiteit Brussel</t>
  </si>
  <si>
    <t>Lum√∂ri M.</t>
  </si>
  <si>
    <t>Experimentally based modeling of field sources for three-dimensional computation of SAR in electromagnetic hyperthermia and treatment planning</t>
  </si>
  <si>
    <t>10.1109/22.869003</t>
  </si>
  <si>
    <t>2-s2.0-0034271749</t>
  </si>
  <si>
    <t>['waves propagate', 'two effects', 'two approaches', 'theoretical results', 'spatial selectivity', 'space selectivity', 'reception site', 'radio channel', 'moment characterization', 'mobile communications', 'horizontally illustrate', 'examples relevant', 'established previously', 'doppler spreads', 'doppler spread', 'doppler frequency', 'direction spread', 'direction dispersion', 'delay spread', 'communication systems', 'commonly employed', 'coherence time', 'coherence distance', 'coherence bandwidth', 'characterized either', 'channel dispersion', 'analytically established', 'also discussed']</t>
  </si>
  <si>
    <t>In this paper we present analytical results relating to first- and second-moment characterization of direction dispersion and spatial selectivity in the radio channel as well as to the duality between these two effects. Dispersion in direction can be characterized either by the direction power spectrum or by a family of spatial Doppler power spectra at the reception site. Two measures called the direction spread and the maximum spatial Doppler spread are introduced which describe the extent of channel dispersion in direction and in spatial Doppler frequency, respectively. Both measures are analogous to the delay and Doppler spreads, which are commonly employed to describe the extent of dispersion in delay and Doppler frequency, respectively. The relationships between the two approaches for characterizing spatial dispersion and especially between the direction and maximum spatial Doppler spreads are analytically established. The coherence distance at a certain level summarizes certain features of space selectivity in the radio channel which impact on the performance of communication systems. Two uncertainty relations between the direction spread and the coherence distance as well as between the maximum spatial Doppler spread and the coherence distance express the duality between direction dispersion and space selectivity. These relations are analogous to those established previously between the delay spread and the coherence bandwidth and between the Doppler spread and the coherence time. Examples relevant to mobile communications in the case where the waves propagate only horizontally illustrate the theoretical results. An application of these results to the design of uniform linear antenna arrays is also discussed.</t>
  </si>
  <si>
    <t>2027-2044</t>
  </si>
  <si>
    <t>60000251-60022134</t>
  </si>
  <si>
    <t>Fleury, Bernard H.</t>
  </si>
  <si>
    <t>Denmark;United States</t>
  </si>
  <si>
    <t>Aalborg;New York</t>
  </si>
  <si>
    <t>Aalborg University;IEEE</t>
  </si>
  <si>
    <t>60022134;60000251</t>
  </si>
  <si>
    <t>Fleury B.</t>
  </si>
  <si>
    <t>First- and second-order characterization of direction dispersion and space selectivity in the radio channel</t>
  </si>
  <si>
    <t>10.1109/18.868476</t>
  </si>
  <si>
    <t>2-s2.0-0034271987</t>
  </si>
  <si>
    <t>['thermal model', 'measurements made', 'failure curve', 'especially vulnerable', 'esd conditions', 'esd ).', 'electrostatic discharge', 'device geometry']</t>
  </si>
  <si>
    <t>The small thermal mass of microbolometers, used in antenna-coupled infrared detectors, makes them especially vulnerable to electrical stress caused by electrostatic discharge (ESD). In this paper, an empirical thermal model, which is independent of the device geometry, is used to characterize the behavior of microbolometers under ESD conditions. The parameters of this thermal model are fitted to measurements made on the microbolometers, and a power-to-failure versus time-to-failure curve is obtained.</t>
  </si>
  <si>
    <t>291-293</t>
  </si>
  <si>
    <t>60022144;60022144;60027282;60022144</t>
  </si>
  <si>
    <t>36632322000;6603761497;6602971372;7006366203</t>
  </si>
  <si>
    <t>Gonz√°lez, F. J.;Fumeaux, C.;Aida, J.;Boreman, G. D.</t>
  </si>
  <si>
    <t>Madrid;Orlando</t>
  </si>
  <si>
    <t>Universidad Complutense de Madrid;University of Central Florida</t>
  </si>
  <si>
    <t>60027282;60022144</t>
  </si>
  <si>
    <t>Gonz√°lez F.</t>
  </si>
  <si>
    <t>Thermal impedance model of electrostatic discharge effects on microbolometers</t>
  </si>
  <si>
    <t>10.1002/1098-2760(20000905)26:5&lt;291::AID-MOP5&gt;3.0.CO;2-A</t>
  </si>
  <si>
    <t>2-s2.0-0034272791</t>
  </si>
  <si>
    <t>['quite satisfactory', 'platform effects', 'noise level', 'mutual coupling', 'direction finding', 'circular arrays', 'arrival estimates', 'antenna gain', 'also examined']</t>
  </si>
  <si>
    <t>The effect of mutual coupling on direction finding in circular arrays is simulated using rigorous electromagnetic computation and the MUSIC superresolution algorithm. The various scenarios studied include element spacing, noise level, antenna gain and delay, and platform effects. Our results show quantitatively the effect of mutual coupling on the direction-of-arrival estimates. The compensation of the coupling effect using the coupling matrix approach is also examined. This approach is found to be quite satisfactory in most cases, except when the array calibration data contain a high noise level or when strong platform effects are present.</t>
  </si>
  <si>
    <t>36671957900;7004328694;7202062608</t>
  </si>
  <si>
    <t>Su, Tao;Dandekar, Kapil;Ling, Hao</t>
  </si>
  <si>
    <t>Simulation of mutual coupling effect in circular arrays for direction-finding applications</t>
  </si>
  <si>
    <t>10.1002/1098-2760(20000905)26:5&lt;331::AID-MOP17&gt;3.0.CO;2-M</t>
  </si>
  <si>
    <t>2-s2.0-0034274281</t>
  </si>
  <si>
    <t>['wavelet transform', 'travelling wave', 'results indicate', 'little effect', 'line structure', 'inception angle', 'fault information', 'amplitude comparison', '59877020 ).']</t>
  </si>
  <si>
    <t>The principle of directional protective relaying based on wavelet transform for detection of fault information and amplitude comparison of travelling wave is presented. The effect of some factors such as line structure, fault-inception angle and fault resistance etc, is analyzed. Considering each factor, the principle is simulated and the results indicate that factors have little effect on the directional protective relaying, and above all, by using wavelet transform, this principle is feasible. This project is supported by National Natural Science Foundation of China (No. 59877020).</t>
  </si>
  <si>
    <t>11-15, 64</t>
  </si>
  <si>
    <t>Dianli Xitong Zidonghua/Automation of Electric Power Systems</t>
  </si>
  <si>
    <t>60018308;60018308;60018308;60018308</t>
  </si>
  <si>
    <t>57218361243;7201735915;7401797089;7601316587</t>
  </si>
  <si>
    <t>Dong, Xingli;Ge, Yaozhong;Dong, Xinzhou;Zhang, Yancang</t>
  </si>
  <si>
    <t>Xi'an</t>
  </si>
  <si>
    <t>Xi'an Jiaotong University</t>
  </si>
  <si>
    <t>Dong X.</t>
  </si>
  <si>
    <t>Directional protective relaying based on amplitude comparison of travelling wave by using wavelet transform</t>
  </si>
  <si>
    <t>2-s2.0-0034275574</t>
  </si>
  <si>
    <t>['radiation pattern', 'planning process', 'phase pattern', 'paper discusses', 'mobile communications', 'factor behind', 'different kind', 'design method', 'considered interesting', 'amplitude pattern']</t>
  </si>
  <si>
    <t>A conventional antenna array pattern design is based on the amplitude of the radiation pattern, as the angular phase properties of the radiation pattern are generally not considered interesting. This paper discusses a different kind of a design method, where the phase pattern has its significance as a factor behind the multiplicity of the amplitude pattern. The design method can be used in the planning process of base-station antenna arrays for mobile communications.</t>
  </si>
  <si>
    <t>341-349</t>
  </si>
  <si>
    <t>7006057892;7003588789</t>
  </si>
  <si>
    <t>Juntunen, Juha;Nikoskinen, Keijo</t>
  </si>
  <si>
    <t>Juntunen J.</t>
  </si>
  <si>
    <t>General design method for diversity antenna arrays</t>
  </si>
  <si>
    <t>10.1002/1098-2760(20000905)26:5&lt;341::AID-MOP20&gt;3.0.CO;2-2</t>
  </si>
  <si>
    <t>2-s2.0-0034275728</t>
  </si>
  <si>
    <t>['simulated results', 'objective function', 'new application', 'microstrip antennas', 'input impedance', 'genetic algorithm', 'feeding point', 'cavity model', 'axial ratio', 'antenna using']</t>
  </si>
  <si>
    <t>A new application of a genetic algorithm (GA) for the design of a coaxially fed circularly polarized rectangular microstrip antenna is presented. The GA shows excellent results for the design of microstrip antennas that have a very complicated objective function, including the input impedance, the effective loss tangent, and the axial ratio. The objective function is derived from the cavity model, and we optimize the size and the feeding point of the antenna using the GA. The experimental results show good agreement with the simulated results.</t>
  </si>
  <si>
    <t>288-291</t>
  </si>
  <si>
    <t>55698942600;57192514976</t>
  </si>
  <si>
    <t>Lee, Donggeun;Lee, Sangseol</t>
  </si>
  <si>
    <t>Lee D.</t>
  </si>
  <si>
    <t>Design of a coaxially fed circularly polarized rectangular microstrip antenna using a genetic algorithm</t>
  </si>
  <si>
    <t>10.1002/1098-2760(20000905)26:5&lt;288::AID-MOP4&gt;3.0.CO;2-U</t>
  </si>
  <si>
    <t>2-s2.0-0034275971</t>
  </si>
  <si>
    <t>['traditional course', 'move towards', 'highlights advantages', 'continuing education', 'concept modules', 'concept mapping', 'basic idea', 'asynchronous system', 'article outlines', 'also provides']</t>
  </si>
  <si>
    <t>With the move towards a learner-oriented, self-paced, asynchronous system for higher and continuing education, the traditional course-based curriculum structure needs to be examined for its efficiency. This article outlines the basic idea of concept mapping and discusses the structure of a concept-module and its relationship to other concept-modules. It also provides some examples of concept modules for RF and microwave circuit design, and highlights advantages of this approach.</t>
  </si>
  <si>
    <t>Gupta, K. C.</t>
  </si>
  <si>
    <t>Gupta K.</t>
  </si>
  <si>
    <t>Concept maps and modules for microwave education</t>
  </si>
  <si>
    <t>10.1109/6668.871188</t>
  </si>
  <si>
    <t>2-s2.0-0034276271</t>
  </si>
  <si>
    <t>['two wafers', 'theoretical predictions', 'radiating patch', 'optimized using', 'integrated cavity', 'good agreement', 'feeding element', 'equation method', '75 ghz']</t>
  </si>
  <si>
    <t>We present in this paper an integrated cavity-backed patch antenna operating at 75 GHz. The design was optimized using a full-wave software based on the integral-equation method. The antenna was realized using micromachining technologies on two wafers: a silicon one supporting a membrane and a radiating patch, and a Pyrex one constituting the feeding element. The measurements are in good agreement with the theoretical predictions.</t>
  </si>
  <si>
    <t>60028186;60014907;60028186;60028186;60028186;60028186</t>
  </si>
  <si>
    <t>6603352178;6603078652;7004724089;6701417455;35495423800;7006665188</t>
  </si>
  <si>
    <t>Grzegorczyk, Tomasz M.;Melc√≥n, Alejandro A.;Z√ºrcher, Jean Fran√ßois;Skrivervik, Anja K.;Renaud, Philipe;Mosig, Juan R.</t>
  </si>
  <si>
    <t>Switzerland;Spain</t>
  </si>
  <si>
    <t>Lausanne;Cartagena</t>
  </si>
  <si>
    <t>Swiss Federal Institute of Technology Lausanne;Universidad Politecnica de Cartagena</t>
  </si>
  <si>
    <t>60028186;60014907</t>
  </si>
  <si>
    <t>Grzegorczyk T.</t>
  </si>
  <si>
    <t>Integrated SSFIP-horn antenna at 75 GHz</t>
  </si>
  <si>
    <t>10.1002/1098-2760(20000905)26:5&lt;298::AID-MOP8&gt;3.0.CO;2-H</t>
  </si>
  <si>
    <t>2-s2.0-0034276324</t>
  </si>
  <si>
    <t>['wavelength ratio', 'transmit antenna', 'target detection', 'survey design', 'subsurface targets', 'signal measured', 'scattering properties', 'rights reserved', 'receive antenna', 'polarization dependent', 'metallic pipes', 'long axis', 'incident wavelength', 'important implications', 'important consideration', 'high impedance', 'gpr survey', 'engineering targets', 'electrical properties', 'dielectric pipes', 'data interpretation', 'cylinders may', 'cylinder relative', 'cylinder compared', 'buried pipes', 'buried objects', 'best imaged', 'backscattered fields']</t>
  </si>
  <si>
    <t>Cylinders | Ground penetrating radar | Polarization</t>
  </si>
  <si>
    <t>Ground penetrating radar (GPR) polarization is an important consideration when designing a GPR survey and is useful to constrain the size, shape, orientation, and electrical properties of buried objects. The polarization of the signal measured by the receive antenna is a function of the polarization of the transmit antenna and scattering properties of subsurface targets. Circular cylinders represent important environmental and engineering targets such as buried pipes, wires, and rebar. The backscattered fields from cylinders may be strongly depolarized depending on the orientation of the cylinder relative to the antennas, the electrical properties of the cylinders, and the radius of the cylinder compared to the incident wavelength. These polarization dependent scattering properties have important implications for target detection, survey design, and data interpretation. As the radius-to-wavelength ratio of metal and plastic pipes decreases, the backscattering properties become more polarization dependent. When using linearly polarized dipole antennas, metallic pipes and low impedance dielectric pipes are best imaged with the long axis of the dipole antennas oriented parallel to the long axis of the pipes. High impedance, dielectric pipes, are best imaged with the long axis of the dipoles oriented orthogonal to the long axis of the pipes. (C) 2000 Elsevier Science B.V. All rights reserved.</t>
  </si>
  <si>
    <t>111-125</t>
  </si>
  <si>
    <t>60003500;60003500</t>
  </si>
  <si>
    <t>6603214983;24499126600</t>
  </si>
  <si>
    <t>Radzevicius, Stanley J.;Daniels, Jeffrey J.</t>
  </si>
  <si>
    <t>Radzevicius S.</t>
  </si>
  <si>
    <t>Ground penetrating radar polarization and scattering from cylinders</t>
  </si>
  <si>
    <t>S0926985100000239</t>
  </si>
  <si>
    <t>10.1016/S0926-9851(00)00023-9</t>
  </si>
  <si>
    <t>2-s2.0-0034282147</t>
  </si>
  <si>
    <t>['œ ±,', 'thylakoid membranes', 'structural organization', 'spaced crystals', 'short treatment', 'rows spaced', 'precise positions', 'photosystem ii', 'peripheral light', 'ordered large', 'native state', 'membrane fragments', 'less common', 'image analysis', 'harvesting complexes', 'harvesting antenna', 'green plants', 'grana membranes', 'excitation energy', 'either 26', 'efficient transfer', 'core parts', 'called c2s2', 'better ordered', 'basic motifs', '3 nm', '23 nm']</t>
  </si>
  <si>
    <t>Electron microscopy | Grana stacking | Photosystem II | Thylakoid membrane | Two-dimensional crystals</t>
  </si>
  <si>
    <t>The chloroplast thylakoid membrane of green plants is organized in stacked grana membranes and unstacked stroma membranes. We investigated the structural organization of Photosystem II (PSII) in paired grana membrane fragments by transmission electron microscopy. The membrane fragments were obtained by a short treatment of thylakoid membranes with the mild detergent n-dodecyl-Œ±,D-maltoside and are thought to reflect the grana membranes in a native state. The membranes frequently show crystalline macrodomains in which PSII is organized in rows spaced by either 26.3 nm (large-spaced crystals) or 23 nm (small-spaced crystals). The small-spaced crystals are less common but better ordered. Image analysis of the crystals by an aperiodic approach revealed the precise positions of the core parts of PSII in the lattices, as well as features of the peripheral light-harvesting antenna. Together, they indicate that the so-called C2S2 and C2S2M supercomplexes form the basic motifs of the small-spaced and large-spaced crystals, respectively. An analysis of a pair of membranes with a well-ordered large-spaced crystal reveals that many PSII complexes in one layer face only light-harvesting complexes (LHCII) in the other layer. The implications of this type of organization for the efficient transfer of excitation energy from LHCII to PSII and for the stacking of grana membranes are discussed. (C) 2000 Academic Press.</t>
  </si>
  <si>
    <t>1123-1133</t>
  </si>
  <si>
    <t>Journal of Molecular Biology</t>
  </si>
  <si>
    <t>60085410;60085410;60008734;60008734</t>
  </si>
  <si>
    <t>7007149974;6603893071;6602476032;7202457418</t>
  </si>
  <si>
    <t>Boekema, Egbert J.;Van Breemen, Jan F.L.;Van Roon, Henny;Dekker, Jan P.</t>
  </si>
  <si>
    <t>Groningen;Amsterdam</t>
  </si>
  <si>
    <t>University of Groningen, Groningen Biomolecular Sciences and Biotechnology Institute (GBB);Vrije Universiteit Amsterdam</t>
  </si>
  <si>
    <t>60085410;60008734</t>
  </si>
  <si>
    <t>Boekema E.J.</t>
  </si>
  <si>
    <t>Arrangement of photosystem II supercomplexes in crystalline macrodomains within the thylakoid membrane of green plant chloroplasts</t>
  </si>
  <si>
    <t>S0022283600940373</t>
  </si>
  <si>
    <t>10.1006/jmbi.2000.4037</t>
  </si>
  <si>
    <t>2-s2.0-0034283146</t>
  </si>
  <si>
    <t>['working electrode', 'type thin', 'silica capillary', 'shaped array', 'outlet capillary', 'idra microelectrode', 'idra electrode', 'high sensitivity', 'glass plate', 'flow channel', 'dopamine hydrochloride', 'collection efficiency', 'carbon film', 'capillary electrophoresis', 'analytical performance', 'amperometric detector', 'also fabricated', 'acryl plate', '9 pa', '15 nm', '10 %.']</t>
  </si>
  <si>
    <t>Catecholamines | Detection, electrophoresis | Electrochemical detection | Electrodes | Flow cell | Instrumentation</t>
  </si>
  <si>
    <t>A chip-type thin-layer radial flow cell was developed as an amperometric detector for capillary electrophoresis. We fabricated a carbon film-based interdigitated ring-shaped array (IDRA) microelectrode with a 2 Œºm bandwidth and an almost 1 Œºm gap on a glass plate and used it as a working electrode. A fused-silica capillary was arranged above the IDRA electrode using a guide hole drilled through the acryl plate that formed the flow cell lid. A flow channel for use in connecting the outlet capillary was also fabricated in the acryl plate. We characterized the analytical performance of the IDRA electrode in the microchip flow cell in terms of linear concentration range, sensitivity and concentration detection limit. We achieved a collection efficiency and catechol redox cycle at the IDRA microelectrode of 65% and 1.71, respectively, and thus a high sensitivity and low detection limit of 392.9 pA/ŒºM and 15 nM for dopamine hydrochloride. We examined the reproducibility of the detector and found that the run-to-run and detector- to-detector relative standard deviations were both less than 10%. (C) 2000 Elsevier Science B.V.</t>
  </si>
  <si>
    <t>149-156</t>
  </si>
  <si>
    <t>8850739400;7102752574;7003760925;7401562701</t>
  </si>
  <si>
    <t>Liu, Zhiming;Niwa, Osamu;Kurita, Ryoji;Horiuchi, Tsutomu</t>
  </si>
  <si>
    <t>Liu Z.</t>
  </si>
  <si>
    <t>Miniaturized thin-layer radial flow cell with interdigitated ring-shaped microarray electrode used as amperometric detector for capillary electrophoresis</t>
  </si>
  <si>
    <t>S0021967300006324</t>
  </si>
  <si>
    <t>10.1016/S0021-9673(00)00632-4</t>
  </si>
  <si>
    <t>2-s2.0-0034284032</t>
  </si>
  <si>
    <t>['structural analysis', 'rhodospirillum molischianum', 'rhodopseudomonas acidophila', 'rhodobacter sphaeroides', 'respectively ).', 'purple bacteria', 'like arrangements', 'isolated lh2', 'highly symmetric', 'electron micrographs', 'crystallized peripheral', 'crystallized lh1', 'circular aggregate', '2000 federation']</t>
  </si>
  <si>
    <t>Circular aggregate | Crystal structure | Photosynthetic antenna complex | Rhodobacter sphaeroides | Rhodopseudomonas acidophila | Rhodospirillum molischianum</t>
  </si>
  <si>
    <t>Structural analysis of crystallized peripheral (LH2) and core antenna complexes (LH1) of purple bacteria has revealed circular aggregates of high rotational symmetry (C8, C9 and C16, respectively). Quantum-chemical calculations indicate that in particular the waterwheel-like arrangements of pigments should show characteristic structure-sensitive spectroscopic behavior in the near infrared absorption region. Laser-spectroscopic data obtained with non-crystallized, isolated LH2 of Rhodospirillum molischianum are in line with a highly symmetric (C8) circular aggregate, but deviations have been found for LH2 of Rhodobacter sphaeroides and Rhodopseudomonas acidophila. For both the latter, C-shaped incomplete circular aggregates (as seen only recently in electron micrographs of crystallized LH1-reaction center complexes) may be a suitable preliminary model. (C) 2000 Federation of European Biochemical Societies.</t>
  </si>
  <si>
    <t>73-78</t>
  </si>
  <si>
    <t>60030732;60030732;60030732;60030732</t>
  </si>
  <si>
    <t>24551741200;7006518726;6603937356;56133500300</t>
  </si>
  <si>
    <t>Leupold, D.;Voigt, B.;Beenken, W.;Stiel, H.</t>
  </si>
  <si>
    <t>Max Born Institute</t>
  </si>
  <si>
    <t>Leupold D.</t>
  </si>
  <si>
    <t>Pigment-protein architecture in the light-harvesting antenna complexes of purple bacteria: Does the crystal structure reflect the native pigment- protein arrangement?</t>
  </si>
  <si>
    <t>S0014579300018925</t>
  </si>
  <si>
    <t>10.1016/S0014-5793(00)01892-5</t>
  </si>
  <si>
    <t>2-s2.0-0034284539</t>
  </si>
  <si>
    <t>['selective reduction', 'prochlorophytes constitute', 'prochlorococcus marinus', 'primitive form', 'major achievements', 'isaa gene', 'harvesting complexes', 'harvesting complex', 'global role', 'e .,', 'diverged lineages', 'chloroplast cab', 'b apoproteins', '20th century']</t>
  </si>
  <si>
    <t>Acaryochloris marina | Apoprotein | Chlorophyll | Light adaptation | Light-harvesting complex | Oxyphotobacteria | Phycobiliproteins | Phytogeny | Primary production | Prochlorococcus marinus | Prochloron didemni | Prochlorophytes | Prochlorothrix hollandica</t>
  </si>
  <si>
    <t>Prochlorophytes constitute a polyphyletic "pigment" group of Oxyphotobacteria, which are characterized by a diverse molecular structure and contrasting functional properties of the light-harvesting complex. The genes for Chl a/b apoproteins of prochlorophytes are homologous to the isaA gene of cyanobacteria and are not homologous to chloroplast Cab-polypeptides; i.e., the antennae of Oxyphotobacteria and plastids have a diverse evolutionary origin. An investigation of the prochlorophytes indicates multiple variants of light-harvesting complexes in the primitive form and their selective reduction in diverged lineages of Oxyphotobacteria. Evidence in favor of the global role of Prochlorococcus marinus in primary oceanic production is among the major achievements of biology at the end of the 20th century.</t>
  </si>
  <si>
    <t>639-643</t>
  </si>
  <si>
    <t>Russian Journal of Plant Physiology</t>
  </si>
  <si>
    <t>60031888;60031888;60031888</t>
  </si>
  <si>
    <t>6603721401;6603546658;36936829700</t>
  </si>
  <si>
    <t>Pinevich, A. B.;Velichko, N. B.;Bazanova, A. V.</t>
  </si>
  <si>
    <t>Pinevich A.</t>
  </si>
  <si>
    <t>Prochlorophytes twenty years on</t>
  </si>
  <si>
    <t>2-s2.0-0034337788</t>
  </si>
  <si>
    <t>['zero differences', 'zds derived', 'zd residuals', 'water vapor', 'specific site', 'remote sensing', 'obtaining single', 'multipath effects', 'meteorological modeling', 'comparing zds']</t>
  </si>
  <si>
    <t>We describe a method for obtaining single-path phase delays from GPS double differences. The resulting 'zero differences' (ZDs) can be used for remote sensing of atmospheric water vapor. The method is demonstrated by simulating and observing atmospheric delay gradients, and by comparing ZDs with pointed radiometer observations of integrated water vapor along GPS ray paths. In-situ GPS antenna phase center and multipath effects are mapped in ZD residuals for a specific site and network. We conclude that ZDs derived from GPS network data show promise for real time sensing of water vapor for use in meteorological modeling and forecasting.</t>
  </si>
  <si>
    <t>2661-2664</t>
  </si>
  <si>
    <t>;60015590;60015590;60015590</t>
  </si>
  <si>
    <t>6603917949;56271066200;7006367091;7403053395</t>
  </si>
  <si>
    <t>Alber, C.;Ware, R.;Rocken, C.;Braun, J.</t>
  </si>
  <si>
    <t>University Corporation for Atmospheric Research</t>
  </si>
  <si>
    <t>Alber C.</t>
  </si>
  <si>
    <t>Obtaining single path phase delays from GPS double differences</t>
  </si>
  <si>
    <t>10.1029/2000GL011525</t>
  </si>
  <si>
    <t>2-s2.0-0034352601</t>
  </si>
  <si>
    <t>['suspended mirrors', 'stable operation', 'significant increase', 'several hours', 'sensing technique', 'recycling gain', 'power recycling', 'highest gain', 'arm lengths', 'also implemented', 'alignment control']</t>
  </si>
  <si>
    <t>Power recycling was implemented on a fully suspended prototype interferometer with arm lengths of 20 m. A wave-front-sensing technique for alignment control of the suspended mirrors was also implemented, which allowed for several hours of stable operation. A power-recycling gain of greater than 12 was achieved, a significant increase over the highest gain in a suspended mirror Fabry-Perot Michelson interferometer reported to date. ¬© 2000 Optical Society of America.</t>
  </si>
  <si>
    <t>4616-4620</t>
  </si>
  <si>
    <t>60029701-60025272;60029701-60025272;60029701;60029701;60029701;60025272;60031581;60031581</t>
  </si>
  <si>
    <t>56036973300;7401534077;7401866960;24334881200;6602776282;6701713138;6602346659;57113996200</t>
  </si>
  <si>
    <t>Sato, Shuichi;Ohashi, Masatake;Fujimoto, Masa Katsu;Fukushima, Mitsuhiro;Waseda, Koichi;Miyoki, Shinji;Mavalvala, Nergis;Yamamoto, Hiroaki</t>
  </si>
  <si>
    <t>United States;Japan;Japan</t>
  </si>
  <si>
    <t>Pasadena;Mitaka;Tokyo</t>
  </si>
  <si>
    <t>California Institute of Technology;National Institutes of Natural Sciences - National Astronomical Observatory of Japan;The University of Tokyo</t>
  </si>
  <si>
    <t>60031581;60029701;60025272</t>
  </si>
  <si>
    <t>Sato S.</t>
  </si>
  <si>
    <t>High-gain power recycling of a Fabry-Perot Michelson interferometer for a gravitational-wave antenna</t>
  </si>
  <si>
    <t>10.1364/AO.39.004616</t>
  </si>
  <si>
    <t>2-s2.0-0037625207</t>
  </si>
  <si>
    <t>['wall pyramidal', 'sectoral horns', 'plane sectoral', 'one plane', 'horn arrays', 'homogeneous filling', 'hard walls', 'analysis uses', 'also calculated']</t>
  </si>
  <si>
    <t>Planar antenna arrays of rectangular waveguides radiating through step transitions whose walls are loaded in one plane with a dielectric so that the hard-wall boundary condition is satisfied are considered. The analysis uses the multimode scattering matrix method. It is shown that finite waveguide sections with hard walls are capable of removing the blindness effects inherent in arrays of waveguides with a small cross section and homogeneous filling; the matching of the array remains sufficiently good. Characteristics of H-plane sectoral-horn and pyramidal-horn arrays are also calculated. The sectoral horns with hard walls are found to operate in a wider frequency band than similar sectoral box horns. The efficiency of hard-wall pyramidal-horn arrays is 2 dB higher than that of arrays of similar square box horns.</t>
  </si>
  <si>
    <t>964-969</t>
  </si>
  <si>
    <t>Skobelev, S. P.;Kildal, P. S.</t>
  </si>
  <si>
    <t>Characteristics of Arrays of Rectangular Stepped Horns with Dielectric-Loaded Walls in One Plane</t>
  </si>
  <si>
    <t>2-s2.0-0142094424</t>
  </si>
  <si>
    <t>['relative timing', 'odor concentration']</t>
  </si>
  <si>
    <t>Multielectrode recording arrays in the moth antennal lobe indicate that the relative timing of action potentials may convey information about odor concentration and mixture.</t>
  </si>
  <si>
    <t>853-854</t>
  </si>
  <si>
    <t>60030718;60030718</t>
  </si>
  <si>
    <t>6503884486;7102000725</t>
  </si>
  <si>
    <t>Giovanni Galizia, C.;Menzel, Randolf</t>
  </si>
  <si>
    <t>Giovanni Galizia C.</t>
  </si>
  <si>
    <t>Probing the olfactory code</t>
  </si>
  <si>
    <t>10.1038/78741</t>
  </si>
  <si>
    <t>2-s2.0-0343826059</t>
  </si>
  <si>
    <t>['zenith angle', 'upper atmosphere', 'substantial biases', 'scattering structure', 'scattering layer', 'present work', 'preliminary observations', 'position estimations', 'observed power', 'limited extent', 'layer thickness', 'horizontal plane', 'first developed', 'fdi coherence', 'extensively described', 'contribute around', 'companion paper', 'coherence variations', '28 ¬∞', '2 ¬∞']</t>
  </si>
  <si>
    <t>In the companion paper (part 1), theoretical studies on the dual frequency domain interferometry (FDI) technique have been presented. Two possible causes of biases in the layer thickness and position estimations by FDI have been considered: the limited extent of the scattering structure in the horizontal plane and the advection of this structure by the wind. In the present work, we study the effects of the tilts of the scattering layer from horizontal. It is shown that in case of large tilt angles, substantial biases on position and thickness can occur. The model, first developed by Liu and Pan [1993] but more extensively described in this paper, can also be used for a prediction of the variations of the FDI coherence with the zenith angle and their relation to the anisotropy of the scatterers. Some preliminary observations of the zenith angle dependence of the FDI coherence and echo power obtained with the middle and upper atmosphere (MU) radar from the vertical up to 28¬∞ off zenith with a step of 2¬∞ are shown and discussed. In principle, comparisons between the observed power and coherence variations with those given by the model could give more information on the structures that contribute around and far from the zenith.</t>
  </si>
  <si>
    <t>1109-1127</t>
  </si>
  <si>
    <t>60011001;60017695;60024199;60011001;60011001</t>
  </si>
  <si>
    <t>7004606927;7003907481;56231896500;9274833100;55398698300</t>
  </si>
  <si>
    <t>Luce, H.;R√∂ttger, J.;Crochet, M.;Yamamoto, M.;Fukao, S.</t>
  </si>
  <si>
    <t>France;Germany;Japan</t>
  </si>
  <si>
    <t>La Garde;Gottingen;Kyoto</t>
  </si>
  <si>
    <t>Universite du Sud Toulon - Var;Max Planck Institute for Solar System Research;Kyoto University</t>
  </si>
  <si>
    <t>60024199;60017695;60011001</t>
  </si>
  <si>
    <t>Scattering layer thickness and position estimated by radar frequency domain interferometry 2. Effects of tilts of the scattering layer or radar beam</t>
  </si>
  <si>
    <t>10.1029/1999RS002261</t>
  </si>
  <si>
    <t>2-s2.0-17744362867</t>
  </si>
  <si>
    <t>['waist size', 'tunable ranges', 'tunable range', 'te15 mode', 'second mirror', 'optical antenna', 'like beam', 'gyrotron output', 'focal lengths', 'focal length', 'beam produced', '9 mm', '4 mm', '354 ghz', '1190 mm', '1 mm', '0 mm']</t>
  </si>
  <si>
    <t>A quasi-optical system consisting of a quasi-optical antenna and two ellipsoidal mirrors can convert the gyrotron output (TE15 mode, 354 GHz) into a gaussian-like beam. The waist size of the beam produced is adjusted by moving a second ellipsoidal mirror. The second mirror with focal length of 520 mm offers a tunable range from 2.0 mm to 5.4 mm, and those with focal lengths of 1190 mm and 2390 mm offer other tunable ranges from 5.1 mm to 12.9 mm and from 12.0 mm to 25.1 mm, respectively.</t>
  </si>
  <si>
    <t>1095-1104</t>
  </si>
  <si>
    <t>55664722000;10242269300;7201735050;56260231500</t>
  </si>
  <si>
    <t>Ogawa, I.;Idehara, T.;Maekawa, S.;Kasparek, W.</t>
  </si>
  <si>
    <t>Design of a quasi-optical system with variable output beam size</t>
  </si>
  <si>
    <t>10.1080/002072100413028</t>
  </si>
  <si>
    <t>2-s2.0-18744370445</t>
  </si>
  <si>
    <t>['wire antenna', 'sinusoidal sub', 'linear equation', 'kernel functions', 'integral equation', 'domain expansion', 'current distributions', 'approximately expressed']</t>
  </si>
  <si>
    <t>Electromagnetic theory | Method of moments | Pocklington's integral equation | Sommerfeld type integrals</t>
  </si>
  <si>
    <t>Pocklington's integral equation is presented for analysis of current distributions on wire antenna above ground. Sommerfeld type integrals, the kernel functions of the integral equation, can be approximately expressed as the elementary functions using die Fresnel plane-wave reflection coefficients method; and the Pocklington's integral equation will be rearranged into a linear equation with solution easily obtained by using the method of moments, when the sinusoidal sub-domain expansion is chosen to express the current distributions.</t>
  </si>
  <si>
    <t>14-18</t>
  </si>
  <si>
    <t>Journal of Harbin Institute of Technology (New Series)</t>
  </si>
  <si>
    <t>60019616;60019616</t>
  </si>
  <si>
    <t>36045895500;7410228491</t>
  </si>
  <si>
    <t>Jiang, Bin Hao;LiU, Yong Tan</t>
  </si>
  <si>
    <t>Harbin</t>
  </si>
  <si>
    <t>Harbin Institute of Technology</t>
  </si>
  <si>
    <t>Jiang B.</t>
  </si>
  <si>
    <t>The moment-method form of Pocklington's integral equation above ground</t>
  </si>
  <si>
    <t>2-s2.0-20544436954</t>
  </si>
  <si>
    <t>['vmos ).', 'universe peaks', 'thus derive', 'stochastic background', 'noise signal', 'massive objects', 'lisa ).', 'formation rate', 'first stars', 'final fate', 'effects regulating', 'early universe', 'collapse would', '3 hz']</t>
  </si>
  <si>
    <t>Cosmology: theory | Galaxies: formation | Gravitation | Intergalactic medium | Waves</t>
  </si>
  <si>
    <t>We study the gravitational wave emission from the first stars, which are assumed to be very massive objects (VMOs). We take into account various feedback (both radiative and stellar) effects regulating the collapse of objects in the early Universe and thus derive the VMO initial mass function and formation rate. If the final fate of VMOs is to collapse, leaving very massive black hole remnants, then the gravitational waves emitted during each collapse would be seen as a stochastic background. The predicted spectral strain amplitude in a critical density cold dark matter (CDM) universe peaks in the frequency range v ‚âà 5 √ó 10-4-5 √ó 10-3 Hz, where it has a value in the range ‚âà 10-20-10-19Hz-1/2, and might be detected by the Laser Interferometer Space Antenna (LISA). The expected emission rate is roughly 4000 event yr-1, resulting in a stationary discrete sequence of bursts, i.e. a shot-noise signal.</t>
  </si>
  <si>
    <t>385-390</t>
  </si>
  <si>
    <t>60032350;60021729;60021859;60032350;60000481-60023091</t>
  </si>
  <si>
    <t>56188182400;36179308300;6603692623;56511319800;57200572851</t>
  </si>
  <si>
    <t>Schneider, R.;Ferrara, A.;Ciardi, B.;Ferrari, V.;Matarrese, S.</t>
  </si>
  <si>
    <t>Italy;Germany;Italy;Italy;Italy</t>
  </si>
  <si>
    <t>Rome;Garching bei Munchen;Florence;Florence;Padua</t>
  </si>
  <si>
    <t>Sapienza Universit√† di Roma;Max Planck Institute for Astrophysics;Universit√† degli Studi di Firenze;Osservatorio Astrofisico Di Arcetri;Universit√† degli Studi di Padova</t>
  </si>
  <si>
    <t>60032350;60023091;60021859;60021729;60000481</t>
  </si>
  <si>
    <t>Gravitational wave signals from the collapse of the first stars</t>
  </si>
  <si>
    <t>10.1046/j.1365-8711.2000.03596.x</t>
  </si>
  <si>
    <t>2-s2.0-0000429297</t>
  </si>
  <si>
    <t>['two nearby', 'symmetry axis', 'shape generating', 'mission may', 'magnetic fields', 'gravitational waves', 'anisotropic moment']</t>
  </si>
  <si>
    <t>Binaries: close | Gravitation | Novae, cataclysmic variables | Stars: magnetic fields | White dwarfs</t>
  </si>
  <si>
    <t>The magnetic fields of white dwarfs distort their shape generating an anisotropic moment of inertia. A magnetized white dwarf that rotates obliquely relative to the symmetry axis has a mass quadrupole moment that varies in time, so it will emit gravitational radiation. The Laser Interferometer Space Antenna (LISA) mission may be able to detect the gravitational waves from two nearby, rapidly rotating white dwarfs.</t>
  </si>
  <si>
    <t>310-314</t>
  </si>
  <si>
    <t>Heyl, Jeremy S.</t>
  </si>
  <si>
    <t>California Institute of Technology</t>
  </si>
  <si>
    <t>Heyl J.</t>
  </si>
  <si>
    <t>Gravitational radiation from strongly magnetized white dwarfs</t>
  </si>
  <si>
    <t>10.1046/j.1365-8711.2000.03533.x</t>
  </si>
  <si>
    <t>2-s2.0-0001306072</t>
  </si>
  <si>
    <t>['receiving point', 'proposed scheme', 'observation period']</t>
  </si>
  <si>
    <t>A simple random frequency modulation noise compensation scheme for orthogonal frequency division multiplexing systems in a multipath fading environment is presented. A linear array antenna is set up on the vehicle to `fix' the receiving point during the observation period. Computer simulation results show that the proposed scheme can mitigate performance degradation due to random FM noise.</t>
  </si>
  <si>
    <t>1653-1654</t>
  </si>
  <si>
    <t>60025017;60024322</t>
  </si>
  <si>
    <t>35413687500;7004324341</t>
  </si>
  <si>
    <t>Okada, M.;Komaki, S.</t>
  </si>
  <si>
    <t>Ikoma;Suita</t>
  </si>
  <si>
    <t>Nara Institute of Science and Technology;Osaka University</t>
  </si>
  <si>
    <t>Okada M.</t>
  </si>
  <si>
    <t>Random FM noise compensation scheme for OFDM</t>
  </si>
  <si>
    <t>10.1049/el:20001161</t>
  </si>
  <si>
    <t>2-s2.0-0034648552</t>
  </si>
  <si>
    <t>['two frequencies', 's11 performance', 'radiation patterns', 'input signal', 'first time', 'beam scan', '26 ¬∞']</t>
  </si>
  <si>
    <t>The beam scanning characteristics of a two-element array utilizing a ferroelectric phase shifter are presented for the first time. Applying a DC voltage across the ferroelectric material changes the velocity of the input signal, a beam scan of 26¬∞ being achieved. The S11 performance and the radiation patterns of the array at two frequencies are presented.</t>
  </si>
  <si>
    <t>1624-1626</t>
  </si>
  <si>
    <t>60003196;;60003196;</t>
  </si>
  <si>
    <t>7006685082;7005956560;7102646632;36039583900</t>
  </si>
  <si>
    <t>Teo, P. T.;Jose, K. A.;Gan, Y. B.;Varadan, V. K.</t>
  </si>
  <si>
    <t>DSO National Laboratories</t>
  </si>
  <si>
    <t>Beam scanning of array using ferroelectric phase shifters</t>
  </si>
  <si>
    <t>10.1049/el:20001155</t>
  </si>
  <si>
    <t>2-s2.0-0034648576</t>
  </si>
  <si>
    <t>['polarization states', 'mathematical model']</t>
  </si>
  <si>
    <t>The Kennaugh optimal polarization theory is extended to the multistatic radar case. A mathematical model is presented to maximize the total received power which is the function of the polarization states of a transmitter and all receivers in a multistatic radar system. A method is provided for obtaining the optimal polarization states of all the antennas.</t>
  </si>
  <si>
    <t>1647-1648</t>
  </si>
  <si>
    <t>60025278;60025278;60022313;60027561</t>
  </si>
  <si>
    <t>57251398200;7403419366;7404476613;7006670998</t>
  </si>
  <si>
    <t>Yang, J.;Peng, Y. N.;Yamaguchi, Y.;Boerner, W. M.</t>
  </si>
  <si>
    <t>United States;China;Japan</t>
  </si>
  <si>
    <t>Chicago;Beijing;Niigata</t>
  </si>
  <si>
    <t>University of Illinois at Chicago;Tsinghua University;Niigata University</t>
  </si>
  <si>
    <t>60027561;60025278;60022313</t>
  </si>
  <si>
    <t>Optimal polarization problem for the multistatic radar case</t>
  </si>
  <si>
    <t>10.1049/el:20001159</t>
  </si>
  <si>
    <t>2-s2.0-0034648580</t>
  </si>
  <si>
    <t>['radiation source', 'previous authors', 'method provides', 'mapped well', 'lightning mapping', 'least three', 'increasing frequency', 'incident angles', 'incident angle', 'ground flashes', 'frequency components', 'frequency component', 'fourier transform', 'contribute less', 'averaging method', 'antenna sensors', 'angular position']</t>
  </si>
  <si>
    <t>In the VHF broad band interferometer, the Fourier transform is applied to analyze the whole frequency range of lightning radiation sources. The position of a radiation source can be determined by resolving the incident angle for each frequency component against at least three-antenna sensors, and then by averaging the incident angles of all frequency components the angular position can be located. This arithmetic-averaging method as proposed by previous authors has a disadvantage, especially for cloud-to-ground flashes, that is positions of lightning leader channels near ground level can not be mapped well. It is found that Fourier spectral amplitudes of broad band pulses decrease with increasing frequency, and frequency components having low spectral amplitudes give less contribution to the lightning mapping. To improve the mapping, a weighted-averaging method is proposed. The method provides a way to minimize the influence of frequency components, which contribute less to the lightning mapping.</t>
  </si>
  <si>
    <t>2917-2920</t>
  </si>
  <si>
    <t>60024322;60024322</t>
  </si>
  <si>
    <t>6603350821;7102376070</t>
  </si>
  <si>
    <t>Mardiana, R.;Kawasaki, A. I.</t>
  </si>
  <si>
    <t>Mardiana R.</t>
  </si>
  <si>
    <t>Dependency of VHF broad band lightning source mapping on Fourier spectra</t>
  </si>
  <si>
    <t>10.1029/1999GL010997</t>
  </si>
  <si>
    <t>2-s2.0-0034664421</t>
  </si>
  <si>
    <t>['successfully applied', 'substantially decreased', 'scheduling strategy', 'proposed controller', 'inexpensive stand', 'independently computed', 'every region', 'detailed model', 'computational complexity', 'alone microcomputers']</t>
  </si>
  <si>
    <t>A detailed model of a radiotelescope (yoke on king post parabolic antenna) is developed. It uses modelling concepts that have been successfully applied to industrial robotic systems. In this approach, the interactions between the different dynamically coupled subsystems are viewed as disturbances whose dynamic behaviours are known. The proposed controller for the radiotelescope was developed by using a gain-scheduling strategy, which has the advantage of using known parameters for every region of operation. Thus, the computational complexity is substantially decreased and, in consequence, the parameters for each region of operation can be independently computed by inexpensive stand-alone microcomputers.</t>
  </si>
  <si>
    <t>141-160</t>
  </si>
  <si>
    <t>Simulation Practice and Theory</t>
  </si>
  <si>
    <t>60029921;60013402;60029921-60010532;60030699</t>
  </si>
  <si>
    <t>6505778063;7006184162;6602499857;6508274550</t>
  </si>
  <si>
    <t>Jim√©nez-Garc√≠a, Sergio;Maga√±a, Mario E.;Ben√≠tez-Read, Jorge S.;Mart√≠nez-Carballido, Jorge</t>
  </si>
  <si>
    <t>Mexico;Mexico;United States;Mexico</t>
  </si>
  <si>
    <t>Puebla;Toluca;Corvallis;Ocoyoacac</t>
  </si>
  <si>
    <t>Instituto Nacional de Astrofisica Optica y Electronica;Instituto Tecnologico de Toluca;Oregon State University;Instituto Nacional de Investigaciones Nucleares</t>
  </si>
  <si>
    <t>60030699;60029921;60013402;60010532</t>
  </si>
  <si>
    <t>Jim√©nez-Garc√≠a S.</t>
  </si>
  <si>
    <t>Modelling, simulation, and gain scheduling control of large radiotelescopes</t>
  </si>
  <si>
    <t>S0928486900000136</t>
  </si>
  <si>
    <t>10.1016/S0928-4869(00)00013-6</t>
  </si>
  <si>
    <t>2-s2.0-0343397199</t>
  </si>
  <si>
    <t>['terahertz radiation', 'response frequency', 'plasmon oscillations', 'observed using', 'longitudinal optical', 'lo phonon', 'insb films', 'grown gaas', 'emission frequencies', 'coupling modes', 'also found', '7 thz']</t>
  </si>
  <si>
    <t>Terahertz radiation from longitudinal optical (LO) phonon-plasmon coupling modes in InSb films is observed using an ultrafast photoconductive antenna detector. We demonstrate a response frequency of up to 7 THz for a low-temperature-grown GaAs-based photoconductive antenna gated with 25 fs laser pulses. It is found that the emission frequencies of the coupling modes are dependent only on the residual carrier density, not on the excitation carrier density. It is also found that the LO phonon-plasmon oscillations in semiconductors can serve as an efficient THz source. ¬© 2000 American Institute of Physics.</t>
  </si>
  <si>
    <t>1798-1800</t>
  </si>
  <si>
    <t>60032325;60032325;60032325;60022637</t>
  </si>
  <si>
    <t>35966990100;7202550229;7404662230;13205051500</t>
  </si>
  <si>
    <t>Gu, Ping;Tani, Masahiko;Sakai, Kiyomi;Yang, T. R.</t>
  </si>
  <si>
    <t>Japan;Taiwan</t>
  </si>
  <si>
    <t>Koganei;Taipei</t>
  </si>
  <si>
    <t>Japan National Institute of Information and Communications Technology;National Taiwan Normal University</t>
  </si>
  <si>
    <t>60032325;60022637</t>
  </si>
  <si>
    <t>Gu P.</t>
  </si>
  <si>
    <t>Detection of terahertz radiation from longitudinal optical phonon-plasmon coupling modes in InSb film using an ultrabroadband photoconductive antenna</t>
  </si>
  <si>
    <t>10.1063/1.1311609</t>
  </si>
  <si>
    <t>2-s2.0-0001511152</t>
  </si>
  <si>
    <t>['temora stylifera', 'study aimed', 'similar report', 'second antennae', 'recognised chemically', 'presumably used', 'paracalanus aculeatus', 'observed mechanosensors', 'mandibular palp', 'individual setae', 'hydrodynamic signals', 'female p', 'female e', 'eucalanus pileatus', 'electron microscopy', 'cephalic appendages', 'centropages velificatus', 'apical pores', 'already described', 'adult females', '80 hz', '3 appendages', '25 hz']</t>
  </si>
  <si>
    <t>Cephalic appendage | Marine planktonic copepods | Setae | Ultrastructure</t>
  </si>
  <si>
    <t>Our study aimed at determining which types of sensors are associated with setae on the cephalic appendages of marine calanoid copepods that create feeding currents. Such sensors enable copepods to rapidly identify potential food particles in the ambient water current, probably through chemical or hydrodynamic signals from the particles. We examined 4 copepod species, Centropages velificatus, Eucalanus pileatus, Paracalanus aculeatus and Temora stylifera, by scanning (SEM) and transmission (TEM) electron microscopy. Copepodids and adult females of all 4 species bear apical pores on the setae of their maxillipeds and second antennae, indicating potential chemoperceptive capabilities. TEM revealed putative chemo- and mechanosensors on the mandibular palp of C. velificatus and the second antennae of T. stylifera, supporting an earlier, similar report of sensors on the maxilliped of T. stylifera. As the setae of these 3 appendages are in almost continuous motion, at frequencies between 25 Hz (female E. pileatus) and 80 Hz (female P. aculeatus), food particles beyond the reach of the setae are believed to be recognised chemically by the apical pores of the individual setae. The observed mechanosensors are presumably used when handling larger food particles, as already described for T. stylifera during capture and alignment of elongated cells prior to ingestion.</t>
  </si>
  <si>
    <t>171-180</t>
  </si>
  <si>
    <t>Marine Ecology Progress Series</t>
  </si>
  <si>
    <t>60016675;60016675</t>
  </si>
  <si>
    <t>7003603278;6506515862</t>
  </si>
  <si>
    <t>Paffenhofer, G. A.;Loyd, P. A.</t>
  </si>
  <si>
    <t>Savannah</t>
  </si>
  <si>
    <t>Skidaway Institute of Oceanography</t>
  </si>
  <si>
    <t>Paffenhofer G.</t>
  </si>
  <si>
    <t>Ultrastructure of cephalic appendage setae of marine planktonic copepods</t>
  </si>
  <si>
    <t>10.3354/meps203171</t>
  </si>
  <si>
    <t>2-s2.0-0034683713</t>
  </si>
  <si>
    <t>['whereas targeting', 'whereas cooling', 'targeting mechanisms', 'slightly warming', 'significant disruption', 'shaped abnormally', 'sensitive period', 'selective cooling', 'results suggest', 'proper formation', 'precocious ingrowth', 'precise timetable', 'orc axons', 'macroglomerular complex', 'involves interactions', 'intercellular interactions', 'glomerular development', 'glial cells', 'fully developed', 'extended periods', 'experimentally desynchronized', 'enlarged protoglomeruli', 'developing antenna', 'defined periods', 'decreased accuracy', 'correct target', 'clearly segregated', 'cases suggests', 'body resulted', 'axon outgrowth', 'antenna relative', '2000 wiley']</t>
  </si>
  <si>
    <t>Antennal lobe | Axon-glia interactions | Heterochronic | Macroglomerular complex | Plasticity | Temperature</t>
  </si>
  <si>
    <t>In the moth Manduca sexta, development of glomeruli in the antennal (olfactory) lobes (ALs) follows a precise timetable and involves interactions of olfactory receptor cell (ORC) axons with AL glial cells and neurons. To study the importance of timing for these intercellular interactions, we experimentally desynchronized the development of the ALs and the ORCs by altering the temperature of the developing antenna and brain for defined periods of time during development. Selective cooling of the antenna relative to the body resulted in a delay of ORC-axon outgrowth, and slightly warming the antenna while cooling the body caused precocious ingrowth of axons into the AL. Whereas cooling of the antenna for 24 hours caused only a delay in the formation of glomeruli, cooling for 48 hours led to significant disruption of glomerular development. Glial cells did not form normal glomerular borders, and glomeruli were shaped abnormally. Axons of pheromone-specific ORCs projected to their correct target, but terminal branches within the macroglomerular complex (MGC) were not clearly segregated. The results suggest that proper formation of glial glomerular borders requires interaction of ORC axons and glial cells within a sensitive period, whereas targeting of ORC axons appears to be effective over extended periods in development. Precocious ingrowth of ORC axons after warming the antenna and cooling the body for 48 hours resulted in enlarged protoglomeruli. Glial borders formed normally, but a subpopulation of MGC-specific ORC axons grew past the MGC. The decreased accuracy of targeting in these cases suggests that targeting mechanisms are not fully developed before the time when ORC axons normally would enter the brain. (C) 2000 Wiley-Liss, Inc.</t>
  </si>
  <si>
    <t>233-243</t>
  </si>
  <si>
    <t>60010065-101483848;60010065;60010065</t>
  </si>
  <si>
    <t>7004584294;7102144017;7102653635</t>
  </si>
  <si>
    <t>R√∂ssler, Wolfgang;Tolbert, Leslie P.;Hildebrand, John G.</t>
  </si>
  <si>
    <t>Tucson;Gottingen</t>
  </si>
  <si>
    <t>The University of Arizona;Center for Physiology</t>
  </si>
  <si>
    <t>60010065;101483848</t>
  </si>
  <si>
    <t>R√∂ssler W.</t>
  </si>
  <si>
    <t>Importance of timing of olfactory receptor-axon outgrowth for glomerulus development in Manduca sexta</t>
  </si>
  <si>
    <t>10.1002/1096-9861(20000918)425:2&lt;233::AID-CNE6&gt;3.0.CO;2-H</t>
  </si>
  <si>
    <t>2-s2.0-0034684033</t>
  </si>
  <si>
    <t>['targeting presequence', 'spectroscopic properties', 'several genes', 'sequence analysis', 'saccharina sporophytes', 'plant light', 'molecular mass', 'macrocystis pyrifera', 'lhcf genes', 'laminaria digitata', 'isoelectric point', 'ii cannot', 'high level', 'harvesting proteins', 'harvesting complexes', 'genes encoding', 'exchange chromatography', 'encoded polypeptides', 'distinguished biochemically', 'common origin', 'coding sequences', 'brown algae', 'accessory light']</t>
  </si>
  <si>
    <t>Fucoxanthin-chlorophyll c antenna | Light-harvesting complex (LHC) gene family | Pigment-protein complexes</t>
  </si>
  <si>
    <t>Accessory light-harvesting complexes (LHCFs) were isolated from the brown alga Laminaria saccharina. Complexes specifically associated with photosystem I or II are identical with each other with respect to molecular mass, isoelectric point and behavior on anion-exchange chromatography or non-denaturing isoelectric focusing. The purified complexes also have similar pigment composition and spectroscopic properties. It is concluded that LHC antennae associated with photosystem I or II cannot be distinguished biochemically. After screening of genomic and cDNA libraries produced from L. saccharina sporophytes, six lhcf genes were isolated. Sequence analysis of these lhcf genes showed a high level of homology between the encoded polypeptides. Comparisons with coding sequences of lhcf genes from Macrocystis pyrifera and expressed sequence tags from Laminaria digitata (two other Laminariales) indicated that these proteins are probably very similar in all brown algae. Another feature common to the lhcf genes characterized was the presence of an intron in the coding region corresponding to the plastid-targeting presequence. The sequence similarity extended to the 5' and 3' UTRs of several genes. In spite of the common origin of the chloroplasts, no light-regulating elements involved in the expression of the genes encoding the higher-plant light-harvesting proteins has been found in the UTRs.</t>
  </si>
  <si>
    <t>5540-5549</t>
  </si>
  <si>
    <t>60000179;60000179;60000179;60000179;60026803;100312278;60000179</t>
  </si>
  <si>
    <t>7006831908;6602176298;6506645820;7102477063;6507055272;7004761697;7006626676</t>
  </si>
  <si>
    <t>De Martino, Alessandra;Douady, Dominique;Quinet-Szely, Michelle;Rousseau, Bernard;Cr√©pineau, Florent;Apt, Kirk;Caron, Lise</t>
  </si>
  <si>
    <t>France;France;United States</t>
  </si>
  <si>
    <t>Roscoff;Paris;Columbia</t>
  </si>
  <si>
    <t>Station Biologique de Roscoff;√âcole Normale Sup√©rieure;Martek Biosciences Corporation</t>
  </si>
  <si>
    <t>60026803;60000179;100312278</t>
  </si>
  <si>
    <t>De Martino A.</t>
  </si>
  <si>
    <t>The light-harvesting antenna of brown algae: Highly homologous proteins encoded by a multigene family</t>
  </si>
  <si>
    <t>10.1046/j.1432-1327.2000.01616.x</t>
  </si>
  <si>
    <t>2-s2.0-0033858068</t>
  </si>
  <si>
    <t>Rh-20/4-1</t>
  </si>
  <si>
    <t>['well examined', 'transit peptide', 'supposed introns', 'sulphuraria dna', 'sulphuraria contains', 'stop codons', 'spliceosomal introns', 'southern blotting', 'single organism', 'similar positions', 'rights reserved', 'protein shows', 'porphyridium polypeptides', 'porphyridium cruentum', 'photosynthetic antennae', 'nuclear g', 'mature protein', 'lhc genes', 'higher plants', 'harvesting proteins', 'harvesting polypeptides', 'genomic sequence', 'fifth divers', 'eukaryotic light', 'dna sequence', 'corresponding genes', 'clone containing', 'chlorophyll b', 'cdna library', 'cdna clone', 'bind chlorophyll', 'another species', 'ag borders', 'additional sequence', '86 kda', '183 residues']</t>
  </si>
  <si>
    <t>Chlorophyll-binding protein | Light-harvesting complex | Photosystem I | Rhodophyta</t>
  </si>
  <si>
    <t>Genes for light-harvesting proteins (lhc genes) of higher plants are well examined. However, little is known about the corresponding genes of algae, although this knowledge might give valuable information about the evolution of photosynthetic antennae. In the case of rhodophytes only two cDNA sequences from a single organism, Porphyridium cruentum, have been published. Here we describe an additional sequence from another species, the thermo-acidophilic red alga Galdieria sulphuraria. For the first time also a genomic sequence for a red algal lhc gene is presented. From a cDNA library of G. sulphuraria we isolated a clone containing an open reading frame for a protein of 302 amino acids with a deduced molecular mass of 33.86 kDa. It shares major structural features with eukaryotic light-harvesting polypeptides. A proposed cleavage site between transit peptide and mature protein gives rise to a transit peptide of 119 amino acids and a mature protein of 183 residues. Hydropathy analysis suggests that the mature protein consists of three transmembrane helices. Several amino acid residues supposed to bind chlorophyll a and chlorophyll b in higher plants are conserved. The protein shows up to 69% identity and 81% similarity to the Porphyridium polypeptides in the transmembrane helices 1 and 3. Using oligonucleotides annealing in the regions of the start and stop codons of the gene as primers, a DNA sequence was amplified from nuclear G. sulphuraria DNA by PCR. Compared with the cDNA clone, this sequence contains five additional intervening DNA strings of 50-74 bp length. Four of them show typical features of spliceosomal introns with GT-AG borders, and the fifth diVers by starting with GC. Three of the supposed introns are located in similar positions as introns of higher plant light-harvesting proteins. Southern blotting and hybridization experiments indicate that G. sulphuraria contains at least three copies of this gene. (C) 2000 Elsevier Science B.V. All rights reserved.</t>
  </si>
  <si>
    <t>257-265</t>
  </si>
  <si>
    <t>60020306;60020306;;60012556;60020306</t>
  </si>
  <si>
    <t>7005368215;7801645528;6701794483;6505870917;7005297754</t>
  </si>
  <si>
    <t>Marquardt, J√ºrgen;Wans, Stefan;Rhiel, Erhard;Randolf, Anke;Krumbein, Wolfgang E.</t>
  </si>
  <si>
    <t>Oldenburg;Marburg</t>
  </si>
  <si>
    <t>Universit√§t Oldenburg;Philipps-Universit√§t Marburg</t>
  </si>
  <si>
    <t>60020306;60012556</t>
  </si>
  <si>
    <t>Marquardt J.</t>
  </si>
  <si>
    <t>Intron-exon structure and gene copy number of a gene encoding for a membrane-intrinsic light-harvesting polypeptide of the red alga Galdieria sulphuraria</t>
  </si>
  <si>
    <t>S0378111900003322</t>
  </si>
  <si>
    <t>10.1016/S0378-1119(00)00332-2</t>
  </si>
  <si>
    <t>2-s2.0-0034687068</t>
  </si>
  <si>
    <t>['thick air', 'several gas', 'five gap', '66 db', '400 mhz', '10 db']</t>
  </si>
  <si>
    <t>Several gas-coupled square microstrip antenna (SMSA) configurations with two orthogonal feeds are presented for broadband circular polarization (CP) operation with gain on the order of 10 dB. Two different substrates are chosen for the analysis. Five gap-coupled square MSA on a thick air-dielectric substrate yields a bandwidth of 400 MHz with D = 10.66 dB.</t>
  </si>
  <si>
    <t>399-402</t>
  </si>
  <si>
    <t>57214447063;7202418704</t>
  </si>
  <si>
    <t>Reddy, K. T.V.;Kumar, Girish</t>
  </si>
  <si>
    <t>Reddy K.</t>
  </si>
  <si>
    <t>Dual-feed gap-coupled square microstrip antennas for broadband circular polarization</t>
  </si>
  <si>
    <t>10.1002/1098-2760(20000920)26:6&lt;399::AID-MOP15&gt;3.0.CO;2-E</t>
  </si>
  <si>
    <t>2-s2.0-0034272371</t>
  </si>
  <si>
    <t>['quite high', 'integrated antenna', 'individual amplifier', 'imd terms', 'even though', 'amplifier quadrature', 'achieved using', '45 ¬∞']</t>
  </si>
  <si>
    <t>A low intermodulation distortion (IMD) can be achieved using a two-amplifier quadrature-combined integrated antenna, even though the individual amplifier's IMD is quite high. It is not necessary to combine four amplifiers in equal phase increments of 45¬∞ when used as an integrated antenna to cancel out all IMD terms.</t>
  </si>
  <si>
    <t>362-365</t>
  </si>
  <si>
    <t>56176069100;7403918312;37041919100</t>
  </si>
  <si>
    <t>Yang, Chi Chung;Chan, Wing Shing;Chan, Wing Le</t>
  </si>
  <si>
    <t>Yang C.</t>
  </si>
  <si>
    <t>Low-IMD, quadrature-combined, circular-polarization integrated antenna</t>
  </si>
  <si>
    <t>10.1002/1098-2760(20000920)26:6&lt;362::AID-MOP5&gt;3.0.CO;2-3</t>
  </si>
  <si>
    <t>2-s2.0-0034272372</t>
  </si>
  <si>
    <t>['radiation pattern', 'quickly calculate', 'numerical results', 'explicit method', 'domain method', 'difference time', 'dielectric constant', 'antenna system', 'air interface']</t>
  </si>
  <si>
    <t>An antenna in a metallic photonic bandgap structure consisting of metallic wires embedded in a dielectric host medium is considered. An explicit method is developed to quickly calculate the radiation pattern for such an antenna system. The influence of the dielectric constant and the location of the dielectric-air interface on the radiation pattern is studied. Numerical results for the directivity and radiation pattern are presented and compared with those obtained by the finite-difference time-domain method.</t>
  </si>
  <si>
    <t>367-371</t>
  </si>
  <si>
    <t>60117981-60002014;60002014;60002014;60072485</t>
  </si>
  <si>
    <t>36048024500;57206127276;57219918544;35572352400</t>
  </si>
  <si>
    <t>He, Sailing;Popov, Mikhail;Qiu, Min;Simovski, Constantin</t>
  </si>
  <si>
    <t>Influence of the dielectric-air interface on the radiation pattern of an antenna in a metallic photonic bandgap structure in a dielectric host medium</t>
  </si>
  <si>
    <t>10.1002/1098-2760(20000920)26:6&lt;367::AID-MOP7&gt;3.0.CO;2-J</t>
  </si>
  <si>
    <t>2-s2.0-0034272378</t>
  </si>
  <si>
    <t>['shorted antenna', 'planar dimension', 'omnidirectional within', 'impedance bandwidth', 'feedgap separation', 'antenna parameters', 'antenna offers', '85 ghz', '10 db']</t>
  </si>
  <si>
    <t>The shorted planar monopole is compared with the simple wideband square planar monopole. The shorted antenna is optimized for future wireless networking bands by the choice of planar dimension and feedgap separation. The antenna offers a return loss greater than 10 dB from 1.55 to 5.85 GHz. The pattern is shown to be omnidirectional within the impedance bandwidth. Antenna parameters are compared for both antennas.</t>
  </si>
  <si>
    <t>Wideband antenna for mobile wireless terminals</t>
  </si>
  <si>
    <t>10.1002/1098-2760(20000920)26:6&lt;360::AID-MOP4&gt;3.0.CO;2-C</t>
  </si>
  <si>
    <t>2-s2.0-0034273627</t>
  </si>
  <si>
    <t>['thick substrates', 'results obtained', 'genetic algorithm', 'fha gives', 'different types', 'better design']</t>
  </si>
  <si>
    <t>In this work,a fuzzy hybrid approach (FHA) for the synthesis of rectangular microstrip antenna elements with thick substrates is presented. The FHA is based on a fuzzy genetic algorithm (FGA) and a controlled random search algorithm. The results obtained from the FHA are compared with the results obtained from the different types of genetic algorithm. The FHA gives a better design than the others.</t>
  </si>
  <si>
    <t>G√ºnel, Tayfun</t>
  </si>
  <si>
    <t>Istanbul</t>
  </si>
  <si>
    <t>ƒ∞stanbul Teknik √úniversitesi</t>
  </si>
  <si>
    <t>G√ºnel T.</t>
  </si>
  <si>
    <t>Fuzzy hybrid approach for the synthesis of rectangular microstrip antenna elements with thick substrates</t>
  </si>
  <si>
    <t>10.1002/1098-2760(20000920)26:6&lt;351::AID-MOP1&gt;3.3.CO;2-A</t>
  </si>
  <si>
    <t>2-s2.0-0342484424</t>
  </si>
  <si>
    <t>['rapidly convergent', 'possible applications', 'method may', 'individually controlled', 'experimental double', 'difference patterns', 'difference far', 'desired patterns', 'computer efficient']</t>
  </si>
  <si>
    <t>The Elliott-Stern iterative method is applicable to the design of circular aperture distributions affording double-difference far-field radiation patterns in which the height of each sidelobe is individually controlled. The method is computer efficient, inexpensive, and rapidly convergent. Among other possible applications, the method may be useful for obtaining adjustments correcting the deviation of experimental double-difference patterns from the desired patterns.</t>
  </si>
  <si>
    <t>402-403</t>
  </si>
  <si>
    <t>60028419;60028419;60028419;60028419;60028419</t>
  </si>
  <si>
    <t>6508009516;57220885191;7003391894;7006865572;7202825573</t>
  </si>
  <si>
    <t>Est√©vez, H.;L√≥pez, P.;Rodr√≠guez, J. A.;Ares, F.;Moreno, E.</t>
  </si>
  <si>
    <t>Est√©vez H.</t>
  </si>
  <si>
    <t>Design of a circular aperture yielding a double-difference beam with sidelobes of individually arbitrary heights</t>
  </si>
  <si>
    <t>10.1002/1098-2760(20000920)26:6&lt;402::AID-MOP16&gt;3.0.CO;2-7</t>
  </si>
  <si>
    <t>2-s2.0-0342484425</t>
  </si>
  <si>
    <t>['total number', 'subdomain moment', 'refined nearby', 'method formulations', 'important benefits', 'fixed problem', 'conventional procedures', 'computational cost', 'accurate evaluation']</t>
  </si>
  <si>
    <t>A comparison of different testing procedures for subdomain moment-method formulations for arbitrarily shaped bodies, including attached wires, is presented here. It is shown that an accurate evaluation of the impedance matrix elements leads to important benefits over the conventional procedures. Otherwise, the use of an adaptively generated mesh - more refined nearby the sources - is shown to reduce the total number of unknowns, and therefore, the computational cost for a fixed problem.</t>
  </si>
  <si>
    <t>413-419</t>
  </si>
  <si>
    <t>7006470289;7404696540;7003784434</t>
  </si>
  <si>
    <t>Taboada, J. M.;Rodr√≠guez, J. L.;Obelleiro, F.</t>
  </si>
  <si>
    <t>Taboada J.</t>
  </si>
  <si>
    <t>Comparison of moment-method solutions for wire antennas attached to arbitrarily shaped bodies</t>
  </si>
  <si>
    <t>10.1002/1098-2760(20000920)26:6&lt;413::AID-MOP20&gt;3.0.CO;2-K</t>
  </si>
  <si>
    <t>2-s2.0-0343353824</t>
  </si>
  <si>
    <t>['western norway', 'western coast', 'weight relationships', 'specimens sampled', 'significantly higher', 'significantly different', 'raknesvag relative', 'predation pressure', 'postmarsupial development', 'norwegian population', 'natatolana borealis', 'mortality rates', 'morphological features', 'mean size', 'lived 4', 'life span', 'instar stage', 'identified using', 'food access', 'first antenna', 'female n', 'estimated growth', 'also examined']</t>
  </si>
  <si>
    <t>Postmarsupial development and growth of Natatolana borealis were studied from Skogsvag and Raknesvag on the western coast of Norway. Growth was determined from size and instar stage distributions. Growth was also examined in laboratory kept isopods that were collected from Skogsvag. The postmarsupial instar stages were identified using the number of articles and the position of setae on the flagellum of the first antenna and other morphological features. The mean size of isopods in instar stages 1-3 did not show any significant seasonal variation in Raknesvag. The estimated growth and mortality rates of males and females were not significantly different. Nine and 11 postmarsupial instar stages were found in material from Skogsvag and Raknesvag, respectively. The life span from instar stage I to 9 of male and female N. borealis from western Norway was estimated to be 3-4 y. Mortality rate increased significantly from instar stage 9 to 10 of both sexes. Isopods that attained instar stage 10 and instar stage 11 in Raknesvag, may have lived 4-5 y. The mean size of instar stages 8 and 9 and the size-to-weight relationships were significantly higher in material from Raknesvag relative to that from Skogsvag and may have been caused by differences in food access and predation pressure at the two study sites. Specimens sampled from the Bay of Monaco attained smaller adult size than the isopods from the Norwegian population.</t>
  </si>
  <si>
    <t>623-632</t>
  </si>
  <si>
    <t>Johansen, P. O.</t>
  </si>
  <si>
    <t>Bergen</t>
  </si>
  <si>
    <t>Bergen High Technology Center</t>
  </si>
  <si>
    <t>Johansen P.O.</t>
  </si>
  <si>
    <t>Contribution to the knowledge of growth and postmarsupial development of Natatolana borealis (Crustacea: Isopoda)</t>
  </si>
  <si>
    <t>10.1017/S0025315400002447</t>
  </si>
  <si>
    <t>2-s2.0-0033828053</t>
  </si>
  <si>
    <t>['two na', 'rhodamine moiety', 'rh moieties', 'polymeric chain', 'photophysical properties', 'naphthalimide moiety', 'naphthalimide derivatives', 'na group', 'monomers corresponding', 'high laser', 'ground state', 'fluorescence lifetimes', 'excellent photostability', 'energy transfer', 'damage threshold', 'copolymer synthesized', 'aln group', 'absorption spectra']</t>
  </si>
  <si>
    <t>The excellent photostability of the trichromophoric rhodamine dyes (TCR-1 and TCR-2) containing two 1,8-naphthalimides as antennas had been observed for the solid lasing operation using the dyes in methacrylate. Further understanding of the stabilization mechanism operating in these compounds would require a study of photophysical properties. The fluorescence lifetimes of TCR-1 and TCR-2 have been measured by the single-photon counting technique and the intramolecular singlet energy transfer from the naphthalimide moiety (NA) to the rhodamine moiety (Rh) has been observed. In order to obtain laser dye polymer materials with a high laser-radiation-damage threshold, modified rhodamine 6G molecules (Rh-Al Or Rh-Aln) with polymerizable double bonds have been copolymerized with 1,8-naphthalimide derivatives. The absorption spectra of these new copolymers indicate there is little or no interaction between the two NA and the Rh moieties in their ground state, however, the fluorescent spectra indicate that energy transfer from the NA group to the Rh-Al or Rh-Aln group in the copolymers does occur. In comparison, energy transfer was not observed in an equal molar mixture of monomers corresponding to the copolymers, which demonstrated that intramolecular energy transfer in the copolymer synthesized in this study occurred mainly along the polymeric chain.</t>
  </si>
  <si>
    <t>2049-2055</t>
  </si>
  <si>
    <t>Journal of Materials Chemistry</t>
  </si>
  <si>
    <t>60073625;60073625;60073625</t>
  </si>
  <si>
    <t>35235601300;55498879500;57011448700</t>
  </si>
  <si>
    <t>Tian, H.;He, Y.;Chang, C. P.</t>
  </si>
  <si>
    <t>Institute of Fine Chemicals</t>
  </si>
  <si>
    <t>Tian H.</t>
  </si>
  <si>
    <t>Synthesis and spectral properties of novel laser copolymers based on modified rhodamine 6G and 1,8-naphthalimide</t>
  </si>
  <si>
    <t>10.1039/b000141o</t>
  </si>
  <si>
    <t>2-s2.0-0033821873</t>
  </si>
  <si>
    <t>['thin polyvinylbutyral', 'single molecule', 'single light', 'similar measurements', 'recorded separately', 'multichromophoric system', 'interactions among', 'individual dendrimer', 'fluorescence intensity', 'ensemble model', 'dynamic character', 'distinguished within', 'decay traces', 'decay times', 'assumptions stated']</t>
  </si>
  <si>
    <t>Individual multichromophoric dendrimer molecules, bearing eight perylenecarboximide chromophores at the rim, immobilized in a thin polyvinylbutyral (PVB) film were studied by far-field fluorescence microscopy. Fluorescence intensity trajectories as a function of time (transients), spectra, and decay traces were recorded separately or simultaneously. For comparison, similar measurements have been performed on a model compound containing one perylenecarboximide chromophore. Collective on/off jumps of the fluorescence intensity were observed for single dendrimer molecules, resembling previously reported collective jumps for the emission of single light-harvesting antenna systems. Spectra and decays of both non-interacting and dimer-like interacting chromophoric sites could be distinguished within an individual dendrimer. Transitions between the different spectral forms and decay times, observed for a single molecule, underline the dynamic character of the interactions among the chromophores. Evidence for a stepwise bleaching process of the multichromophoric system was found. Furthermore, the single-molecule data incontestably prove the assumptions stated in the ensemble model.</t>
  </si>
  <si>
    <t>9278-9288</t>
  </si>
  <si>
    <t>60025063;60025063;60025063;60025063;60025063;60025063;60030637;60030637;60025063</t>
  </si>
  <si>
    <t>7006657754;7005108773;6603915892;6603050387;6701509829;7005748862;57052231900;36047278500;35420345400</t>
  </si>
  <si>
    <t>Hofkens, Johan;Maus, Michael;Gensch, Thomas;Vosch, Tom;Cotlet, Mircea;K√∂hn, Fabian;Herrmann, Andreas;M√ºllen, Klaus;De Schryver, Frans</t>
  </si>
  <si>
    <t>Germany;Belgium</t>
  </si>
  <si>
    <t>Mainz;3000 Leuven</t>
  </si>
  <si>
    <t>Max Planck Institute for Polymer Research;KU Leuven</t>
  </si>
  <si>
    <t>60030637;60025063</t>
  </si>
  <si>
    <t>Hofkens J.</t>
  </si>
  <si>
    <t>Probing photophysical processes in individual multichromophoric dendrimers by single-molecule spectroscopy</t>
  </si>
  <si>
    <t>10.1021/ja0012570</t>
  </si>
  <si>
    <t>2-s2.0-0034721415</t>
  </si>
  <si>
    <t>['wideband free', 'space sensor', 'electromagnetic fields', 'domain response', 'differentiating time', 'absolute calibration']</t>
  </si>
  <si>
    <t>An ultra-wideband free-space sensor for electromagnetic fields has been developed on the basis of a shielded loop antenna. Absolute calibration has been carried out experimentally and theoretically. The sensor has more than four octaves bandwidth and a non-differentiating time-domain response.</t>
  </si>
  <si>
    <t>1679-1680</t>
  </si>
  <si>
    <t>Yarovoy, A.;De Jongh, R.;Ligthart, L.</t>
  </si>
  <si>
    <t>Ultra-wideband sensor for electromagnetic field measurements in time domain</t>
  </si>
  <si>
    <t>10.1049/el:20001171</t>
  </si>
  <si>
    <t>2-s2.0-0034272394</t>
  </si>
  <si>
    <t>['synthesized using', 'smaller array', 'rectangular grid', 'real excitations', 'given footprint', 'arbitrary shape']</t>
  </si>
  <si>
    <t>Elliott and Stern's method for synthesizing shaped patterns using a circular or elliptical planar aperture or array with a complex excitation distribution is generalized to allow the synthesis of footprints of arbitrary shape. The use of complex excitations allows a given footprint to be synthesized using a smaller array than with real excitations. The procedure is illustrated by synthesizing a square footprint using an array with a rectangular grid.</t>
  </si>
  <si>
    <t>1678-1679</t>
  </si>
  <si>
    <t>6701881810;7006865572;7202825573</t>
  </si>
  <si>
    <t>Trastoy, A.;Ares, F.;Moreno, E.</t>
  </si>
  <si>
    <t>Arbitrary footprint patterns from planar arrays with complex excitations</t>
  </si>
  <si>
    <t>10.1049/el:20001226</t>
  </si>
  <si>
    <t>2-s2.0-0034275039</t>
  </si>
  <si>
    <t>Curtin University of Technology</t>
  </si>
  <si>
    <t>['two 10', 'significantly reduced', 'routinely used', 'photographic exposure', 'photogammetric survey', 'order polynomial', 'level flight', 'judicious choice', 'interpolation error', 'height dimension', 'gps measurements', 'generally coincide', 'fundamental task', 'exposure times', 'exact time', 'domain statistics', 'domain characteristids', 'directly observing', 'critical aspect', 'coordinate dimension', 'atmospheric turbulence', 'aircraft position']</t>
  </si>
  <si>
    <t>Differential Global Position System | Differential Global Position System | Interpolation Method | Interpolation Model | Level Flight</t>
  </si>
  <si>
    <t>Kinematic differential Global Positioning System (DGPS) positioning is routinely used in industry for directly observing an aircraft's position at each instant of photographic exposure during a photogammetric survey. A critical aspect of the subsequent data processing is estimation of the aircraft position at the exact time of exposure. GPS measurements are acquired at a uniform sampling rate, typically 1 Hz. The exposure times, however, do not generally coincide with these times. As a result, the exposure station positions must be interpolated from the adjacent GPS positions. This is typically done using a low-order polynomial, expressed as a function of time, for each coordinate dimension. However, trajectory perturbations induced by atmospheric turbulence can render such interpolation methods ineffective. This article will convey the results of an investigation into the use of several different interpolation models with airborne GPS data during straight, level flight. The fundamental task of time series reconstruction will first be addressed, in which several possible interpolation models are described. Two 10-Hz, airborne GPS data sets were collected to test the accuracy of each model. The error properties resulting from the application of each model to these data will be presented and analyzed in terms of time-domain statistics and frequency-domain characteristids. It will be demonstrated that interpolation error can be significantly reduced, especially in the height dimension, through judicious choice of an interpolator. ¬© 2000 John Wiley &amp; Sons, Inc.</t>
  </si>
  <si>
    <t>54-62</t>
  </si>
  <si>
    <t>GPS Solutions</t>
  </si>
  <si>
    <t>Lichti, Derek D.</t>
  </si>
  <si>
    <t>Curtin University</t>
  </si>
  <si>
    <t>Lichti D.</t>
  </si>
  <si>
    <t>Analysis of Interpolation Methods for Kinematic DGPS Control in Aerial Photogrammetry</t>
  </si>
  <si>
    <t>10.1007/PL00012842</t>
  </si>
  <si>
    <t>2-s2.0-0008832373</t>
  </si>
  <si>
    <t>['time adaptation', 'rmsa algorithm', 'range processing', 'music algorithm', 'covariance matrix', 'azimuth bin', 'avoid cross']</t>
  </si>
  <si>
    <t>To improve image quality, the ISAR-RMSA algorithm is applied to the signals of a linear phased antenna array. A time adaptation of the MUSIC algorithm is included inside ISAR-RMSA, after fast Fourier transform (FFT) cross-range processing, to decrease the necessary instantaneous bandwidth of the signal while maintaining range resolution. The covariance matrix of each azimuth bin is estimated from the corresponding azimuth bin of ISAR images made with different carrier frequencies to avoid cross-correlation between scatterers. Results of simulations and experiments are presented.</t>
  </si>
  <si>
    <t>155-161</t>
  </si>
  <si>
    <t>55223357100;7006051182;6601964816</t>
  </si>
  <si>
    <t>Bouchard, C.;Grenier, D.;Larocque, J. R.</t>
  </si>
  <si>
    <t>Bouchard C.</t>
  </si>
  <si>
    <t>ISAR-RMSA imaging radar with high-range-resolution algorithm and application to a linear phased antenna array</t>
  </si>
  <si>
    <t>2-s2.0-0034289731</t>
  </si>
  <si>
    <t>['uwb optics', 'unexploded ordnance', 'turn led', 'transmission lines', 'transient radar', 'thus opened', 'switched arrays', 'short pulse', 'resistive materials', 'recent advances', 'paper reviews', 'oil switching', 'new possibilities', 'mine detection', 'microwave sources', 'kirtland afb', 'date along', 'current research', 'complex behavior', 'antenna designs']</t>
  </si>
  <si>
    <t>Ultra-wideband (UWB) microwave sources and antennas are of interest for a variety of applications, such as transient radar, mine detection, and unexploded ordnance (UXO) location and identification. Much of the current research is being performed at the Air Force Research Laboratory (AFRL) at Kirtland AFB, NM. The approach to high power source development has included high pressure gas switching, oil switching, and solid-state-switched arrays. Recent advances in triggered gas switch technology and solid-state-switched shockline technology have opened up new possibilities for the development of much higher power systems and have thus opened the door to many new applications. The research into UWB transient antennas has also made significant contributions to the development and improvement of wideband continuous wave (CW) antenna designs and has brought new knowledge about the complex behavior of ferrites, dielectrics, and resistive materials in short pulse, very high voltage environments. This has in turn led to advances in the technology of transformers, transmission lines, insulators, and UWB optics. This paper reviews the progress to date along these lines and discusses new areas of research into UWB technology development.</t>
  </si>
  <si>
    <t>1624-1630</t>
  </si>
  <si>
    <t>IEEE Transactions on Plasma Science</t>
  </si>
  <si>
    <t>60000251-60019228;60000251-60019228;60000251-60019228;60000251-60019228;60000251-60019228;60000251-60019228;60000251-60019228;60000251-60019228;60000251-60019228;60000251-60019228;60019228</t>
  </si>
  <si>
    <t>7003360912;7201780943;7102825596;7101860701;55663513600;7005429037;7203008725;7202887522;7004631327;7004483010;7402669842</t>
  </si>
  <si>
    <t>Prather, William D.;Baum, Carl E.;Lehr, Jane M.;O'Loughlin, James P.;Tyo, Scott;Schoenberg, Jon S.H.;Torres, Robert J.;Tran, Tyrone C.;Scholfield, David W.;Gaudet, John;Burger, Jeffrey W.</t>
  </si>
  <si>
    <t>Dayton;New York</t>
  </si>
  <si>
    <t>Air Force Research Laboratory;IEEE</t>
  </si>
  <si>
    <t>60019228;60000251</t>
  </si>
  <si>
    <t>Prather W.D.</t>
  </si>
  <si>
    <t>Ultra-wideband source and antenna research</t>
  </si>
  <si>
    <t>10.1109/27.901245</t>
  </si>
  <si>
    <t>2-s2.0-0034289936</t>
  </si>
  <si>
    <t>['variables together', 'te excitations', 'scattering properties', 'scattered field', 'numerical results', 'investigated analytically', 'homogeneous material', 'field distributions', 'far zone', 'electrical sizes', 'easily extended', 'different core', 'axial ratio']</t>
  </si>
  <si>
    <t>The scattering properties of an impedance elliptic cylinder coated with a homogeneous material are investigated analytically. The method of separation of variables together with the impedance boundary condition (IBC) are used to determine the field distributions in each region for both the TM and TE excitations. The technique can be easily extended to handle any number of layers. The behavior of the scattered field in the far zone is illustrated with numerical results for different core and coating material types, axial ratio, and electrical sizes.</t>
  </si>
  <si>
    <t>1574-1580</t>
  </si>
  <si>
    <t>Sebak, Abdel Razik</t>
  </si>
  <si>
    <t>Sebak A.</t>
  </si>
  <si>
    <t>Scattering from dielectric-coated impedance elliptic cylinder</t>
  </si>
  <si>
    <t>10.1109/8.899674</t>
  </si>
  <si>
    <t>2-s2.0-0034289945</t>
  </si>
  <si>
    <t>['yet representative', 'wide class', 'scattering interaction', 'recursion relations', 'quantitatively shown', 'polarization shift', 'polarization cases', 'minimally affected', 'hankel functions', 'graded scale', 'evaluate bessel', 'ensures stability', 'effectiveness band', 'determined regions', 'convenient color', 'complex arguments', 'coating determined', 'coated body', 'calculations require', 'bistatic plots', 'available materials', 'angular sectors']</t>
  </si>
  <si>
    <t>We study the scattering interaction of electromagnetic (EM) waves with an infinite cylinder coated with a lossy dielectric material with frequency-dependent material properties. These properties are hypothetical, yet representative of a wide class of available materials. The monostatic and bistatic scattered widths (SW) are evaluated for the TM or TE polarization cases. These calculations require the use of algorithms to evaluate Bessel-Hankel functions of complex arguments. These algorithms are based on a continued fraction approach, which ensures stability of the recursion relations. The bistatic plots of the TM and TE scattering widths for the coated body are displayed in a convenient color-graded scale. The reductions in the scattering widths produced by this type of coating determined in selected frequency bands and angular sectors, in both polarization cases. It is quantitatively shown how curvature and polarization shift the effectiveness band of the coating. The determined regions in which the SW are minimally affected are the most suitable for target identification purposes.</t>
  </si>
  <si>
    <t>1528-1532</t>
  </si>
  <si>
    <t>60003554-60022562;60003554-60022562</t>
  </si>
  <si>
    <t>7003801782;7006384326</t>
  </si>
  <si>
    <t>Strifors, Hans C.;Gaunaurd, Guillermo C.</t>
  </si>
  <si>
    <t>Bethesda;Stockholm</t>
  </si>
  <si>
    <t>Carderock Division, Naval Surface Warfare Center;Totalforsvarets forskningsinstitut</t>
  </si>
  <si>
    <t>60022562;60003554</t>
  </si>
  <si>
    <t>Strifors H.</t>
  </si>
  <si>
    <t>Scattering of electromagnetic waves by a perfectly conducting cylinder with a thin lossy magnetic coating</t>
  </si>
  <si>
    <t>10.1109/8.899669</t>
  </si>
  <si>
    <t>2-s2.0-0034289970</t>
  </si>
  <si>
    <t>SU</t>
  </si>
  <si>
    <t>['radius b', 'radiation pattern', 'outer radius', 'loop may', 'following objects', 'electromagnetic radiation']</t>
  </si>
  <si>
    <t>The problem of electromagnetic radiation from a circular loop antenna of radius a, carrying a current I is considered. The loop may be radiating in the presence of one or more of the following objects: a centrally located dielectric or perfectly conducting sphere of radius b &lt; a, a spherical dielectric shell of inner radius c &gt; a and outer radius d, a perfectly conducting spherically symmetric cap at radius b, and another such cap at radius d. Typical geometric structures considered are shown in Fig. 1. It is demonstrated how the presence of the sphere, shell, and caps can change and direct the radiation pattern of the loop.</t>
  </si>
  <si>
    <t>1646-1652</t>
  </si>
  <si>
    <t>6508334435;7003887991;7003593230</t>
  </si>
  <si>
    <t>Parlal, Hakan P.;Mautz, Joseph R.;Arvas, Ercument</t>
  </si>
  <si>
    <t>Parlal H.</t>
  </si>
  <si>
    <t>Radiation from a circular loop in the presence of spherically symmetric conducting or dielectric objects</t>
  </si>
  <si>
    <t>10.1109/8.899681</t>
  </si>
  <si>
    <t>2-s2.0-0034289971</t>
  </si>
  <si>
    <t>['wave coupling', 'wave antennas', 'theoretical analysis', 'reduced surface', 'patch separation', 'numerical results', 'mutual coupling', 'much faster', 'examined using', 'coupling falls', 'asymptotic analysis']</t>
  </si>
  <si>
    <t>An investigation of the mutual coupling between reduced surface-wave microstrip antennas is presented and compared with that for conventional microstrip antennas. Numerical results are presented from a theoretical analysis of the mutual coupling along with confirming experimental results. It is shown that for electrically thin substrates, the space-wave coupling, not the surface-wave coupling, is predominant for typical element spacing, for both the conventional and reduced surface-wave antennas. In addition, the mutual coupling behavior is examined using an asymptotic analysis, which demonstrates how the coupling falls off much faster with patch separation for reduced surface wave antennas compared to conventional microstrip patch antennas.</t>
  </si>
  <si>
    <t>1581-1593</t>
  </si>
  <si>
    <t>60005837;60005837;60005837;60005837</t>
  </si>
  <si>
    <t>7005588972;57218985569;7404289310;7402507033</t>
  </si>
  <si>
    <t>Khayat, Michael A.;Williams, Jeffery T.;Jackson, David R.;Long, Stuart A.</t>
  </si>
  <si>
    <t>Houston</t>
  </si>
  <si>
    <t>University of Houston</t>
  </si>
  <si>
    <t>Khayat M.A.</t>
  </si>
  <si>
    <t>Mutual coupling between reduced surface-wave microstrip antennas</t>
  </si>
  <si>
    <t>10.1109/8.899675</t>
  </si>
  <si>
    <t>2-s2.0-0034289982</t>
  </si>
  <si>
    <t>['radiating system', 'radiating antenna', 'prototype impulse', 'plasma science', 'ira ),', 'ieee transactions', 'fully characterized', 'far fields', 'bore sight', 'additional measurements']</t>
  </si>
  <si>
    <t>Previously, the design, fabrication, and testing of a pulser with a parabolic reflector antenna, known as a prototype impulse-radiating antenna (IRA), had been presented in the IEEE Transactions on Plasma Science in 1997. The radiating system has now been more fully characterized with additional measurements and computations of near-field, intermediate, and far fields on bore sight.</t>
  </si>
  <si>
    <t>1631-1636</t>
  </si>
  <si>
    <t>60000251-60104110;60000251-60019228;60000251-60019228;60000251-60019228;60000251-60019228</t>
  </si>
  <si>
    <t>7006377169;7102825596;7003360912;7201780943;7203008725</t>
  </si>
  <si>
    <t>Giri, D. V.;Lehr, J. M.;Prather, W. D.;Baum, C. E.;Torres, R. J.</t>
  </si>
  <si>
    <t>Alamo;Dayton;New York</t>
  </si>
  <si>
    <t>Pro-Tech;Air Force Research Laboratory;IEEE</t>
  </si>
  <si>
    <t>60104110;60019228;60000251</t>
  </si>
  <si>
    <t>Giri D.V.</t>
  </si>
  <si>
    <t>Intermediate and far fields of a reflector antenna energized by a hydrogen spark-gap switched pulser</t>
  </si>
  <si>
    <t>10.1109/27.901246</t>
  </si>
  <si>
    <t>2-s2.0-0034290001</t>
  </si>
  <si>
    <t>['square cylinders', 'shadow regions', 'rectangular cylinders', 'radio beams', 'predict two', 'moderate width', 'model propagation', 'beam solutions', 'also used']</t>
  </si>
  <si>
    <t>The uniform geometrical theory of diffraction (UTD) and the complex source point method are combined to predict two-dimensional (2-D) scattering by rectangular cylinders for E and H-polarized beam sources. Arrays of such beam solutions are also used to model propagation of radio beams into the shadow regions of buildings for local extended sources. Direct numerical verification of the results is obtained for square cylinders of moderate width.</t>
  </si>
  <si>
    <t>1691-1698</t>
  </si>
  <si>
    <t>7201839350;7003354840</t>
  </si>
  <si>
    <t>Cheung, Hong D.;Jull, Edward V.</t>
  </si>
  <si>
    <t>Cheung H.D.</t>
  </si>
  <si>
    <t>Antenna pattern scattering by rectangular cylinders</t>
  </si>
  <si>
    <t>10.1109/8.899686</t>
  </si>
  <si>
    <t>2-s2.0-0034290005</t>
  </si>
  <si>
    <t>['triggered switch', 'term containment', 'spark gaps', 'sealed previously', 'repeatable voltage', 'pulsed power', 'notoriously hard', 'mobile field', 'high pressures', 'hermetic seal', 'greatly enhanced', 'gas reservoir', 'first order', 'fabrication techniques', 'careful selection', 'although high', '600 hz']</t>
  </si>
  <si>
    <t>Triggered gas switches increase the reliability and repeatability of pulsed power systems. In particular, the performance of high-power, repetitively rated impulse generators is greatly enhanced by including a triggered switch. Impulse generators generally consist of cascaded energy storage elements, and the pulse-to-pulse voltage variations depend, to the first order, on the consistency of the voltage in the first energy storage stage. Thus, a repetitively operated trigatron has been developed to discharge a low-inductance, 70-J primary capacitor bank with very repeatable voltage at a pulse repetition frequency of 600 Hz. In order to simplify the pulsed power for mobile field-testing, it is desirable to seal the spark gaps to eliminate the need for a gas reservoir. Although high-pressure spark gaps have been sealed previously, long-term containment has not been pursued. To operate at high-pulse repetition frequencies, hydrogen, which is notoriously hard to seal at high pressures, must be used for its superior recovery properties. The hermetic seal was achieved by the careful selection of materials and fabrication techniques and designed for at least one year of use without refreshing.</t>
  </si>
  <si>
    <t>1469-1475</t>
  </si>
  <si>
    <t>60000251-60015710;60000251-100455950;112907285;112907285;60000251-100455950;100455950;60000251-60015710</t>
  </si>
  <si>
    <t>7102825596;35616697500;6701865414;6505997202;7003578692;36770849100;7003360912</t>
  </si>
  <si>
    <t>Lehr, Jane M.;Abdalla, Michael D.;Gruner, Frederick R.;Cockreham, Brett C.;Skipper, Michael C.;Ahern, Scan M.;Prather, William D.</t>
  </si>
  <si>
    <t>Kirtland;New York;Albuquerque;Albuquerque</t>
  </si>
  <si>
    <t>Kirtland Air Force Base;IEEE;Kinetech Corporation;ASR Corporation</t>
  </si>
  <si>
    <t>60015710;60000251;112907285;100455950</t>
  </si>
  <si>
    <t>Lehr J.</t>
  </si>
  <si>
    <t>Development of a hermetically sealed, high-energy trigatron switch for high repetition rate applications</t>
  </si>
  <si>
    <t>10.1109/27.901216</t>
  </si>
  <si>
    <t>2-s2.0-0034290016</t>
  </si>
  <si>
    <t>DAAG55-98-1-0498</t>
  </si>
  <si>
    <t>['valid even', 'representations obtained', 'numerical results', 'method results', 'method analysis', 'integrand decays', 'field points', 'especially useful', 'efficient method', 'appropriate green']</t>
  </si>
  <si>
    <t>An efficient method to evaluate the surface fields excited on an electrically large dielectric-coated circular cylinder is presented. The efficiency of the method results from the circumferentially propagating representation of the Green's function as well as its efficient numerical evaluation along a steepest descent path. The circumferentially propagating series representation of the appropriate Green's function is obtained from its radially propagating counterpart via Watson's transformation and then the path of integration is deformed to the steepest descent path on which the integrand decays most rapidly. Numerical results are presented that indicate that the representations obtained here are very efficient and valid even for arbitrary small separations of the source and field points. This work is especially useful in the moment-method analysis of conformal microstrip antennas where the mutual coupling effects are important.</t>
  </si>
  <si>
    <t>1507-1516</t>
  </si>
  <si>
    <t>60003500-60014808;60003500-60014808</t>
  </si>
  <si>
    <t>35591439300;35595967100</t>
  </si>
  <si>
    <t>Ert√ºrk, Vakur B.;Rojas, Roberto G.</t>
  </si>
  <si>
    <t>Ankara;Columbus</t>
  </si>
  <si>
    <t>Bilkent √úniversitesi;The Ohio State University</t>
  </si>
  <si>
    <t>60014808;60003500</t>
  </si>
  <si>
    <t>Ert√ºrk V.B.</t>
  </si>
  <si>
    <t>Efficient computation of surface fields excited on a dielectric-coated circular cylinder</t>
  </si>
  <si>
    <t>10.1109/8.899666</t>
  </si>
  <si>
    <t>2-s2.0-0034290027</t>
  </si>
  <si>
    <t>['wave traveling', 'spherical insulator', 'source reduces', 'reflection coefficient', 'plane wave', 'large compared', "insulated '.", 'infinite extent', 'given quantity', 'dissipative medium', 'dipole must', 'dipole moment', 'boundary condition']</t>
  </si>
  <si>
    <t>The general radiation formula for a Hertzian dipole immersed in an isotropic dissipative medium of infinite extent has been derived. As a boundary condition of the source, it is assumed that the dipole moment is a given quantity. When the conductivity of the medium is finite, the total radiating power is found to be infinite. Thus, in order to define a finite physically meaningful quantity, the dipole must be 'insulated'. The total radiating power is then a function of the thickness of the insulator and the constants of the media. When the radius of the spherical insulator is large compared to a wavelength, the reflection coefficient of the wave traveling from the dielectric to the dissipative medium with the dipole as a source reduces to that of a plane wave as derived from Fresnel's equations. The similarity between this and the problem by Weyl is discussed in this paper.</t>
  </si>
  <si>
    <t>1501-1506</t>
  </si>
  <si>
    <t>60025778-60000305;60025778-60000305</t>
  </si>
  <si>
    <t>7202900529;7007033594</t>
  </si>
  <si>
    <t>Tai, C. T.;Collin, Robert E.</t>
  </si>
  <si>
    <t>Ann Arbor;Cleveland</t>
  </si>
  <si>
    <t>University of Michigan, Ann Arbor;Case Western Reserve University</t>
  </si>
  <si>
    <t>60025778;60000305</t>
  </si>
  <si>
    <t>Tai C.</t>
  </si>
  <si>
    <t>Radiation of a Hertzian dipole immersed in a dissipative medium</t>
  </si>
  <si>
    <t>10.1109/8.899665</t>
  </si>
  <si>
    <t>2-s2.0-0034290051</t>
  </si>
  <si>
    <t>Philips</t>
  </si>
  <si>
    <t>TIC98-1037-C03-01</t>
  </si>
  <si>
    <t>TU/e</t>
  </si>
  <si>
    <t>['transient excitation', 'spectral fields', 'sommerfeld representation', 'second place', 'representative results', 'pulsed vertical', 'physical intuition', 'integral equation', 'horizontal dipole', 'first place', 'degenerate kernel']</t>
  </si>
  <si>
    <t>In this paper, we consider the transient excitation by a pulsed vertical or horizontal dipole of a continuously layered lossy dielectric slab embedded in between two dielectric half-spaces. The focus of the paper is on finding a highly efficient numerical implementation. To this end, we choose all spatial approximations independent of frequency. In the first place, this concerns the inverse spatial Fourier transformation in the Sommerfeld representation of the fields. A suitable quadrature rule is obtained by introducing a normalized wave number, and identifying the result in terms of dual analytic signals. In the second place, this concerns the spectral fields for which a new integral equation is derived with a degenerate kernel. This integral equation is solved by a fully recursive procedure. Representative results are presented and discussed that can be understood from physical intuition.</t>
  </si>
  <si>
    <t>1673-1684</t>
  </si>
  <si>
    <t>60032882-60014655;60032882-60014655</t>
  </si>
  <si>
    <t>7003525820;6701414738</t>
  </si>
  <si>
    <t>Tijhuis, Anton G.;Bretones, Amelia Rubio</t>
  </si>
  <si>
    <t>Netherlands;Spain</t>
  </si>
  <si>
    <t>Eindhoven;Granada</t>
  </si>
  <si>
    <t>Technische Universiteit Eindhoven;Universidad de Granada, Facultad de Ciencias</t>
  </si>
  <si>
    <t>60032882;60014655</t>
  </si>
  <si>
    <t>Tijhuis A.</t>
  </si>
  <si>
    <t>Transient excitation of a layered dielectric medium by a pulsed electric dipole</t>
  </si>
  <si>
    <t>10.1109/8.899684</t>
  </si>
  <si>
    <t>2-s2.0-0034290055</t>
  </si>
  <si>
    <t>['wide range', 'want accomplished', 'user request', 'thus limiting', 'systems developed', 'software modules', 'purpose libraries', 'planning techniques', 'mvp reduced', 'modularizing functionality', 'manual inputs', 'image processing', 'galileo mission', 'enhancing software', 'enable novices', 'data analysis', 'configuring antennas', 'available subroutines', 'asip reduces', 'artificial intelligence', '4 h', '15 min']</t>
  </si>
  <si>
    <t>One important approach to enhancing software re-use is through the creation of large-scale software libraries. By modularizing functionality, many complex specialized applications can be built up from smaller reusable general-purpose libraries. Consequently, many large software libraries have been formed for applications such as image processing and data analysis. However, knowing the requirements and formats of each of these routines requires considerable expertise - thus limiting the usage of these libraries to experts. An approach is described to enable novices to use complex software libraries. In this approach, the interactions between, and requirements of, the software modules are represented in a declarative language based on artificial intelligence (AI) planning techniques. The user is then able to specify their goals in terms of this language-designating what they want accomplished, instead of how to do it. The AI planning system then uses this model of the available subroutines to compose a domain specific script to fulfill the user request. Three such systems developed by the Artificial Intelligence Group of the Jet Propulsion Laboratory and described. The multimission VICAR planner (MVP) was deployed in 1994 and used to support image processing for science product generation for the Galileo mission. MVP reduced the time for filling certain classes of requests from 4 h to 15 min. The automated SAR image processing system (ASIP) was deployed in 1996 to the Department of Geology at Arizona State University to support aeolian science analysis of synthetic aperture radar images. ASIP reduces the number of manual inputs in science product generation tenfold. Finally, the DPLAN system reconfigures software modules that control complex antenna hardware in configuring antennas to support a wide range of tracks for NASA's Deep Space Network of communications and radio science antennas.</t>
  </si>
  <si>
    <t>186-192</t>
  </si>
  <si>
    <t>IEE Proceedings: Software</t>
  </si>
  <si>
    <t>7201952372;7101746811;6701819256</t>
  </si>
  <si>
    <t>Chien, S.;Fisher, F.;Estlin, T.</t>
  </si>
  <si>
    <t>Chien S.</t>
  </si>
  <si>
    <t>Automated software module reconfiguration through the use of artificial intelligence planning techniques</t>
  </si>
  <si>
    <t>10.1049/ip-sen:20000899</t>
  </si>
  <si>
    <t>2-s2.0-0034290331</t>
  </si>
  <si>
    <t>N00014-96-1-G913</t>
  </si>
  <si>
    <t>['wave beamforming', 'uniform line', 'spacing variations', 'resampling technique', 'processing data', 'plane tangent', 'plane array', 'phase compensation', 'optimal dolph', 'numerical optimizations', 'noncoplanar arrays', 'narrowband plane', 'iterative techniques', 'irregularly spaced', 'irregular arrays', 'irregular array', 'equivalent aperture', 'element position', 'element pattern', 'efficient technique', 'chebyshev sense']</t>
  </si>
  <si>
    <t>The majority of optimal shading methods for arrays of irregularly spaced or noncoplanar elements rely on numerical optimizations and iterative techniques to compute the desired weighting function because analytic solutions generally do not exist. Optimality is meant here in the Dolph-Chebyshev sense to provide the narrowest mainlobe width for a given sidelobe level. We present a simple and efficient technique to compute real shading coefficients for nonuniform-line, curved-line, and noncoplanar arrays by resampling the optimal Dolph-Chebyshev window computed for a uniform line or plane array of equivalent aperture at the element position of the irregular array. Computer simulation examples of narrowband plane-wave beamforming with irregular arrays, in which phase compensation is achieved by projecting the elements on a line or plane tangent to the array, show peak sidelobe levels close to those obtainable for optimally shaded uniform arrays of equal aperture sizes and numbers of elements, where the differences depend upon the spacing variations and numbers of elements. This resampling technique is applied to seafloor acoustic backscatter data collected at sea with the 68-kHz Toroidal Volume Search Sonar to highlight a tradeoff between peak and outer sidelobe levels and illustrate the requirement for element pattern when processing data from irregular arrays.</t>
  </si>
  <si>
    <t>553-567</t>
  </si>
  <si>
    <t>60121579;60121579</t>
  </si>
  <si>
    <t>6603270555;7004129042</t>
  </si>
  <si>
    <t>Gallaudet, Timothy C.;De Moustier, Christian P.</t>
  </si>
  <si>
    <t>Marine Physical Laboratory</t>
  </si>
  <si>
    <t>Gallaudet T.C.</t>
  </si>
  <si>
    <t>On optimal shading for arrays of irregularly-spaced or noncoplanar elements</t>
  </si>
  <si>
    <t>10.1109/48.895363</t>
  </si>
  <si>
    <t>2-s2.0-0034290350</t>
  </si>
  <si>
    <t>0602435N</t>
  </si>
  <si>
    <t>['water high', 'water depths', 'stable platforms', 'signals covering', 'several broad', 'resolution sources', 'receiver range', 'provide estimates', 'phase variabilities', 'panama city', 'frequency range', 'band high', '200 khz']</t>
  </si>
  <si>
    <t>A shallow-water high-frequency (HF) acoustic propagation experiment was conducted just off shore in Panama City, FL. Several broad-band high-resolution sources and receivers were mounted on stable platforms and deployed in water depths of 8-10 m. Signals covering the frequency range from 20 to 200 kHz were transmitted from the sources to two spatially separated receivers. The data were analyzed to provide estimates of the signal phase variances as a function of frequency and source-to-receiver range. These phase variabilities are correlated with small-scale water column thermal variabilities and ocean swell conditions.</t>
  </si>
  <si>
    <t>;60001439;;</t>
  </si>
  <si>
    <t>10044319500;7401901888;7006667781;7201683153</t>
  </si>
  <si>
    <t>Stanic, Stephen J.;Goodman, Ralph R.;Meredith, Roger W.;Kennedy, Edgar</t>
  </si>
  <si>
    <t>Stanic S.</t>
  </si>
  <si>
    <t>Measurements of high-frequency shallow-water acoustic phase fluctuations</t>
  </si>
  <si>
    <t>10.1109/48.895358</t>
  </si>
  <si>
    <t>2-s2.0-0034290357</t>
  </si>
  <si>
    <t>OCE-9731304</t>
  </si>
  <si>
    <t>['viable alternative', 'receive antenna', 'noise ratio', 'mcr ),', 'low signal', 'four frequencies', 'current extraction', 'computer simulation', 'better sensitivity', 'beam width', 'beam forming', 'analyze errors', '8 mhz']</t>
  </si>
  <si>
    <t>A computer simulation is used to analyze errors in high-frequency (HF) radar ocean surface current measurements. Two pointing algorithms used for current extraction, a direction finding approach using MUltiple SIgnal Characterization (MUSIC) developed by Schmidt, and conventional beam forming, are compared in terms of the effect of variations in sea state parameters on current measurement error. The radar system parameters used in the simulation were taken from the University of Michigan's multi-frequency coastal radar (MCR), which operates on four frequencies from 4.8 to 21.8 MHz and employs an eight-element linear phased array for its receive antenna. Results show MUSIC direction finding to be applicable to phased array systems and to have a better sensitivity to sharp current features, but larger random error than traditional beam forming methods. Also, for cases where beam forming errors are dominated by beam width or low signal to noise ratio, results show MUSIC to be a viable alternative to beam forming.</t>
  </si>
  <si>
    <t>481-491</t>
  </si>
  <si>
    <t>60024941;60006683;60033012</t>
  </si>
  <si>
    <t>7005886819;7102072946;7004018029</t>
  </si>
  <si>
    <t>Laws, Kenneth E.;Fernandez, Daniel M.;Paduan, Jeffrey D.</t>
  </si>
  <si>
    <t>Monterey;Santa Cruz;Marina</t>
  </si>
  <si>
    <t>Naval Postgraduate School;University of California, Santa Cruz;California State University, Monterey Bay</t>
  </si>
  <si>
    <t>60033012;60024941;60006683</t>
  </si>
  <si>
    <t>Laws K.</t>
  </si>
  <si>
    <t>Simulation-based evaluations of HF radar ocean current algorithms</t>
  </si>
  <si>
    <t>10.1109/48.895355</t>
  </si>
  <si>
    <t>2-s2.0-0034290413</t>
  </si>
  <si>
    <t>['two dipole', 'reference value', 'network analyzer', 'measurement sites', 'measurement results', 'measured using', 'ground plane', 'geometrical theory', 'evaluate sites', 'comparison shows', 'calculated using', 'caf ).', 'also calculated']</t>
  </si>
  <si>
    <t>The transmission S-parameter between two dipole-elements is a measure to evaluate sites for measuring complex antenna factors (CAF). In this paper, the S-parameter between two dipole-elements on a ground plane is measured using a network analyzer with its TRL (Thru-Reflect-Line) calibration. The S-parameter is also calculated by the method of moment (MoM) and compared to the measurement results. The comparison shows that the calculated S-parameter is usable as a reference value in the evaluation of CAF measurement sites. As an example of the evaluation and selection of measurement sites, the transmission S-parameter on a finite ground plane is calculated using the hybrid method combined the geometrical theory of diffraction (GTD) and MoM. As a result, a preferable antenna setting on the finite ground plane is recommended.</t>
  </si>
  <si>
    <t>2419-2426</t>
  </si>
  <si>
    <t>7403359208;7403058439</t>
  </si>
  <si>
    <t>Fujii, Katsumi;Iwasaki, Takashi</t>
  </si>
  <si>
    <t>Evaluation of sites for measuring complex antenna factors: comparison of theoretical calculation and TRL-based experiment</t>
  </si>
  <si>
    <t>2-s2.0-0034290627</t>
  </si>
  <si>
    <t>['transient radiation', 'rigorous formulation', 'physical interpretation', 'monopole antenna', 'fundamental properties', 'function approximation', 'easily transformed', 'domain three', 'computed using', 'arbitrary waveform', 'analytical time']</t>
  </si>
  <si>
    <t>The analytical time-domain vector representation of the transient electromagnetic radiation of a monopole antenna is computed using the Maple software package. This simulation originates directly from the rigorous formulation of the problem via Maxwell's equations. A ramp-function approximation of the antenna excitation current (of arbitrary waveform) is employed. Using the capabilities of Maple, the problem is easily transformed into a compact Maple code. Maple computing enables analytical time-domain three-dimensional vector expressions for the transient radiation field. The fundamental properties of transient radiation are thus characterized qualitatively and quantitatively, assisting with physical interpretation of the results.</t>
  </si>
  <si>
    <t>102-108</t>
  </si>
  <si>
    <t>Boryssenko, Anatoliy A.</t>
  </si>
  <si>
    <t>Research Co. DIASCARB</t>
  </si>
  <si>
    <t>Boryssenko A.A.</t>
  </si>
  <si>
    <t>Time-domain vector representation of monopole transient electromagnetic radiation using Maple software</t>
  </si>
  <si>
    <t>10.1109/74.883510</t>
  </si>
  <si>
    <t>2-s2.0-0034290929</t>
  </si>
  <si>
    <t>['tunnel due', 'slow fading', 'single antenna', 'simple relations', 'signal deterioration', 'phased antennas', 'fast fading']</t>
  </si>
  <si>
    <t>UHF propagation inside tunnels improves considerably if a pair of phased antennas is used as a fixed antenna system, instead of a single antenna. In this study, the causes of signal deterioration in a tunnel due to slow fading and fast fading were analyzed. Simple relations were obtained for their calculation. Finally, it was demonstrated that the pair of phased antennas can reduce fast fading.</t>
  </si>
  <si>
    <t>40-47</t>
  </si>
  <si>
    <t>60083761;60083761</t>
  </si>
  <si>
    <t>6507675623;6504037844</t>
  </si>
  <si>
    <t>Coraiola, Alessandro;Sturani, Bruno</t>
  </si>
  <si>
    <t>Sirti S.p.A.</t>
  </si>
  <si>
    <t>Coraiola A.</t>
  </si>
  <si>
    <t>Using a pair of phased antennas to improve UHF reception/transmission in tunnels</t>
  </si>
  <si>
    <t>10.1109/74.883506</t>
  </si>
  <si>
    <t>2-s2.0-0034290930</t>
  </si>
  <si>
    <t>['signal requires', 'retrodirective signaling', 'retrodirective properties', 'results indicate', 'possible instability', 'guaranteed due', 'ground vehicles', 'frequency transmitted', 'frequency stability', 'eventual loss', 'design tradeoffs', 'cause instability', 'accurate reconstruction']</t>
  </si>
  <si>
    <t>The frequency stability of communications or remote sensing systems using phase conjugation as a means of retrodirective signaling is developed under the influence of constant rectilinear motion. The results indicate that for dynamic mobile platforms such as aircraft, helicopters, and ground vehicles the retrodirective properties of phase conjugating arrays are not guaranteed due to a possible instability of the frequency. It is shown that the frequency transmitted by each platform has a dependence on the open loop gains of the transceivers on each platform in the link. Fast and accurate reconstruction of the phase of the signal requires a high open loop gain, however, too high a gain will cause instability and eventual loss of lock. Design tradeoffs are discussed.</t>
  </si>
  <si>
    <t>1219-1231</t>
  </si>
  <si>
    <t>60025778-60009037;60000251-60025778</t>
  </si>
  <si>
    <t>6701560184;7006384021</t>
  </si>
  <si>
    <t>DiDomenico, Leo D.;Rebeiz, Gabriel M.</t>
  </si>
  <si>
    <t>Ann Arbor;Pasadena;New York</t>
  </si>
  <si>
    <t>University of Michigan, Ann Arbor;Jet Propulsion Laboratory;IEEE</t>
  </si>
  <si>
    <t>60025778;60009037;60000251</t>
  </si>
  <si>
    <t>DiDomenico L.D.</t>
  </si>
  <si>
    <t>Frequency stability in adaptive retrodirective arrays</t>
  </si>
  <si>
    <t>10.1109/7.892670</t>
  </si>
  <si>
    <t>2-s2.0-0034291211</t>
  </si>
  <si>
    <t>['work presents', 'work addresses', 'widespread catv', 'shorter path', 'path resulting', 'optimal path', 'mobile terminals', 'major trend', 'high probability', 'handoff handling', 'following mobility', 'elongated path', 'catv networks', 'catm ),', 'call setup', 'attractive infrastructures']</t>
  </si>
  <si>
    <t>This work presents a frame-structure, referred to as CATM (CATV ATM), to serve as a wireless network infrastructure. The widespread CATV (Community Antenna TV) networks are attractive infrastructures for next generation wireless networks. Providing interactive broadband services over CATV networks is a major trend in communication and ATM (Asynchronous Transfer Mode) networks with broadband communication features well fitted to be the backbone of CATV networks. Based on the proposed network architecture, this work addresses and investigates the problems of call setup and handoff handling. This work also proposes a wireless signaling protocol for establishing mobile connections over the CATM-based wireless networks. To enhance bandwidth utilization, the proposed scheme attempts to keep the path resulting after handoff as short as possible. The protocol also evolves a seamless handoff scheme (denoted as SHSW-CATM), that can preserve data continuity, is transparent to other mobile terminals, and produces a shorter path. Analytical results reveal that the SHSW-CATM has a high probability of obtaining an optimal path (that is, a non-elongated path) following mobility.</t>
  </si>
  <si>
    <t>2402-2410</t>
  </si>
  <si>
    <t>Liu, Huey Ing</t>
  </si>
  <si>
    <t>Fu Jen Catholic University</t>
  </si>
  <si>
    <t>Liu H.</t>
  </si>
  <si>
    <t>Architecture and signaling protocols for wireless CATM networks</t>
  </si>
  <si>
    <t>2-s2.0-0034291309</t>
  </si>
  <si>
    <t>['wave range', 'two parameters', 'statistical assessment', 'received signals', 'proposed based', 'polarization interleaving', 'negligible effect', 'nearly line', 'lmds ),', 'link budget', 'interference ratio', 'important factors', 'gain antenna', 'frequency segmentation', 'foliage attenuation', 'fading due', 'downlink sir', 'different compared', 'channel interference', 'cellular architecture']</t>
  </si>
  <si>
    <t>Behavior of co-channel interference in fixed wireless cellular systems, such as millimeter-waves Local Multipoint Distribution Service (LMDS), is different compared to what has been established for mobile microwave systems. This is due to utilization of a high-gain antenna for the subscriber. In this paper, first the analysis of signal-to-interference ratio (SIR) is presented for line-of-sight and nearly line-of-sight LMDS architecture. In this analysis, the effects of precipitation and foliage attenuation and depolarization have been considered. These two parameters have negligible effect on the microwave mobile systems but in millimeter-wave range are among the most important factors in the link budget. To mitigate the fading due to shadowing by buildings and trees, a highly overlapped architecture and macro-diversity are proposed. After analysis of downlink SIR in previously proposed cellular systems, a cellular architecture is proposed based on polarization interleaving and frequency segmentation which has a much higher SIR yield. The statistical assessment of SIR is accomplished by assuming lognormal distribution for the received signals.</t>
  </si>
  <si>
    <t>197-210</t>
  </si>
  <si>
    <t>;60001439</t>
  </si>
  <si>
    <t>6602927853;7005636245</t>
  </si>
  <si>
    <t>Farahvash, Shayan;Kavehrad, Mohsen</t>
  </si>
  <si>
    <t>Farahvash S.</t>
  </si>
  <si>
    <t>Co-channel interference assessment for line-of-sight and nearly line-of-sight millimeter-waves cellular LMDS architecture</t>
  </si>
  <si>
    <t>10.1023/A:1009592106492</t>
  </si>
  <si>
    <t>2-s2.0-0034291436</t>
  </si>
  <si>
    <t>['wireless system', 'wireless network', 'wave fiber', 'technique employs', 'single ka', 'single dual', 'rf signal', 'receive mode', 'radio link', 'modulation scheme', 'local oscillator', 'lo frequency', 'frequency equal', 'first demonstration', 'customer unit', 'central office', 'broadband fiber', 'base station', 'applied simultaneously', '8 ghz', '622 mb', '5 ghz', '20 km', '155 mb']</t>
  </si>
  <si>
    <t>We present the first demonstration of a millimeter-wave (mm-wave) broadband fiber-wireless system which incorporates baseband data transmission in both the downstream (622 Mb/s) and upstream (155 Mb/s) directions. The local oscillator (LO) required at the remote antenna base station for up- and downconversion to/from the mm-wave radio frequency (RF) is delivered remotely via a modulation scheme that is tolerant to the effects of fiber chromatic dispersion on the detected LO carrier power. The technique employs a single dual-electrode modulator located at the central office (CO) and the data and an RF signal at a frequency equal to half the LO frequency, are applied simultaneously to the device. The modulation scheme was optimized as a function of the modulator operating conditions. Simultaneous bidirectional radio transmission in the mm-wave fiber-wireless network was implemented using specially designed mm-wave diplexers located at the base station (BS) and customer unit, and a single Ka-band printed antenna array at the BS operating simultaneously in transmit and receive mode. Error-free data transmission was demonstrated for both down- (34.8 GHz) and uplinks (37.5 GHz) after 20 km of single-mode optical fiber and a bit error rate (BER) of 10-6 was achieved after the inclusion of a 2-m radio link.</t>
  </si>
  <si>
    <t>1355-1363</t>
  </si>
  <si>
    <t>60026553;60026553;60026553;60011362;100412378</t>
  </si>
  <si>
    <t>55480890000;35571786200;7103230273;35478779700;7004015215</t>
  </si>
  <si>
    <t>Lim, Christina;Nirmalathas, Ampalavanapillai;Novak, Dalma;Waterhouse, Rod;Yoffe, Gideon</t>
  </si>
  <si>
    <t>Parkville;Melbourne;Sydney</t>
  </si>
  <si>
    <t>University of Melbourne;RMIT University;Optical Fibre Technology Centre</t>
  </si>
  <si>
    <t>60026553;60011362;100412378</t>
  </si>
  <si>
    <t>Lim C.</t>
  </si>
  <si>
    <t>Millimeter-wave broad-band fiber-wireless system incorporating baseband data transmission over fiber and remote LO delivery</t>
  </si>
  <si>
    <t>10.1109/50.887186</t>
  </si>
  <si>
    <t>2-s2.0-0034291845</t>
  </si>
  <si>
    <t>['unique aspects', 'receiving aperture', 'radiating structure', 'radiated energy', 'matrix method', 'important attribute', 'aforesaid structure']</t>
  </si>
  <si>
    <t>The synthesis of the radiating structure of wireless power transmission (WPT) systems has some unique aspects. An important attribute is the efficiency of coupling the radiated energy into the receiving aperture. There are possibilities of improving the WPT by variations of the wave field distribution on the aperture and its configuration too. The matrix method of synthesis of the aforesaid structure is examined.</t>
  </si>
  <si>
    <t>1142-1148</t>
  </si>
  <si>
    <t>60000251-60032321;60000251-60021331</t>
  </si>
  <si>
    <t>57213297630;7003717629</t>
  </si>
  <si>
    <t>Garmash, V. N.;Shaposhnikov, S. S.</t>
  </si>
  <si>
    <t>Russian Federation;Russian Federation;United States</t>
  </si>
  <si>
    <t>Moscow;Moscow;New York</t>
  </si>
  <si>
    <t>Moscow Technical University of Communication and Informatics;Russian Academy of Sciences;IEEE</t>
  </si>
  <si>
    <t>60032321;60021331;60000251</t>
  </si>
  <si>
    <t>Garmash V.N.</t>
  </si>
  <si>
    <t>Matrix method synthesis of transmitting antenna for wireless power transmission</t>
  </si>
  <si>
    <t>10.1109/7.892664</t>
  </si>
  <si>
    <t>2-s2.0-0034292057</t>
  </si>
  <si>
    <t>['time receivers', 'time characterization', 'robust representation', 'propagation dynamics', 'optimal performance', 'natural framework', 'fixed basis', 'existing designs', 'estimating delay', 'essential degrees', 'doppler shifts', 'doa parameters', 'doa ).', 'different multipaths', 'designing low', 'complexity space', 'canonical space', 'basis captures']</t>
  </si>
  <si>
    <t>A canonical space-time characterization of mobile wireless channels is introduced in terms of a fixed basis that is independent of the true channel parameters. The basis captures the essential degrees of freedom in the received signal using discrete multipath delays, Doppler shifts, and directions of arrival (DOA). The canonical representation provides a robust representation of the propagation dynamics and eliminates the need for estimating delay, Doppler and DOA parameters of different multipaths. Furthermore, it furnishes a natural framework for designing low-complexity space-time receivers. Single-user receivers based on the canonical channel representation are developed and analyzed. It is demonstrated that the resulting canonical space-time receivers deliver near-optimal performance at substantially reduced complexity compared to existing designs.</t>
  </si>
  <si>
    <t>1669-1680</t>
  </si>
  <si>
    <t>6603548095;7006280121;7006765697</t>
  </si>
  <si>
    <t>Onggosanusi, Eko N.;Sayeed, Akbar M.;Van Veen, Barry D.</t>
  </si>
  <si>
    <t>Onggosanusi E.</t>
  </si>
  <si>
    <t>Canonical space-time processing for wireless communications</t>
  </si>
  <si>
    <t>10.1109/26.871392</t>
  </si>
  <si>
    <t>2-s2.0-0034292147</t>
  </si>
  <si>
    <t>['udr components', 'studied experimentally', 'radiation efficiencies', 'microstrip lines', 'makes use', 'four amplifiers', 'flexible design', 'experimental investigations', 'eight radiators', 'design considerations', 'combining efficiency', 'also shown', '14 ghz', '1 dbi']</t>
  </si>
  <si>
    <t>In this paper, design considerations and experimental investigations of an integrated active antenna for space power combining that makes use of unidirectional dielectric radiators (UDRs) are presented and discussed. Attractive electrical performance stemmed from properties of nonradiating dielectric waveguide structures is benefited to design a prototype at a frequency of 14 GHz. An UDR feed circuit is implemented by microstrip lines and aperture-coupling is studied experimentally for arrays of two, four, and eight radiators. Measurements show high coupling and radiation efficiencies of the proposed excitation method. A power-combining efficiency of 89% was measured and a gain of 23.1 dBi was achieved for an antenna with eight radiators and four amplifiers. It is also shown that such a circuit configuration allows the combination of planar K u-band monolithic hybrid microwave integrated circuit and UDR components in flexible design of active array antennas.</t>
  </si>
  <si>
    <t>1628-1634</t>
  </si>
  <si>
    <t>60104244;60104244;60104244</t>
  </si>
  <si>
    <t>57190428446;7005722345;9042159400</t>
  </si>
  <si>
    <t>Belaid, Mekki;Laurin, Jean Jacques;Wu, Ke</t>
  </si>
  <si>
    <t>Centre de Recherche Poly-Grames</t>
  </si>
  <si>
    <t>Belaid M.</t>
  </si>
  <si>
    <t>Integrated active antenna array using unidirectional dielectric radiators</t>
  </si>
  <si>
    <t>10.1109/22.873889</t>
  </si>
  <si>
    <t>2-s2.0-0034294019</t>
  </si>
  <si>
    <t>C08806</t>
  </si>
  <si>
    <t>['systematic error', 'solid samples', 'small air', 'several liquid', 'resonant frequency', 'permittivity measurement', 'models used', 'liquid materials', 'experimentally verified', 'coaxial probe', 'also included']</t>
  </si>
  <si>
    <t>Microstrip antennas | Microwave measurements | Permittivity measurements</t>
  </si>
  <si>
    <t>An application of a small air-spaced coaxially fed rectangular microstrip patch antenna as a sensor for permittivity measurement is presented. The models used for the calculation of the permittivity from the shift in the resonant frequency for solid and liquid materials are described. The models are experimentally verified by measurements for several liquid and solid samples. The results are compared with those obtained using standard techniques, namely, coaxial probe and waveguide cell measurements. An error correction technique for the elimination of the systematic error of the measurement is also included. ¬© 2000 IEEE.</t>
  </si>
  <si>
    <t>1144-1148</t>
  </si>
  <si>
    <t>Bogosanovich, Mirjana</t>
  </si>
  <si>
    <t>Bogosanovich M.</t>
  </si>
  <si>
    <t>Microstrip patch sensor for measurement of the permittivity of homogeneous dielectric materials</t>
  </si>
  <si>
    <t>S0018945600079559</t>
  </si>
  <si>
    <t>10.1109/19.872944</t>
  </si>
  <si>
    <t>2-s2.0-0034294104</t>
  </si>
  <si>
    <t>['wave design', 'transition design', 'transformer steps', 'suitable computer', 'frequency band', 'experimental results', 'design procedure', 'containing means', 'accurate determination']</t>
  </si>
  <si>
    <t>Overmoded elliptical waveguide systems are shown to provide considerable lower insertion loss compared with standard types using the frequency band with exclusive TEc11 fundamental mode propagation. The considerations for the overmoded waveguide operation are outlined. A novel transition design based on transformer steps with curved cross sections and containing means for higher order mode control is established for interfacing the oversized elliptical cross section with the standard rectangular waveguide ports. The accurate determination of the transition structure maintaining high performance demands is obtained by a suitable computer-aided-design procedure. The overmoded waveguide approach, including the transition design, is proven by computed and experimental results for a millimeter-wave design.</t>
  </si>
  <si>
    <t>1749-1755</t>
  </si>
  <si>
    <t>60088442;60015776</t>
  </si>
  <si>
    <t>7004123926;57189490757</t>
  </si>
  <si>
    <t>Rosenberg, Uwe;Schneider, Martin</t>
  </si>
  <si>
    <t>Munich;Gerlingen</t>
  </si>
  <si>
    <t>Siemens Enterprise Communications GmbH &amp; Co. KG;Robert Bosch GmbH</t>
  </si>
  <si>
    <t>Rosenberg U.</t>
  </si>
  <si>
    <t>High-performance transitions for overmoded operation of elliptical waveguides</t>
  </si>
  <si>
    <t>10.1109/22.873905</t>
  </si>
  <si>
    <t>2-s2.0-0034294264</t>
  </si>
  <si>
    <t>['radio waves', 'propagation attenuation', 'paper concentrates', 'numerical results', 'm0 modes', 'important tsmq', 'found applications', 'dominant tsm1', 'also proved']</t>
  </si>
  <si>
    <t>Radio waves have found applications for communication and control in modern railway operations. This paper concentrates on characterizing radio wave propagation in trains. For this purpose, an oversized imperfect periodically loaded rectangular waveguide is proposed, and the surface impedance approximation is adopted to formulate the problem. The theoretical results show that HEMq,mn and TSMq,m0 modes can propagate. Meanwhile, why TSEq,m0 modes can not exist is also proved. The closed-form propagation constants for those important TSMq,m0 modes are obtained. The numerical results for the propagation attenuation of the dominant TSM1,10 are presented. The influence of passengers on propagation is discussed.</t>
  </si>
  <si>
    <t>419-424</t>
  </si>
  <si>
    <t>Chinese Journal of Electronics</t>
  </si>
  <si>
    <t>33167854700;35091107300</t>
  </si>
  <si>
    <t>Zhang, Y. P.;Do, M. A.</t>
  </si>
  <si>
    <t>Theory of the radio wave propagation in railway trains</t>
  </si>
  <si>
    <t>2-s2.0-0034294325</t>
  </si>
  <si>
    <t>['variation ratio', 'two strips', 'strip mla', 'small meander', 'resonant frequency', 'radiation resistance', 'quality factor', 'parameter u', 'input impedance', 'characteristic impedance', 'analysis shows', '11 wavelength']</t>
  </si>
  <si>
    <t>A small meander-line antenna consisting of two strips (two-strip MLA) is studied in order to increase the bandwidth. It is possible to increase the bandwidth by using the two strips because the radiation resistance can be stepped up and the reactances can be made to cancel each other in the balanced and unbalanced current modes. In the analysis, the input impedance is expressed by the radiation resistance, quality factor, and resonant frequency. A parameter u, which represents the variation ratio of the frequency from the resonant frequency, is introduced into the equation of the input impedance. The analysis shows that the characteristic impedance in balanced mode needs to be an arbitrary 20 Œ©. The two-strip MLA is more effective in making the characteristic impedance low than two round wires. An antenna with a height of 0.11 wavelength is made and measured. A bandwidth of 7.2% is obtained when VSWR is less than 1.5.</t>
  </si>
  <si>
    <t>35-43</t>
  </si>
  <si>
    <t>60006838;60006838;60006838;60006838;60006838</t>
  </si>
  <si>
    <t>7402614134;6701371445;55198212300;7202055791;6701467402</t>
  </si>
  <si>
    <t>Noguchi, Keisuke;Mizusawa, Motoo;Yamaguchi, Takashi;Okumura, Yoshihisa;Betsudan, Shin Ichi</t>
  </si>
  <si>
    <t>Kanazawa Institute of Technology</t>
  </si>
  <si>
    <t>Noguchi K.</t>
  </si>
  <si>
    <t>Increasing the bandwidth of a small meander-line antenna consisting of two strips</t>
  </si>
  <si>
    <t>10.1002/1520-6432(200010)83:10&lt;35::AID-ECJB5&gt;3.0.CO;2-2</t>
  </si>
  <si>
    <t>2-s2.0-0034295767</t>
  </si>
  <si>
    <t>F19628-95-C-0002</t>
  </si>
  <si>
    <t>['high combining', 'combining efficiency', 'combined array', 'available 7', '8 w', '1 ghz']</t>
  </si>
  <si>
    <t>The design of a high combining-efficiency spatial power-combined array is described in this paper. A multilayered stacked stripline architecture enables a compact stable design. An array incorporating antenna active impedance and proper amplifier matching is measured with a combining efficiency of 87%, radiating 6.8 W of an available 7.8 W into the ideal uniformly illuminated array directivity at 10.1 GHz.</t>
  </si>
  <si>
    <t>1769-1771</t>
  </si>
  <si>
    <t>60022195;60022195</t>
  </si>
  <si>
    <t>7202065715;6701840697</t>
  </si>
  <si>
    <t>Duffy, Sean M.;Gouker, Mark A.</t>
  </si>
  <si>
    <t>High combining-efficiency X-band spatial power-combined array using a multilayered packaging architecture</t>
  </si>
  <si>
    <t>10.1109/22.873909</t>
  </si>
  <si>
    <t>2-s2.0-0034295926</t>
  </si>
  <si>
    <t>['soil parameters', 'resonant resistance', 'relative permittivity', 'radar image', 'objects buried', 'numerical analysis', 'monograph indicating', 'method provide', 'measurement method', 'local permittivity', 'ground surface', 'extremely significant', 'experimental results', 'electrical constants', 'desirable result']</t>
  </si>
  <si>
    <t>Since subsurface radar is intended to search for objects buried under the ground, the effect of the soil on the radar image is extremely significant. In order to eliminate such an effect, the parameters of the soil medium need to be measured. However, most of the previous measurements determine only the local permittivity of the region where the sample is acquired and hence a desirable result is not obtained. In this paper, a measurement method is proposed for estimating the soil parameters (relative permittivity and conductivity) from the measured resonant frequency and resonant resistance of the antenna in contact with the ground surface. In this method, based on numerical analysis, a monograph indicating the relationship between the parameters of the soil and the characteristics of the antenna is created. By plotting the antenna characteristics obtained by measurement on the monograph, the parameters of the soil are estimated. From the experimental results, it is considered that the measured values obtained by this method provide the spatial average values of the electrical constants of the soil.</t>
  </si>
  <si>
    <t>60-68</t>
  </si>
  <si>
    <t>60022313;60022313;60022313</t>
  </si>
  <si>
    <t>57210675357;57203100681;7404476613</t>
  </si>
  <si>
    <t>Wakita, Yoshiyuki;Yamada, Hiroyoshi;Yamaguchi, Yoshio</t>
  </si>
  <si>
    <t>Niigata</t>
  </si>
  <si>
    <t>Niigata University</t>
  </si>
  <si>
    <t>Wakita Y.</t>
  </si>
  <si>
    <t>Soil parameter estimation technique using a dipole antenna</t>
  </si>
  <si>
    <t>10.1002/1520-6432(200010)83:10&lt;60::AID-ECJB7&gt;3.0.CO;2-T</t>
  </si>
  <si>
    <t>2-s2.0-0034297569</t>
  </si>
  <si>
    <t>['substitution method', 'omnidirectional set', 'multipath propagation', 'error due', 'electromagnetic field', 'distance choice', 'directional antennas', 'calibration may', 'approach may']</t>
  </si>
  <si>
    <t>An error due to a directional antenna calibration on an open area test site (OATS) is discussed with an example of a log-periodic (LP) antenna and the substitution method. It is shown that the accuracy of the calibration may be improved by the distance choice, a directional transmitting antenna (TA) use, calibration on a site of reduced reflection coefficient, and the use of calculated or measured correction factors. The approach may be applied to arbitrary directional antennas. Then, limitations in the use of directional antennas for electromagnetic field (EMF) measurements in the conditions of multipath propagation are discussed, and the concept of an omnidirectional set is presented.</t>
  </si>
  <si>
    <t>1112-1116</t>
  </si>
  <si>
    <t>Trzaska, Hubert</t>
  </si>
  <si>
    <t>Wroclaw</t>
  </si>
  <si>
    <t>Wroc≈Çaw University of Science and Technology</t>
  </si>
  <si>
    <t>Trzaska H.</t>
  </si>
  <si>
    <t>Calibration of directional antennas and limitations in their use</t>
  </si>
  <si>
    <t>10.1109/19.872939</t>
  </si>
  <si>
    <t>2-s2.0-0034297585</t>
  </si>
  <si>
    <t>['universal standard', 'transfer method', 'test zone', 'reciprocity theorem', 'plane wave', 'phase deviation', 'measurement facility', 'important condition', 'gain measurements', 'effect thereof', 'conducted via']</t>
  </si>
  <si>
    <t>Antenna gain | Antenna measurements | Aperture antennas | Horn antennas | Reciprocity</t>
  </si>
  <si>
    <t>An important condition that has to be satisfied when implementing the gain-transfer method is that the fields in the test zone of the measurement facility should be as close to the plane wave as possible. In this paper, the effect of amplitude and phase deviation from a perfect plane wave, on gain measurements for microwave aperture antennas, conducted via the gain-transfer method, is determined and quantified. The pyramidal horn antenna is used as a basis for all calculations as it is the universal standard for microwave antenna gain measurements. Coupling, between the antenna being illuminated and the test zone fields, is evaluated by means of the reciprocity theorem. Test zone field variations are simulated and the effect thereof, on the predicted measured gain, is illustrated. ¬© 2000 IEEE.</t>
  </si>
  <si>
    <t>949-957</t>
  </si>
  <si>
    <t>60021902;60000251-60021902;60000251-60021902</t>
  </si>
  <si>
    <t>Mayhew-Ridgers, Gordon;Odendaal, Johann W.;Joubert, Johan</t>
  </si>
  <si>
    <t>Pretoria;New York</t>
  </si>
  <si>
    <t>University of Pretoria;IEEE</t>
  </si>
  <si>
    <t>60021902;60000251</t>
  </si>
  <si>
    <t>Horn antenna analysis as applied to the evaluation of the gain-transfer method</t>
  </si>
  <si>
    <t>S0018945600070285</t>
  </si>
  <si>
    <t>10.1109/19.872913</t>
  </si>
  <si>
    <t>2-s2.0-0034297838</t>
  </si>
  <si>
    <t>['two higher', 'strongly affected', 'strong enough', 'simulation results', 'put forward', 'plasma current', 'neutron yield', 'icrf waves', 'fusion performance', 'experimental results', 'credible explanation', 'combined nbi']</t>
  </si>
  <si>
    <t>In discharges with internal transport barriers produced by combined NBI and ICRF heating using the hydrogen minority scheme in JET, confinement and fusion performance are strongly affected by the direction of propagation of the ICRF waves. When the waves propagate along the plasma current, the formation of an internal transport barrier is prompter and the neutron yield is up to a factor of two higher than that for propagation against the current. An ICRF induced pinch of resonating trapped ions is put forward as a candidate for explaining the observations. Simulation results are presented which show that this effect is strong enough to provide a credible explanation for the experimental results.</t>
  </si>
  <si>
    <t>1773-1789</t>
  </si>
  <si>
    <t>60103653;60003729;60025104;60008662;60002014;60003729;60025104;60025104;60018020</t>
  </si>
  <si>
    <t>7003449576;7403252582;7006674222;34770634700;7003475833;7003729827;7004221273;7006945161;7006849275</t>
  </si>
  <si>
    <t>Mantsinen, M. J.;Eriksson, L. G.;Gormezano, C.;Hawkes, N. C.;Hellsten, T.;Litaudon, X.;Rimini, F. G.;Sharapov, S. E.;Stratton, B. C.</t>
  </si>
  <si>
    <t>Finland;United Kingdom;United States;United Kingdom;France;Sweden</t>
  </si>
  <si>
    <t>Espoo;;Princeton;Oxfordshire;Saint Paul lez Durance;Stockholm</t>
  </si>
  <si>
    <t>Aalto University;EFDA-JET;Princeton Plasma Physics Laboratory;Euratom Ukaea Fusion Association;CEA Cadarache;The Royal Institute of Technology (KTH)</t>
  </si>
  <si>
    <t>60103653;60025104;60018020;60008662;60003729;60002014</t>
  </si>
  <si>
    <t>Mantsinen M.J.</t>
  </si>
  <si>
    <t>On the role of different phasings of the ICRF antennas in optimized shear discharges in JET</t>
  </si>
  <si>
    <t>10.1088/0029-5515/40/10/308</t>
  </si>
  <si>
    <t>2-s2.0-0034298410</t>
  </si>
  <si>
    <t>DEL77-4476</t>
  </si>
  <si>
    <t>['signals using', 'sensors array', 'joint estimation', 'discuss initialization', 'directions based', 'constant modulus', 'cm property']</t>
  </si>
  <si>
    <t>In this correspondence, we derive a Newton scoring algorithm for the maximum likelihood separation and direction-of-arrival (DOA) estimation of constant modulus (CM) signals using a sensors array. We present a rapidly converging scheme for the joint estimation of the signals and their directions based on their CM property. We discuss initialization and show that the complexity is moderate.</t>
  </si>
  <si>
    <t>2948-2952</t>
  </si>
  <si>
    <t>Leshem, Amir</t>
  </si>
  <si>
    <t>Maximum likelihood separation of constant modulus signals</t>
  </si>
  <si>
    <t>10.1109/78.869053</t>
  </si>
  <si>
    <t>2-s2.0-0034298480</t>
  </si>
  <si>
    <t>N00014-98-1-0176</t>
  </si>
  <si>
    <t>['williams distribution', 'two sources', 'spatial time', 'spatial averaging', 'source separation', 'sensor data', 'paper presents', 'one obtained', 'multiple time', 'frequency points', 'frequency distributions', 'frequency averaging', 'fm modulations', 'diagonal structure', 'diagonal positions', 'crossterms move', 'combined spatial', 'become part', 'averaging restores']</t>
  </si>
  <si>
    <t>This paper presents a new approach based on spatial time-frequency averaging for separating signals received by a uniform linear antenna array. In this approach, spatial averaging of the time-frequency distributions (TFDs) of the sensor data is performed at multiple time-frequency points. This averaging restores the diagonal structure of the source TFD matrix necessary for source separation. With spatial averaging, crossterms move from their off-diagonal positions in the source TFD matrix to become part of the matrix diagonal entries. It is shown that the proposed approach yields improved performance over the case when no spatial averaging is performed. Further, we demonstrate that in the context of source separation, the spatially averaged Wigner-Ville distribution outperforms the combined spatial-time-frequency averaged distributions, such as the one obtained by using the Choi-Williams distribution. Simulation examples involving the separation of two sources with close AM and FM modulations are presented.</t>
  </si>
  <si>
    <t>2892-2902</t>
  </si>
  <si>
    <t>60000009;60000009</t>
  </si>
  <si>
    <t>56848471800;35242065300</t>
  </si>
  <si>
    <t>Zhang, Yimin;Amin, Moeness G.</t>
  </si>
  <si>
    <t>Spatial averaging of time-frequency distributions for signal recovery in uniform linear arrays</t>
  </si>
  <si>
    <t>10.1109/78.869043</t>
  </si>
  <si>
    <t>2-s2.0-0034298495</t>
  </si>
  <si>
    <t>['structural mobility', 'structural forms', 'rotational symmetry', 'restrictions imposed', 'parabolic surface', 'paper presents', 'pantographic elements', 'overall stiffness', 'novel type', 'new concept', 'key difference', 'internal degree', 'intermediate element', 'generic solution', 'deployable structures', 'deployable antennas', 'certain shapes', 'antenna reflectors']</t>
  </si>
  <si>
    <t>In the past, deployable structural mechanisms made from pantographic elements of straight struts could form only certain shapes because of restrictions imposed by geometric compatibility conditions, which prohibit the concepts from being used in applications such as antenna reflectors where nodes of the structure usually lie on a parabolic surface. This paper presents a generic solution for construction of deployable structures in any shape of rotational symmetry. The structures have an internal degree of mobility. The key difference between this new concept and the others is the introduction of a novel type of intermediate element consisting of two ordinary pantographic elements, which provides far greater freedom in designing the shape of the structure while structural mobility is intact. Furthermore, the intermediate element can be added into any existing deployable pantographic structure to increase the overall stiffness while retaining its ability of deployment. This paper gives full geometric proof, together with a design for joints. The concept can be extended into other structural forms. This type of structure can be used as the backbone of deployable antennas of shelters in space.</t>
  </si>
  <si>
    <t>139-143</t>
  </si>
  <si>
    <t>Journal of Aerospace Engineering</t>
  </si>
  <si>
    <t>You, Z.</t>
  </si>
  <si>
    <t>Oxford</t>
  </si>
  <si>
    <t>University of Oxford</t>
  </si>
  <si>
    <t>You Z.</t>
  </si>
  <si>
    <t>Deployable structure of curved profile for space antennas</t>
  </si>
  <si>
    <t>10.1061/(ASCE)0893-1321(2000)13:4(139)</t>
  </si>
  <si>
    <t>2-s2.0-0034298648</t>
  </si>
  <si>
    <t>F30602-97-C-0065-01</t>
  </si>
  <si>
    <t>['upper bound', 'test cell', 'stap algorithms', 'popular space', 'numerical evaluation', 'false alarm', 'expressions illustrates', 'exact expressions', 'covariance matrix', 'adaptive algorithms']</t>
  </si>
  <si>
    <t>Adaptive algorithms for receivers employing antenna arrays have recently received significant attention for radar systems applications. In the majority of these algorithms, the covariance matrix for the clutter-plus-noise is characterized by using samples taken from range cells surrounding the test cell. If the underlying covariance matrix of the test cell is different from the average covariance matrix of the surrounding range cells, significant performance degradation may result. Exact expressions for performance are derived for such cases, when any of a set of popular space-time adaptive processing (STAP) algorithms are used. Numerical evaluation of these expressions illustrates how variations in the parameters of these equations affect probability of detection and probability of false alarm. The equations are utilized to determine an upper bound on the performance of this class of STAP algorithms.</t>
  </si>
  <si>
    <t>2750-2763</t>
  </si>
  <si>
    <t>Exact performance of STAP algorithms with mismatched steering and clutter statistics</t>
  </si>
  <si>
    <t>10.1109/78.869025</t>
  </si>
  <si>
    <t>2-s2.0-0034299050</t>
  </si>
  <si>
    <t>['slotline transition', 'slot antenna', 'reciprocity theorem', 'previous theories', 'network model', 'inclined microstrip', 'ideal transformer', 'general theory', 'explicitly expressed', 'accurate results']</t>
  </si>
  <si>
    <t>A general theory for analyzing an inclined microstrip-slotline transition is proposed, with a view to developing a network model of the transition. The reciprocity theorem and spectral-domain immittance approach are invoked to formulate the electromagnetic field analysis. The equivalent circuit model consists of an ideal transformer and a series reactance element, and the circuit element parameters are explicitly expressed. The theory is applied to some examples of the transition, including a feed for the tapered-slot antenna, and is shown to yield more accurate results than previous theories.</t>
  </si>
  <si>
    <t>60107934;60107934</t>
  </si>
  <si>
    <t>15519579000;36024195200</t>
  </si>
  <si>
    <t>Kimand, J. P.;Park, W. S.</t>
  </si>
  <si>
    <t>LG Innotek Co. Ltd.</t>
  </si>
  <si>
    <t>Kimand J.</t>
  </si>
  <si>
    <t>Network analysis of inclined microstrip-slotline transitions</t>
  </si>
  <si>
    <t>10.1049/ip-map:20000735</t>
  </si>
  <si>
    <t>2-s2.0-0034299115</t>
  </si>
  <si>
    <t>['typical waveforms', 'radiated signal', 'modulating signals', 'locked oscillator', 'experimental results', 'demodulated signals']</t>
  </si>
  <si>
    <t>An oscillating antenna allowing binary phase shift keying (BPSK) and quadrature phase shift keying (QPSK) is demonstrated. The modulating signals are applied to a PIN diode switch and an injection-locked oscillator. Experimental results are presented, including constellation diagrams of the radiated signal and typical waveforms of demodulated signals.</t>
  </si>
  <si>
    <t>335-338</t>
  </si>
  <si>
    <t>60110755;60110755</t>
  </si>
  <si>
    <t>Dussopt, L.;Laheurte, J. M.</t>
  </si>
  <si>
    <t>BPSK and QPSK modulations of an oscillating antenna for transponding applications</t>
  </si>
  <si>
    <t>10.1049/ip-map:20000401</t>
  </si>
  <si>
    <t>2-s2.0-0034299153</t>
  </si>
  <si>
    <t>['wave plate', 'wave imager', 'using twist', 'time passive', 'time imager', 'scanner may', 'rotating disc', 'roof prism', 'polarization techniques', 'paper describes', 'microwave frequencies', 'faraday rotator']</t>
  </si>
  <si>
    <t>The paper describes a novel reflective lens for use at millimetre and microwave frequencies. This lens uses twist-polarization techniques and consists of two wire grid polarisers and a Faraday rotator. The authors also discuss how a high-speed rotary scanning mechanism can be used to produce a linear scan pattern, again using twist-polarization techniques. This linear scanner employs a wire grid polarizer in the form of a roof prism, a rotating disc inclined with respect to its axis of rotation and a Faraday rotator or quarter-wave plate. This scanner may be used with the novel reflective lens to form the basis of a real-time imager. A more compact design uses just the lens and rotating disc and has been demonstrated in a real-time passive-millimetre-wave imager.</t>
  </si>
  <si>
    <t>339-342</t>
  </si>
  <si>
    <t>60012197;60012197;60012197</t>
  </si>
  <si>
    <t>7005434793;35613341200;7402463814</t>
  </si>
  <si>
    <t>Lettington, A. H.;Papakosta, R.;Dunn, D.</t>
  </si>
  <si>
    <t>Reading</t>
  </si>
  <si>
    <t>University of Reading</t>
  </si>
  <si>
    <t>Lettington A.</t>
  </si>
  <si>
    <t>Compact mechanically scanned antennas for real-time passive-millimetre-wave imaging</t>
  </si>
  <si>
    <t>10.1049/ip-map:20000707</t>
  </si>
  <si>
    <t>2-s2.0-0034299154</t>
  </si>
  <si>
    <t>['theoretical data', 'radiation far', 'radiation characteristics', 'paper presents', 'obtained numerically', 'novel design', 'mode array', 'mode approach', 'microstrip leaky', 'measured results', 'field patterns', 'experimental verification', 'excitation signals', 'element injection', 'coupling parameters', 'accurate assessment']</t>
  </si>
  <si>
    <t>The paper presents a novel design for an injection-locked microstrip leaky-mode antenna array. It demonstrates that the coupling parameters can be obtained numerically, leading to the analysis of the steady-state phase relationships of the coupled oscillators based on Van der Pol equations for determining the excitation signals of the array. In particular, it applies the coupled-mode approach to investigating the clear and considerable mutual coupling effect on the radiation characteristics of the microstrip leaky-mode array. This, in turn, produces a very efficient and accurate assessment of the radiation far-field patterns. Finally, a proof-of-concept design using a two-element injection-locked microstrip leaky-mode array is presented for experimental verification, showing excellent agreement between theoretical data and measured results.</t>
  </si>
  <si>
    <t>364-368</t>
  </si>
  <si>
    <t>57217727652;55412221300</t>
  </si>
  <si>
    <t>Hu, C. N.;Tzuang, C. K.C.</t>
  </si>
  <si>
    <t>Hu C.N.</t>
  </si>
  <si>
    <t>Injection-locked coupled microstrip leaky-mode antenna array</t>
  </si>
  <si>
    <t>10.1049/ip-map:20000599</t>
  </si>
  <si>
    <t>2-s2.0-0034299155</t>
  </si>
  <si>
    <t>['timing results', 'spectral green', 'spectral domain', 'moments matrix', 'memory savings', 'iterative solver', 'function representation', 'fsda leads', 'efficient evaluation', 'boundary integral', 'bi method', 'array configurations', 'applied within']</t>
  </si>
  <si>
    <t>A fast integral equation algorithm is used for an efficient evaluation of the boundary integral (BI) termination in hybrid finite element (FE)/BI methods, as applied to three-dimensional doubly periodic structures. The method is referred to as a fast spectral domain algorithm (FSDA) since it uses the spectral Green's function representation to evaluate the matrix-vector products carried out within an iterative solver. The FSDA avoids explicit generation of the usual fully populated method of moments matrix. Instead, at each iteration, the actual current distribution is summed up in the spectral domain, and the spectral Floquet mode series (in the evaluation of the BI) is carried out only once per testing function. Thus, the FSDA leads to substantial central processing unit time and memory savings when applied within the FE/BI method for the analysis of infinite periodic structures. This is demonstrated by validation and timing results for a variety of array configurations, which are compared with results obtained using a conventional BI formulation and a BI formulation based on the adaptive integral method.</t>
  </si>
  <si>
    <t>329-334</t>
  </si>
  <si>
    <t>7004819868;7102576479</t>
  </si>
  <si>
    <t>Eibert, T. F.;Volakis, J. L.</t>
  </si>
  <si>
    <t>Eibert T.F.</t>
  </si>
  <si>
    <t>Fast spectral domain algorithm for hybrid finite element/boundary integral modelling of doubly periodic structures</t>
  </si>
  <si>
    <t>10.1049/ip-map:20000706</t>
  </si>
  <si>
    <t>2-s2.0-0034299946</t>
  </si>
  <si>
    <t>['te modes', 'presented theory', 'full spectrum', 'efficient method', 'accurate code']</t>
  </si>
  <si>
    <t>An efficient method for analysing confocal coaxial elliptical waveguides is presented. Using elliptical coordinates, the differential Helmholtz equation is transformed into a linear matrix eigenvalue problem by means of the method of moments. The expressions of the vector mode functions for the full spectrum of these guides are constructed, including the TEM, TM and TE modes. The convergence of the method is very good, giving an efficient and accurate code. Comparisons with numerical results found in the technical literature validate the presented theory.</t>
  </si>
  <si>
    <t>374-380</t>
  </si>
  <si>
    <t>60011476;60011476;60011476;60011476;60011476</t>
  </si>
  <si>
    <t>57196654624;35448906200;7004534603;6602086017;57196895814</t>
  </si>
  <si>
    <t>Navarro, R.;Boria, V. E.;Gimeno, B.;Coves, A.;Fernando, M.</t>
  </si>
  <si>
    <t>Valencia</t>
  </si>
  <si>
    <t>Universitat Polit√®cnica de Val√®ncia</t>
  </si>
  <si>
    <t>Navarro R.</t>
  </si>
  <si>
    <t>Full modal analysis of confocal coaxial elliptical waveguides</t>
  </si>
  <si>
    <t>10.1049/ip-map:20000737</t>
  </si>
  <si>
    <t>2-s2.0-0034299947</t>
  </si>
  <si>
    <t>['shaped round', 'measured results', 'good agreement', 'foam former', 'f geometry', 'directional coverage', 'design purposes', 'band antenna', 'azimuth plane', 'antenna geometry']</t>
  </si>
  <si>
    <t>A compact, lightweight, low-cost, dual-band antenna for GSM and DCS cellular telephone system applications is presented. The antenna, printed on a flexible printed circuit material and shaped round a foam former, is derived from the inverted-F geometry but has a much reduced conductor area. The software design package IE3D was used for design purposes and there was good agreement with measured results. The wide bandwidths required for this application are readily achieved using the antenna geometry. Radiation patterns give omni-directional coverage in the azimuth plane.</t>
  </si>
  <si>
    <t>381-384</t>
  </si>
  <si>
    <t>6507332014;56020461500</t>
  </si>
  <si>
    <t>Viratelle, D.;Langley, R. J.</t>
  </si>
  <si>
    <t>Viratelle D.</t>
  </si>
  <si>
    <t>Dual-band printed antenna for mobile telephone applications</t>
  </si>
  <si>
    <t>10.1049/ip-map:20000677</t>
  </si>
  <si>
    <t>2-s2.0-0034299988</t>
  </si>
  <si>
    <t>['transmission coefficient', 'thickness region', 'shaped waveguide', 'rectangular waveguide', 'radiation pattern', 'proposed method', 'magnetic currents', 'hybrid analysis', 'element method', 'eigenmode functions', 'crossing part', 'crossed slot', 'cross section', 'calculated results', 'basis functions', 'based fem', '15 ghz']</t>
  </si>
  <si>
    <t>A hybrid analysis of the method of moments (MoM) and the finite-element method (FEM) is proposed for a waveguide crossed slot. The eigenmode functions of an X-shaped waveguide, with the geometry of the crossed slot in the cross section, are utilized as the basis functions of the magnetic currents in the MoM. They are derived as vectors by the edge-based FEM to express the current flow accurately around the crossing part. Reactions in the wall-thickness region of the rectangular waveguide can be simply and accurately evaluated without taking mode summation because of the orthogonality of the eigenmodes. The proposed method is advantageous for a crossed slot, especially with a wide slot width and a thick waveguide wall. For the verification of the analysis, the calculated results of the transmission coefficient, and the radiation pattern are compared with the measured ones using a 12 GHz model antenna. The agreement in the transmission coefficient is very good both in amplitude and phase from 10 to 15 GHz.</t>
  </si>
  <si>
    <t>349-353</t>
  </si>
  <si>
    <t>56041603800;7006899159;35495699200</t>
  </si>
  <si>
    <t>Hirano, T.;Hirokawa, J.;Ando, M.</t>
  </si>
  <si>
    <t>Hirano T.</t>
  </si>
  <si>
    <t>Method of moments analysis of a waveguide crossed slot by using the eigenmode basis functions derived by the edge-based finite-element method</t>
  </si>
  <si>
    <t>10.1049/ip-map:20000709</t>
  </si>
  <si>
    <t>2-s2.0-0034300909</t>
  </si>
  <si>
    <t>['survey frequency', 'survey frequencies', 'surrounding soil', 'soil types', 'skin interface', 'rights reserved', 'recording stations', 'penetrating radar', 'main limitation', 'image quality', 'human bodies', 'gpr responses', 'forensic investigations', 'different depths', 'difference simulations', 'diagnostic features', 'detailed non', 'body elements', 'biological tissues', 'antenna separations', 'also feasible', '900 mhz', '10 cm']</t>
  </si>
  <si>
    <t>Finite-difference modeling | Forensic | Ground-penetrating radar (GPR) | Human remains</t>
  </si>
  <si>
    <t>Time domain 2.5-D finite-difference simulations of ground-penetrating radar (GPR) responses from models of buried human remains suggest the potential of GPR for detailed non-destructive forensic site investigation. Extraction of information beyond simple detection of cadavers in forensic investigations should be possible with current GPR technology. GPR responses are simulated for various body cross-sections with different depths of burial, soil types, soil moisture contents, survey frequencies and antenna separations. Biological tissues have high electrical conductivity so diagnostic features for the imaging of human bodies are restricted to the soil/skin interface and shallow tissue interfaces. A low amplitude reflection shadow zone occurs beneath a body because of high GPR attenuation within the body. Resolution of diagnostic features of a human target requires a survey frequency of 900 MHz or greater and an increment between recording stations of 10 cm or less. Depth migration focuses field GPR data into an image that reveals accurate information on the number, dimensions, locations and orientations of body elements. The main limitation on image quality is attenuation in the surrounding soil and within the body. 3-D imaging is also feasible. (C) 2000 Elsevier Science B.V. All rights reserved.</t>
  </si>
  <si>
    <t>171-186</t>
  </si>
  <si>
    <t>60009415;60009415;60009415</t>
  </si>
  <si>
    <t>7004596862;7006654770;7403248368</t>
  </si>
  <si>
    <t>Hammon, William S.;McMechan, George A.;Zeng, Xiaoxian</t>
  </si>
  <si>
    <t>Richardson</t>
  </si>
  <si>
    <t>The University of Texas at Dallas</t>
  </si>
  <si>
    <t>Hammon W.</t>
  </si>
  <si>
    <t>Forensic GPR: Finite-difference simulations of responses from buried human remains</t>
  </si>
  <si>
    <t>S0926985100000276</t>
  </si>
  <si>
    <t>10.1016/S0926-9851(00)00027-6</t>
  </si>
  <si>
    <t>2-s2.0-0034305431</t>
  </si>
  <si>
    <t>['ventral areas', 'two types', 'three types', 'sexes consist', 'sensilla trichodea', 'sensilla coeloconica', 'sensilla chaetica', 'sensilla campaniformia', 'sensilla basiconica', 'possible function', 'one type', 'occur sparsely', 'nine flagellomeres', 'flagellum composed', 'five types', 'distribution pattern', 'antennal sensilla']</t>
  </si>
  <si>
    <t>Antennae | Bembidion lampros | Distribution pattern | Number | S. E. M. | Sensilla | Typology</t>
  </si>
  <si>
    <t>Antennal sensilla typology, number and distribution pattern were studied in the ground beetle Bembidion lampros Hbst (Coleoptera, Carabidae) using scanning electron microscopy. The 1.6-1.8 mm long filiform antennae of both sexes consist of the scape, pedicel and of the flagellum composed of nine flagellomeres. In both sexes, three types of sensilla chaetica, two types of sensilla trichodea, five types of sensilla basiconica, one type of sensilla coeloconica, one type of sensilla campaniformia and B√∂hm sensilla were distinguished. The possible function of the sensilla was discussed and three types of sensilla were considered as olfactory, sensilla trichodea type 2 and sensilla basiconica types 1 and 2. Olfactory sensilla occupy dorsal and/or ventral areas of the flagellomeres and occur sparsely (sensilla basiconica type 1) or not at all (sensilla basiconica type 2 and sensilla trichodea type 2) outside these areas. No remarkable sexual differences in the types, numbers and distribution of antennal sensilla were found.</t>
  </si>
  <si>
    <t>339-350</t>
  </si>
  <si>
    <t>Acta Zoologica</t>
  </si>
  <si>
    <t>60068854;60068854;60068880;60068854;60068856</t>
  </si>
  <si>
    <t>6602410812;6507901694;6602227559;7006419065;7004105800</t>
  </si>
  <si>
    <t>Merivee, Enno;Ploomi, Angela;Rahi, M√§rt;Luik, Anne;Sammelselg, V√§ino</t>
  </si>
  <si>
    <t>Estonia;Estonia;Estonia</t>
  </si>
  <si>
    <t>Tartu;Tartu;Tartu</t>
  </si>
  <si>
    <t>Zooloogia Ja Botaanika Instituut;Tartu √úlikool;Estonian University of Life Sciences</t>
  </si>
  <si>
    <t>60068880;60068856;60068854</t>
  </si>
  <si>
    <t>Merivee E.</t>
  </si>
  <si>
    <t>Antennal sensilla of the ground beetle Bembidion lampros Hbst (Coleoptera, Carabidae)</t>
  </si>
  <si>
    <t>10.1046/j.1463-6395.2000.00068.x</t>
  </si>
  <si>
    <t>2-s2.0-0034308570</t>
  </si>
  <si>
    <t>['voltage characteristics', 'single junction', 'shapiro steps', 'josephson junction', 'josephson frequency', 'incorporated narrow', 'free space', 'energy conversion', '800 ghz']</t>
  </si>
  <si>
    <t>We designed and fabricated a Josephson junction with a narrow band antenna using a YBCO thin film to perform sensitive high frequency sensing. We measured the current-voltage characteristics of the Josephson junction under irradiation with 22-GHz electromagnetic wave. The conventional Shapiro steps satisfying the Josephson frequency-voltage relation appeared on the current-voltage characteristic curves of the junction. From the Shapiro steps, we could detect electromagnetic wave above 800 GHz. Comparing the Shapiro steps of the narrow band antenna-coupled Josephson junction with those of a single junction and wide band antenna coupled one, we confirmed that the narrow band antenna improved the high-frequency sensing properties of the Josephson junction. This indicates that the incorporated narrow-band antenna effectively enhances the energy conversion between the Josephson junction and free space.</t>
  </si>
  <si>
    <t>407-410</t>
  </si>
  <si>
    <t>Journal of the Korean Physical Society</t>
  </si>
  <si>
    <t>60018257;60018257;60018257;60010484</t>
  </si>
  <si>
    <t>7401774731;7006530138;7403042181;7201564375</t>
  </si>
  <si>
    <t>Cho, Wonil;Shim, Wooseok;Park, Gwangseo;Song, Insang</t>
  </si>
  <si>
    <t>Seoul;Suwon</t>
  </si>
  <si>
    <t>Sogang University;Samsung Group</t>
  </si>
  <si>
    <t>60018257;60010484</t>
  </si>
  <si>
    <t>Cho W.</t>
  </si>
  <si>
    <t>Effect of a narrow band antenna coupled with a Josephson junction on microwave sensing</t>
  </si>
  <si>
    <t>2-s2.0-0034347590</t>
  </si>
  <si>
    <t>['water regions', 'spatial resolution', 'space resolution', 'radiation pattern', 'main lobe', 'local regularization', 'computer realization']</t>
  </si>
  <si>
    <t>An algorithm for estimating the space resolution and reconstructing the main lobe of the radiation pattern of an airborne radiometer antenna by the method of local regularization is considered. For verifying this method, its computer realization is performed, and the spatial resolution and the shape of the main lobe of aircraft and satellite radiometer antennas in measuring thermal radio signals over land-water regions are estimated.</t>
  </si>
  <si>
    <t>1089-1092</t>
  </si>
  <si>
    <t>60105253;60105253;60105253</t>
  </si>
  <si>
    <t>6506903111;7006450972;6602499092</t>
  </si>
  <si>
    <t>Savorskii, V. P.;Armand, N. A.;Mil'shin, A. A.</t>
  </si>
  <si>
    <t>Fryazino</t>
  </si>
  <si>
    <t>Kotel'nikov Institute of Radio Engineering and Electronics of Russian Academy of Sciences, Fryazino Branch</t>
  </si>
  <si>
    <t>Savorskii V.</t>
  </si>
  <si>
    <t>An Experimental Method for Reconstructing the Effective Radiation Pattern of an Airborne Radiometer Antenna by the Method of Local Regularization</t>
  </si>
  <si>
    <t>2-s2.0-0041729277</t>
  </si>
  <si>
    <t>['optical amplification']</t>
  </si>
  <si>
    <t>We demonstrate a novel photonic link that simultaneously achieves frequency conversion, optical amplification, polarization sensitivity elimination, and fiber dispersion effect minimization. The link also uses low loss and less expensive phase modulators to replace intensity modulators and thus eliminates modulator bias problems.</t>
  </si>
  <si>
    <t>1382-1384</t>
  </si>
  <si>
    <t>Yao, X. Steve</t>
  </si>
  <si>
    <t>Yao X.</t>
  </si>
  <si>
    <t>Polarization Insensitive Antenna Remoting Link with Frequency Conversion Gain</t>
  </si>
  <si>
    <t>S1041113500086274</t>
  </si>
  <si>
    <t>10.1109/68.883837</t>
  </si>
  <si>
    <t>2-s2.0-0141801655</t>
  </si>
  <si>
    <t>['itds structure', 'exterior lighting', 'electromagnetic interference', 'conformal antennas', 'composite materials']</t>
  </si>
  <si>
    <t>Integrated topside demonstration system (ITDS) has been designed to reduce topsides clutter and minimize radar cross section (RCS) and electromagnetic interference (EMI) on board modern warships. The ITDS structure is made of composite materials and includes a number of embedded, low radar cross section phased arrays, conformal antennas, remote illumination systems for navigation and exterior lighting, windows, and a quick acting water tight composite door.</t>
  </si>
  <si>
    <t>OCT.</t>
  </si>
  <si>
    <t>Warship Technology</t>
  </si>
  <si>
    <t>New topsides will reduce EMI and RCS</t>
  </si>
  <si>
    <t>2-s2.0-17044459288</t>
  </si>
  <si>
    <t>T32GM007757</t>
  </si>
  <si>
    <t>['tsh ).', 'sequences found', 'second intron', 'roughly split', 'proper specification', 'pb may', 'mouthpart anlagen', 'identified several', 'genes necessary', 'genes deformed', 'gene proboscipedia', 'gap genes', 'embryonic pattern', 'drosophila melanogaster', 'control might', 'combined action', 'cnc ),', 'antennapedia complex', 'adult mouthparts', 'accumulation pattern']</t>
  </si>
  <si>
    <t>The gene proboscipedia (pb) is a member of the Antennapedia complex in Drosophila and is required for the proper specification of the adult mouthparts. In the embryo, pb expression serves no known function despite having an accumulation pattern in the mouthpart anlagen that is conserved across several insect orders. We have identified several of the genes necessary to generate this embryonic pattern of expression. These genes can be roughly split into three categories based on their time of action during development. First, prior to the expression of pb, the gap genes are required to specify the domains where pb may be expressed. Second, the initial expression pattern of pb is controlled by the combined action of the genes Deformed (Dfd), Sex combs reduced (Scr), cap'n'collar (cnc), and teashirt (tsh). Lastly, maintenance of this expression pattern later in development is dependent on the action of a subset of the Polycomb group genes. These interactions are mediated in part through a 500-bp regulatory element in the second intron of pb. We further show that Dfd protein binds in vitro to sequences found in this fragment. This is the first clear demonstration of autonomous positive cross-regulation of one Hox gene by another in Drosophila melanogaster and the binding of Dfd to a cis-acting regulatory element indicates that this control might be direct.</t>
  </si>
  <si>
    <t>183-194</t>
  </si>
  <si>
    <t>Genetics</t>
  </si>
  <si>
    <t>60021121;60021121</t>
  </si>
  <si>
    <t>57202972615;35396515200</t>
  </si>
  <si>
    <t>Rusch, D. B.;Kaufman, T. C.</t>
  </si>
  <si>
    <t>Bloomington</t>
  </si>
  <si>
    <t>Indiana University Bloomington</t>
  </si>
  <si>
    <t>Rusch D.</t>
  </si>
  <si>
    <t>Regulation of proboscipedia in Drosophila by homeotic selector genes</t>
  </si>
  <si>
    <t>2-s2.0-0033828412</t>
  </si>
  <si>
    <t>['technique analogous', 'studies examining', 'significant role', 'response curves', 'potential believed', 'olfactory response', 'octanoic acid', 'monocarboxylic acids', 'methyl salicylate', 'insect electroantennograms', 'hyperpolarizing effect', 'hexanol elicited', 'greatest responses', 'four percent', 'examined using', 'costa rica', 'chain lengths', 'carboxylic acids', 'broad spectrum', 'antenniform legs', 'animals respond']</t>
  </si>
  <si>
    <t>Amblypygid | Arachnid | Electrophysiology | Olfaction | Phrynus</t>
  </si>
  <si>
    <t>The olfactory response of the whip spider Phrynus parvulus from Costa Rica was examined using a technique analogous to that used for insect electroantennograms on the tarsi of the antenniform legs which bear multiporous sensilla. Responses to 42 chemicals representing different chain lengths of alkanes, carboxylic acids, alcohols, aldehydes, and ketones, as well as some esters, monoterpenes, and phenolics were examined. Fifty-four percent of the chemicals tested elicited responses. Concentration-response curves were generated for guaiacol, hexanal, methyl salicylate, benzaldehyde, octanoic acid, and linalool. Guaiacol, benzaldehyde, and hexanol elicited the greatest responses and no differences were detected between the sexes. Compounds with chain lengths of six carbon atoms generated strong responses and most monocarboxylic acids and ring compounds elicited responses. Some compounds produced increases in potential believed to arise from a hyperpolarizing effect on the neurons. The broad spectrum of chemicals to which these animals respond is similar to results of other studies examining the general olfactory sense of insects. It is possible that odor learning plays a significant role in the behavior of amblypygids. (C) 2000 Elsevier Science Ltd.</t>
  </si>
  <si>
    <t>1441-1448</t>
  </si>
  <si>
    <t>6602112894;7403128130</t>
  </si>
  <si>
    <t>Hebets, Eileen A.;Chapman, Reginald F.</t>
  </si>
  <si>
    <t>Hebets E.</t>
  </si>
  <si>
    <t>Electrophysiological studies of olfaction in the whip spider Phrynus parvulus (Arachnida, Amblypygi)</t>
  </si>
  <si>
    <t>S0022191000000688</t>
  </si>
  <si>
    <t>10.1016/S0022-1910(00)00068-8</t>
  </si>
  <si>
    <t>2-s2.0-0033835744</t>
  </si>
  <si>
    <t>['theory nonperturbatively', 'renormalized propagator', 'photosynthetic bacteria', 'novel method', 'intermediate coupling', 'inhomogeneous broadening', 'exciton state', 'excitation energy', 'eet rate', 'differential equation', 'derived formulas', 'could handle', 'coherency involved', 'also assumed']</t>
  </si>
  <si>
    <t>We developed a theory of excitation energy transfer (EET) which is applicable to all the values of the coupling strength U in the presence of homogeneous and inhomogeneous broadening. In constructing the theory, we adopted a decoupling procedure corresponding to the factorization by a two-time correlation function of the excitation transfer interaction in the integro-differential equation of a renormalized propagator. We also assumed that the two-time correlation function decreases exponentially with time. Under these assumptions, we could handle our theory nonperturbatively and analytically. We derived formulas of criteria among exciton, intermediate coupling, and F√∂rster mechanisms. We exploited a novel method for determining the EET rate applicable to all the mechanisms from F√∂rster to exciton. Then, we obtained compact formulas for the EET rate and the degree of coherency involved in the EET. We demonstrated how the exciton state is destabilized by the presence of inhomogeneity in the excitation energy of the constituents. The theory was applied to a light-harvesting system LH2 of photosynthetic bacteria. ¬© 2000 American Chemical Society.</t>
  </si>
  <si>
    <t>9276-9287</t>
  </si>
  <si>
    <t>37104376000;57211792449;7101689021</t>
  </si>
  <si>
    <t>Kimura, Akihiro;Kakitani, Toshiaki;Yamato, Takahisa</t>
  </si>
  <si>
    <t>Kimura A.</t>
  </si>
  <si>
    <t>Theory of excitation energy transfer in the intermediate coupling case. II. Criterion for intermediate coupling excitation energy transfer mechanism and application to the photosynthetic antenna system</t>
  </si>
  <si>
    <t>10.1021/jp000589o</t>
  </si>
  <si>
    <t>2-s2.0-0034299204</t>
  </si>
  <si>
    <t>['vibrational bands', 'two pools', 'resonance raman', 'pigments investigated', 'give essentially', 'fluorescence line', 'fluorescence emission', 'emitting species', 'dimensional model', 'chlorophylls one', '2 k']</t>
  </si>
  <si>
    <t>A study of the vibrational bands of the red-most pigments in the minor photosystem II antenna protein, Lhcb4, is presented. The two vibrational techniques used, resonance Raman and fluorescence line-narrowing (FLN) spectroscopies, are shown to give essentially the same information on the pigments investigated, with the exception that FLN provides information on the red-most, fluorescence-emitting species only. Fluorescence emission at 4.2 K is shown to originate from two pools of chlorophylls one of which, contributing to 50% of the emission, corresponds to only one chlorophyll molecule per monomer. This opens the way to the identification of the emitting species within the three-dimensional model of Lhcb4. ¬© 2000 American Chemical Society.</t>
  </si>
  <si>
    <t>9317-9321</t>
  </si>
  <si>
    <t>60008134-60032256;60008734;60008734;60008734;60008734;60008134</t>
  </si>
  <si>
    <t>7006934557;6701347433;6603085951;7007181446;35599806700;7103125115</t>
  </si>
  <si>
    <t>Pascal, Andy;Peterman, Erwin;Gradinaru, Claudiu;Van Amerongen, Herbert;Van Grondelle, Rienk;Robert, Bruno</t>
  </si>
  <si>
    <t>Italy;Netherlands;France</t>
  </si>
  <si>
    <t>Verona;Amsterdam;Paris</t>
  </si>
  <si>
    <t>Universit√† degli Studi di Verona;Vrije Universiteit Amsterdam;CNRS Centre National de la Recherche Scientifique</t>
  </si>
  <si>
    <t>60032256;60008734;60008134</t>
  </si>
  <si>
    <t>Structure and interactions of the chlorophyll a molecules in the higher plant Lhcb4 antenna protein</t>
  </si>
  <si>
    <t>10.1021/jp001504m</t>
  </si>
  <si>
    <t>2-s2.0-0034299219</t>
  </si>
  <si>
    <t>['useful technique', 'multilevel bcg', 'multigrid methods', 'much faster', 'microstrip antennas', 'good accuracy', 'fft method', 'constructed using', 'biconjugate gradient', 'arrays illustrates']</t>
  </si>
  <si>
    <t>The biconjugate gradient-fast Fourier transform (BCG-FFT) method is a very efficient and useful technique to analyze microstrip antennas and arrays. In order to increase the efficiency of the BCG-FFT method by reducing the number of iterations, a multilevel BCG-FFT method is constructed using the idea of multigrid methods. The analysis of microstrip antennas and arrays illustrates that the multilevel BCG FFT method has good accuracy and is much faster than the BCG FFT method.</t>
  </si>
  <si>
    <t>20-23</t>
  </si>
  <si>
    <t>60017161;60000745;60017161;60017161;60017161</t>
  </si>
  <si>
    <t>56119416800;7403588231;7501449136;36795795500;7102006113</t>
  </si>
  <si>
    <t>Wang, C. F.;Jin, J. M.;Li, L. W.;Kool, P. S.;Leong, M. S.</t>
  </si>
  <si>
    <t>Singapore City;Urbana</t>
  </si>
  <si>
    <t>National University of Singapore;University of Illinois Urbana-Champaign</t>
  </si>
  <si>
    <t>60017161;60000745</t>
  </si>
  <si>
    <t>Multilevel BCG-FFT method for the analysis of a microstrip antenna and array</t>
  </si>
  <si>
    <t>10.1002/1098-2760(20001005)27:1&lt;20::AID-MOP7&gt;3.0.CO;2-A</t>
  </si>
  <si>
    <t>2-s2.0-0034299884</t>
  </si>
  <si>
    <t>['wave theory', 'reflected waves', 'reflected field', 'recently generalized', 'perfect electric', 'original field', 'normal component', 'ideal boundary', 'ib surface', 'complex space', 'analytic expressions']</t>
  </si>
  <si>
    <t>The ideal boundary (IB) concept was recently generalized from that of perfect electric and magnetic conducting boundaries to describe the most general isotropic surface at which the complex Poynting vector has no normal component. The ensuing boundary operator is not linear in general, but one which can be labeled as semilinear. Previously given plane-wave theory is generalized in this paper to finding the reflected waves for arbitrary electromagnetic fields incident to a planar IB surface. The source of the reflected field is interpreted as the image of the source of the original field, and its analytic expressions are given. The theory is applied to a dipole in complex space, corresponding to a Gaussian beam incident onto the IB surface.</t>
  </si>
  <si>
    <t>Image theory for the general isotropic ideal boundary</t>
  </si>
  <si>
    <t>10.1002/1098-2760(20001005)27:1&lt;68::AID-MOP20&gt;3.0.CO;2-9</t>
  </si>
  <si>
    <t>2-s2.0-0034300664</t>
  </si>
  <si>
    <t>['resonance conditions', 'maximum gain', 'investigated experimentally', 'high gain', 'fixed superstrate', 'dielectric superstrate']</t>
  </si>
  <si>
    <t>A dielectric superstrate with a high relative permittivity is used to enhance the gain of a probe-fed microstrip patch antenna. The gain as a function of frequency and distance between the patch and the superstrate is investigated experimentally. Under the resonance conditions for a high gain, the maximum gain can be obtained at only one frequency point with a fixed superstrate. It is discovered in our measurement that the maximum gain frequency can be adjusted by changing the distance between the patch and the superstrate. Using a dielectric superstrate with Œµr = 10.5, a 10 dB gain increment is obtained in the measurement.</t>
  </si>
  <si>
    <t>60025063;60025063;60025063</t>
  </si>
  <si>
    <t>7402721687;6701745185;7005545716</t>
  </si>
  <si>
    <t>Shen, Xiao Hai;Delmotte, Peter;Vandenbosch, Guy A.E.</t>
  </si>
  <si>
    <t>Shen X.</t>
  </si>
  <si>
    <t>Enhancing the gain of microstrip antennas at different frequencies with one substrate-superstrate structure</t>
  </si>
  <si>
    <t>10.1002/1098-2760(20001005)27:1&lt;37::AID-MOP11&gt;3.0.CO;2-H</t>
  </si>
  <si>
    <t>2-s2.0-0034300666</t>
  </si>
  <si>
    <t>['suitably combined', 'lossy elements', 'incident field', 'folded dipoles', 'dielectric coating', '0 ¬∞.']</t>
  </si>
  <si>
    <t>We report one possible approach to synthesizing an artificial magnetic medium over a wide frequency band. A magnetic medium exhibits the property that the phase of the backscattered field relative to the incident field is close to 0¬∞. The magnetic medium proposed in this work is composed of lossy elements in the form of folded dipoles. The reported medium could be applied to reduce the overall backscattered field from objects when suitably combined with a dielectric coating.</t>
  </si>
  <si>
    <t>27-30</t>
  </si>
  <si>
    <t>101789918;60001439;60001439;60001439</t>
  </si>
  <si>
    <t>35935999200;55197051100;56036142700;55925714300</t>
  </si>
  <si>
    <t>Hagen, J√ºrgen V.;Mittra, Raj;Werner, Pingjuan L.;Werner, Douglas H.</t>
  </si>
  <si>
    <t>University Park;Karlsruhe</t>
  </si>
  <si>
    <t>Pennsylvania State University;Inst. Hochstfrequenztechnik E.</t>
  </si>
  <si>
    <t>60001439;101789918</t>
  </si>
  <si>
    <t>Hagen J.</t>
  </si>
  <si>
    <t>Toward the synthesis of artificial magnetic media</t>
  </si>
  <si>
    <t>10.1002/1098-2760(20001005)27:1&lt;27::AID-MOP9&gt;3.0.CO;2-K</t>
  </si>
  <si>
    <t>2-s2.0-0034300738</t>
  </si>
  <si>
    <t>['source model', 'resistance free', 'properly chosen', 'internal resistance', 'fictitious source', 'fdtd excitation', 'fdtd computations', 'directly derived', 'computational accuracy', 'computation time']</t>
  </si>
  <si>
    <t>A source model can influence FDTD numerical performance although it may be a fictitious source in some FDTD computations. The current source models for FDTD excitation, both resistance free and resistive, are presented, respectively, which are directly derived from Maxwell's equations. The former is simple in implementation and high in computational accuracy by, comparison with a voltage source excitation, and the latter possesses stability, and can reduce the computation time as the resistance is properly chosen, which means it can be optimized in terms of its internal resistance.</t>
  </si>
  <si>
    <t>60004678;60025578;60025578;60004678</t>
  </si>
  <si>
    <t>36823626100;7403280923;55276206000;7405920321</t>
  </si>
  <si>
    <t>Yuan, Weiliang;Liang, Changhong;Shi, Xiaowei;Wang, Baikuan</t>
  </si>
  <si>
    <t>China;Singapore</t>
  </si>
  <si>
    <t>Xi'an;Singapore City</t>
  </si>
  <si>
    <t>Xidian University;A-Star, Institute of High Performance Computing</t>
  </si>
  <si>
    <t>60025578;60004678</t>
  </si>
  <si>
    <t>Yuan W.</t>
  </si>
  <si>
    <t>Effects of current source models on numerical performances in FDTD simulations</t>
  </si>
  <si>
    <t>10.1002/1098-2760(20001005)27:1&lt;4::AID-MOP2&gt;3.0.CO;2-3</t>
  </si>
  <si>
    <t>2-s2.0-0034300739</t>
  </si>
  <si>
    <t>['yagi antennas', 'uniplanar quasi', 'two back', 'return loss', 'insertion loss', 'experimental investigations', 'back antennas']</t>
  </si>
  <si>
    <t>Theoretical and experimental investigations are performed into a power combiner formed by trays of uniplanar quasi-Yagi antennas. A single tray consisting of two back-to-back antennas and then five-tray and seven-tray structures operating at Ku-band are developed and tested. Using pyramidal horn antennas to distribute and combine microwave power, experiments are performed with respect to return loss, insertion loss, and field uniformity across the trays.</t>
  </si>
  <si>
    <t>50-53</t>
  </si>
  <si>
    <t>60031004;60031004</t>
  </si>
  <si>
    <t>35570164700;7404037594</t>
  </si>
  <si>
    <t>Bialkowski, Marek E.;Song, Hyok J.</t>
  </si>
  <si>
    <t>Investigations into a power-combining structure formed by trays of uniplanar quasi-Yagi antennas</t>
  </si>
  <si>
    <t>10.1002/1098-2760(20001005)27:1&lt;50::AID-MOP14&gt;3.0.CO;2-9</t>
  </si>
  <si>
    <t>2-s2.0-0034300822</t>
  </si>
  <si>
    <t>['infinite screen', 'impedance surfaces', 'head direction']</t>
  </si>
  <si>
    <t>The possibility of using artificial impedance surfaces for reducing mobile phone radiation into the user's head direction is investigated. In a model of an infinite screen, both far and near-zone antenna patterns are studied. It is found that high-impedance surfaces are not practical for this application. The use of low-impedance surfaces has the advantage of wider frequency band.</t>
  </si>
  <si>
    <t>46-50</t>
  </si>
  <si>
    <t>60103653;100327264</t>
  </si>
  <si>
    <t>7005479476;35572352400</t>
  </si>
  <si>
    <t>Tretyakov, S. A.;Simovski, C. R.</t>
  </si>
  <si>
    <t>Espoo;Saint Petersburg (ex Leningrad)</t>
  </si>
  <si>
    <t>Aalto University;S.-Petersburg Stt. Inst. Fine M./O.</t>
  </si>
  <si>
    <t>Wire antennas near artificial impedance surfaces</t>
  </si>
  <si>
    <t>10.1002/1098-2760(20001005)27:1&lt;46::AID-MOP13&gt;3.0.CO;2-9</t>
  </si>
  <si>
    <t>2-s2.0-0034300823</t>
  </si>
  <si>
    <t>['wireless communications', 'three bands', 'single feed', 'frequency operation', 'f antenna', 'compact low']</t>
  </si>
  <si>
    <t>A novel meandered planar inverted-F antenna with a single feed is presented for triple-frequency operation. Using two shorting strips, good impedance matching is achieved in three bands. This compact low-profile design shows characteristics of near-omnidirectional radiation patterns with minimal hand effects, which is preferable for application in wireless communications.</t>
  </si>
  <si>
    <t>58-60</t>
  </si>
  <si>
    <t>7006874542;7004839408</t>
  </si>
  <si>
    <t>Dou, Wei Ping;Chia, Y. W.M.</t>
  </si>
  <si>
    <t>Novel meandered planar inverted-F antenna for triple-frequency operation</t>
  </si>
  <si>
    <t>10.1002/1098-2760(20001005)27:1&lt;58::AID-MOP16&gt;3.0.CO;2-W</t>
  </si>
  <si>
    <t>2-s2.0-0034301582</t>
  </si>
  <si>
    <t>['results show', 'relative phasing', 'radiation q', 'dipole pairs', 'antenna elements', 'antenna depends']</t>
  </si>
  <si>
    <t>A wideband, low-Q, electrically small antenna design is characterized as a function of frequency and the relative phasing between antenna elements. Results show that the radiation Q of the antenna depends on the relative phasing between dipole pairs. In addition, when phased to support circular polarization, the antenna demonstrates wideband operation.</t>
  </si>
  <si>
    <t>53-58</t>
  </si>
  <si>
    <t>7102762205;57192785073;7202271239;7102309054</t>
  </si>
  <si>
    <t>Grimes, Craig A.;Liu, Gang;Grimes, Dale M.;Ong, Keat Ghee</t>
  </si>
  <si>
    <t>Characterization of a wideband, low-Q, electrically small antenna</t>
  </si>
  <si>
    <t>10.1002/1098-2760(20001005)27:1&lt;53::AID-MOP15&gt;3.0.CO;2-3</t>
  </si>
  <si>
    <t>2-s2.0-0034301583</t>
  </si>
  <si>
    <t>['scaling factor', 'resonant frequency', 'resonant frequencies', 'observed long', 'higher mode', 'concentration phenomena']</t>
  </si>
  <si>
    <t>A fractal expanded antenna with the configuration of a triangular microstrip patch antenna is presented. In the fundamental and higher mode of the TFA (triangular fractal antenna), resonant frequencies are controlled by changing the scaling factor. The expansion and concentration phenomena of resonant frequencies are observed with the variation of the scaling factor. The resonant frequency in each fractal patch element is observed long-periodically.</t>
  </si>
  <si>
    <t>41-46</t>
  </si>
  <si>
    <t>56143316900;55471822700;55666785700</t>
  </si>
  <si>
    <t>Chang, Jungmin;Jung, Sungtae;Sangseol, Lee</t>
  </si>
  <si>
    <t>Triangular fractal antenna</t>
  </si>
  <si>
    <t>10.1002/1098-2760(20001005)27:1&lt;41::AID-MOP12&gt;3.0.CO;2-H</t>
  </si>
  <si>
    <t>2-s2.0-0034301584</t>
  </si>
  <si>
    <t>['wide bandwidth', 'six turns', 'results indicate', 'radiation characteristics', 'linear polarization', 'ground reflector', 'conventional log', 'analyzed numerically']</t>
  </si>
  <si>
    <t>A log-periodic loop antenna (LPLA) is proposed and analyzed numerically and experimentally. This antenna has smaller transverse dimensions than the conventional log-periodic dipole antenna with comparable radiation properties. Radiation characteristics of an LPLA with six turns and a ground reflector (GR) are presented. The results indicate that the LPLA can provide high gain and linear polarization over a wide bandwidth.</t>
  </si>
  <si>
    <t>66-68</t>
  </si>
  <si>
    <t>7201556425;7004293822</t>
  </si>
  <si>
    <t>Jeong, Kim K.;Safaai-Jazi, Ahmad</t>
  </si>
  <si>
    <t>Jeong K.K.</t>
  </si>
  <si>
    <t>Log-periodic loop antennas with high gain and linear polarization</t>
  </si>
  <si>
    <t>10.1002/1098-2760(20001005)27:1&lt;66::AID-MOP19&gt;3.0.CO;2-M</t>
  </si>
  <si>
    <t>2-s2.0-0343442532</t>
  </si>
  <si>
    <t>7006874542;57192668619</t>
  </si>
  <si>
    <t>10.1002/1098-2760(20001005)27:1&lt;58::AID-MOP16&gt;3.3.CO;2-N</t>
  </si>
  <si>
    <t>2-s2.0-85047697201</t>
  </si>
  <si>
    <t>['wild type', 'type plants', 'transmembrane protein', 'transfer energy', 'thylakoids deficient', 'survive without', 'stroma lamellae', 'strict arrangement', 'reduction rate', 'reduced amounts', 'recovered somewhat', 'psaf cdna', 'photoautotrophic growth', 'much smaller', 'lower efficiency', 'lower amounts', 'less stable', 'lacking psi', 'harvesting complex', 'f subunit', 'f resulted', 'distorted grana', 'antisense construct']</t>
  </si>
  <si>
    <t>The PSI-F subunit of photosystem I is a transmembrane protein with a large lumenal domain. The role of PSI-F was investigated in Arabidopsis plants transformed with an antisense construct of the psaF cDNA. Several plant lines with reduced amounts of the PSI-F subunit were generated. Many of the transgenic plants died, apparently because they were unable to survive without the PSI-F subunit. Plants with 5% of PSI-F were capable of photoautotrophic growth but were much smaller than wild-type plants. The plants suffered severely under normal growth conditions but recovered somewhat in the dark indicating chronic photoinhibition. Photosystem I lacking PSI-F was less stable, and the stromal subunits PSI-C, PSI-D, and PSI-E were present in lower amounts than in wild type. The lack of PSI-F resulted in an inability of light-harvesting complex I-730 to transfer energy to the P700 reaction center. In thylakoids deficient in PSI-F, the steady state NADP+ reduction rate was only 10% of the wild-type levels indicating a lower efficiency in oxidation of plastocyanin. Surprisingly, the lack of PSI-F also gave rise to disorganization of the thylakoids. The strict arrangement in grana and stroma lamellae was lost, and instead a network of elongated and distorted grana was observed.</t>
  </si>
  <si>
    <t>31211-31218</t>
  </si>
  <si>
    <t>60007971;60019782;60007971</t>
  </si>
  <si>
    <t>6602884251;7402414929;55664625200</t>
  </si>
  <si>
    <t>Haldrup, Anna;Simpson, David John;Scheller, Henrik Vibe</t>
  </si>
  <si>
    <t>Denmark;Denmark</t>
  </si>
  <si>
    <t>Copenhagen;Copenhagen</t>
  </si>
  <si>
    <t>Carlsberg Research Center;University of Copenhagen, Faculty of Life Sciences</t>
  </si>
  <si>
    <t>60019782;60007971</t>
  </si>
  <si>
    <t>Haldrup A.</t>
  </si>
  <si>
    <t>Down-regulation of the PSI-F subunit of photosystem I (PSI) in Arabidopsis thaliana. The PSI-F subunit is essential for photoautotrophic growth and contributes to antenna function</t>
  </si>
  <si>
    <t>10.1074/jbc.M002933200</t>
  </si>
  <si>
    <t>2-s2.0-0034613388</t>
  </si>
  <si>
    <t>['system complexity', 'speed photodetectors', 'propagating along', 'paper provides', 'paper describes', 'optoelectronic packaging', 'independently switched', 'cost associated', 'bandwidth phased', 'attractive solution', 'also reduce', '26 ghz', '1 ps']</t>
  </si>
  <si>
    <t>This paper describes a novel compact detector-switched polymeric waveguide true-time-delay (TTD) module for application in a wideband (18-26 GHz) phased array antenna. The use of photolithographically defined ultra-low-loss polymeric waveguide delay lines provides an attractive solution for achieving the necessary delay time over tens of nsec with ultra fine resolution of less than 1 ps. The two-dimensionally distributed waveguide grating couplers tap the optically encoded microwave signal, propagating along the polymeric channel waveguide, to high-speed photodetectors. Each photodetector is independently switched on and off to select the appropriate delay time. The optically encoded microwave signals are obtained by using a semiconductor-laser-based optical heterodyne technique. Such a monolithic integrated module could reduce the cost associated with optoelectronic packaging and also reduce the system complexity. This paper provides a description of the ongoing research activities in the development and integration of advanced polymeric circuits and packaging as a key building block of the next generation wide-bandwidth phased-array antenna system. ¬© 2000 SPIE.</t>
  </si>
  <si>
    <t>392-400</t>
  </si>
  <si>
    <t>60019228;60024637;60024637;117692447;117692447;117692447;60013372</t>
  </si>
  <si>
    <t>7004070198;7403436452;7403734641;57199206957;57196783005;6507583526;55507881400</t>
  </si>
  <si>
    <t>Foshee, James J.;Tang, Suning;Shi, Zan;Reed, Mark;Lilly, James;Humen, Andy;Chen, Ray T.</t>
  </si>
  <si>
    <t>Bellevue;Dayton;Austin;Greenbelt</t>
  </si>
  <si>
    <t>Radiant Research;Air Force Research Laboratory;The University of Texas at Austin;AAEC</t>
  </si>
  <si>
    <t>60024637;60019228;60013372;117692447</t>
  </si>
  <si>
    <t>Foshee J.J.</t>
  </si>
  <si>
    <t>Polymeric waveguide circuits for true time delay (TTD) in phased array antennas</t>
  </si>
  <si>
    <t>10.1117/12.402677</t>
  </si>
  <si>
    <t>2-s2.0-0034430532</t>
  </si>
  <si>
    <t>['‚ äô', 'well correlated', 'two nuclei', 'star formation', 'second scenario', 'removed rapidly', 'region provide', 'region contains', 'partial ring', 'overlap region', 'ngc 4038', 'massive stars', 'massive complexes', 'magnitude larger', 'large extent', 'immediate environment', 'high temperatures', 'extranuclear region', 'excellent correlation', 'co emission', 'bulk motions', 'brightest regions', 'brightest mid', '10 œºm']</t>
  </si>
  <si>
    <t>Galaxies: individual (NGC 4038/9) | Galaxies: ISM | ISM: molecules | Radio lines: galaxies</t>
  </si>
  <si>
    <t>We present new aperture synthesis CO maps of the Antennae (NGC 4038/39) obtained with the Caltech Millimeter Array. These sensitive images show molecular emission associated with the two nuclei and a partial ring of star formation to the west of NGC 4038, as well as revealing the large extent of the extranuclear region of star formation (the "overlap region"), which dominates the CO emission from this system. The largest molecular complexes have masses of (3-6) √ó 108 M‚äô, typically an order of magnitude larger than the largest structures seen to date in more quiescent galaxy disks. The extremely red luminous star clusters identified previously with the Hubble Space Telescope are well correlated with the CO emission, which supports the conclusion that they are highly embedded young objects rather than old globular clusters. There is an excellent correlation between the CO emission and the 15 Œºm emission seen with the Infrared Space Observatory, particularly for the brightest regions. The most massive complexes in the overlap region have similar [Ne III]/[Ne II] ratios, which implies that all these regions are forming many massive stars. However, only the brightest mid-infrared peak shows strong, rising continuum emission longward of 10 Œºm, indicative of very small dust grains heated to high temperatures by their proximity to nearby luminous stars. Since these grains are expected to be removed rapidly from the immediate environment of the massive stars, it is possible that this region contains very young (&lt;1 Myr) sites of star formation. Alternatively, fresh dust grains could be driven into the sphere of influence of the massive stars, perhaps by the bulk motions of two giant molecular complexes. The kinematics and morphology of the CO emission in this region provide some support for this second scenario.</t>
  </si>
  <si>
    <t>120-127</t>
  </si>
  <si>
    <t>60031828-60031581;60031581;60121493;60003674-60007776</t>
  </si>
  <si>
    <t>7404896077;7005476593;7007132777;7004324747</t>
  </si>
  <si>
    <t>Wilson, Christine D.;Scoville, Nicholas;Madden, Suzanne C.;Charmandaris, Vassilis</t>
  </si>
  <si>
    <t>France;Canada;United States;United States;France</t>
  </si>
  <si>
    <t>Gif-sur-Yvette;Hamilton;Pasadena;Ithaca;Paris</t>
  </si>
  <si>
    <t>D√©partement d‚ÄòAstrophysique;McMaster University;California Institute of Technology;Cornell University;L'Observatoire de Paris</t>
  </si>
  <si>
    <t>60121493;60031828;60031581;60007776;60003674</t>
  </si>
  <si>
    <t>Wilson C.D.</t>
  </si>
  <si>
    <t>High-resolution imaging of molecular gas and dust in the antennae (NGC 4038/39): Super giant molecular complexes</t>
  </si>
  <si>
    <t>10.1086/309504</t>
  </si>
  <si>
    <t>2-s2.0-0034633464</t>
  </si>
  <si>
    <t>['via reduction', 'upon high', 'thioredoxin system', 'stable inactivation', 'recent finding', 'psii antenna', 'protein kinase', 'photosystem ii', 'phosphorylation level', 'made available', 'light illumination', 'light conditions', 'lhcii proteins', 'lhcii phosphorylation', 'lhcii kinase', 'kinase induces', 'induced inactivation', 'following results', 'finding suggests', 'easily reduced', 'disulfide bond', 'cooperative model', 'conformational change', 'chloroplast ferredoxin', 'binding proteins', 'adapted leaves', 'active state']</t>
  </si>
  <si>
    <t>Light induces phosphorylation of photosystem II (PSII) proteins in chloroplasts by activating the protein kinase(s) via reduction of plastoquinone and the cytochrome b6f complex. The recent finding of high-light-induced inactivation of the phosphorylation of chlorophyll a/b-binding proteins (LHCII) of the PSII antenna in floated leaf discs, but not in vitro, disclosed a second regulatory mechanism for LHCII phosphorylation. Here we show that this regulation of LHCII phosphorylation is likely to be mediated by the chloroplast ferredoxin-thioredoxin system. We present a cooperative model for the function of the two regulation mechanisms that determine the phosphorylation level of the LHCII proteins in vivo, based on the following results: (i) Chloroplast thioredoxins f and m efficiently inhibit LHCII phosphorylation. (ii) A disulfide bond in the LHCII kinase, rather than in its substrate, may be a target component regulated by thioredoxin. (iii) The target disulfide bond in inactive LHCII kinase from dark-adapted leaves is exposed and easily reduced by external thiol mediators, whereas in the activated LHCII kinase the regulatory disulfide bond is hidden. This finding suggests that the activation of the kinase induces a conformational change in the enzyme. The active state of LHCII kinase prevails in chloroplasts under low-light conditions, inducing maximal phosphorylation of LHCII proteins in vivo. (iv) Upon high-light illumination of leaves, the target disulfide bond becomes exposed and thus is made available for reduction by thioredoxin, resulting in a stable inactivation of LHCII kinase.</t>
  </si>
  <si>
    <t>11644-11649</t>
  </si>
  <si>
    <t>60006876;60006876;60006876;60006876</t>
  </si>
  <si>
    <t>6603029559;6506950288;6506042958;7005316480</t>
  </si>
  <si>
    <t>Rintam√§ki, E.;Martinsuo, P.;Pursiheimo, S.;Aro, E. M.</t>
  </si>
  <si>
    <t>Turku</t>
  </si>
  <si>
    <t>Turun yliopisto</t>
  </si>
  <si>
    <t>Rintam√§ki E.</t>
  </si>
  <si>
    <t>Cooperative regulation of light-harvesting complex II phosphorylation via the plastoquinol and ferredoxin-thioredoxin system in chloroplasts</t>
  </si>
  <si>
    <t>10.1073/pnas.180054297</t>
  </si>
  <si>
    <t>2-s2.0-0034633748</t>
  </si>
  <si>
    <t>['photodetectors produces', 'oscillator inputs', 'mount components', 'impedance transformers', '75 db']</t>
  </si>
  <si>
    <t>A 9-to-1 optoelectronic receiver/switch module containing switched photodetectors, monolithic microwave integrated circuit amplifiers and impedance transformers has been constructed from chip-level and surface-mount components. This module is designed for 10.5 to 16.0 GHz local-oscillator inputs that are modulated onto lightwave carriers. Bias-switching of the photodetectors produces an on/off ratio of &gt;70 to 75 dB at the combined microwave output.</t>
  </si>
  <si>
    <t>1804-1806</t>
  </si>
  <si>
    <t>60021939;60021939</t>
  </si>
  <si>
    <t>6602269280;55850657300</t>
  </si>
  <si>
    <t>Sayyah, K.;Yap, D.</t>
  </si>
  <si>
    <t>Sayyah K.</t>
  </si>
  <si>
    <t>Compact 9-to-1 optoelectronic receiver/switch module</t>
  </si>
  <si>
    <t>10.1049/el:20001195</t>
  </si>
  <si>
    <t>2-s2.0-0034293944</t>
  </si>
  <si>
    <t>['section measurement', 'radar cross', 'peak point', 'output waveform', 'measurement error', 'effective microsatellite', '5 ¬∞.']</t>
  </si>
  <si>
    <t>A cost-effective microsatellite which has a two-mode radar altimeter on board is proposed for sea state monitoring. The new additional low resolution mode is used to achieve improved normalized radar cross-section measurement. The antenna has an off-nadir look angle up to 0.5¬∞. The measurement error is reduced by the use of a low resolution mode and sampling the peak point of the output waveform. Brown's model is used in this study and variation of radar cross-section with respect to the radar look angle is included in the simulation. The new low resolution mode exhibits a relative flat peak and is not sensitive to sampling time error.</t>
  </si>
  <si>
    <t>1813-1815</t>
  </si>
  <si>
    <t>60021097;60021097;60021097</t>
  </si>
  <si>
    <t>57191649724;7801630958;7005342002</t>
  </si>
  <si>
    <t>Sun, Y.;Hodgart, S.;Sweeting, M. N.</t>
  </si>
  <si>
    <t>Sun Y.</t>
  </si>
  <si>
    <t>Improved sea state monitoring using two-mode radar altimeter</t>
  </si>
  <si>
    <t>10.1049/el:20001250</t>
  </si>
  <si>
    <t>2-s2.0-0034297233</t>
  </si>
  <si>
    <t>['trimer complex', 'three states', 'theoretical simulations', 'temperature dependencies', 'states due', 'spectral dynamics', 'simulations lead', 'resonant hole', 'pure dephasing', 'prosthecochloris aestuarii', 'photosynthetic complex', 'measured relative', 'likely due', 'level systems', 'intramolecular bchl', 'intermolecular phonons', 'hole spectra', 'glasslike two', 'fmo complex', 'energy gaps', 'chlorobium tepidum', 'burn wavelength', 'b 2000', 'absorption band', '99 ps', '825 nm', '5736 ).', '36 cm', '165 cm']</t>
  </si>
  <si>
    <t>Burn wavelength (ŒªB)-dependent nonphotochemical hole spectra are reported for the lowest energy Qy-absorption band of the Fenna-Matthews-Olson (FMO) trimer complex from Prosthecochloris aestuarii. This band at 825 nm is contributed to by three states that stem from the lowest energy state of the subunit of the trimer. The spectra reveal unusually rich and quite sharp low energy satellite structure that consists of holes at 18, 24, 36, 48, 72, 120, and 165 cm-1 as measured relative to the resonant hole at ŒªB. The possibility that some of these holes are due to correlated downward energy transfer from the two higher energy states that contribute to the 825 nm band could be rejected. Thus, the FMO complex is yet another example of a photosynthetic complex for which structural heterogeneity results in distributions for the values of the energy gaps between Qy-states. The results of theoretical simulations of the hole spectra are consistent with the above holes being due to intermolecular phonons and low energy intramolecular vibrations of the bacteriochlorophyll a (BChl a) molecule. The 36 cm-1 and higher energy modes are most likely due to the intramolecular BChl a modes. The simulations lead to the determination of the Huang-Rhys (S) factor for all modes. They range between 0.05 and 0.25 in value. The temperature dependencies of the spectral dynamics for the three contributing states are similar to those reported for the FMO complex from Chlorobium tepidum (R√§tsep et al., J. Phys. Chem. B 2000, 103, 5736). The contribution to the dynamics from pure dephasing/spectral diffusion due to the glasslike two-level systems of the protein is identical for all three states. The lifetimes of the highest and intermediate energy Qy-states due to downward energy transfer are 26 and 99 ps, respectively, at liquid helium temperatures. ¬© 2000 American Chemical Society.</t>
  </si>
  <si>
    <t>9564-9572</t>
  </si>
  <si>
    <t>60008023;60008023;60008023-60068876;60008023;60008023</t>
  </si>
  <si>
    <t>56214774400;6701853229;6701692882;57035722600;7202142626</t>
  </si>
  <si>
    <t>Matsuzaki, S.;Zazubovich, V.;R√§tsep, M.;Hayes, J. M.;Small, G. J.</t>
  </si>
  <si>
    <t>Estonia;United States</t>
  </si>
  <si>
    <t>Tartu;Ames</t>
  </si>
  <si>
    <t>Tartu √úlikooli F√º√ºsika Instituut;Ames Laboratory</t>
  </si>
  <si>
    <t>60068876;60008023</t>
  </si>
  <si>
    <t>Matsuzaki S.</t>
  </si>
  <si>
    <t>Energy transfer kinetics and low energy vibrational structure of the three lowest energy Q&lt;inf&gt;y&lt;/inf&gt;-states of the Fenna-Matthews-Olson antenna complex</t>
  </si>
  <si>
    <t>10.1021/jp0018495</t>
  </si>
  <si>
    <t>2-s2.0-0034299327</t>
  </si>
  <si>
    <t>['higher gain', 'geometry reduced']</t>
  </si>
  <si>
    <t>A novel microstrip antenna having stacked annular rings coupled to a shorted circular path was presented and analyzed. The geometry reduced the radiated cross polarization levels and a large impedance bandwidth with higher gain and efficiency was observed.</t>
  </si>
  <si>
    <t>1756-1757</t>
  </si>
  <si>
    <t>60009220;60072235;60009220</t>
  </si>
  <si>
    <t>6506257858;6602103294;57196866342</t>
  </si>
  <si>
    <t>Baligar, J. S.;Revankar, U. K.;Acharya, K. V.</t>
  </si>
  <si>
    <t>Electronics &amp; Radar Development Establishment India;Bangalore University</t>
  </si>
  <si>
    <t>60072235;60009220</t>
  </si>
  <si>
    <t>Baligar J.S.</t>
  </si>
  <si>
    <t>Broadband stacked annular ring coupled shorted circular microstrip antenna</t>
  </si>
  <si>
    <t>10.1049/el:20001286</t>
  </si>
  <si>
    <t>2-s2.0-0034299406</t>
  </si>
  <si>
    <t>['significantly affect', 'loaded scheme', 'loaded capacitor']</t>
  </si>
  <si>
    <t>A frequency-varying patch antenna design with a loaded capacitor is presented. Unlike traditional patch size reduction schemes, this capacitor-loaded scheme does not significantly affect the radiated power efficiency of the antenna. In some cases, the maximum radiated power can even be improved.</t>
  </si>
  <si>
    <t>1757-1758</t>
  </si>
  <si>
    <t>60024908;60024908;60024908;60024908</t>
  </si>
  <si>
    <t>36855095800;36815519800;7101757838;57133559300</t>
  </si>
  <si>
    <t>Liang, M. C.;Kuo, Y. L.;Yen, Y. M.;Lai, W. C.</t>
  </si>
  <si>
    <t>Dashu</t>
  </si>
  <si>
    <t>I-Shou University</t>
  </si>
  <si>
    <t>Liang M.</t>
  </si>
  <si>
    <t>Capacitor-loaded frequency control scheme for circular patch antenna</t>
  </si>
  <si>
    <t>10.1049/el:20001240</t>
  </si>
  <si>
    <t>2-s2.0-0034300430</t>
  </si>
  <si>
    <t>['radio frequency', 'radiation pattern', 'radiation characteristics', 'parasitic currents', 'mobile handset', 'frequency antennas', 'feed cables', 'computer simulations', 'balun suppressed', 'acceptable level']</t>
  </si>
  <si>
    <t>Dual frequency balun on the radio frequency (RF) feed cables of a mobile handset were presented. The dual-frequency balun blocked the parasitic currents and hence the perturbation of the radiation pattern was reduced to an acceptable level. The balun suppressed the parasitic currents on the RF feed cables during the measurements of the radiation characteristics of dual-frequency antennas. Computer simulations with a method of moments (MOM) and finite element method (FEM) code were used to analyze the results.</t>
  </si>
  <si>
    <t>1760-1761</t>
  </si>
  <si>
    <t>6603413948;7005441452</t>
  </si>
  <si>
    <t>Icheln, C.;Vainikainen, P.</t>
  </si>
  <si>
    <t>Dual-frequency balun to decrease influence of RF feed cables in small antenna measurements</t>
  </si>
  <si>
    <t>10.1049/el:20001243</t>
  </si>
  <si>
    <t>2-s2.0-0034301138</t>
  </si>
  <si>
    <t>['substrate allowed', 'microstrip arrays', 'excellent gain', 'circular polarized', 'antennas operating', '40 ghz']</t>
  </si>
  <si>
    <t>Polymethacrylate imide foam was proposed as a substrate for the fabrication of large bandwidth microstrip arrays working in the X-band. This substrate allowed the manufacture of antennas operating up to 40 GHz. The circular polarized (CP) microstrip arrays were designed and an increased axial ratio (AR) bandwidth with excellent gain and return loss performances was observed.</t>
  </si>
  <si>
    <t>1758-1759</t>
  </si>
  <si>
    <t>60110755;60110235;60110235;60110755</t>
  </si>
  <si>
    <t>55884101500;14822624500;56025971600;7003360986</t>
  </si>
  <si>
    <t>Dussopt, L.;Toutain, Y.;Coupez, J. P.;Laheurte, J. M.</t>
  </si>
  <si>
    <t>Sophia Antipolis;Nantes</t>
  </si>
  <si>
    <t>Laboratoire D'√©lectronique, Antennes et T√©l√©communications;IMT Atlantique</t>
  </si>
  <si>
    <t>60110755;60110235</t>
  </si>
  <si>
    <t>Circularly polarized microstrip arrays built on polymethacrylate imide foam</t>
  </si>
  <si>
    <t>10.1049/el:20001277</t>
  </si>
  <si>
    <t>2-s2.0-0034301933</t>
  </si>
  <si>
    <t>['standard deviation', 'reverse link', 'normalized interference', 'lower bounds', 'also obtained']</t>
  </si>
  <si>
    <t>Lower bounds for the normalized interference mean and standard deviation for the reverse link of code division multiple access (CDMA) systems using linear antenna arrays were obtained. The probability density function (PDF) of the normalized interference was also obtained.</t>
  </si>
  <si>
    <t>1761-1763</t>
  </si>
  <si>
    <t>60029570;60029570</t>
  </si>
  <si>
    <t>6505708057;7005981970</t>
  </si>
  <si>
    <t>Kiomi Teshima, S.;De Almeida, C.</t>
  </si>
  <si>
    <t>Kiomi Teshima S.</t>
  </si>
  <si>
    <t>Lower bound on normalized interference mean and standard deviation for CDMA systems using antenna arrays</t>
  </si>
  <si>
    <t>10.1049/el:20001234</t>
  </si>
  <si>
    <t>2-s2.0-12944289808</t>
  </si>
  <si>
    <t>['strip lines', 'radiation pattern', 'radiation exhibits', 'polarized orthogonally', 'polarization state', 'photocurrent flowing', 'measurable component', 'emitter dipole', 'dipole antenna']</t>
  </si>
  <si>
    <t>We report what is to our knowledge the first detailed investigation of the polarization state of radiation from lens-coupled terahertz dipole antennas. The radiation exhibits a weak but measurable component that is polarized orthogonally to the orientation of the emitter dipole. The angular radiation pattern of this cross-polarized emission reveals that it is quadrupolar, rather than dipolar, in nature. One can understand this result by taking into account the photocurrent flowing in the strip lines that feed the dipole antenna. A Fresnel - Kirchhoff scalar diffraction calculation is used for calculating the frequency-dependent angular distribution of the radiation pattern, providing satisfactory agreement with the measurements. ¬© 2000 Optical Society of America.</t>
  </si>
  <si>
    <t>1556-1558</t>
  </si>
  <si>
    <t>100322480;60005286;60005286</t>
  </si>
  <si>
    <t>7103128726;55494670300;7004931461</t>
  </si>
  <si>
    <t>Rudd, J. V.;Johnson, Jon L.;Mittleman, Daniel M.</t>
  </si>
  <si>
    <t>Houston;Ann Arbor</t>
  </si>
  <si>
    <t>Rice University;Picometrix, Inc.</t>
  </si>
  <si>
    <t>60005286;100322480</t>
  </si>
  <si>
    <t>Rudd J.</t>
  </si>
  <si>
    <t>Quadrupole radiation from terahertz dipole antennas</t>
  </si>
  <si>
    <t>10.1364/OL.25.001556</t>
  </si>
  <si>
    <t>2-s2.0-0000671138</t>
  </si>
  <si>
    <t>['without considering', 'waveform characteristics', 'targets present', 'target resonance', 'subsurface objects', 'radar cross', 'possible sources', 'periodic ring', 'periodic events', 'perform optimally', 'multiple reflections', 'improved imaging', 'geologic features', 'discrete horizon', 'common pitfalls']</t>
  </si>
  <si>
    <t>Periodic events in ground penetrating radar (GPR) data may result from antenna and target effects rather than reflections from geologic features. One of the most common pitfalls in GPR data interpretation is to identify each event on a radar cross-section as scattering from a discrete horizon, without considering other possible sources of these events. Soil electrical properties and surface roughness affect ground penetrating radar antenna radiation and waveform characteristics. An impedance mismatch occurs over soils with electrical properties different than those for which the antennas were designed to perform optimally over, and results in periodic ring-down, which can be misinterpreted as stratigraphy or multiple reflections. In addition, target resonance can introduce additional periodic features that can lead to misinterpretation in regards to the number of targets present. Co-pole and cross-pole antenna configurations can be combined with polarization dependent scattering characteristics of subsurface objects to recognize and reduce antenna ring-down for improved imaging and interpretation.</t>
  </si>
  <si>
    <t>3393-3396</t>
  </si>
  <si>
    <t>6603214983;7006541762;24499126600</t>
  </si>
  <si>
    <t>Radzevicius, S. J.;Guy, E. D.;Daniels, J. J.</t>
  </si>
  <si>
    <t>Pitfalls in GPR data interpretation: Differentiating stratigraphy and buried objects from periodic antenna and target effects</t>
  </si>
  <si>
    <t>10.1029/2000GL008512</t>
  </si>
  <si>
    <t>2-s2.0-0034353043</t>
  </si>
  <si>
    <t>['sensory integration', 'sensorimotor activities', 'second author', 'robot models', 'previous work', 'optomotor response', 'optomotor reflex', 'neural system', 'motor disturbance', 'mechanical stimulation', 'first author', 'different behaviors', 'cricket combines', 'close modeling', 'better understand', 'behaviors may']</t>
  </si>
  <si>
    <t>Biorobotics | Insect vision | Sensorimotor integration | Sound localization</t>
  </si>
  <si>
    <t>The mechanisms by which animals manage sensorimotor integration and coordination of different behaviors can be investigated in robot models. In previous work the first author has built a robot that localizes sound based on close modeling of the auditory and neural system in the cricket. It is known that the cricket combines its response to sound with other sensorimotor activities such as an optomotor reflex and reactions to mechanical stimulation of the antennae and cerci. Behavioral evidence suggests some ways these behaviors may be integrated. We have tested the addition of an optomotor response, using an analog VLSI circuit developed by the second author, to the sound localizing behavior and have shown that it can, as in the cricket, improve the directness of the robot's path to sound. In particular it substantially improves behavior when the robot is subject to a motor disturbance. Our aim is to better understand how the insect brain functions in controlling complex combinations of behavior, with the hope that this will also suggest novel mechanisms for sensory integration on robots. ¬© 2000 SPIE.</t>
  </si>
  <si>
    <t>113-124</t>
  </si>
  <si>
    <t>60025200;60025488</t>
  </si>
  <si>
    <t>7201511284;57203806863</t>
  </si>
  <si>
    <t>Webb, Barbara;Harrison, Reid R.</t>
  </si>
  <si>
    <t>United States;United Kingdom</t>
  </si>
  <si>
    <t>Salt Lake City;Stirling</t>
  </si>
  <si>
    <t>The University of Utah;University of Stirling</t>
  </si>
  <si>
    <t>60025488;60025200</t>
  </si>
  <si>
    <t>Webb B.</t>
  </si>
  <si>
    <t>Integrating sensorimotor systems in a robot model of cricket behavior</t>
  </si>
  <si>
    <t>10.1117/12.403710</t>
  </si>
  <si>
    <t>2-s2.0-0034513285</t>
  </si>
  <si>
    <t>['central free', 'base porphyrin', '500 picoseconds']</t>
  </si>
  <si>
    <t>Coordination chemistry | Energy transfer | Light-harvesting | Porphyrinoids | Self-assembly</t>
  </si>
  <si>
    <t>Three molecular components selfassemble through zinc-pyridine coordination interactions to form a stable porphyrin pentamer (see picture). In this supramolecular complex energy absorbed by the outer zinc porphyrins is transferred to a central free-base porphyrin in 500 picoseconds.</t>
  </si>
  <si>
    <t>3616-3619</t>
  </si>
  <si>
    <t>Angewandte Chemie - International Edition</t>
  </si>
  <si>
    <t>60001881;60029170;60001881;60029170;60001881</t>
  </si>
  <si>
    <t>7004350298;6701803804;55920297500;7006706612;57204168147</t>
  </si>
  <si>
    <t>Haycock, Richard A.;Yartsev, Arkady;Michelsen, Ulrike;Sundstr√∂m, Villy;Hunter, Christopher A.</t>
  </si>
  <si>
    <t>Sweden;United Kingdom</t>
  </si>
  <si>
    <t>Lund;Sheffield</t>
  </si>
  <si>
    <t>Lunds Universitet;The University of Sheffield</t>
  </si>
  <si>
    <t>60029170;60001881</t>
  </si>
  <si>
    <t>Haycock R.</t>
  </si>
  <si>
    <t>Self-assembly of pentameric porphyrin light-harvesting antennae complexes</t>
  </si>
  <si>
    <t>10.1002/1521-3773(20001016)39:20&lt;3616::AID-ANIE3616&gt;3.0.CO;2-W</t>
  </si>
  <si>
    <t>2-s2.0-0034675626</t>
  </si>
  <si>
    <t>R01HL057483</t>
  </si>
  <si>
    <t>['time visualization', 'te 5', 'study represents', 'ray fluoroscopy', 'obtain simultaneous', 'mri scanner', 'intravascular antennas', 'hypothesis explored', 'guiding catheter', 'ge 1', 'fast gradient', 'echo sequence', 'descending aorta', 'could provide', 'chest anatomy', 'ascending aorta', 'achieved easily', '3 msec', '2000 wiley']</t>
  </si>
  <si>
    <t>Atherosclerosis | Coronary | Interventions | Vascular</t>
  </si>
  <si>
    <t>The success of x-ray fluoroscopy-guided coronary catheterization depends in part on the ability to obtain simultaneous and real-time visualization of the guidewire, guiding catheter, and anatomy of the chest. The hypothesis explored in this paper is that magnetic resonance imaging (MRI) could provide this ability. This hypothesis was tested with loopless antennas used as the guidewire and a guiding catheter and two surface coils, each connected to four different receiver channels of a GE 1.5-T CV/I MRI scanner. Experiments were conducted on six healthy dogs. Intravascular antennas were inserted in the right carotid artery and maneuvered in the aorta while running a fast gradient-echo sequence (TR/TE 5/1.3 msec, flip angle 7¬∞). Real-time projection images of the chest anatomy, together with the guidewire and guiding catheter, were obtained. Positioning of the MRI guiding catheter either in the-descending aorta, ascending aorta, or heart was achieved easily. This study represents a step toward MRI-guided coronary catheterization. (C) 2000 Wiley-Liss, Inc.</t>
  </si>
  <si>
    <t>590-594</t>
  </si>
  <si>
    <t>60001117;60001117;60001117;60001117;60001117;60001117-60005248</t>
  </si>
  <si>
    <t>9735193800;35767135100;23102174000;7003655198;6701373958;7005968860</t>
  </si>
  <si>
    <t>Serfaty, Jean Michel;Yang, Xiaoming;Aksit, Pelin;Quick, Harald H.;Solaiyappan, Meiyappan;Atalar, Ergin</t>
  </si>
  <si>
    <t>Serfaty J.</t>
  </si>
  <si>
    <t>Toward MRI-guided coronary catheterization: Visualization of guiding catheters, guidewires, and anatomy in real time</t>
  </si>
  <si>
    <t>10.1002/1522-2586(200010)12:4&lt;590::AID-JMRI11&gt;3.0.CO;2-3</t>
  </si>
  <si>
    <t>2-s2.0-0033818666</t>
  </si>
  <si>
    <t>NF 2000-053414/98/1</t>
  </si>
  <si>
    <t>['zeolite materials', 'wide variety', 'tubes filled', 'transforming sunlight', 'system developed', 'specific place', 'spatially separated', 'solar energy', 'situ synthesis', 'similar methods', 'remarkable properties', 'red light', 'pyronine ).', 'pronounced anisotropy', 'preparing well', 'plants use', 'photochemical transformation', 'photochemical stability', 'oxonine absorbs', 'otherwise would', 'new type', 'natural function', 'nano scale', 'molecular dimension', 'many laboratories', 'made possible', 'luminescent probes', 'light transport', 'light shining', 'individual tube', 'hole pair', 'high concentration', 'green plants', 'great potential', 'geometrical constraints', 'gas interface', 'first absorbed', 'field microscopy', 'experimental proof', 'energy transformation', 'efficient zeolite', 'dye laser', 'different types', 'different approaches', 'defined dye', 'cylindrical morphology', 'cylinder ends', 'crystalline materials', 'continuous one', 'considered uninteresting', 'conducting light', 'chlorophyll molecules', 'chemical energy', 'certain volume', 'biological systems', 'better understanding', 'artificial system', 'artificial antenna', 'arrangement made', 'antenna function', 'also investigated', '3000 nm']</t>
  </si>
  <si>
    <t>Artificial antenna | Energy migration | Energy transfer | Light harvesting | Spectral overlap | Zeolite L</t>
  </si>
  <si>
    <t>Plants are masters of transforming sunlight into chemical energy. In the ingenious antenna system of the leaf, the energy of the sunlight is transported by chlorophyll molecules for the purpose of energy transformation. We have succeeded in reproducing a similar light transport in an artificial system on a nano scale. In this artificial system, zeolite L cylinders adopt the antenna function. The light transport is made possible by specifically organized dye molecules, which mimic the natural function of chlorophyll. Zeolites are crystalline materials with different cavity structures. Some of them occur in nature as a component of the soil. We are using zeolite L crystals of cylindrical morphology which consist of a continuous one-dimensional tube system and we have succeeded in filling each individual tube with chains of joined but noninteracting dye molecules. Light shining on the cylinder is first absorbed and the energy is then transported by the dye molecules inside the tubes to the cylinder ends. We expect that our system can contribute to a better understanding of the important light harvesting process which plants use for the photochemical transformation and storage of solar energy. We have synthesized nanocrystalline zeolite L cylinders ranging in length from 300 to 3000 nm. A cylinder of 800 nm diameter, e.g. consists of about 150 000 parallel tubes. Single red emitting dye molecules (oxonine) were put at each end of the tubes filled with a green emitting dye (pyronine). This arrangement made the experimental proof of efficient light transport possible. Light of appropriate wavelength shining on the cylinder is only absorbed by the pyronine and the energy moves along these molecules until it reaches the oxonine. The oxonine absorbs the energy by a radiationless energy transfer process, but it is not able to send it back to the pyronine. Instead it emits the energy in the form of red light. The artificial light harvesting system makes it possible to realize a device in which different dye molecules inside the tubes are arranged in such a way that the whole visible spectrum can be used by conducting light from blue to green to red without significant loss. Such a material could conceivably be used in a dye laser of extremely small size. The light harvesting nanocrystals are also investigated as probes in near-field microscopy, as materials for new imaging techniques and as luminescent probes in biological systems. The extremely fast energy migration, the pronounced anisotropy, the geometrical constraints and the high concentration of monomers which can be realized, have great potential in leading to new photophysical phenomena. Attempts are being made to use the efficient zeolite-based light harvesting system for the development of a new type of thin-layer solar cell in which the absorption of light and the creation of an electron-hole pair are spatially separated as in the natural antenna system of green plants. Synthesis, characterization and applications of an artificial antenna for light harvesting within a certain volume and transport of the electronic excitation energy to a specific place of molecular dimension has been the target of research in many laboratories in which different approaches have been followed. To our knowledge, the system developed by us is the first artificial antenna which works well enough to deserve this name. Many other highly organized dye-zeolite materials of this type can be prepared by similar methods and are expected to show a wide variety of remarkable properties. The largely improved chemical and photochemical stability of dye molecules inserted in an appropriate zeolite framework allows us to work with dyes which otherwise would be considered uninteresting because of their lack of stability. We have developed two methods for preparing well-defined dye-zeolite materials, one of them working at the solid-liquid and the other at the solid-gas interface. Different approaches for preparing similar materials are in situ synthesis (ship in a bottle) or different types of crystallization inclusion synthesis. (C) 2000 Editions seientifiques et medicales Elsevier SAS.</t>
  </si>
  <si>
    <t>421-447</t>
  </si>
  <si>
    <t>Solid State Sciences</t>
  </si>
  <si>
    <t>60020486;60020486;60020486;60020486;60020486;60020486;60020486;60020486;60020486</t>
  </si>
  <si>
    <t>7006817889;57203613661;6507082904;7801552735;6603549559;36658101900;15072946300;7006586379;7005775719</t>
  </si>
  <si>
    <t>Calzaferri, Gion;Br√ºhwiler, Dominik;Megelski, Silke;Pfenniger, Michel;Pauchard, Marc;Hennessy, Brian;Maas, Huub;Devaux, Andr√©;Graf, Urs</t>
  </si>
  <si>
    <t>Calzaferri G.</t>
  </si>
  <si>
    <t>Playing with dye molecules at the inner and outer surface of zeolite L</t>
  </si>
  <si>
    <t>S1293255800001291</t>
  </si>
  <si>
    <t>10.1016/S1293-2558(00)00129-1</t>
  </si>
  <si>
    <t>2-s2.0-0033808245</t>
  </si>
  <si>
    <t>Emory Eye Center</t>
  </si>
  <si>
    <t>EEC</t>
  </si>
  <si>
    <t>['three isoforms', 'terminal sequence', 'terminal region', 'specific primers', 'significantly different', 'purified protein', 'proteins reported', 'proteins recognise', 'polyclonal antibodies', 'mouth organs', 'drosophila os', 'class expressed', 'carausius morosus', 'antennal specific', 'antennal cdna', 'also expressed']</t>
  </si>
  <si>
    <t>Chemosensory proteins | Eurycantha calcarata | Odorant-binding proteins | Phasmids | RACE | Sequence analysis</t>
  </si>
  <si>
    <t>Three related nucleotide sequences, encoding mature proteins of 108-113 amino acids, have been obtained from antennal cDNA of the Phasmid Eurycantha calcarata. Among these, one is also expressed in the tarsi as demonstrated by N-terminal sequence and mass spectrometric analyses of protein samples isolated from both organs. PCR experiments performed with specific primers, showed that this species is also expressed in the mouth organs and in the cuticle, while the other two are antennal specific. All three isoforms are similar to Drosophila OS-D and other proteins reported in several insect orders, but one of them is significantly different from the other two. The best conserved elements are the N-terminal region and the four cysteine residues. Accurate ESMS measurements indicated that all cysteines are involved in two disulphide bonds and ruled out the occurrence of additional posttranslational modifications. Polyclonal antibodies, raised against the purified protein, did not react with proteins of the same class expressed in another Phasmid species, Carausius morosus, and in the orthopteran Schistocerca gregaria, nor did antibodies against these proteins recognise those of E. calcarata. (C) 2000 Elsevier Science Ltd.</t>
  </si>
  <si>
    <t>1091-1098</t>
  </si>
  <si>
    <t>60028868;60028868-60028039;60021199;60021199;60028868;60028868;60010674;60010674;60028868</t>
  </si>
  <si>
    <t>7004324991;57207872514;54398255500;7007083035;6602659492;8427679300;6601958753;35569644800;36880050400</t>
  </si>
  <si>
    <t>Marchese, Silvana;Angeli, Sergio;Andolfo, Annapaola;Scaloni, Andrea;Brandazza, Anna;Mazza, Mario;Picimbon, Jean Fran√ßois;Leal, Walter S.;Pelosi, Paolo</t>
  </si>
  <si>
    <t>Italy;Italy;Italy;Japan</t>
  </si>
  <si>
    <t>Pisa;Pisa;Rome;Tsukuba</t>
  </si>
  <si>
    <t>Universit√† di Pisa;Sant'Anna Scuola Universitaria Superiore Pisa;Consiglio Nazionale delle Ricerche;National Institute Sericultural Entomological Sciences Tsukuba</t>
  </si>
  <si>
    <t>60028868;60028039;60021199;60010674</t>
  </si>
  <si>
    <t>Marchese S.</t>
  </si>
  <si>
    <t>Soluble proteins from chemosensory organs of Eurycantha calcarata (Insects, Phasmatodea)</t>
  </si>
  <si>
    <t>S0965174800000849</t>
  </si>
  <si>
    <t>10.1016/S0965-1748(00)00084-9</t>
  </si>
  <si>
    <t>2-s2.0-0033809025</t>
  </si>
  <si>
    <t>['wideband circular', 'wide slits', 'via hole', 'proposed antenna', 'patch antenna', 'ground plane', 'e patch', 'conducting post', 'circular patch', 'capacitive feed', 'also observed', 'air substrate', '9 dbi', '4 dbi', '35 %.']</t>
  </si>
  <si>
    <t>A wideband circular-E patch antenna with an air substrate and a capacitive feed is proposed. The circular-E patch is formed by inserting a pair of wide slits at the boundary of a circular patch, and the capacitive feed has a small metallic disk placed below the circular-E patch, supported by a conducting post, which is then connected to a 50 Œ© SMA connector through a via hole in the ground plane of the patch antenna. A prototype of the proposed antenna is constructed, and experimental results reveal that a group of three adjacent resonant modes can be excited, which results in a wide 10 dB return-loss impedance bandwidth of about 35%. Acceptable radiation characteristics for operating frequencies across the obtained wide impedance bandwidth are also observed, and the gain variation within the bandwidth is seen to be less than 1.4 dBi, with a peak antenna gain of about 7.9 dBi.</t>
  </si>
  <si>
    <t>134-135</t>
  </si>
  <si>
    <t>8396240400;7404851995;35460663000</t>
  </si>
  <si>
    <t>Hsu, Wen Hsiu;Lee, Gwo Yun;Wong, Kin Lu</t>
  </si>
  <si>
    <t>Wideband capacitively fed circular-E patch antenna</t>
  </si>
  <si>
    <t>10.1002/1098-2760(20001020)27:2&lt;134::aid-mop15&gt;3.0.co;2-v</t>
  </si>
  <si>
    <t>2-s2.0-0034692714</t>
  </si>
  <si>
    <t>['wind model', 'western lobe', 'vla 05487', 'velocity spurs', 'support either', 'simplest version', 'simplest interpretation', 'shock features', 'rno 91', 'relatively nearby', 'qualitatively explained', 'pv diagram', 'parabolic structure', 'outflow axis', 'low luminosity', 'lived jet', 'kinematics consistent', 'iii using', 'hh 240', 'hh 212', 'hh 111', 'h2 emission', 'fcrao 14', 'either model', 'easily explained', 'driving source', 'driven model', 'detailed calculations', 'co j', 'co emission', 'close relationship', 'class ii', 'broadly consistent', 'bima array', 'best example', 'angle wind', '0 emission']</t>
  </si>
  <si>
    <t>ISM: individual (VLA 05487, HH 212, HH 240/241, HH 111, RNO 91) | ISM: jets and outflows | Stars: formation</t>
  </si>
  <si>
    <t>We have mapped the CO J = 1-0 emission from molecular outflows associated with five young stellar systems of class O to class II/III using the BIMA array and the FCRAO 14 m antenna. The systems, VLA 05487, HH 212, HH 240/241, HH 111, and RNO 91, are all relatively nearby and of low luminosity, and the majority have H2 emission or optical jet features. The CO outflow generally forms a shell structure around the outflow axis with the higher velocity emission further out from the source. Two distinctive kinematic features are evident in position-velocity (PV) diagrams : a parabolic structure originating at the driving source (e.g., VLA 05487 and HH 111) and a convex spur structure with the high-velocity tip near known H2 bow shocks (e.g., HH 212, HH 240/241 and HH 111). The parabolic PV structure can be produced by a wide-angle-wind model, while the velocity spur structure can be modeled with a jet-driven bow shock model. VLA 05487, which is not associated with any H2 bow shocks, shows only the parabolic structure and kinematics consistent with the wide-angle wind-driven model. HH 212, which is associated with a series of H2 bow shock structures, shows a striking morphological coincidence between the H2 and CO emission and velocity spurs in the PV diagram. It is our best example of the jet-driven bow shock model, and its kinematics can be qualitatively explained in that context. HH 240/241 is similar to HH 212 and shows a close relationship between the H2 and CO emission. The kinematics of its western lobe can also be explained with the jet-driven model. The kinematics of RNO 91 are similar to VLA 05487 and are broadly consistent with a wide-angle wind-driven model. HH 111 has both parabolic and spur PV structures, a combination that is not easily explained in the simplest version of either model. Thus, these observations provide examples of systems that support either the wide-angle wind-driven or jet-driven model in the simplest interpretation. More detailed calculations are needed to understand whether one model might be able to fit all systems. It is crucial to know if time-dependent or long-lived jet-driven bow shock models can produce the observed outflow widths and parabolic PV structures, or if a wide-angle wind can produce the shock features and velocity spur structures in our observations.</t>
  </si>
  <si>
    <t>925-945</t>
  </si>
  <si>
    <t>60020304;60020304;60000221;60020304;60020304</t>
  </si>
  <si>
    <t>35330124000;16407826600;7005402491;35571980900;36482308600</t>
  </si>
  <si>
    <t>Lee, Chin Fei;Mundy, Lee G.;Reipurth, Bo;Ostriker, Eve C.;Stone, James M.</t>
  </si>
  <si>
    <t>College Park;Boulder</t>
  </si>
  <si>
    <t>University of Maryland, College Park;University of Colorado Boulder</t>
  </si>
  <si>
    <t>60020304;60000221</t>
  </si>
  <si>
    <t>Lee C.F.</t>
  </si>
  <si>
    <t>Co outflows from young stars: Confronting the jet and wind models</t>
  </si>
  <si>
    <t>10.1086/317056</t>
  </si>
  <si>
    <t>2-s2.0-0034692717</t>
  </si>
  <si>
    <t>['rlsa antenna', 'lp rlsa', 'line slot', 'experimental results', 'beam shaping', 'arbitrary direction']</t>
  </si>
  <si>
    <t>The beam shaping of a linearly polarized radial-line slot-array (LP RLSA) antenna is demonstrated with the production of a prototype with a broadened main beam pointed in an arbitrary direction. The method of synthesis is presented, which utilizes a simple but accurate radiation model for the RLSA antenna to predict radiation characteristics. Experimental results for a Ku-band LP RLSA antenna manufactured using the described techniques show good agreement with the theoretically predicted performance.</t>
  </si>
  <si>
    <t>98-101</t>
  </si>
  <si>
    <t>35570164700;57199048291</t>
  </si>
  <si>
    <t>Bialkowski, Marek E.;Davis, Paul W.</t>
  </si>
  <si>
    <t>Linearly polarized radial-line slot-array antenna with a broadened beam</t>
  </si>
  <si>
    <t>10.1002/1098-2760(20001020)27:2&lt;98::AID-MOP5&gt;3.0.CO;2-Y</t>
  </si>
  <si>
    <t>2-s2.0-0034692740</t>
  </si>
  <si>
    <t>['two examples', 'difference time', 'cylindrical cavity', 'curved surfaces', 'conformal fdtd', 'available methods', 'algorithm proposed', 'accurate modeling']</t>
  </si>
  <si>
    <t>In this letter, we present a robust conformal finite-difference time-domain (FDTD) algorithm for the accurate modeling of perfectly conducting objects with curved surfaces and edges. We illustrate the application of the algorithm proposed in this communication with two examples that include: 1) a quarter-wave monopole mounted on a perfectly conducting elliptic disk, and 2) a cylindrical cavity. We show that the agreement between the conformal FDTD and other available methods is good.</t>
  </si>
  <si>
    <t>136-138</t>
  </si>
  <si>
    <t>7403914320;55197051100</t>
  </si>
  <si>
    <t>Yu, Wenhua;Mittra, Raj</t>
  </si>
  <si>
    <t>Yu W.</t>
  </si>
  <si>
    <t>Conformal FDTD algorithm for modeling perfectly conducting objects with curve-shaped surfaces and edges</t>
  </si>
  <si>
    <t>10.1002/1098-2760(20001020)27:2&lt;136::aid-mop16&gt;3.0.co;2-q</t>
  </si>
  <si>
    <t>2-s2.0-0034692749</t>
  </si>
  <si>
    <t>['theoretical model', 'swept cross', 'simulations performed', 'signal frequency', 'polarized scattering', 'physical mechanism', 'observation distance', 'lower boundaries', 'dielectric medium', 'borehole radars']</t>
  </si>
  <si>
    <t>As a theoretical model of frequency-swept cross-borehole radars for locating deeply buried tunnels with asymmetric cross sections, E-polarized scattering by a trapezoidal air cylinder in a dielectric medium is analyzed. The results of simulations performed by employing the boundary-element method illustrate that the null frequencies corresponding to the upper and lower boundaries of the cylinder are different. Also, the physical mechanism for the occurrences of nulls, which depend on the signal frequency and the observation distance, is presented in detail.</t>
  </si>
  <si>
    <t>140-144</t>
  </si>
  <si>
    <t>60080732;60025960;60032144</t>
  </si>
  <si>
    <t>35215380100;14009553100;7006884400</t>
  </si>
  <si>
    <t>Lee, Taek Kyung;Kim, Se Yun;Ra, Jung Woong</t>
  </si>
  <si>
    <t>Goyang;Daejeon;Seoul</t>
  </si>
  <si>
    <t>Korea Aerospace University;Korea Advanced Institute of Science and Technology;Korea Institute of Science and Technology</t>
  </si>
  <si>
    <t>60080732;60032144;60025960</t>
  </si>
  <si>
    <t>Lee T.</t>
  </si>
  <si>
    <t>Diffraction pattern due to a trapezoidal air cylinder in a dielectric</t>
  </si>
  <si>
    <t>10.1002/1098-2760(20001020)27:2&lt;140::AID-MOP18&gt;3.0.CO;2-N</t>
  </si>
  <si>
    <t>2-s2.0-0034692750</t>
  </si>
  <si>
    <t>['radiation patterns', 'radiation hazards', 'proposed approach', 'paper describes', 'numerical results', 'method physical', 'hybrid moment', 'emi ),', 'electromagnetic interference', 'accurate tool']</t>
  </si>
  <si>
    <t>On-board antenna design involves aspects such as optimization of radiation patterns, control of electromagnetic interference and disturbance (EMC/EMI), the assessment of radiation hazards, etc. This paper describes a hybrid moment-method physical-optics (MM-PO) approach that has been shown to be an efficient and accurate tool to predict the above-mentioned electromagnetic aspects concerning antennas installed on board. Some numerical results are presented and compared with a reference MM solution in order to illustrate the accuracy and efficiency of the proposed approach.</t>
  </si>
  <si>
    <t>88-93</t>
  </si>
  <si>
    <t>60026134;60026134;60026134;60026134;60026134</t>
  </si>
  <si>
    <t>7003784434;7006470289;7404696540;8677712100;7202940966</t>
  </si>
  <si>
    <t>Obelleiro, F.;Taboada, J. M.;Rodr√≠guez, J. L.;Rubi√±os, J. O.;Arias, A. M.</t>
  </si>
  <si>
    <t>Obelleiro F.</t>
  </si>
  <si>
    <t>Hybrid moment-method physical-optics formulation for modeling the electromagnetic behavior of on-board antennas</t>
  </si>
  <si>
    <t>10.1002/1098-2760(20001020)27:2&lt;88::AID-MOP3&gt;3.0.CO;2-4</t>
  </si>
  <si>
    <t>2-s2.0-0034692758</t>
  </si>
  <si>
    <t>['top side', 'significant difference', 'modified formula', 'measured frequency', 'lower edge', 'impedance bandwidth', 'equivalent cylinder', 'bottom side', 'also attains', 'accurate evaluation']</t>
  </si>
  <si>
    <t>A kind of the trapezoidal planar monopole antenna was proposed. Compared to the square monopole antenna, it also attains a broad impedance bandwidth, typically of &gt;80% for VSWR = 2:1. The evaluated frequency corresponding to the lower edge of the impedance bandwidth by a simple formula based on the equivalent cylinder has a significant difference from a measured frequency, especially when a top side is longer than a bottom side. Hence, a modified formula is presented for accurate evaluation of the frequency.</t>
  </si>
  <si>
    <t>120-122</t>
  </si>
  <si>
    <t>7409485017;57192668619</t>
  </si>
  <si>
    <t>Chen, Z. N.;Chia, Y. W.M.</t>
  </si>
  <si>
    <t>Impedance characteristics of trapezoidal planar monopole antennas</t>
  </si>
  <si>
    <t>10.1002/1098-2760(20001020)27:2&lt;120::AID-MOP11&gt;3.0.CO;2-D</t>
  </si>
  <si>
    <t>2-s2.0-0034692782</t>
  </si>
  <si>
    <t>['tetraantennary oligosaccharide', 'sepharose ff', 'purified 64', 'nonreducing conditions', 'linked complex', 'known enzyme', 'hen oviduct', 'gnt iv', 'enzyme catalyzes', 'divalent cation', 'clearly distinguishes', 'branched n', 'biantennary oligosaccharide', 'antenna formation', 'acetylglucosaminyltransferase vi', '6 arm', '3 arm']</t>
  </si>
  <si>
    <t>A new Œ≤1,4-N-acetylglucosaminyltransferase (GnT) responsible for the formation of branched N-linked complex-type sugar chains has been purified 64,000-fold in 16% yield from a homogenate of hen oviduct by column chromatography procedures using Q-Sepharose FF, Ni2+-chelating Sepharose FF, and UDP-hexanolamineagarose. This enzyme catalyzes the transfer of GlcNAc from UDP-GlcNAc to tetraantennary oligosaccharide and produces pentaantennary oligosaccharide with the Œ≤1-4-linked GlcNAc residue on the ManŒ±1-6 arm. It requires a divalent cation such as Mn2+ and has an apparent molecular weight of 72,000 under nonreducing conditions. The enzyme does not act on biantennary oligosaccharide (GnT I and II product), and Œ≤1,6-N-acetylglucosaminylation of the ManŒ±1-6 arm (GnT V product) is essential for its activity. This clearly distinguishes it from GnT IV, which is known to generate a Œ≤1-4-linked GlcNAc residue only on the ManŒ±1-3 arm. Based on these findings, we conclude that this enzyme is UDP-GlcNAc:GlcNAcŒ≤1-6(GlcNAcŒ≤1-2)ManŒ±1-R [Glc-NAc to Man]-Œ≤1,4-N-acetylglucosaminyltransferase VI. This is the only known enzyme that has not been previously purified among GnTs responsible for antenna formation on the cores of N-linked complex-type sugar chains.</t>
  </si>
  <si>
    <t>32598-32602</t>
  </si>
  <si>
    <t>60013829;60013829;60013829;60013829;60013829;60013829;60013829</t>
  </si>
  <si>
    <t>7402172292;7404741043;7404443788;7406179010;15133047400;6508356414;36038371200</t>
  </si>
  <si>
    <t>Taguchi, T.;Ogawa, T.;Inoue, S.;Inoue, Y.;Sakamoto, Y.;Korekane, H.;Taniguchi, N.</t>
  </si>
  <si>
    <t>Osaka University Faculty of Medicine</t>
  </si>
  <si>
    <t>Taguchi T.</t>
  </si>
  <si>
    <t>Purification and characterization of UDP-GlcNAc:GlcNAcŒ≤1-6(GlcNAcŒ≤1-2)ManŒ±1-R [GlcNAc to Man]-Œ≤1, 4-N-acetylglucosaminyltransferase VI from Hen Oviduct</t>
  </si>
  <si>
    <t>10.1074/jbc.M004673200</t>
  </si>
  <si>
    <t>2-s2.0-0034693048</t>
  </si>
  <si>
    <t>['transistor efficiency', 'new concept', 'main problem', 'high efficiency', 'heap antenna', 'feeding point', 'active device', 'active antennas', '1 w']</t>
  </si>
  <si>
    <t>In most cases, the concept of high efficiency has been studied in transistors, but unfortunately, there are very few applications to antennas. The aim of this work is to develop a new concept in order to complement and facilitate the design of active antennas in transmission. We show that a patch antenna adequately fed by using an active device can work as a high-efficiency active patch (HEAP) antenna. The main problem is to determine the dimensions, shape, and location of the feeding point of an active patch antenna. A HEAP antenna has been developed with a transistor efficiency of about 80% Vcc = 12.5 and EIRP = 2.1 W.</t>
  </si>
  <si>
    <t>122-125</t>
  </si>
  <si>
    <t>60028442;60028442;60028442;60028442;60001741</t>
  </si>
  <si>
    <t>7801672683;57207023762;36845375300;57203469241;57206412065</t>
  </si>
  <si>
    <t>Posadas, Vicente Gonz√°lez;Mart√≠n, Jos√© M.R.;Frias, Carlos Rueda;Mart√≠n, Jos√© Luis Jim√©nez;Pascual, Carlos Mart√≠n</t>
  </si>
  <si>
    <t>Madrid;Madrid</t>
  </si>
  <si>
    <t>Universidad Polit√©cnica de Madrid;Universidad Carlos III de Madrid</t>
  </si>
  <si>
    <t>60028442;60001741</t>
  </si>
  <si>
    <t>Posadas V.G.</t>
  </si>
  <si>
    <t>Development of high-efficiency active patch antennas</t>
  </si>
  <si>
    <t>10.1002/1098-2760(20001020)27:2&lt;122::aid-mop12&gt;3.0.co;2-8</t>
  </si>
  <si>
    <t>2-s2.0-0342519928</t>
  </si>
  <si>
    <t>BES2-5214</t>
  </si>
  <si>
    <t>['standard set', 'simultaneous mri', 'mr signal', 'intelligent filtering', 'high signal', 'heavily disturbed', 'gradient switching', 'fmri application', 'eeg acquisition', 'dedicated set', 'conductive materials', 'antenna comprises', 'agcl electrodes']</t>
  </si>
  <si>
    <t>EEG | MRI | RF-antenna</t>
  </si>
  <si>
    <t>The construction of a high quality MR RF-antenna with incorporated EEG electrodes for simultaneous MRI and EEG acquisition is presented. The antenna comprises an active decoupled surface coil for receiving the MR signal and a whole body coil for transmitting the excitation RF pulses. The surface coil offers a high signal-to-noise ratio required for fMRI application and the whole body coil has a good B1 excitation profile, which enables the application of homogeneous RF pulses. Non-invasive carbon electrodes are used in order to minimise the magnetic susceptibility artefacts that occur upon application of conductive materials. This dedicated set-up is compared to a standard set-up being a linear birdcage coil and commercially available Ag/AgCl electrodes. As the acquired EEG signals are heavily disturbed by the gradient switching, intelligent filtering is applied to obtain a clean EEG signal. (C) 2000 Elsevier Science Inc.</t>
  </si>
  <si>
    <t>887-891</t>
  </si>
  <si>
    <t>0730725X</t>
  </si>
  <si>
    <t>Magnetic Resonance Imaging</t>
  </si>
  <si>
    <t>60012937;60012937;60012937;60012937;60012937</t>
  </si>
  <si>
    <t>15743452500;9045186900;6603736409;7003344927;35466564000</t>
  </si>
  <si>
    <t>Van Audekerkea, J.;Peeters, R.;Verhoye, M.;Sijbers, J.;Van der Linden, A.</t>
  </si>
  <si>
    <t>Antwerpen</t>
  </si>
  <si>
    <t>Universiteit Antwerpen</t>
  </si>
  <si>
    <t>Van Audekerkea J.</t>
  </si>
  <si>
    <t>Special designed RF-antenna with integrated non-invasive carbon electrodes for simultaneous magnetic resonance imaging and electroencephalography acquisition at 7T</t>
  </si>
  <si>
    <t>S0730725X00001727</t>
  </si>
  <si>
    <t>10.1016/S0730-725X(00)00172-7</t>
  </si>
  <si>
    <t>2-s2.0-0033771935</t>
  </si>
  <si>
    <t>['transfer processes', 'thylakoid membranes', 'structural rearrangements', 'proper positions', 'photosystem ii', 'oxygen evolution', 'native complexes', 'multisubunit pigment', 'monomer interactions', 'large number', 'inward shift', 'harvesting antenna', 'excitation energy', 'electron microscopy', 'directed transfer', 'dimeric supercomplexes', 'cp29 subunits', 'core monomers', 'central part', 'averaged projections', 'associated light', 'addition destabilizes', '9 nm', '2 nm']</t>
  </si>
  <si>
    <t>Photosystem II is a multisubunit pigment-protein complex embedded in the thylakoid membranes of chloroplasts. It consists of a large number of intrinsic membrane proteins involved in light-harvesting and electron-transfer processes and of a number of extrinsic proteins required to stabilize photosynthetic oxygen evolution. We studied the structure of dimeric supercomplexes of photosystem II and its associated light-harvesting antenna by electron microscopy and single-particle image analysis. Comparison of averaged projections from native complexes and complexes without extrinsic polypeptides indicates that the removal of 17 and 23 kDa extrinsic subunits induces a shift of about 1.2 nm in the position of the monomeric peripheral antenna protein CP29 toward the central part of the supercomplex. Removal of the 33 kDa extrinsic protein induces an inward shift of the strongly bound trimeric light-harvesting complex II (S-LHCII) of about 0.9 nm, and in addition destabilizes the monomer-monomer interactions in the central core dimer, leading to structural rearrangements of the core monomers. It is concluded that the extrinsic subunits keep the S-LHCII and CP29 subunits in proper positions at some distance from the central part of the photosystem II core dimer to ensure a directed transfer of excitation energy through the monomeric peripheral antenna proteins CP26 and CP29 and/or to maintain sequestered domains of inorganic cofactors required for oxygen evolution.</t>
  </si>
  <si>
    <t>12907-12915</t>
  </si>
  <si>
    <t>Boekema, E. J.;Van Breemen, J. F.L.;Van Roon, H.;Dekker, J. P.</t>
  </si>
  <si>
    <t>Boekema E.</t>
  </si>
  <si>
    <t>Conformational changes in photosystem II supercomplexes upon removal of extrinsic subunits</t>
  </si>
  <si>
    <t>10.1021/bi0009183</t>
  </si>
  <si>
    <t>2-s2.0-0034711009</t>
  </si>
  <si>
    <t>['printing definition', 'less demanding', 'double square', 'also discussed']</t>
  </si>
  <si>
    <t>A novel element provides reflection band ratios as low as 1.1. It is derived from the double square but is less demanding on printing definition. Together, the two elements offer increased flexibility in frequency selective surface design for close band applications. Substrate loss effects are also discussed.</t>
  </si>
  <si>
    <t>1830-1831</t>
  </si>
  <si>
    <t>60010818;60010818;60010818</t>
  </si>
  <si>
    <t>6701488061;7201840709;7102439597</t>
  </si>
  <si>
    <t>Chuprin, A. D.;Parker, E. A.;Batchelor, J. C.</t>
  </si>
  <si>
    <t>Chuprin A.</t>
  </si>
  <si>
    <t>Convoluted double square: Single layer FSS with close band spacings</t>
  </si>
  <si>
    <t>10.1049/el:20001308</t>
  </si>
  <si>
    <t>2-s2.0-0034292689</t>
  </si>
  <si>
    <t>['repeater applications', 'mobile handset', 'electrical characteristics', 'demonstrated experimentally']</t>
  </si>
  <si>
    <t>A modified sleeve monopole type antenna that features a novel broadband technique is demonstrated experimentally and numerically. A bandwidth of 24.2% (|S11|&lt;-20 dB) can be achieved, and an omnidirectional radiation pattern is obtained. The electrical characteristics of the proposed antenna make it attractive for use in mobile handset and repeater applications.</t>
  </si>
  <si>
    <t>1829-1830</t>
  </si>
  <si>
    <t>7403231252;34971825100;7408063644</t>
  </si>
  <si>
    <t>Moon, Jung Ick;Park, Seong Ook;Park, Ke Young</t>
  </si>
  <si>
    <t>Broadband sleeve monopole type antenna for dual-band PCS/IMT-2000</t>
  </si>
  <si>
    <t>10.1049/el:20001303</t>
  </si>
  <si>
    <t>2-s2.0-0034292702</t>
  </si>
  <si>
    <t>['variation law', 'situ measurement', 'rotation angle', 'reflected wave', 'receiving antenna', 'microwave ellipsometry', 'method consists', 'depolarization induced', 'complex permittivity']</t>
  </si>
  <si>
    <t>A new approach based on microwave ellipsometry is presented for the in situ measurement of the complex permittivity of materials. This method consists of measuring the depolarization induced by the reflection of an incident electric field on the surface of the material under test. It is found that the relative complex permittivity of the material can be deduced from the variation law of the power of the reflected wave, as a function of the rotation angle of the receiving antenna.</t>
  </si>
  <si>
    <t>1843-1845</t>
  </si>
  <si>
    <t>120180498;120180498;120180498</t>
  </si>
  <si>
    <t>55224072100;6504059614;22735261200</t>
  </si>
  <si>
    <t>Sagnard, F.;Bentabet, F.;Vignat, C.</t>
  </si>
  <si>
    <t>Marne-la-Vallee</t>
  </si>
  <si>
    <t>Laboratoire Systkme de Communication</t>
  </si>
  <si>
    <t>Sagnard F.</t>
  </si>
  <si>
    <t>Theoretical study of method based on ellipsometry for measurement of complex permittivity of materials</t>
  </si>
  <si>
    <t>10.1049/el:20001313</t>
  </si>
  <si>
    <t>2-s2.0-0034292721</t>
  </si>
  <si>
    <t>['reverse link', 'power controlled', 'normally expressed', 'least 14', 'cell interference']</t>
  </si>
  <si>
    <t>The other cell interference factor for the reverse link of a power controlled, high altitude platform station (HAPS) code division multiple access (CDMA) system was evaluated. It was shown that a HAPS CDMA system provides a reverse link capacity improvement of at least 14% over a ground-based CDMA system. The other cell interference was normally expressed as a factor of the same cell interference.</t>
  </si>
  <si>
    <t>1881-1882</t>
  </si>
  <si>
    <t>8309605000;8309604800;7007108795;7006679359</t>
  </si>
  <si>
    <t>Foo, Y. C.;Lim, W. L.;Tafazolli, R.;Barclay, L.</t>
  </si>
  <si>
    <t>Foo Y.C.</t>
  </si>
  <si>
    <t>Other-cell interference and reverse link capacity of high altitude platform station CDMA system</t>
  </si>
  <si>
    <t>10.1049/el:20001316</t>
  </si>
  <si>
    <t>2-s2.0-0034292783</t>
  </si>
  <si>
    <t>['experimental results', 'electromagnetic computation', 'doa algorithms', '8 ghz']</t>
  </si>
  <si>
    <t>Electromagnetic computation was used to account for mutual coupling effects in smart antenna system and improve the performance of direction of arrival (DOA) estimation. The anomalous direction finding results observed in a smart antenna testbed were explained in terms of mutual coupling effects. The experimental results of the Bartlett and multiple signal classification (MUSIC) DOA algorithms for mobile users transmitting at 1.8 GHz are given.</t>
  </si>
  <si>
    <t>1889-1891</t>
  </si>
  <si>
    <t>7004328694;7202062608;7404265004</t>
  </si>
  <si>
    <t>Dandekar, K. R.;Ling, H.;Xu, G.</t>
  </si>
  <si>
    <t>Dandekar K.</t>
  </si>
  <si>
    <t>Effect of mutual coupling on direction finding in smart antenna applications</t>
  </si>
  <si>
    <t>10.1049/el:20001309</t>
  </si>
  <si>
    <t>2-s2.0-0034296211</t>
  </si>
  <si>
    <t>['smart antennas', 'results reported', 'high capacity', 'frequency band']</t>
  </si>
  <si>
    <t>Smart antennas are regarded as a core system component within future wireless networks, to meet the demands for high capacity. It is shown that the correlation between power azimuth spectrums for incremental duplex separation becomes significant for small frequency offsets. The results reported are computed from measured data taken within the universal mobile telecommunication system (UMTS) frequency band.</t>
  </si>
  <si>
    <t>1884-1885</t>
  </si>
  <si>
    <t>60020650;60020650;60020650</t>
  </si>
  <si>
    <t>7102568206;7401697889;7102445851</t>
  </si>
  <si>
    <t>Beach, M.;Allen, B.;Karlsson, P.</t>
  </si>
  <si>
    <t>Beach M.</t>
  </si>
  <si>
    <t>Spatial decorrelation of frequency division duplex links</t>
  </si>
  <si>
    <t>10.1049/el:20001338</t>
  </si>
  <si>
    <t>2-s2.0-0034296849</t>
  </si>
  <si>
    <t>['standing uncertainty', 'results show', 'resolved concerning', 'photosynthetic membranes', 'native membrane', 'low temperatures', 'light excitations', 'lh2 antennas', 'energy transfer', 'conventional absorption', 'antenna complexes']</t>
  </si>
  <si>
    <t>A long-standing uncertainty has been resolved concerning the early time evolution of light excitations in LH2 antennas of purple photosynthetic bacteria. Both isolated and native membrane-embedded LH2 antenna complexes were comprehensively studied using femtosecond time-resolved transient absorption spectroscopy together with conventional absorption and fluorescence emission spectroscopies at low temperatures. The results show that exciton relaxation within isolated LH2 complexes is characterized by subpicosecond time constants, while spectral evolution associated with energy transfer between the antenna complexes in photosynthetic membranes is characterized by time constants ‚â• 1 ps. ¬© 2000 American Chemical Society.</t>
  </si>
  <si>
    <t>9770-9771</t>
  </si>
  <si>
    <t>60003892-60068856;60003892;60003892-60068856</t>
  </si>
  <si>
    <t>6701855945;7006774990;7005109792</t>
  </si>
  <si>
    <t>Timpmann, K√µu;Woodbury, Neal W.;Freiberg, Arvi</t>
  </si>
  <si>
    <t>Tartu;Tempe</t>
  </si>
  <si>
    <t>Tartu √úlikool;Arizona State University</t>
  </si>
  <si>
    <t>60068856;60003892</t>
  </si>
  <si>
    <t>Timpmann K.</t>
  </si>
  <si>
    <t>Unraveling exciton relaxation and energy transfer in LH2 photosynthetic antennas</t>
  </si>
  <si>
    <t>10.1021/jp001993q</t>
  </si>
  <si>
    <t>2-s2.0-0034297762</t>
  </si>
  <si>
    <t>['spacecraft simulator', 'simulator would', 'primary use', 'pc ).', 'optical engineering', 'new algorithm', 'international society', 'existing modules', 'calculated accurately']</t>
  </si>
  <si>
    <t>Array antenna | Attitude | Detection | Education | Estimation | Orbit | Signal processing | Spacecraft</t>
  </si>
  <si>
    <t>We have built a spacecraft simulator which displays realistic graphics in real-time on an inexpensive personal computer (PC). The dynamics of the spacecraft, the positions of the sun, the moon and the earth, and the direction of stars are calculated accurately. The primary use of the simulator would be in the education of statistical signal processing. A student can try a new algorithm for each of the existing modules of the spacecraft by writing a C-code and integrating it with the rest of the simulator. ¬© 2000 SPIE-The International Society for Optical Engineering.</t>
  </si>
  <si>
    <t>206-215</t>
  </si>
  <si>
    <t>60032144;60012708</t>
  </si>
  <si>
    <t>7202588575;7102843718</t>
  </si>
  <si>
    <t>Chun, Joohwan;Kailath, Thomas</t>
  </si>
  <si>
    <t>South Korea;United States</t>
  </si>
  <si>
    <t>Daejeon;Palo Alto</t>
  </si>
  <si>
    <t>Korea Advanced Institute of Science and Technology;Stanford University</t>
  </si>
  <si>
    <t>Chun J.</t>
  </si>
  <si>
    <t>Real-time spacecraft simulator with animated graphics</t>
  </si>
  <si>
    <t>10.1117/12.405777</t>
  </si>
  <si>
    <t>2-s2.0-0034538519</t>
  </si>
  <si>
    <t>['waves offers', 'transverse dimensions', 'thinned sampling', 'spatial frequencies', 'simultaneously meet', 'significant advantages', 'sair based', 'quite large', 'optical engineering', 'one meter', 'military surveillance', 'international society', 'input aperture', 'imager needs', 'highly problematic', 'fully sampling', 'critical considerations', 'attractive route', 'angular resolution', 'acceptable sensitivity']</t>
  </si>
  <si>
    <t>Passive imaging using mm-waves offers very significant advantages in scientific and military surveillance. However, the relatively long wavelengths mean that for the resolutions that are sought, the input aperture of the imager needs to be quite large, typically in excess of one meter. Deployment of conventional dish antennas of these dimensions on aircraft and in Low Earth Orbit is highly problematic. The use of snapshot synthetic aperture interferometric radiometry (SAIR) offers an attractive route to integrating a two-dimensional antenna array into the structure of an aircraft so that the transverse dimensions of the antenna can be almost as large as the aircraft. We report here a study into the feasibility of deployment of a SAIR on unmanned airborne vehicles and the achievable performance parameters. The critical considerations are the achievement of acceptable sensitivity and angular resolution from a SAIR that does not require excessive complexity. It is shown that traditional approaches based on fully sampling the spatial frequencies in the scene are unable to simultaneously meet all of these criteria, but a that a SAIR based on thinned sampling of the spatial frequencies shows promise. ¬© 2000 SPIE-The International Society for Optical Engineering.</t>
  </si>
  <si>
    <t>27-38</t>
  </si>
  <si>
    <t>60004407;60026242</t>
  </si>
  <si>
    <t>56966146500;7007065598</t>
  </si>
  <si>
    <t>Harvey, A. R.;Appleby, R.</t>
  </si>
  <si>
    <t>Salisbury;Cranfield</t>
  </si>
  <si>
    <t>Defence Science and Technology Laboratory;Cranfield University</t>
  </si>
  <si>
    <t>60026242;60004407</t>
  </si>
  <si>
    <t>Harvey A.</t>
  </si>
  <si>
    <t>Prospects for mm-wave aperture synthesis from space-borne and aerial platforms</t>
  </si>
  <si>
    <t>10.1117/12.405794</t>
  </si>
  <si>
    <t>2-s2.0-0034544847</t>
  </si>
  <si>
    <t>['white light', 'wavelength tolerances', 'wavelength sampling', 'sparse pupil', 'point source', 'plane method', 'phase diversity', 'optical engineering', 'mm telescopes', 'loop experiment', 'light phase', 'international society', 'individual telescopes', 'array system', 'array alignment']</t>
  </si>
  <si>
    <t>Broad band | Phase diversity | Phased-array telescope | Sparse aperture | Wavefront sensing</t>
  </si>
  <si>
    <t>The Lockheed Martin phased-array telescope developed at the Palo Alto Research Laboratory is a 0.75-m imaging system consisting of 9 separate 90-mm telescopes. One of the technology drivers behind this design is the ability to maintain the phasing of the individual telescopes to sub-wavelength tolerances. We demonstrate here the use of the focal-plane method of phase diversity for maintaining the phased-array alignment. The telescope is designed to operate with white light, so the phase diversity concept is extended to accommodate a broad optical bandwidth. A simulation of white-light phase-diverse wavefront sensing is presented as a demonstration of the robustness of the method with respect to sparse pupil and wavelength sampling. The simulation is validated with laboratory experiments using a point source. Finally, a closed-loop experiment is conducted that demonstrates the ability of phase diversity to sense piston errors and maintain the alignment of the phased-array system. ¬© 2000 SPIE-The International Society for Optical Engineering.</t>
  </si>
  <si>
    <t>48-63</t>
  </si>
  <si>
    <t>60014581;60014581;60002959;60002959;60002959</t>
  </si>
  <si>
    <t>7004076535;6604061546;6507344825;35777515600;7402456307</t>
  </si>
  <si>
    <t>Seldin, J. H.;Paxman, R. G.;Zarifis, V. G.;Benson, L.;Stone, R. E.</t>
  </si>
  <si>
    <t>Ann Arbor;Bethesda</t>
  </si>
  <si>
    <t>ERIM International;Lockheed Martin Corporation</t>
  </si>
  <si>
    <t>60014581;60002959</t>
  </si>
  <si>
    <t>Seldin J.</t>
  </si>
  <si>
    <t>Closed-loop wavefront sensing for a sparse-aperture, multiple-telescope array using broad-band phase diversity</t>
  </si>
  <si>
    <t>10.1117/12.405804</t>
  </si>
  <si>
    <t>2-s2.0-0034545653</t>
  </si>
  <si>
    <t>['yag laser', 'wide applications', 'optical metrology', 'mode polarization', 'laser system', 'includes quantum', 'acoustic range']</t>
  </si>
  <si>
    <t>We implemented a laser system to be used in an optical transduction chain for the gravitational-wave bar detector AURIGA (Antenna Ultracriogenica Risonante per l‚ÄôIndagine Gravitazionale Astronomica; Ultracryogenic Resonant Antenna for Astronomical Gravitational Investigation). This system is based on a Nd:YAG laser and includes quantum-limited power stabilization in the acoustic range, deep phase modulation and near-quantum-limited rf detection for locking onto optical cavities, and coupling to a single-mode polarization-maintaining optical fiber without deterioration of performance. Such a system has wide applications in optical metrology. ¬© 2000 Optical Society of America.</t>
  </si>
  <si>
    <t>5732-5738</t>
  </si>
  <si>
    <t>60015986-60000481;60113678;60113678</t>
  </si>
  <si>
    <t>57201836283;7102102880;7103141234</t>
  </si>
  <si>
    <t>Conti, Livia;De Rosa, Maurizio;Marin, Francesco</t>
  </si>
  <si>
    <t>Sesto Fiorentino;Trento;Padua</t>
  </si>
  <si>
    <t>Istituto Nazionale di Fisica Nucleare, Sezione di Firenze;Universit√† di Trento;Universit√† degli Studi di Padova</t>
  </si>
  <si>
    <t>60113678;60015986;60000481</t>
  </si>
  <si>
    <t>Conti L.</t>
  </si>
  <si>
    <t>Low-amplitude-noise laser for AURIGA detector optical readout</t>
  </si>
  <si>
    <t>10.1364/AO.39.005732</t>
  </si>
  <si>
    <t>2-s2.0-0000290291</t>
  </si>
  <si>
    <t>NAG5-4292</t>
  </si>
  <si>
    <t>['œåcosnœ ∏,', '¬± 0', 'vla plane', 'uncertainties less', 'surface roughness', 'sky images', 'sidereal period', 'sharp edges', 'scales near', 'report 8510', 'radio antennas', 'radar observations', 'provide astrometry', 'previously imaged', 'pole direction', 'peculiar concavities', 'orbit based', 'monolithic rock', 'modest degree', 'larger scales', 'large array', 'june 3', 'june 15', 'investigate golevka', 'insignificant probability', 'flat sides', 'equivalent diameter', 'earth asteroids', 'dynamical environment', 'doppler images', 'dimensional delay', 'detected near', 'crossing asteroid', 'convex hull', 'cm wavelength', 'class asteroid', 'axes proportional', 'available radar', '7 giving', '6489 golevka', '1991 jx', '1 arcsec', '0001 h']</t>
  </si>
  <si>
    <t>Asteroids | Radar</t>
  </si>
  <si>
    <t>We report 8510-MHz (3.5-cm) radar observations of the Earth-crossing asteroid (ECA) 6489 Golevka (1991 JX) obtained between June 3 and June 15, 1995, at Goldstone, the Very Large Array and the Evpatoria (Ukraine) and Kashima (Japan) radio antennas. One-dimensional Doppler spectra are used to estimate the object's convex hull, refine the ephemeris, and yield four possible pole directions. Three-dimensional modeling using two-dimensional delay-Doppler images and published lightcurves unambiguously defines the pole and reveals an extraordinarily angular shape with flat sides, sharp edges and corners, and peculiar concavities. The equivalent diameter of the object is 530¬±30 m, with moments of inertia about the (long, intermediate, short) axes proportional to (1.00, 1.38, 1.39) ¬±0.1. The asteroid's pole direction is Œª=202¬±5¬∞, Œ≤=-45¬±5¬∞, and its sidereal period is P=6.0289¬±0.0001 h. The asteroid's circular polarization ratio, SC/OC=0.23¬±0.02, is lower than the average for radar-detected near-Earth asteroids and reveals only a modest degree of near-surface roughness at scales near the 3.5-cm wavelength. However, the approximately Lambertian radar scattering law implies considerable surface roughness at larger scales. The asteroid's radar scattering law is modeled as œÅcosnŒ∏, with œÅ=0.25¬±0.12 and n=1.7¬±0.7 giving an equivalent spherical albedo of 0.18¬±0.09. This value is in the middle of the distribution of albedos of S-class asteroid's previously imaged by radar. The Hapke parameters describing the object's optical scattering properties are w=0.173¬±0.006, h=0.024¬±0.012, B0=1.03¬±0.45, g=-0.34¬±0.02, and Œ∏=20¬±5¬∞. Both the optical and the radar scattering properties are consistent with those of a typical S-class asteroid. Goldstone-VLA plane-of-sky images do not resolve the asteroid but do provide astrometry with uncertainties less than 0.1 arcsec. Integration of an orbit based on all available radar and optical astrometry shows that Golevka has an insignificant probability of collision with any planet during at least the next nine centuries. We investigate Golevka's dynamical environment, assuming uniform density. Some areas of the surface are characterized by large enough slopes that we expect that they are exposed, solid, monolithic rock. ¬© 2000 Academic Press.</t>
  </si>
  <si>
    <t>37-51</t>
  </si>
  <si>
    <t>Icarus</t>
  </si>
  <si>
    <t>60018208;60009037;60009037;60009037;60009037;60009037;60009037;60009037;60009037;60009037;60009037;60009037;60009037;60009037;60009037;60009037;60009037;60009037;60009037;60009037;60025778;60029278;60029225;60032325;60011418;60007798;100332465</t>
  </si>
  <si>
    <t>7402298355;7003792943;7005418335;6603365781;6701355979;7201610988;7402136712;6603346286;7005448871;12778643000;36843302800;7202305415;7202669306;6506507986;7101725729;6603798913;16643972500;35599041000;6701399909;7005081195;7005844037;7202628095;7201772267;7402471286;7402790417;23004910700;57200682677</t>
  </si>
  <si>
    <t>Hudson, R. S.;Ostro, S. J.;Jurgens, R. F.;Rosema, K. D.;Giorgini, J. D.;Winkler, R.;Rose, R.;Choate, D.;Cormier, R. A.;Franck, C. R.;Frye, R.;Howard, D.;Kelley, D.;Littlefair, R.;Slade, M. A.;Benner, L. A.M.;Thomas, M. L.;Mitchell, D. L.;Chodas, P. W.;Yeomans, D. K.;Scheeres, D. J.;Palmer, P.;Zaitsev, A.;Koyama, Y.;Nakamura, A.;Harris, A. W.;Meshkov, M. N.</t>
  </si>
  <si>
    <t>Japan;United States;Russian Federation;United States;United States;Japan;United States;Germany;Russian Federation</t>
  </si>
  <si>
    <t>Koganei;Chicago;Moscow;Ann Arbor;Pullman;Kobe;Pasadena;¬†Cologne;Moscow</t>
  </si>
  <si>
    <t>Japan National Institute of Information and Communications Technology;The University of Chicago;Kotelnikov Institute of Radioengineering and Electronics (IRE) of Russian Academy of Sciences;University of Michigan, Ann Arbor;Washington State University Pullman;Kobe University;Jet Propulsion Laboratory;Deutsches Zentrum fur Luft- Und Raumfahrt;Moscow Energetics Inst</t>
  </si>
  <si>
    <t>60032325;60029278;60029225;60025778;60018208;60011418;60009037;60007798;100332465</t>
  </si>
  <si>
    <t>Hudson R.S.</t>
  </si>
  <si>
    <t>Radar Observations and Physical Model of Asteroid 6489 Golevka</t>
  </si>
  <si>
    <t>S0019103500964832</t>
  </si>
  <si>
    <t>10.1006/icar.2000.6483</t>
  </si>
  <si>
    <t>2-s2.0-0003151843</t>
  </si>
  <si>
    <t>AST 96-13998</t>
  </si>
  <si>
    <t>['‚ àº5', 'tidal effects', 'suggest rotation', 'rotational period', 'period variable', 'orbital period', 'observations taken', 'maser shell', 'maser emission', 'lpv determined', 'large array', 'excellent agreement', 'dish antenna', 'approximately northeast', 'angular momentum', '2000 february', '1999 december', '1998 may', '1996 november', '1996 february', '1990 may']</t>
  </si>
  <si>
    <t>Circumstellar matter | Masers | Stars: individual (R Aquarii) | Stars: rotation | Stars: variables: other | Techniques: interferometric</t>
  </si>
  <si>
    <t>We report Very Large Array (VLA) observations taken in 1996 November and 1998 May of the œÖ = 1, J = 1-0, SiO maser line and BIMA array observations taken in 1999 December and 2000 February of the œÖ = 1, J = 2-1, SiO maser line associated with the long-period variable (LPV) in the R Aquarii binary system that suggest rotation of the maser shell. From these interferometric data cubes, we determine that the maser shell rotation axis is approximately northeast-southwest, thus aligning approximately with the direction of the R Aqr jet; the sense of the maser shell rotation is such that northwest is approaching and southeast is receding; the period of rotation is ‚àº17 yr. Alternatively, co-adding 72 time series spectra of the œÖ = 1, J = 1-0, SiO maser line obtained during the period 1984 July-1990 May with a single-dish antenna, we constructed a composite spectral emission envelope that shows the LSR velocity limits of maser emission over this epoch. From this composite spectral emission envelope and Very Long Baseline Array observations in 1996 February of the œÖ = 1, J = 1-0, SiO maser line, which show the maximal spatial extent of the maser shell, we obtain a shell rotation period of ‚àº18 yr, which is in excellent agreement with the VLA and BIMA array results and represents the maximum rotation period of the LPV if corotating with the maser shell. On the other hand, we obtain a minimum rotation period for the LPV of ‚àº5 yr if the LPV supplies material to the maser shell under the constraint of conservation of angular momentum. The ‚àº5-18 yr range for the rotational period of the LPV determined here and the ‚àº18 yr rotational period for the hot companion determined by previous investigators suggest that tidal effects at successive periastron passages in the R Aqr binary system are tending to synchronize these stellar rotational periods to the orbital period of ‚àº44 yr.</t>
  </si>
  <si>
    <t>60006337-60020304;60006337;60025038;60020304;60019200;112892946</t>
  </si>
  <si>
    <t>35773522200;6603916623;7201561024;55452520400;6602677795;6603737417</t>
  </si>
  <si>
    <t>Hollis, J. M.;Pedelty, J. A.;Forster, J. R.;White, S. M.;Boboltz, D. A.;Alcolea, J.</t>
  </si>
  <si>
    <t>United States;United States;United States;United States;Spain</t>
  </si>
  <si>
    <t>Berkeley;College Park;Washington, D.C.;Greenbelt;Madrid</t>
  </si>
  <si>
    <t>University of California, Berkeley;University of Maryland, College Park;US Naval Observatory;NASA Goddard Space Flight Center;Observ. Astron√≥mico Nacional</t>
  </si>
  <si>
    <t>60025038;60020304;60019200;60006337;112892946</t>
  </si>
  <si>
    <t>Hollis J.M.</t>
  </si>
  <si>
    <t>R Aquarii: Constraints on the rotational period of the long-period variable</t>
  </si>
  <si>
    <t>10.1086/318164</t>
  </si>
  <si>
    <t>2-s2.0-0034310245</t>
  </si>
  <si>
    <t>['two l', 'sensor requirements', 'one another', 'mutual coupling', 'many aircraft', 'good approximation', 'close proximity', 'blade antennas']</t>
  </si>
  <si>
    <t>The utility of the minimum-scattering antenna model in describing the mutual coupling between two L-band aircraft blade antennas is examined. The communication and sensor requirements of many aircraft, particularly those used by the military, frequently necessitate antennas being placed in close proximity to one another. For such cases, the relatively simple minimum-scattering antenna model provides a very good approximation of the measured mutual coupling of blade antennas and eliminates the need for solving coupled integral equations.</t>
  </si>
  <si>
    <t>326-329</t>
  </si>
  <si>
    <t>60000251-60018431;60000251-60003088</t>
  </si>
  <si>
    <t>7005655303;6602784169</t>
  </si>
  <si>
    <t>Allen, Oliver E.;Wasylkiwskyj, Wasyl</t>
  </si>
  <si>
    <t>Arlington;Washington, D.C.;New York</t>
  </si>
  <si>
    <t>Office of Naval Research;The George Washington University;IEEE</t>
  </si>
  <si>
    <t>60018431;60003088;60000251</t>
  </si>
  <si>
    <t>Allen O.</t>
  </si>
  <si>
    <t>Comparison of mutual coupling of blade antennas with predictions based on minimum-scattering antenna theory</t>
  </si>
  <si>
    <t>10.1109/15.902301</t>
  </si>
  <si>
    <t>2-s2.0-0034313035</t>
  </si>
  <si>
    <t>['uniform illumination', 'transverse direction', 'tem mode', 'taylor tapering', 'taylor distribution', 'slot array', 'sidelobe suppression', 'plate waveguide', 'oversized waveguide', 'measured sidelobes', 'longitudinal direction', 'ghz post', 'gain reduction', 'amplitude distribution', '22 db', '18 db', '1 db']</t>
  </si>
  <si>
    <t>Sidelobe suppression is demonstrated for 76-GHz post-wall waveguide fed parallel-plate slot arrays for car radar applications. Taylor distribution illumination control is successfully confirmed experimentally in the slot array on the parallel-plate waveguide. Amplitude distribution in the transverse direction is controlled by shaping a quasi-TEM mode and that in the longitudinal direction is realized by the slot coupling control, both in an oversized waveguide. Measured sidelobes are below -22 dB for one-dimensional (1-D) Taylor tapering while those for two-dimensional (2-D) Taylor distribution are below -18 dB. The gain reduction in comparison with that for uniform illumination is less than 1 dB both in the experiment. All these verify the potential of aperture illumination control of the parallel-plate slot arrays.</t>
  </si>
  <si>
    <t>1727-1732</t>
  </si>
  <si>
    <t>60000251-60031126;60000251-60031126</t>
  </si>
  <si>
    <t>7006899159;35495699200</t>
  </si>
  <si>
    <t>Hirokawa, Jiro;Ando, Makoto</t>
  </si>
  <si>
    <t>Tokyo;New York</t>
  </si>
  <si>
    <t>Tokyo Institute of Technology;IEEE</t>
  </si>
  <si>
    <t>60031126;60000251</t>
  </si>
  <si>
    <t>Sidelobe suppression in 76-GHz post-wall waveguide-fed parallel-plate slot arrays</t>
  </si>
  <si>
    <t>10.1109/8.900230</t>
  </si>
  <si>
    <t>2-s2.0-0034313050</t>
  </si>
  <si>
    <t>Kungliga Tekniska H√∂gskolan</t>
  </si>
  <si>
    <t>KTH</t>
  </si>
  <si>
    <t>['two arrays', 'one array', 'obtain low', 'observations indicates', 'numerical infinite', 'measured data', 'low frequencies', 'least 30', 'heavily affected', 'frequency performance', 'element resonances', 'element patterns', 'central elements', 'arrays due', 'array predictions', 'array elements', 'array analysis', 'angle scanning', '9 ghz', '6 ghz', '40 rows', '144 element']</t>
  </si>
  <si>
    <t>Two 9 √ó 8 √ó 2 (144 element) dual-polarized endfire tapered-slot phased arrays have been built. Measured data for mutual coupling coefficients and scan-element patterns are presented. Also, element resonances, predicted by numerical infinite-array analysis are examined. The dimensions of the two arrays are identical. They differ in that plated-through vias have been repositioned to eliminate element resonances. One array was expected to operate from 1.0 to 4.6 GHz and the other from 1.0 to 5.9 GHz. It was found that, at low frequencies, the central elements are heavily affected by the finiteness of the arrays due to strong mutual coupling between array elements. Extrapolation of the observations indicates that a tapered-slot phased array, designed for wide-angle scanning, should be comprised of at least 30-40 rows and columns of elements to obtain low-frequency performance that is comparable to infinite-array predictions. In spite of the smallness of the array, predicted-element resonances could be identified by examination of the phase of the mutual coupling coefficients. Based on these observations, the plated-through vias are adequate to remove element resonances.</t>
  </si>
  <si>
    <t>1707-1718</t>
  </si>
  <si>
    <t>60002014;60000251-60014313-60003196;60000251-60014313</t>
  </si>
  <si>
    <t>6602870802;55977327800;7006791463</t>
  </si>
  <si>
    <t>Holter, Henrik;Chio, Tan Huat;Schaubert, Daniel H.</t>
  </si>
  <si>
    <t>United States;Singapore;Sweden;United States</t>
  </si>
  <si>
    <t>Amherst MA;Singapore;Stockholm;New York</t>
  </si>
  <si>
    <t>University of Massachusetts Amherst;DSO National Laboratories;The Royal Institute of Technology (KTH);IEEE</t>
  </si>
  <si>
    <t>60014313;60003196;60002014;60000251</t>
  </si>
  <si>
    <t>Holter H.</t>
  </si>
  <si>
    <t>Experimental results of 144-element dual-polarized endfire tapered-slot phased arrays</t>
  </si>
  <si>
    <t>10.1109/8.900228</t>
  </si>
  <si>
    <t>2-s2.0-0034313053</t>
  </si>
  <si>
    <t>Commission for Environmental Cooperation</t>
  </si>
  <si>
    <t>CEC</t>
  </si>
  <si>
    <t>['study presented', 'results indicate', 'rate w', 'mismatches originating', 'issues related', 'interfering high', 'implementation limitations', 'generation w', 'etc .).', 'complexity requirements', 'combined beams', 'cdma users', 'best choice', 'also studied']</t>
  </si>
  <si>
    <t>There is still an open debate within the research community regarding the likely performance enhancement of smart antennas versus their complexity for commercial wireless applications. The goal of the study presented in this paper is to investigate the performance improvement attainable using relatively simple smart antenna techniques when applied to the third-generation W-CDMA air interface. Methods to achieve this goal include fixed multibeam architectures with different beam selection algorithms (maximum power criterion, combined beams) or adaptive solutions driven by relatively simple direction finding algorithms. After comparing these methods against each other for several representative scenarios, some issues related to the sensitivity of these methods are also studied, (e.g., robustness to environment, mismatches originating from implementation limitations, etc.). Results indicate that overall, conventional beamforming seems to be the best choice in terms of balancing the performance and complexity requirements, in particular when the problem with interfering high-bit-rate W-CDMA users is considered.</t>
  </si>
  <si>
    <t>2382-2396</t>
  </si>
  <si>
    <t>60111377;100434087;60020650</t>
  </si>
  <si>
    <t>7004302468;6604021535;7003301240</t>
  </si>
  <si>
    <t>Tsoulos, George V.;Athanasiadou, Georgia E.;Piechocki, Robert J.</t>
  </si>
  <si>
    <t>London;Bristol;Cambridge (ex Galt)</t>
  </si>
  <si>
    <t>PA Consulting Group, United Kingdom;University of Bristol;Adaptive Broadband Ltd</t>
  </si>
  <si>
    <t>60111377;60020650;100434087</t>
  </si>
  <si>
    <t>Tsoulos G.</t>
  </si>
  <si>
    <t>Low-complexity smart antenna methods for third-generation W-CDMA systems</t>
  </si>
  <si>
    <t>10.1109/25.901907</t>
  </si>
  <si>
    <t>2-s2.0-0034313080</t>
  </si>
  <si>
    <t>RP3981676</t>
  </si>
  <si>
    <t>['penetrated near', 'parametric studies', 'mathematical treatment', 'magnetic currents', 'geometrical sizes', 'first kind', 'chebyshev polynomials', 'backed apertures', 'aperture number', 'analytical form']</t>
  </si>
  <si>
    <t>A generalized mathematical procedure is developed for investigating a TEz-polarized plane wave penetration through two-dimensional (2-D) multilayered cylindrical cavity-backed apertures. The mathematical treatment is based on the direct integral equation technique combined with the Galerkin's procedure. Both the near- and far-zone field solutions to such a multiple coupling system are obtained in an analytical form. By taking the aperture edge effects into account, the magnetic currents on the surrounded multiple apertures are expanded in terms of a series of Chebyshev polynomials of the first kind. Furthermore, parametric studies are performed to show the variation of the penetrated near-zone magnetic field in various cylindrical cavity-backed apertures with the aperture number and geometrical sizes.</t>
  </si>
  <si>
    <t>330-338</t>
  </si>
  <si>
    <t>60000251-60017161;60000251-60017161;60000251-60017161;60000251-60017161</t>
  </si>
  <si>
    <t>35239370900;7501449136;7102523120;7102006113</t>
  </si>
  <si>
    <t>Yin, Wen Yan;Li, Le Wei;Yeo, Tat Soon;Leong, Mook Seng</t>
  </si>
  <si>
    <t>Singapore City;New York</t>
  </si>
  <si>
    <t>National University of Singapore;IEEE</t>
  </si>
  <si>
    <t>60017161;60000251</t>
  </si>
  <si>
    <t>Multiple penetration of a TE&lt;inf&gt;z&lt;/inf&gt;-polarized plane wave into multilayered cylindrical cavity-backed apertures</t>
  </si>
  <si>
    <t>10.1109/15.902302</t>
  </si>
  <si>
    <t>2-s2.0-0034313086</t>
  </si>
  <si>
    <t>['waveguide array', 'rf manifolds', 'power slitters', 'measured performance', 'iterative procedure', 'good agreement', 'frequency performance', 'coupling slots', 'comparators used', 'arbitrary number', 'antenna input', 'analysis includes']</t>
  </si>
  <si>
    <t>An iterative procedure for calculating the off-center-frequency performance of a complete planar slotted-waveguide array, which consists of an arbitrary number of subarrays, is presented. The analysis includes the effects of the coupling slots from the main feed lines to the branch line guides, as well as the effects of RF manifolds, power slitters, or comparators used to distribute the power from the antenna input to the multiple subarray main lines. The procedure is applied to a large planar array for which dimensions have been obtained from an accurate metrology exercise. Good agreement between the predicted and measured performance of the array is demonstrated.</t>
  </si>
  <si>
    <t>1746-1755</t>
  </si>
  <si>
    <t>60000251-60017161;60000251-60021902;60000251-60028897</t>
  </si>
  <si>
    <t>7102043788;35561582300;57203176700</t>
  </si>
  <si>
    <t>Coetzee, Jacob C.;Joubert, Johan;McNamara, Derek A.</t>
  </si>
  <si>
    <t>Canada;South Africa;Singapore;United States</t>
  </si>
  <si>
    <t>Ottawa;Pretoria;Singapore City;New York</t>
  </si>
  <si>
    <t>University of Ottawa;University of Pretoria;National University of Singapore;IEEE</t>
  </si>
  <si>
    <t>60028897;60021902;60017161;60000251</t>
  </si>
  <si>
    <t>Off-center-frequency analysis of a complete planar slotted-waveguide array consisting of subarrays</t>
  </si>
  <si>
    <t>10.1109/8.900233</t>
  </si>
  <si>
    <t>2-s2.0-0034313102</t>
  </si>
  <si>
    <t>['vector channels', 'vector channel', 'varying multi', 'varying coefficients', 'various parts', 'obtained via', 'new simulator', 'input multi', 'fast fading', 'base station']</t>
  </si>
  <si>
    <t>In this paper, we present a new, computationally efficient simulator for time-varying multi-path (fast fading) vector channels that can be used to evaluate the performance of antenna array wireless receivers at the base station. The development of the simulator is based on the emulation of the spatio-temporal correlation properties of the vector channel. The channel is modeled as a single-input multi-output finite impulse response (FIR) system with time-varying coefficients which are obtained via the application of a space-time correlation shaping transformation on some independent random sequences. The various parts of the new simulator are detailed and channel simulation realizations are presented and commented.</t>
  </si>
  <si>
    <t>2370-2381</t>
  </si>
  <si>
    <t>60005415;60005415</t>
  </si>
  <si>
    <t>6603346374;35232615200</t>
  </si>
  <si>
    <t>St√©phenne, Alex;Champagne, Beno√Æt</t>
  </si>
  <si>
    <t>Varennes</t>
  </si>
  <si>
    <t>Centre √ânergie Mat√©riaux T√©l√©communications</t>
  </si>
  <si>
    <t>St√©phenne A.</t>
  </si>
  <si>
    <t>Effective multi-path vector channel simulator for antenna array systems</t>
  </si>
  <si>
    <t>10.1109/25.901906</t>
  </si>
  <si>
    <t>2-s2.0-0034313120</t>
  </si>
  <si>
    <t>['uplink measurements', 'two directions', 'transmit antennas', 'single antenna', 'paper provides', 'method adaptive', 'large reductions', 'gain decorrelation', 'frequency offset', 'desired mobile', 'complex weights']</t>
  </si>
  <si>
    <t>In maximal ratio transmission, the base station adjusts the complex weights of its transmit antennas to compensate for downlink channel gains in order to produce signal reinforcement - diversity - at a desired mobile that may have only a single antenna. To make the method adaptive, the complex weights are obtained from the instantaneous complex gains in the uplink; however, delay and frequency offset between uplink measurements and downlink transmission reduce the correlation between the gains in the two directions. This paper provides an analysis of the effects of gain decorrelation and of the number of antennas, and an assessment of the effect of fading when the method supports multiple users. It demonstrates that large reductions in downlink transmit power are achievable, and it examines simple transmission models to see how well they support the technique.</t>
  </si>
  <si>
    <t>2043-2050</t>
  </si>
  <si>
    <t>Cavers, James K.</t>
  </si>
  <si>
    <t>Cavers J.</t>
  </si>
  <si>
    <t>Single-user and multiuser adaptive maximal ratio transmission for Rayleigh channels</t>
  </si>
  <si>
    <t>10.1109/25.901862</t>
  </si>
  <si>
    <t>2-s2.0-0034313129</t>
  </si>
  <si>
    <t>['wall waveguide', 'various sizes', 'obtained 40', 'narrow spacing', 'metalized via', 'metal plating', 'measured 35', 'low cost', 'ghz post', 'fed parallel', 'fabrication techniques', 'easily made', 'conventional pcb', '0 ghz']</t>
  </si>
  <si>
    <t>We design and fabricate various sizes of 76-GHz post-wall waveguide-fed parallel-plate slot arrays. The post-wall waveguide is an array of metalized via-holes with a narrow spacing in a grounded dielectric substrate. The antenna can be easily made at low cost by conventional PCB (printed circuit board) fabrication techniques such as via-holing, metal plating, and etching. We have obtained 40-50% efficiency of various sizes from 26 mm √ó 24 mm to 104 mm √ó 100 mm. We have measured 35.3 dBi gain with 39.3% efficiency at 77.0 GHz in an antenna sized 104 mm √ó 100 mm.</t>
  </si>
  <si>
    <t>1742-1745</t>
  </si>
  <si>
    <t>Efficiency of 76-GHz post-wall waveguide-fed parallel-plate slot arrays</t>
  </si>
  <si>
    <t>10.1109/8.900232</t>
  </si>
  <si>
    <t>2-s2.0-0034313140</t>
  </si>
  <si>
    <t>96A0235</t>
  </si>
  <si>
    <t>['slotted aloha', 'significant improvement', 'path loss', 'multipath fading', 'mobile environment', 'maximum throughput', 'maximum selection', 'low delays', 'interference ratio', 'high throughput', 'delay performance', 'capture model', 'analytically computed']</t>
  </si>
  <si>
    <t>We consider a mobile radio random-access algorithm equipped with a choice of three distinct antenna diversity plans (two-fold, maximum selection, or ideal selection diversity) to improve the performance. The algorithm is stable with high throughput and low delays. The mobile environment is regulated by the presence of multipath fading, shadowing, and path loss. The capture model is a threshold model based on the signal-to-interference ratio. Maximum throughput and optimal window size of the algorithm are analytically computed. The delay performance is evaluated through simulations, and significant improvement is demonstrated over slotted ALOHA under various mobile scenarios.</t>
  </si>
  <si>
    <t>2060-2070</t>
  </si>
  <si>
    <t>60005803-101761720;60005803</t>
  </si>
  <si>
    <t>6603853663;7003769153</t>
  </si>
  <si>
    <t>Y√ºcel, Burak;Deli√ß, Hakan</t>
  </si>
  <si>
    <t>Turkey;Turkey</t>
  </si>
  <si>
    <t>Bebek;Maslak</t>
  </si>
  <si>
    <t>Boƒüazi√ßi √úniversitesi;Ericsson Turkey</t>
  </si>
  <si>
    <t>60005803;101761720</t>
  </si>
  <si>
    <t>Y√ºcel B.</t>
  </si>
  <si>
    <t>Mobile radio window random-access algorithm with diversity</t>
  </si>
  <si>
    <t>10.1109/25.901869</t>
  </si>
  <si>
    <t>2-s2.0-0034313163</t>
  </si>
  <si>
    <t>['wave simulations', 'tracing techniques', 'tracing method', 'shadowed regions', 'ray tracing', 'properly accounted', 'often encountered', 'new set', 'improved accuracy', 'first assessed', 'finite conductivity', 'domain method', 'dimensions approaching', 'diffraction coefficients', 'difference time', 'artificial dip']</t>
  </si>
  <si>
    <t>Problems with the use of ray-tracing techniques in indoor propagation environments are identified, and a new set of widely applicable diffraction coefficients is developed. The limitations on the accuracy of the ray-tracing method in indoor propagation environments are first assessed. The effects of scatterers with dimensions approaching the wavelength of operation and of scatterers with finite conductivity are considered. The accuracy of ray tracing is quantified by comparison to a full-wave simulation technique, which combines the finite-difference time-domain method with a spatial transformation technique, the Kirchhoff surface integral formulation. Simulation results demonstrate that when the magnitude and phase of the received signal components are properly accounted for, the ray-tracing solution may be accurate down to a fraction of a wavelength. A new set of diffraction coefficients is presented for calculations involving obstacles with finite conductivity. The new coefficients eliminate an artificial dip in the diffracted field strength, which is often encountered when currently available techniques are used. Validation is provided by comparison with full-wave simulations and measurements. Improved accuracy in both the illuminated and shadowed regions is demonstrated.</t>
  </si>
  <si>
    <t>2350-2358</t>
  </si>
  <si>
    <t>60023053-100419646-60013402;60023053-100419646-60013402;60023053-100419646-60013402</t>
  </si>
  <si>
    <t>7006715937;57199939244;6504559980</t>
  </si>
  <si>
    <t>Remley, Kate A.;Anderson, Harry R.;Weisshar, Andreas</t>
  </si>
  <si>
    <t>Gaithersburg;Corvallis;Eugene</t>
  </si>
  <si>
    <t>National Institute of Standards and Technology;Oregon State University;EDX Engineering, Inc</t>
  </si>
  <si>
    <t>60023053;60013402;100419646</t>
  </si>
  <si>
    <t>Remley K.</t>
  </si>
  <si>
    <t>Improving the accuracy of ray-tracing techniques for indoor propagation modeling</t>
  </si>
  <si>
    <t>10.1109/25.901903</t>
  </si>
  <si>
    <t>2-s2.0-0034313174</t>
  </si>
  <si>
    <t>['axial length', 'approximate equations']</t>
  </si>
  <si>
    <t>The pyramidal horn exhibits a normal monotonically increasing gain versus frequency characteristic, only when its axial length is more than a certain minimum value for given aperture dimensions. In this letter, approximate equations are derived for estimating this minimum axial length.</t>
  </si>
  <si>
    <t>1782-1784</t>
  </si>
  <si>
    <t>Selvan, Krishnasamy T.</t>
  </si>
  <si>
    <t>SAMEER-Centre for Electromagnetics India</t>
  </si>
  <si>
    <t>Selvan K.</t>
  </si>
  <si>
    <t>Derivation of a condition for the normal gain behavior of pyramidal horns</t>
  </si>
  <si>
    <t>10.1109/8.900237</t>
  </si>
  <si>
    <t>2-s2.0-0034313175</t>
  </si>
  <si>
    <t>['whole channel', 'several bands', 'real lightning', 'practical interest', 'observation point', 'lightning current', 'jagged shape', 'influence played', 'fractal nature', 'fractal dimension', 'fine structure', 'fields radiated', 'fields evaluated', 'em source', 'discharge channel', 'close distances', 'channel tortuosity']</t>
  </si>
  <si>
    <t>Usually the electric and magnetic fields associated with lightning have been computed by assuming the lightning current to be contained in a straight vertical channel of negligible cross section above a flat perfectly conducting plane. Such a model, which does not take into account that real lightning is characterized by tortuosity and branching, is not able to justify the fine structure of the fields radiated by lightning discharges whose time-domain behavior exhibits a jagged shape with remarkable spectral content in several bands of practical interest. In this work the effect of channel tortuosity and branching is investigated by adopting a suitable numerical technique. The discharge channel has been regarded as a fractal antenna whose associated EM field has been evaluated by superimposing the contribution of the single line radiators composing the whole channel. Such field has been compared with that generated by a simple dipole antenna in order to study the influence of the fractal nature of the channel on the generated EM fields. The relationship between the fractal dimension of the discharge channel and the fractal dimension of the generated time domain EM fields has been considered and the influence played on such relationship by the distance between EM source and observation point has also been studied by analyzing the fields evaluated at far and close distances.</t>
  </si>
  <si>
    <t>60017293;60017293;60000251-60007061;60026777</t>
  </si>
  <si>
    <t>7005597781;7004208484;7003721653;7004054850</t>
  </si>
  <si>
    <t>Lup√≤, Giovanni;Petrarca, Carlo;Tucci, Vincenzo;Vitelli, Massimo</t>
  </si>
  <si>
    <t>Italy;Italy;Italy;United States</t>
  </si>
  <si>
    <t>Naples;Naples;Salerno;New York</t>
  </si>
  <si>
    <t>Universit√† degli Studi della Campania Luigi Vanvitelli;Universit√† degli Studi di Napoli Federico II;Universit√† degli Studi di Salerno;IEEE</t>
  </si>
  <si>
    <t>60026777;60017293;60007061;60000251</t>
  </si>
  <si>
    <t>Lup√≤ G.</t>
  </si>
  <si>
    <t>EM fields associated with lightning channels: on the effect of tortuosity and branching</t>
  </si>
  <si>
    <t>10.1109/15.902309</t>
  </si>
  <si>
    <t>2-s2.0-0034313188</t>
  </si>
  <si>
    <t>['two algorithms', 'solved using', 'reflection algorithm', 'ra ),', 'periodic green', 'multifrequency excitation', 'moment method', 'ina ).', 'frequency domain', 'circuit parameters', 'antenna array']</t>
  </si>
  <si>
    <t>In this paper, two efficient algorithms for the steady-state scattering responses of a nonlinearly loaded antenna and antenna array in the frequency domain are studied. One is the reflection algorithm (RA), and the other is the inexact Newton approach (INA). The analysis is equivalent to a nonlinear circuit problem with the circuit parameters of antenna element obtained by the moment method. This equivalent nonlinear circuit is then solved using the RA or the INA. In general, the RA is suitable to strongly nonlinearly circuit element. While the INA is suitable for multifrequency excitation. In dealing with the nonlinearly loaded antenna array, the infinite periodic structure Green's function, including the array mutual coupling effects, is applied to simplify the analysis. Both of the two algorithms are easy to be combined with the periodic Green's function to deal with the large nonlinearly loaded antenna array problem.</t>
  </si>
  <si>
    <t>60000251-60025647</t>
  </si>
  <si>
    <t>Yenchao;New York</t>
  </si>
  <si>
    <t>Shu-Te University;IEEE</t>
  </si>
  <si>
    <t>60025647;60000251</t>
  </si>
  <si>
    <t>Two efficient algorithms for the analyses of a nonlinearly loaded antenna and antenna array in the frequency domain</t>
  </si>
  <si>
    <t>10.1109/15.902303</t>
  </si>
  <si>
    <t>2-s2.0-0034313192</t>
  </si>
  <si>
    <t>['wide angle', 'view connected', 'traditional anti', 'short range', 'short distances', 'relative velocity', 'reduced size', 'recent etsi', 'prototype works', 'primary importance', 'pre alarm', 'obstacles located', 'nearest obstacles', 'near field', 'moving car', 'microstrip technology', 'low power', 'investigation area', 'high radial', 'frontal air', 'erc recommendations', 'embedded easily', 'angular resolution', 'acquisition must', '7 ].']</t>
  </si>
  <si>
    <t>Image reconstruction | Microwave circuits | Radar imaging</t>
  </si>
  <si>
    <t>An adequate radar technology for the detection and localization of obstacles before, behind and on the sides of a moving car is of primary importance to realize on-board devices able to perform different tasks such as parking, stop and go, and pre alarm of the frontal air-bags. In these situations, the radar must acquire the position of the obstacles located at short distances from the car. This acquisition must be carried out with high radial and angular resolution; the former needs large radio frequency bandwidth, the latter requires large antennas and this means that the investigation area of the radar is certainly in the near field of the antenna. It is for this reason that traditional anti-collision systems based on phase array antennas prove to be unsuited to perform these tasks in the short range [7]. The solution that we are proposing is based on several independent microwave radar sensors with wide angle of view connected to a central processing unit able to define the position and the relative velocity of the nearest obstacles. This prototype works in the 13.4-14 GHz frequency range at low power (16 dBm eirp) in accordance with the most recent ETSI and CEPT/ERC Recommendations and it has been realized with microstrip technology so that thanks to its reduced size each device can be embedded easily in a bumper. ¬© 2000 IEEE.</t>
  </si>
  <si>
    <t>2270-2275</t>
  </si>
  <si>
    <t>Giubbolini, Luigi</t>
  </si>
  <si>
    <t>Giubbolini L.</t>
  </si>
  <si>
    <t>A multistatic microwave radar sensor for short range anticollision warning</t>
  </si>
  <si>
    <t>S0018954500112241</t>
  </si>
  <si>
    <t>10.1109/25.901896</t>
  </si>
  <si>
    <t>2-s2.0-0034313207</t>
  </si>
  <si>
    <t>['tv studios', 'transmitting terminals', 'transmission capacity', 'sound material', 'provide direct', 'irds ),', 'fss bands', 'end stations', 'dth applications', 'dsng ).', 'developed within', 'cover also', 'convolutional codes', 'conveying vision']</t>
  </si>
  <si>
    <t>The general system concepts for digital television transmission and broadcasting by satellite, developed within the European digital video broadcasting (DVB) Project and standardized by ETSI are described. The system (EN 300 421) is designed to provide direct-to-home (DTH) multi-programme TV services in the BSS and FSS bands and is addressed to consumer integrated receiver decoders (IRDs), as well as collective antenna systems (SMATV) and cable television head-end stations, with a likelihood of remodulation. The system operational modes have been extended in 1998 (EN 301 210) to cover also 'contribution' applications by satellite, such as conveying vision and sound material between TV studios, or from remote locations directly to the broadcaster's premises through light and portable up-link terminal digital satellite news gathering (DSNG). The exploitation of the multiplex flexibility allows the use of the transmission capacity for a variety of TV service configurations. The use of flexible and advanced error protection techniques, based on the concatenation of Reed-Solomon and convolutional codes (with Viterbi decoding), allows optimum adaptation to different satellite transponder characteristics, i.e. bandwidth and power, providing high service quality and availability with small receiving antennas (DTH applications) or transmitting terminals (DSNG applications).</t>
  </si>
  <si>
    <t>393-410</t>
  </si>
  <si>
    <t>100326898;100326898</t>
  </si>
  <si>
    <t>6701454411;7005087182</t>
  </si>
  <si>
    <t>Cominetti, M.;Morello, A.</t>
  </si>
  <si>
    <t>RAI</t>
  </si>
  <si>
    <t>Cominetti M.</t>
  </si>
  <si>
    <t>Digital video broadcasting over satellite (DVB-S): a system for broadcasting and contribution applications</t>
  </si>
  <si>
    <t>10.1002/1099-1247(200011/12)18:6&lt;393::AID-SAT664&gt;3.0.CO;2-K</t>
  </si>
  <si>
    <t>2-s2.0-0034313545</t>
  </si>
  <si>
    <t>['video spectrum', 'technology allows', 'source coding', 'satellite operator', 'officially launched', 'internationale funkausstellung', 'high number', 'digital quality', 'currently allows', 'backward compatibility', 'august 1995', 'analogue radio', 'adr provides']</t>
  </si>
  <si>
    <t>ASTRA Digital Radio (ADR) is a satellite audio transmission technology which has been designed to be compatible with analogue radio and television transmissions via satellite. It uses QPSK modulated subcarriers above the video spectrum. For source coding, the internationally standardized MPEG 1 Layer II digital audio compression has been selected. Owing to its backward compatibility with the existing analogue audio transmission technology, ADR provides a maximum operational flexibility for both the broadcasters and the satellite operator. For the consumer this technology allows for a very high number of near CD quality radio programmes which may be received with a low-cost receiver connected to a standard 60 cm satellite reception antenna. ADR was officially launched in August 1995 during the Internationale Funkausstellung in Berlin and currently allows for the reception of over 85 radio programmes in digital quality.</t>
  </si>
  <si>
    <t>427-432</t>
  </si>
  <si>
    <t>Wrede, Thomas</t>
  </si>
  <si>
    <t>Luxembourg</t>
  </si>
  <si>
    <t>Societe Europeenne des Satellites</t>
  </si>
  <si>
    <t>Wrede T.</t>
  </si>
  <si>
    <t>ASTRA digital radio: high-quality digital audio transmissions via satellite</t>
  </si>
  <si>
    <t>10.1002/1099-1247(200011/12)18:6&lt;427::AID-SAT666&gt;3.0.CO;2-6</t>
  </si>
  <si>
    <t>2-s2.0-0034313549</t>
  </si>
  <si>
    <t>['user modules', 'ums ).', 'um uses', 'ten ums', 'system features', 'system consists', 'speed transmission', 'sector antenna', 'rcr std', 'performs well', 'paper describes', 'one cm', 'omnibeam antenna', 'new high', 'multipath fading', 'minimal delay', 'maximum throughput', 'light traffic', 'length frames', 'heavy traffic', 'gsma ).', 'ghz band', 'easy construction', 'differential detection', 'demodulation scheme', 'data transmission', 'control module', '2 mbit']</t>
  </si>
  <si>
    <t>This paper describes a new high-speed wireless LAN system in the 19-GHz band. This system features a maximum throughput of 15.2 Mbit/s, which is faster than Ethernet's. To achieve high speed wireless data transmission, we propose the new global scheduling multiple access (GSMA). This system consists of a control module (CM) and some user modules (UMs). One CM can communicate with up to ten UMs. This GSMA, in which all data transmission is managed in the CM, has both short-length and long-length frames, and concatenates multiple packets, so that it performs well with light traffic and heavy traffic with minimal delay. For high-speed transmission and easy construction, DQPSK/differential detection is used as a modulation/demodulation scheme, and both FEC and ARQ are adopted as the error control method. In addition, as a countermeasure to shadowing and multipath fading, the CM has an omnibeam antenna, and each UM uses a 12-sector antenna, and sector selection diversity is carried out at the UM. This wireless LAN system is based on the RCR STD-34A Japanese radio system standard.</t>
  </si>
  <si>
    <t>2190-2197</t>
  </si>
  <si>
    <t>60025555-60009064</t>
  </si>
  <si>
    <t>Okada, Takashi</t>
  </si>
  <si>
    <t>Tokyo;Kofu</t>
  </si>
  <si>
    <t>Nippon Telegraph and Telephone Corporation;University of Yamanashi</t>
  </si>
  <si>
    <t>60025555;60009064</t>
  </si>
  <si>
    <t>Okada T.</t>
  </si>
  <si>
    <t>Performance of the 19-GHz high-speed wireless LAN system</t>
  </si>
  <si>
    <t>10.1109/49.895024</t>
  </si>
  <si>
    <t>2-s2.0-0034313595</t>
  </si>
  <si>
    <t>['upper bounded', 'two arrays', 'transmission matrix', 'spectral efficiency', 'singular values', 'separate gains', 'reciprocal channels', 'random channel', 'one element', 'n elements', 'maximum gain', 'maximizes power', 'large values', 'iterative technique', 'diversity orders', 'diversity order', 'connected via', 'adaptive processing']</t>
  </si>
  <si>
    <t>Two arrays with M and N elements are connected via a scattering medium giving uncorrelated antenna signals. The link array gain relative to the case of one element at each end is treated for the situation where the channels are known at the transmitter and receiver. It is shown that the maximum mean gain achieved through adaptive processing at both the transmitter and the receiver is less than the free space gain, and cannot be expressed as a product of separate gains. First, by finding the singular values of the transmission matrix, fundamental limitations concerning the maximum gain and the diversity orders are given, indicating that the gain is upper bounded by (‚àöM+‚àöN)2 and the diversity order is MN. Next an iterative technique for reciprocal channels which maximizes power at each stage transmitting back and forth is described. The capacity or spectral efficiency of the random channel is described, and it is indicated how the capacity is upper bounded by N parallel channels of gain M(N&lt;M) for large values of N and M.</t>
  </si>
  <si>
    <t>2172-2178</t>
  </si>
  <si>
    <t>Array gain and capacity for known random channels with multiple element arrays at both ends</t>
  </si>
  <si>
    <t>10.1109/49.895022</t>
  </si>
  <si>
    <t>2-s2.0-0034313606</t>
  </si>
  <si>
    <t>AC347</t>
  </si>
  <si>
    <t>['spatial diversity', 'spatial combiner', 'sequence detector', 'receiver front', 'procedure maximizes', 'noise ratio', 'mmse criterion', 'known structure', 'joint design', 'impulse response', 'faced using', 'end together', 'combiner response']</t>
  </si>
  <si>
    <t>The well-known structure of an array combiner along with a maximum likelihood sequence estimator (MLSE) receiver is the basis for the derivation of a space-time processor presenting good properties in terms of co-channel and intersymbol interference rejection. The use of spatial diversity at the receiver front-end together with a scalar MLSE implies a joint design of the spatial combiner and the impulse response for the sequence detector. This is faced using the MMSE criterion under the constraint that the desired user signal power is not cancelled, yielding an impulse response for the sequence detector that is matched to the channel and combiner response. The procedure maximizes the signal-to-noise ratio at the input of the detector and exhibits excellent performance in realistic multipath channels.</t>
  </si>
  <si>
    <t>2252-2259</t>
  </si>
  <si>
    <t>60007592-60028442-101873430-60009455;60007592;60007592</t>
  </si>
  <si>
    <t>7006343001;55684387700;6701360457</t>
  </si>
  <si>
    <t>Lagunas, Miguel A.;Vidal, Josep;P√©rez-Neira, Ana I.</t>
  </si>
  <si>
    <t>Spain;Spain;Spain;Spain</t>
  </si>
  <si>
    <t>Madrid;Madrid;Barcelona;Barcelona</t>
  </si>
  <si>
    <t>Universidad Polit√©cnica de Madrid;Escuela T√©cnica Superior de Ingenieros de Telecomunicaci√≥n, Universidad Polit√©cnica de Madrid;Universitat Polit√®cnica de Catalunya;UPB</t>
  </si>
  <si>
    <t>60028442;60009455;60007592;101873430</t>
  </si>
  <si>
    <t>Lagunas M.A.</t>
  </si>
  <si>
    <t>Joint array combining and MLSE for single-user receivers in multipath Gaussian multiuser channels</t>
  </si>
  <si>
    <t>10.1109/49.895030</t>
  </si>
  <si>
    <t>2-s2.0-0034313613</t>
  </si>
  <si>
    <t>CAREER CCR-9875314</t>
  </si>
  <si>
    <t>['wireless channels', 'user receiver', 'time coding', 'sttc systems', 'promising approaches', 'map decoders', 'iterative single', 'interference suppression', 'fading channels', 'extrinsic information', 'drawing analogies', 'decoding iteratively', 'cdma systems', 'based variants']</t>
  </si>
  <si>
    <t>Space-time coding (STC) techniques, which combine antenna array signal processing and channel coding techniques, are very promising approaches to substantial capacity increase in wireless channels. Multiuser detection techniques are powerful signal processing methodologies for interference suppression in CDMA systems. In this paper, by drawing analogies between a synchronous CDMA system and an STC multiuser system, we study the applications of some multiuser detection methods to STC multiuser systems. Specifically, we show that the so-called `turbo multiuser detection' technique, which performs soft interference cancellation and decoding iteratively, can be applied to STC multiuser systems in flat-fading channels. Iterative multiuser receiver and its projection-based variants are developed for both the space-time block coding (STBC) system and the space-time trellis coding (STTC) system. During iterations, extrinsic information is computed and exchanged between a soft multiuser demodulator and a bank of MAP decoders, to achieve successively refined estimates of the users' signals. Computer simulations demonstrate that the proposed iterative receiver techniques provide significant performance improvement over conventional noniterative methods in both single-user and multiuser STC systems. Furthermore, the performance of the proposed iterative multiuser receiver approaches that of the iterative single-user receiver in both STBC and STTC systems.</t>
  </si>
  <si>
    <t>2322-2335</t>
  </si>
  <si>
    <t>60020547-60005244-100482718;60020547-60025084-60014300</t>
  </si>
  <si>
    <t>7401752239;55000636900</t>
  </si>
  <si>
    <t>Lu, Ben;Wang, Xiaodong</t>
  </si>
  <si>
    <t>China;United States;United States;China;China</t>
  </si>
  <si>
    <t>Shanghai;College Station;San Antonio;Nanjing;Shanghai</t>
  </si>
  <si>
    <t>Shanghai Jiao Tong University;Texas A&amp;M University;AT&amp;T Inc.;Southeast University;Zhongxing Telecom Ltd.</t>
  </si>
  <si>
    <t>60025084;60020547;60014300;60005244;100482718</t>
  </si>
  <si>
    <t>Lu B.</t>
  </si>
  <si>
    <t>Iterative receivers for multiuser space-time coding systems</t>
  </si>
  <si>
    <t>10.1109/49.895037</t>
  </si>
  <si>
    <t>2-s2.0-0034313698</t>
  </si>
  <si>
    <t>['temporal dependencies', 'technogenic origin', 'spatiotemporal analysis', 'spaced receivers', 'solar flares', 'selected range', 'proposed method', 'practical implementation', 'phase measurements', 'new technology', 'july 29', 'ionospheric response', 'ionosphere using', 'gps satellites', 'global detection', 'filtered series', 'entire set', 'detected disturbance', 'december 28', 'coherent summation', 'author suggests', 'atmospheric disturbances']</t>
  </si>
  <si>
    <t>This author suggests the concept of a new technology for global detection (GLOBDET) of atmospheric disturbances of natural and technogenic origin, on the basis of phase measurements of the total electron content (TEC) in the ionosphere using an international GPS network. Temporal dependencies of TEC are Obtained for a set of spaced receivers of the GPS network simultaneously for the entire set of `visible' (over a given time interval) GPS satellites (up to 5-10 satellites). These series are subjected to filtering in the selected range of oscillation periods using algorithms for spatiotemporal analysis of signals of nonequidistant GPS phased antenna arrays which are adequate to the detected disturbance. An analysis is made of the possibilities of using the GLOBDET when detecting the ionospheric response of solar flares. In this case it is best to make the coherent summation of the filtered series of TEC. Powerful impulsive flares of July 29, 1999, and December 28, 1999, were chosen to illustrate the practical implementation of the proposed method.</t>
  </si>
  <si>
    <t>1417-1424</t>
  </si>
  <si>
    <t>Afraimovich, E. L.</t>
  </si>
  <si>
    <t>Afraimovich E.</t>
  </si>
  <si>
    <t>GPS global detection of the ionospheric response to solar flares</t>
  </si>
  <si>
    <t>10.1029/2000RS002340</t>
  </si>
  <si>
    <t>2-s2.0-0034313805</t>
  </si>
  <si>
    <t>['usually placed', 'nearest neighbors', 'multiple transmit', 'local clutter', 'link capacity', 'general expression', 'capacity attainable', 'base station', 'antenna separation', 'achieve 80', '4 wavelengths']</t>
  </si>
  <si>
    <t>As the base station is usually placed above local clutter, the angular spectrum incident on the base is narrow, inducing correlation among base antenna signals, which reduces the capacity of a multiple transmit and receive antenna systems. In this work the general expression for link capacity is derived, when there is correlation among receive antennas and among transmit antennas. It is found that an antenna separation of 4 wavelengths between nearest neighbors in a linear base array of dually polarized antennas allows one to achieve 80% of the capacity attainable in the uncorrelated antenna case.</t>
  </si>
  <si>
    <t>337-339</t>
  </si>
  <si>
    <t>35584953100;6602901083;35932385400;24781002200</t>
  </si>
  <si>
    <t>Chizhik, Dimitry;Rashid-Farrokhi, Farrokh;Ling, Jonathan;Lozano, Angel</t>
  </si>
  <si>
    <t>Effect of antenna separation on the capacity of BLAST in correlated channels</t>
  </si>
  <si>
    <t>10.1109/4234.892194</t>
  </si>
  <si>
    <t>2-s2.0-0034313875</t>
  </si>
  <si>
    <t>['various possibilities', 'recently introduced', 'polarization transformer', 'normal component', 'medium interface', 'ideal boundary', 'hard surface', 'generalized soft', 'discussed based', 'boundary surface', 'anisotropic medium']</t>
  </si>
  <si>
    <t>Boundary conditions generalizing those of the soft-and-hard surface were recently introduced as an example of an ideal boundary on which the complex Poynting vector cannot have a normal component. It was shown that under such conditions a boundary surface can be used as a polarization transformer for a reflected plane wave. The question of how to realize the generalized soft-and-hard surface is considered here. Various possibilities are discussed based on a medium interface, a slab of an anisotropic medium, and a configuration of antennas.</t>
  </si>
  <si>
    <t>1257-1264</t>
  </si>
  <si>
    <t>60103653;60103653;60103653</t>
  </si>
  <si>
    <t>7004903706;7005479476;7102492958</t>
  </si>
  <si>
    <t>Viitanen, A. J.;Tretyakov, S. A.;Lindell, I. V.</t>
  </si>
  <si>
    <t>Viitanen A.</t>
  </si>
  <si>
    <t>On the realization of the generalized soft-and-hard surface</t>
  </si>
  <si>
    <t>10.1029/2000RS002356</t>
  </si>
  <si>
    <t>2-s2.0-0034314122</t>
  </si>
  <si>
    <t>['within 0', 'soft information', 'optimal approach', 'noise covariance', 'logarithm operations', 'likelihood ratio', 'isi channels', 'encoding followed', 'dqpsk modulation', 'coherent receiver', 'certain assumptions', 'bit log', 'bit detector', 'approximate approaches', '5 db']</t>
  </si>
  <si>
    <t>Both IS-136 and PDC digital cellular systems employ forward error correction (FEC) encoding followed by a form of DQPSK modulation. In this letter, we derive the maximum a posteriori (MAP) bit detector for DQPSK modulation in non-ISI channels for a coherent receiver with one or more antennas. The MAP detector forms a bit log-likelihood ratio, which provides the optimal `soft information' for MLSE or MAP convolutional decoding. MAP detection requires exponentiation and logarithm operations, as well as knowledge of the noise covariance. To avoid these operations, two approximate forms are developed, which do not require the noise covariance value under certain assumptions. Both approximate approaches, when used with soft FEC decoding, are within 0.5 dB of the optimal approach.</t>
  </si>
  <si>
    <t>354-356</t>
  </si>
  <si>
    <t>60000251-60004661;60000251-60004661;60000251-60004661;60000502</t>
  </si>
  <si>
    <t>7003581744;7006712780;7201897776;6507523630</t>
  </si>
  <si>
    <t>Bottomley, Gregory E.;Arslan, H√ºseyin;Ramesh, R.;Brismark, Gustav</t>
  </si>
  <si>
    <t>Sweden;Sweden;United States</t>
  </si>
  <si>
    <t>Stockholm;Stockholm;New York</t>
  </si>
  <si>
    <t>Telefonaktiebolaget LM Ericsson;Ericsson Radio Systems AB;IEEE</t>
  </si>
  <si>
    <t>60004661;60000502;60000251</t>
  </si>
  <si>
    <t>Bottomley G.</t>
  </si>
  <si>
    <t>Coherent MAP detection of DQPSK bits</t>
  </si>
  <si>
    <t>10.1109/4234.892200</t>
  </si>
  <si>
    <t>2-s2.0-0034314146</t>
  </si>
  <si>
    <t>334-336</t>
  </si>
  <si>
    <t>60000251-100941045;60000251-60012230;60000251-60012230</t>
  </si>
  <si>
    <t>Middletown;New York;San Jose</t>
  </si>
  <si>
    <t>AT&amp;T Laboratories Middletown;IEEE;Gigabit Wieless</t>
  </si>
  <si>
    <t>60012230;60000251;100941045</t>
  </si>
  <si>
    <t>Simulation results for an interference-limited multiple-input multiple-output cellular system</t>
  </si>
  <si>
    <t>10.1109/4234.892193</t>
  </si>
  <si>
    <t>2-s2.0-0034314172</t>
  </si>
  <si>
    <t>['vectorially combined', 'target detection', 'take advantage', 'slender targets', 'reflected polarizations', 'reflected data', 'reducing clutter', 'recent years', 'receive polarizations', 'processing techniques', 'penetrating radar', 'image processing', 'gaining popularity', 'frequency ground', 'fourier transformed', 'depth profile', 'coherently processed', 'clutter rejection', 'available stepped']</t>
  </si>
  <si>
    <t>Stepped-frequency ground-penetrating radar (GPR) systems are gaining popularity in recent years, since they can be designed to be phase-coherent and take advantage of coherent-processing techniques for target detection and clutter rejection. The magnitudes of the in-phase (I) and the quadrature (Q) channels of the received radar return signal are vectorially combined to yield the amplitude, which is then fast-Fourier transformed and displayed as the depth profile. In order to enhance the performance of a commercially-available stepped-frequency GPR system, a fully-polarimetric processing technique was implemented. A set of two wideband orthogonally-polarized antenna pairs was used, one for transmit and one for receive. The modified system sequentially transmits orthogonal polarizations, while the receiver simultaneously measures both reflected polarizations. Reflected data from all four linear combinations of transmit and receive polarizations are then coherently processed to yield polarimetric colour images of the target. Sandbox test results confirm the advantage of polarimetric-image processing to detect and identify buried long and slender targets, such as pipes and cables. Multiple-scan averaging helps in reducing clutter.</t>
  </si>
  <si>
    <t>15-31</t>
  </si>
  <si>
    <t>0032020X</t>
  </si>
  <si>
    <t>Pipes and Pipelines International</t>
  </si>
  <si>
    <t>60026306;60026306;101657173</t>
  </si>
  <si>
    <t>7202724032;7402086242;6506451223</t>
  </si>
  <si>
    <t>Narayanan, Ram M.;Becker, Randall T.;Bashforth, Michael B.</t>
  </si>
  <si>
    <t>Lincoln;</t>
  </si>
  <si>
    <t>University of Nebraska‚ÄìLincoln;GeoRadar Inc.</t>
  </si>
  <si>
    <t>60026306;101657173</t>
  </si>
  <si>
    <t>Narayanan R.M.</t>
  </si>
  <si>
    <t>Detection of buried pipes using polarimetric stepped-frequency GPR images</t>
  </si>
  <si>
    <t>2-s2.0-0034314181</t>
  </si>
  <si>
    <t>['time codes', 'receive antennas', 'proposed scheme', 'prc ),', 'optimally grouped', 'generalized version', 'flexible tradeoff', 'decoding complexity', 'appropriate k', '1 ],']</t>
  </si>
  <si>
    <t>We present a generalized version of principal ratio combining (PRC), which is a near-optimum detection scheme for space-time codes in quasistatic flat fading environments. In [1], the performance penalty increases as the number of receive antennas increases. In the proposed scheme, receive antennas are optimally grouped by K, and the PRC detection method is applied to each group. This shows a flexible tradeoff between performance and decoding complexity by choosing the appropriate K.</t>
  </si>
  <si>
    <t>343-345</t>
  </si>
  <si>
    <t>60032144;60000251-60032144</t>
  </si>
  <si>
    <t>56035327800;26643137100</t>
  </si>
  <si>
    <t>Kim, Young Ju;Lee, Hwang Soo</t>
  </si>
  <si>
    <t>Daejeon;New York</t>
  </si>
  <si>
    <t>Korea Advanced Institute of Science and Technology;IEEE</t>
  </si>
  <si>
    <t>60032144;60000251</t>
  </si>
  <si>
    <t>Generalized principal ratio combining for space-time codes in slowly fading channels</t>
  </si>
  <si>
    <t>10.1109/4234.892196</t>
  </si>
  <si>
    <t>2-s2.0-0034314191</t>
  </si>
  <si>
    <t>CCR-9903107</t>
  </si>
  <si>
    <t>['time coding', 'thus far', 'signal constellation', 'receive antennas', 'performance degrades', 'modulation techniques', 'modulation exploit', 'improve performance', 'group codes', 'general approach', 'error bounds', 'differential modulation', 'channel accurately', 'certain situations']</t>
  </si>
  <si>
    <t>Space-time coding and modulation exploit the presence of multiple transmit antennas to improve performance on multipath radio channels. Thus far, most work on space-time coding has assumed that perfect channel estimates are available at the receiver. In certain situations, however, it may be difficult or costly to estimate the channel accurately, in which case it is natural to consider the design of modulation techniques that do not require channel estimates at the transmitter or receiver. We propose a general approach to differential modulation for multiple transmit antennas based on group codes. This approach can be applied to any number of transmit and receive antennas, and any signal constellation. We also derive low-complexity differential receivers, error bounds, and modulator design criteria, which we use to construct optimal differential modulation schemes for two transmit antennas. These schemes can be demodulated with or without channel estimates. This permits the receiver to exploit channel estimates when they are available. Performance degrades by approximately 3 dB when estimates are not available.</t>
  </si>
  <si>
    <t>2567-2578</t>
  </si>
  <si>
    <t>Hughes, Brian L.</t>
  </si>
  <si>
    <t>Hughes B.</t>
  </si>
  <si>
    <t>Differential space-time modulation</t>
  </si>
  <si>
    <t>10.1109/18.887864</t>
  </si>
  <si>
    <t>2-s2.0-0034315068</t>
  </si>
  <si>
    <t>['rao bound', 'phase difference', 'novel measurement', 'location error', 'direction finding', 'conventional mono', '3d location']</t>
  </si>
  <si>
    <t>The conventional mono-station passive location techniques of direction finding are low in speed and accuracy, due to the little information available. In this paper, a novel measurement-rate (derivative) of phase difference from a two-element antenna array (interferometer) is introduced, accuracy of a passive location system with this measurement and directions of arrival (DOA) is analyzed, and the Cramer-Rao bound of location error of this system for 3D location is examined by simulations.</t>
  </si>
  <si>
    <t>222-227</t>
  </si>
  <si>
    <t>Chinese Journal of Aeronautics</t>
  </si>
  <si>
    <t>60024350;60024350;60024350</t>
  </si>
  <si>
    <t>7401768928;7403697157;7405368397</t>
  </si>
  <si>
    <t>Deng, Xin Pu;Jiang, Wen Li;Zhou, Yi Yu</t>
  </si>
  <si>
    <t>Changsha</t>
  </si>
  <si>
    <t>National University of Defense Technology</t>
  </si>
  <si>
    <t>Deng X.</t>
  </si>
  <si>
    <t>Accuracy analysis of passive location system with phase difference rate measurement</t>
  </si>
  <si>
    <t>2-s2.0-0034315246</t>
  </si>
  <si>
    <t>['short pins', 'plasma source', 'magnetic fields', 'isotropic distribution', 'experimental etching', 'basic characteristics']</t>
  </si>
  <si>
    <t>A TM01-mode patch antenna with short pins, was used to evaluate the basic characteristics of a very high frequency plasma source. The isotropic distribution of both electric and magnetic fields was verified by electromagnetic field simulation. The experimental etching of polycrystalline silicon using the plasma source, yielded satisfactory results.</t>
  </si>
  <si>
    <t>2815-2821</t>
  </si>
  <si>
    <t>Journal of Vacuum Science and Technology A: Vacuum, Surfaces and Films</t>
  </si>
  <si>
    <t>60107350;60107350;60107350;60107350</t>
  </si>
  <si>
    <t>35376758900;55231929000;55704155700;57220315969</t>
  </si>
  <si>
    <t>Okumura, Tomohiro;Matsui, Takuya;Suzuki, Hideo;Sakiyama, Kazuyuki</t>
  </si>
  <si>
    <t>Panasonic Corporation</t>
  </si>
  <si>
    <t>Okumura T.</t>
  </si>
  <si>
    <t>New very high frequency plasma source using a TM&lt;inf&gt;01&lt;/inf&gt;-mode patch antenna with short pins</t>
  </si>
  <si>
    <t>10.1116/1.1310654</t>
  </si>
  <si>
    <t>2-s2.0-0034315751</t>
  </si>
  <si>
    <t>['easily translated', 'different kinds']</t>
  </si>
  <si>
    <t>A new active antenna concept in X-band is presented. The system is based on a highly modular concept, making it suitable for different kinds of applications. The scheme can be easily translated to other standard SAR frequencies.</t>
  </si>
  <si>
    <t>57-58, 60, 62</t>
  </si>
  <si>
    <t>NOV.</t>
  </si>
  <si>
    <t>100728076;100728076;100728076</t>
  </si>
  <si>
    <t>6603017034;7005564692;7006593766</t>
  </si>
  <si>
    <t>Venot, Y.;Younis, M.;Wiesbeck, W.</t>
  </si>
  <si>
    <t>Inst fuer Hoechstfrequenztechnik und</t>
  </si>
  <si>
    <t>Venot Y.</t>
  </si>
  <si>
    <t>Active SAR antenna for airborne 56-channel operation</t>
  </si>
  <si>
    <t>2-s2.0-0034315944</t>
  </si>
  <si>
    <t>['wave solutions', 'reflective properties', 'realize wide', 'periodical arrangements', 'operations found', 'loaded antennas', 'electromagnetic properties', 'analytical solution']</t>
  </si>
  <si>
    <t>Electromagnetic properties of line-periodical arrangements of passive loaded dipole scatterers are studied. An analytical solution for eigenwaves propagating along infinite lines of dipoles is presented. Reflective properties of arrays are studied, regimes of narrow-band and wide-band strong reflection are identified and conditions for these operations found. Conditions of existence of guided-wave solutions are established. It is shown that in arrays of capacitively-loaded antennas very rapid phase variations along the line are possible, which can possibly be used to realize wide-band superdirective reflectors.</t>
  </si>
  <si>
    <t>353-361</t>
  </si>
  <si>
    <t>Electrical Engineering</t>
  </si>
  <si>
    <t>Tretyakov, S. A.;Viitanen, A. J.</t>
  </si>
  <si>
    <t>Line of periodically arranged passive dipole scatterers</t>
  </si>
  <si>
    <t>10.1007/s002020000046</t>
  </si>
  <si>
    <t>2-s2.0-0034316038</t>
  </si>
  <si>
    <t>['proposed approach', 'proposed algorithm', 'performance improvement', 'paper presents', 'ofdm system', 'frequency domain', 'filter coefficients', 'convergence behavior', 'computer simulation', 'adaptive beamforming', 'adaptive beamformer']</t>
  </si>
  <si>
    <t>This paper presents an adaptive beamforming algorithm for an OFDM system with an adaptive array antenna. The proposed algorithm for adaptive beamforming in the OFDM system is derived by (1) calculating the pilot error signals in the frequency domain, (2) transforming the frequency-domain error signals into time-domain error signals, (3) updating the filter coefficients of the adaptive beamformer in the direction of minimizing the MSE. Convergence behavior and performance improvement of the proposed approach are investigated through computer simulation by applying it to the conventional OFDM system.</t>
  </si>
  <si>
    <t>1052-1058</t>
  </si>
  <si>
    <t>Kim, Chan Kyu</t>
  </si>
  <si>
    <t>Adaptive beamforming algorithm for OFDM systems with antenna arrays</t>
  </si>
  <si>
    <t>10.1109/30.920461</t>
  </si>
  <si>
    <t>2-s2.0-0034316581</t>
  </si>
  <si>
    <t>['users participating', 'union bound', 'shift keying', 'joint detection', 'error rate', 'detection process', 'constellation density', 'also demonstrate']</t>
  </si>
  <si>
    <t>We derive a fully analytical expression for the union bound on symbol-error rate for the joint detection of several cochannel fading signals using a diversity antenna array, putting numerical results previously published on a firm analytical base. We prove that with pilot-based multiuser channel estimation, any number of users can enjoy diversity order equal to the number of antennas, and we quantify the performance penalty relative to single-user binary phase-shift keying as a function of number of users, constellation density, and number of antennas. We also demonstrate the interdependence of all users participating in the detection process.</t>
  </si>
  <si>
    <t>1788-1792</t>
  </si>
  <si>
    <t>60018491;60018491</t>
  </si>
  <si>
    <t>7402661726;7005366081</t>
  </si>
  <si>
    <t>Grant, Stephen J.;Cavers, James K.</t>
  </si>
  <si>
    <t>Grant S.</t>
  </si>
  <si>
    <t>Further analytical results on the joint detection of cochannel signals using diversity arrays</t>
  </si>
  <si>
    <t>10.1109/26.886468</t>
  </si>
  <si>
    <t>2-s2.0-0034317821</t>
  </si>
  <si>
    <t>['system operates', 'room illuminated', 'received data', 'paper outlines', 'optical power', 'noise ratio', 'narrow beam', 'emitted light', '180 ¬∞.']</t>
  </si>
  <si>
    <t>An investigation has been carried out into the signal-to-noise ratio (SNR) performance of a novel, less complex diversity detection antenna (DDA) and a comparison has been made with a single receiver antenna that collects the optical power with a field-of-view (FOV) of 180¬∞. It is demonstrated that the proposed DDA reduces the burnout of the received data when the system operates in a room illuminated by spotlights that concentrate their emitted light in a narrow beam. Furthermore, the paper outlines the applied simulation method and the associated numerical details.</t>
  </si>
  <si>
    <t>577-588</t>
  </si>
  <si>
    <t>60004572;60004572-60000251;60004572</t>
  </si>
  <si>
    <t>6602353123;7005091153;7005847338</t>
  </si>
  <si>
    <t>Sterckx, K. L.;Elmirghani, J. M.H.;Cryan, R. A.</t>
  </si>
  <si>
    <t>Swansea;New York</t>
  </si>
  <si>
    <t>Swansea University;IEEE</t>
  </si>
  <si>
    <t>60004572;60000251</t>
  </si>
  <si>
    <t>Sterckx K.L.</t>
  </si>
  <si>
    <t>Three-segment pyramidal fly-eye detection antenna for optical wireless communication systems under the constraint of ambient noise introduced by highly directive spotlights</t>
  </si>
  <si>
    <t>10.1002/1099-1131(200011/12)13:7/8&lt;577::AID-DAC457&gt;3.0.CO;2-X</t>
  </si>
  <si>
    <t>2-s2.0-0034318032</t>
  </si>
  <si>
    <t>['wake suggest', 'velocity close', 'translated downstream', 'surface wake', 'submerged objects', 'sphere immersed', 'sphere broached', 'short pulse', 'research pier', 'receive antennas', 'radar images', 'program designed', 'primarily composed', 'presents images', 'paper describes', 'outer banks', 'north carolina', 'mise program', 'low phase', 'linear array', 'imagery reveals', 'high tide', 'fully submerged', 'forming technique', 'fine structure', 'domain beam', 'completely submerged', 'closer examination', 'clearly visible', 'center frequency', 'azimuthal imaging', '91 cm', '9 ghz', '60 cm', '3 ghz']</t>
  </si>
  <si>
    <t>This paper describes an ultrawideband, imaging radar designed to image the fine structure of the surface disturbances caused by submerged objects and presents images of the surface wake generated by a sphere immersed in a current. The system was deployed on a research pier on the Outer Banks of North Carolina as part of the Mine Surface Effects (MISE) program, a program designed to investigate the feasibility of using microwave radar to detect submerged mines. The radar achieves extremely high range resolution, approximately 4 cm, through the use of a short pulse with a 3 dB bandwidth of 3 GHz and a center frequency of 9 GHz. Azimuthal imaging is achieved through the use of a linear array of receive antennas and a time-domain beam-forming technique. Radar images from the MISE program are presented which show the surface disturbance generated by a 91 cm-diameter sphere immersed in a 40-60 cm/s current. A surface wake is clearly visible in the imagery, both during the low phase of the tide, when the sphere broached the surface, and during high tide, when the sphere was completely submerged. Closer examination of the imagery reveals that when the target was fully submerged, the backscatter from the wake was primarily composed of long-lived (&gt; 1.5 s), isolated echoes that translated downstream at a velocity close to that of the measured surface current. Photographs of the wake suggest that these echoes are generated by sharp-crested surface features that form where the slow moving water of the turbulent, subsurface wake impinges the surface.</t>
  </si>
  <si>
    <t>2506-2514</t>
  </si>
  <si>
    <t>Sletten, Mark A.</t>
  </si>
  <si>
    <t>Sletten M.</t>
  </si>
  <si>
    <t>Ultrawideband radar images of the surface disturbance produced by a submerged, mine-like object</t>
  </si>
  <si>
    <t>10.1109/36.885198</t>
  </si>
  <si>
    <t>2-s2.0-0034318048</t>
  </si>
  <si>
    <t>['vehicle traffic', 'tracing method', 'theoretical analysis', 'reception power', 'paper presents', 'numerical simulation', 'intervehicle high', 'fading effect', 'delay profile', 'close relationships', 'also performed']</t>
  </si>
  <si>
    <t>The paper presents an analysis of the multipath propagation characteristics of an intervehicle high-speed radio communication system using the ray-tracing method. A model of the millimeter-wave intervehicle propagation path accounting for vehicle traffic was developed and used to study the delay profile, while varying the distribution of the reception power and other multipath propagation characteristics. In the case of digital signal transmission between the vehicles, the probability density function of the carrier-to-noise power ratio (CNR) was determined and a theoretical analysis of the average bit error rate was performed by modeling the intervehicle propagation path using a Rice fading channel. By performing a numerical simulation, close relationships were established between the transmission power necessary to provide the required average bit error rate, the maximum transmission rate, the vehicle traffic, and the size of the antenna. A study of the improved signal propagation characteristics obtained by using diversity reception was also performed. It was found that by reducing the fading effect, an improvement in signal propagation characteristics can be expected.</t>
  </si>
  <si>
    <t>33-43</t>
  </si>
  <si>
    <t>57199880385;56306824500;35413687500;7201952934;7004324341</t>
  </si>
  <si>
    <t>Wada, Tomotaka;Maeda, Makoto;Okada, Minoru;Tsukamoto, Katsutoshi;Komaki, Shozo</t>
  </si>
  <si>
    <t>Wada T.</t>
  </si>
  <si>
    <t>Theoretical analysis of propagation characteristics in millimeter-wave intervehicle communication system</t>
  </si>
  <si>
    <t>10.1002/1520-6432(200011)83:11&lt;33::AID-ECJB4&gt;3.0.CO;2-1</t>
  </si>
  <si>
    <t>2-s2.0-0034319312</t>
  </si>
  <si>
    <t>['radiation pattern', 'radiated power', 'present research', 'mobile telephones', 'load impedance', 'ground becomes', 'directive gain', 'automobile telephones']</t>
  </si>
  <si>
    <t>In the cellular system used for automobile telephones and mobile telephones, a beam tilt directing the radiation pattern of the base station antenna toward the ground becomes more important as the service area covered by the base station becomes smaller. In the present research, a method is proposed for determining the load impedance in the loaded wire antenna to realize the desired tilt angle, directive gain, and ratio of the radiated power in the side lobes versus the radiated power in the tilt angle direction specified as conditions.</t>
  </si>
  <si>
    <t>60019983;60028493;60019983;60019983</t>
  </si>
  <si>
    <t>55608430500;35608208100;6603068221;57193726608</t>
  </si>
  <si>
    <t>Tanaka, Takayuki;Egashira, Shigeru;Sakitani, Akihide;Aikawa, Masayoshi</t>
  </si>
  <si>
    <t>Kumamoto;Saga</t>
  </si>
  <si>
    <t>Sojo University;Saga University</t>
  </si>
  <si>
    <t>60028493;60019983</t>
  </si>
  <si>
    <t>Tanaka T.</t>
  </si>
  <si>
    <t>Design method of loaded beam tilting antenna</t>
  </si>
  <si>
    <t>10.1002/1520-6432(200011)83:11&lt;1::AID-ECJB1&gt;3.0.CO;2-2</t>
  </si>
  <si>
    <t>2-s2.0-0034319330</t>
  </si>
  <si>
    <t>['nonoptimized result', 'dipole array', 'computation work', 'circuit model']</t>
  </si>
  <si>
    <t>The genetic algorithm along with a circuit model were applied to optimize the gain of a dipole array by adjusting the dipole element positions. The circuit model based on the power series expansion technique was applied to reduce the computation work of antenna array mutual coupling effect. Numerical results show that significant gain improvement relative to the nonoptimized result can be achieved by adjusting the element positions using the genetic algorithm together with the circuit model.</t>
  </si>
  <si>
    <t>379-382</t>
  </si>
  <si>
    <t>60025647-60072416</t>
  </si>
  <si>
    <t>Min-Hsiung;Yenchao</t>
  </si>
  <si>
    <t>Wu-Feng Institute of Technology;Shu-Te University</t>
  </si>
  <si>
    <t>60072416;60025647</t>
  </si>
  <si>
    <t>Optimization of a finite dipole array with genetic algorithm including mutual coupling effects</t>
  </si>
  <si>
    <t>10.1002/1099-047X(200011)10:6&lt;379::AID-MMCE6&gt;3.0.CO;2-C</t>
  </si>
  <si>
    <t>2-s2.0-0034319673</t>
  </si>
  <si>
    <t>Fonds Wetenschappelijk Onderzoek</t>
  </si>
  <si>
    <t>FWO</t>
  </si>
  <si>
    <t>['without using', 'system based', 'synchronous direct', 'sequence code', 'selective fading', 'orthogonal set', 'name mui', 'multiuser interference', 'much smaller', 'free receiver', 'free operation', 'division multiple', 'consecutive blocks', 'completely removes', 'code sequences', 'chip interleaving', 'channel information', 'cdma system', 'block spreading', 'also known']</t>
  </si>
  <si>
    <t>We discuss a synchronous direct-sequence code-division multiple-access (DS-CDMA) system based on block spreading in the presence of frequency-selective fading. Note that block spreading, which is also known as chip interleaving, refers to a spreading of a data block sequence, which is obtained by dividing a data symbol sequence into consecutive blocks. For such a system, we develop a simple new receiver that completely removes the multiuser interference (MUI) without using any channel information (hence, the name MUI-free receiver). The MUI-free operation is obtained by the use of a shift-orthogonal set of code sequences on which this receiver is based. Within the framework of the MUI-free receiver, we further present a subspace deterministic blind single-user channel estimation algorithm. As a benchmark for the MUI-free receiver and the corresponding subspace deterministic blind single-user channel estimation algorithm, we consider the linear multiuser equalizer and the corresponding subspace deterministic blind multiuser channel estimation algorithm developed by Liu and Xu for a standard synchronous DS-CDMA system in the presence of frequency-selective fading. We show that the complexity of the MUI-free receiver using the corresponding subspace deterministic blind single-user channel estimation algorithm is much smaller than the complexity of the linear multiuser equalizer using the corresponding subspace deterministic blind multiuser channel estimation algorithm. We further show that the performance of the MUI-free receiver is comparable with the performance of the linear multiuser equalizer. This is for the case in which the channels are known as well as for the case in which the channels are estimated with the corresponding subspace deterministic blind channel estimation algorithm.</t>
  </si>
  <si>
    <t>3175-3188</t>
  </si>
  <si>
    <t>35474798400;7006229574</t>
  </si>
  <si>
    <t>Leus, Geert;Moonen, Marc</t>
  </si>
  <si>
    <t>Leus G.</t>
  </si>
  <si>
    <t>MUI-free receiver for a synchronous DS-CDMA system based on block spreading in the presence of frequency-selective fading</t>
  </si>
  <si>
    <t>10.1109/78.875474</t>
  </si>
  <si>
    <t>2-s2.0-0034319734</t>
  </si>
  <si>
    <t>['weighted combination', 'two regions', 'simultaneously minimizing', 'simulation results', 'reverberation ).', 'proposed technique', 'paper introduces', 'limit interference', 'interior region', 'interior interference', 'exterior reverberation', 'exterior region', 'dynamically reconfigured', 'desired source', 'desired signal', 'containing sources', 'cells containing', 'beamforming weights', 'basic approach']</t>
  </si>
  <si>
    <t>This paper introduces a microphone array processing method that possesses the robustness of fixed beamforming along with the ability to be dynamically reconfigured to limit interference and reverberation. The basic approach is to partition the environment into two regions: an interior region (containing sources that are physically present within the room enclosure), and an exterior region (containing virtual sources of reverberation). The interior region is further divided into cells, and standard source localization techniques are used to identify those cells containing the desired source as well as sources of interference (e.g., competing talkers). Beamforming weights are then found to pass the desired signal, while simultaneously minimizing a weighted combination of interior interference and exterior reverberation. Simulation results are presented to demonstrate the effectiveness of the proposed technique when compared with conventional beamforming methods.</t>
  </si>
  <si>
    <t>738-743</t>
  </si>
  <si>
    <t>IEEE Transactions on Speech and Audio Processing</t>
  </si>
  <si>
    <t>60009982;60026708-60015150</t>
  </si>
  <si>
    <t>6603951674;7403364572</t>
  </si>
  <si>
    <t>Brandstein, Michael S.;Ward, Darren B.</t>
  </si>
  <si>
    <t>Australia;United Kingdom;United States</t>
  </si>
  <si>
    <t>Canberra;London;Cambridge</t>
  </si>
  <si>
    <t>University of New South Wales at Australian Defence Force Academy;Imperial College London;Harvard University</t>
  </si>
  <si>
    <t>60026708;60015150;60009982</t>
  </si>
  <si>
    <t>Brandstein M.S.</t>
  </si>
  <si>
    <t>Cell-Based Beamforming (CE-BABE) for speech acquisition with microphone arrays</t>
  </si>
  <si>
    <t>10.1109/89.876312</t>
  </si>
  <si>
    <t>2-s2.0-0034320006</t>
  </si>
  <si>
    <t>['vacuum chamber', 'system consisting', 'substrate height', 'significant fraction', 'semiconductor industry', 'seed layers', 'plasma increases', 'metal flux', 'measurements made', 'gas rarefaction', 'experimental investigation', 'diffusion barriers', 'current interest', 'argon background', '100 w']</t>
  </si>
  <si>
    <t>Ionized physical vapour deposition (IPVD) is of current interest to the semiconductor industry for the deposition of thin metal films as diffusion barriers and seed layers in high aspect ratio features. One of the aims of IPVD is to collimate depositing particle fluxes by ionizing a significant fraction of the incident metal vapour and applying an electric potential bias to the substrate. A system consisting of a dc-powered, 15 cm diameter copper sputter source and a RF induction plasma powered by a single-turn, 36 cm diameter, loop antenna internal to the vacuum chamber has been examined. Measurements made with a biased quartz crystal microbalance in an argon background of 10-90 mTorr demonstrate that, at low magnetron sputtering levels of 100 W, ionized metal flux fractions (IMFFs) as high as 90% can be observed. However, further measurements of the IMFFs and plasma density indicate rarefaction of the background argon gas as the metal flux to the plasma increases. Results are presented from an experimental investigation of methods to reduce the gas rarefaction. These include the modulation of the metal flux on the timescale of the process gas residence time and increasing the target-to-substrate height.</t>
  </si>
  <si>
    <t>562-567</t>
  </si>
  <si>
    <t>60032179;60032179;60032179;60032179;60032179</t>
  </si>
  <si>
    <t>6601992777;7006392217;55017176600;6601961876;7005364031</t>
  </si>
  <si>
    <t>Andrew, Y.;Booske, J. H.;Lu, S.;Snodgrass, T. G.;Wendt, A. E.</t>
  </si>
  <si>
    <t>Andrew Y.</t>
  </si>
  <si>
    <t>Reduction of effects of rarefaction in ionized physical vapour deposition discharges</t>
  </si>
  <si>
    <t>10.1088/0963-0252/9/4/311</t>
  </si>
  <si>
    <t>2-s2.0-0034321527</t>
  </si>
  <si>
    <t>['yaw motions', 'vibrational manner', 'vertical motion', 'platform since', 'ohio university', 'mechanical engineering', 'gps antennas', 'electromechanical system', 'common platform', 'angular roll', 'also included', 'accuracy positioning']</t>
  </si>
  <si>
    <t>The Department of Mechanical Engineering and the Avionics Engineering Center at Ohio University are developing an electromechanical system for the calibration of an inertial measurement unit (IMU) using global positioning system (GPS) antennas. The GPS antennas and IMU are mounted to a common platform to be oriented in the angular roll, pitch, and yaw motions. Vertical motion is also included to test the systems in a vibrational manner. A 4-DOF system based on the parallel carpal wrist is under development for this task. High-accuracy positioning is not required from the platform since the GPS technology provides absolute positioning for the IMU calibration process.</t>
  </si>
  <si>
    <t>Journal of Robotic Systems</t>
  </si>
  <si>
    <t>55483965600;7409608468</t>
  </si>
  <si>
    <t>Hall, John J.;Williams, Robert L.</t>
  </si>
  <si>
    <t>Hall J.J.</t>
  </si>
  <si>
    <t>Case study: Inertial measurement unit calibration platform</t>
  </si>
  <si>
    <t>10.1002/1097-4563(200011)17:11&lt;623::AID-ROB4&gt;3.0.CO;2-7</t>
  </si>
  <si>
    <t>2-s2.0-0034324263</t>
  </si>
  <si>
    <t>['wave mmics', 'wave front', 'wave circuits', 'standard technical', 'short review', 'research program', 'plastic parts', 'packaging techniques', 'novel feed', 'many cases', 'low cost', 'large quantities', 'involved front', 'industrial applications', 'including pretuning', 'general interconnect', 'environmental requirements', 'diplexer produced', 'commercial systems', 'circuit technology', 'antenna feeds']</t>
  </si>
  <si>
    <t>Millimeter-wave systems increasingly are entering into commercial systems, both for communication and sensors for traffic or industrial applications. In many cases, circuit technology of the involved front-ends includes monolithic and hybrid integrated circuits and even waveguide components like filters or antenna feeds. In addition to the standard technical and environmental requirements, these front-ends have to be fabricated in large quantities at very low cost. After a short review of the problems and some general interconnect and packaging techniques for mm-wave front-ends, achievements of a research program will be presented at the example of components for a 28 GHz communication front-end. Emphasis is put on a novel feed-through structure using multilayer carrier substrates for mm-wave circuits, some advances in electromagnetic field coupling for interconnects to mm-wave MMICs, and the realization of packages including waveguide components by plastic injection molding and electroplating. Results of filters and a diplexer produced in this way are shown, including pretuning of the filters to compensate the shrinking of the plastic parts during cooling.</t>
  </si>
  <si>
    <t>2021-2028</t>
  </si>
  <si>
    <t>60010586;60010586;60085149</t>
  </si>
  <si>
    <t>7102063968;7004173161;57194220690</t>
  </si>
  <si>
    <t>Menzel, Wolfgang;Kassner, Jurgen;Goebel, Uhland</t>
  </si>
  <si>
    <t>Stuttgart;Ulm</t>
  </si>
  <si>
    <t>Daimler AG;Universit√§t Ulm</t>
  </si>
  <si>
    <t>60085149;60010586</t>
  </si>
  <si>
    <t>Menzel W.</t>
  </si>
  <si>
    <t>Innovative packaging and fabrication concept for a 28 GHz communication front-end</t>
  </si>
  <si>
    <t>2-s2.0-0034325510</t>
  </si>
  <si>
    <t>['various conditions', 'unique features', 'time processing', 'tap spacing', 'spectral correlation', 'newton algorithm', 'mame system', 'interference suppression', 'existing approaches', 'division multiple', 'diversity domains', 'certain conditions', 'antenna multiple', 'also studied', 'also presented']</t>
  </si>
  <si>
    <t>A multiple-antenna multiple-equalizer (MAME) system for interference suppression in some code-division multiple-access (CDMA) indoor wireless systems is investigated. The MAME system offers enhanced interference suppression capabilities over existing approaches under certain conditions and can thus increase system capacity. The details of the MAME system are discussed and the unique features of this work as compared with many other studies on space-time processing are explained using spectral correlation and diversity domain concepts. The effects of the number of antennas, tap spacing of the equalizers, spectral correlation, and diversity domains are discussed using simulation results. Adaptation performance results are also presented and a recently proposed quasi-Newton algorithm is recommended for use in the MAME system. Decision-directed equalization results are also studied under various conditions and bit-error rate results are presented. Simulation results illustrate that the MAME system can offer enhanced interference suppression capabilities in CDMA indoor wireless systems.</t>
  </si>
  <si>
    <t>97-123</t>
  </si>
  <si>
    <t>60003122-60021176-100593209;60003122-60002306-101878470-60015060;60003122-100339104-101755949-60033154</t>
  </si>
  <si>
    <t>7202867585;57207600886;7101627265</t>
  </si>
  <si>
    <t>Subramanian, Srikanth;Shpak, Dale J.;Antoniou, Andreas</t>
  </si>
  <si>
    <t>Canada;India;Canada;Canada;Canada;United States;Canada;Canada;United Kingdom</t>
  </si>
  <si>
    <t>Montreal;Chennai;Victoria;Victoria;Calgary;Natick;Ottawa;Calgary;London</t>
  </si>
  <si>
    <t>Concordia University;Anna University;Royal Roads University;University of Victoria;University of Calgary;DSP Group;R and D Labs. of N. Elec. Co. Ltd.;Harris Corp;Post Office Research Department</t>
  </si>
  <si>
    <t>60033154;60021176;60015060;60003122;60002306;101878470;101755949;100593209;100339104</t>
  </si>
  <si>
    <t>Subramanian S.</t>
  </si>
  <si>
    <t>Performance of a multiple-antenna multiple-equalizer system for a CDMA indoor wireless system</t>
  </si>
  <si>
    <t>10.1023/A:1008928126443</t>
  </si>
  <si>
    <t>2-s2.0-0034325530</t>
  </si>
  <si>
    <t>['two chips', 'thin structure', 'thin package', 'slot transition', 'module comprised', 'miniaturized opto', 'groove technology', '5 mm3', '2 g']</t>
  </si>
  <si>
    <t>Miniaturized opto and microwave receiver module using DCCPWs (Double Conductor Coplanar Waveguides) have been developed for active phased array antennas. The module comprised by a microstrip-to-slot transition, two chips of low-noise MMIC amplifiers, and a laser diode module is fabricated on an ultra-thin package with 10√ó30√ó1.5 mm3 in size and 2 g in weight to achieve an ultra-thin structure of active phased array antenna panels. The ultra-thin structure is attributed to the design of low-noise MMIC amplifiers using DCCPWs and laser diode modules using silicon V-groove technology and fiber alignment method.</t>
  </si>
  <si>
    <t>2050-2055</t>
  </si>
  <si>
    <t>60101699;60101699;60101699</t>
  </si>
  <si>
    <t>7202641737;7401631806;7403646478</t>
  </si>
  <si>
    <t>Nakahara, Kazuhiko;Kaneko, Shinichi;Itoh, Yasushi</t>
  </si>
  <si>
    <t>Nakahara K.</t>
  </si>
  <si>
    <t>Very-thin, light-weight opto and microwave receiver module for satellite communications</t>
  </si>
  <si>
    <t>2-s2.0-0034326050</t>
  </si>
  <si>
    <t>['spectroscopic properties', 'soret transitions', 'solvent co', 'porphyrin ring', 'porphyrin plane', 'pm3 level', 'pm3 cisd', 'photosynthetic light', 'overall simulation', 'magnesium porphin', 'magnesium chlorin', 'magnesium atom', 'harvesting antenna', 'experimentally observed', 'excited states', 'energy minimisation', 'configuration interaction', 'chlorophylls put', 'chlorophyll b', 'charge redistribution', 'centrally located', 'atomic charges', 'atomic charge', 'also studied', 'absorption spectra', '), q']</t>
  </si>
  <si>
    <t>The semi-empirical and ab initio molecular orbital/configuration interaction (MO/CI) methods were used to study spectroscopic properties of chlorophylls a, b, c1, c2, c3 and d and magnesium porphin and magnesium chlorin. Energy minimisation at the PM3 level of all chlorophylls put the magnesium atom away from the centre and above the porphyrin ring and the atomic charges on the nitrogen atoms became positive. At the ab initio HF/6-31G* level of calculation the magnesium is centrally located in the porphyrin plane and the atomic charge on the magnesium atom is positive and that on the surrounding nitrogens negative. Three CI methods used, ZINDO/S CIS (15,15), PM3 CISD (5,5) and ab initio CIS (5,5)/6-31G*, obeyed linear correlation between the experimentally observed and calculated spectroscopic transition energies. The PM3 CISD (5,5) method gave best estimates of Q(y), Q(x) and the Soret transition energies, but predicted oscillator strengths poorly. The ZINDO/S CIS (15,15) method gave best results in the overall simulation of the absorption spectra of chlorophylls, both intensities and wavelengths. The effect of solvent co-ordination on the excited states of chlorophyll a and chlorophyll b was also studied. Calculations predict solvent induced spectroscopic shifts of the Q(x) and Soret transitions but leave the Q(y) transition almost unshifted. This is a result of solvent-induced energy level shifts and charge redistribution on the magnesium atom of chlorophylls in the excited states. The results are discussed with reference to spectroscopic properties of chlorophylls in solution, chlorophylls in aggregates and in photosynthetic light-harvesting antenna.</t>
  </si>
  <si>
    <t>4962-4970</t>
  </si>
  <si>
    <t>Physical Chemistry Chemical Physics</t>
  </si>
  <si>
    <t>Linnanto, J.;Korppi-Tommola, J.</t>
  </si>
  <si>
    <t>Spectroscopic properties of Mg-chlorin, Mg-porphin and chlorophylls a, b, c&lt;inf&gt;1&lt;/inf&gt;, c&lt;inf&gt;2&lt;/inf&gt;, c&lt;inf&gt;3&lt;/inf&gt; and d studied by semi-empirical and ab initio MO/CI methods</t>
  </si>
  <si>
    <t>10.1039/b004998k</t>
  </si>
  <si>
    <t>2-s2.0-0034326291</t>
  </si>
  <si>
    <t>National Cancer Institute</t>
  </si>
  <si>
    <t>R01CA070761</t>
  </si>
  <si>
    <t>NCI</t>
  </si>
  <si>
    <t>['two antennas', 'thus confining', 'technically inadequate', 'target tissue', 'superior compared', 'somewhat clumsy', 'signal sensitivity', 'results demonstrate', 'receive antenna', 'radiometric sensing', 'radiometric performance', 'radiometer output', 'outer corners', 'noninvasive thermometry', 'maximum centrally', 'many patients', 'hyperthermia therapy', 'frequency range', 'facilitate heating', 'dcc structure', 'dcc pattern', 'complimentary regions', 'central region', 'brightness temperature', 'boresight axis', 'blackbody radiation', '0 ghz']</t>
  </si>
  <si>
    <t>Archimedean spiral | Conformal microwave applicator | DCC aperture | Hyperthermia | Microstrip antenna | Radiometry | Superficial heating</t>
  </si>
  <si>
    <t>Hyperthermia therapy of superficial skin disease has proven clinically useful, but current heating equipment is somewhat clumsy and technically inadequate for many patients. The present effort describes a dual-purpose, conformal microwave applicator that is fabricated from thin, flexible, multilayer printed circuit board (PCB) material to facilitate heating of surface areas overlaying contoured anatomy. Preliminary studies document the feasibility of combining Archimedean spiral microstrip antennas, located concentrically within the central region of square dual concentric conductor (DCC) annular slot antennas. The motivation is to achieve homogeneous tissue heating simultaneously with noninvasive thermometry by radiometric sensing of blackbody radiation from the target tissue under the applicator. Results demonstrate that the two antennas have complimentary regions of influence. The DCC ring antenna structure produces a peripherally enhanced power deposition pattern with peaks in the outer corners of the aperture and a broad minimum around 50% of maximum centrally. In contrast, the Archimedean spiral radiates (or receives) energy predominantly along the boresight axis of the spiral, thus confining the region of influence to tissue located within the central broad minimum of the DCC pattern. Analysis of the temperature-dependent radiometer signal (brightness temperature) showed linear correlation of radiometer output with test load temperature using either the spiral or DCC structure as the receive antenna. The radiometric performance of the broadband Archimedean antenna was superior compared to the DCC, providing improved temperature resolution (0.1 ¬∞C-0.2 ¬∞C) and signal sensitivity (0.3 ¬∞C-0.8 ¬∞C/¬∞C) at all four 500 MHz integration bandwidths tested within the frequency range from 1.2 to 3.0 GHz.</t>
  </si>
  <si>
    <t>1500-1508</t>
  </si>
  <si>
    <t>IEEE Transactions on Biomedical Engineering</t>
  </si>
  <si>
    <t>60023691;60023691;60023691</t>
  </si>
  <si>
    <t>Jacobsen, S.;Stauffer, P. R.;Neuman, D. G.</t>
  </si>
  <si>
    <t>San Francisco</t>
  </si>
  <si>
    <t>University of California, San Francisco</t>
  </si>
  <si>
    <t>Dual-mode antenna design for microwave heating and noninvasive thermometry of superficial tissue disease</t>
  </si>
  <si>
    <t>S0018929400088170</t>
  </si>
  <si>
    <t>10.1109/10.880102</t>
  </si>
  <si>
    <t>2-s2.0-0034327892</t>
  </si>
  <si>
    <t>['versatile quasi', 'transmission line', 'te1n modes', 'spatial filter', 'sidelobe radiation', 'radiation generated', 'present results', 'optical system', 'optical antenna', 'novel design', 'like beams', 'gyrotron radiation', 'developed system', '472 ghz', '423 ghz', '372 ghz', '323 ghz', '271 ghz', '223 ghz', '170 ghz']</t>
  </si>
  <si>
    <t>A novel design of a versatile quasi-optical system for conversion of gyrotron radiation into collimated gaussian beams is presented and discussed. The proposed system consists of a quasi-optical antenna, two ellipsoidal mirrors and a spatial filter which truncates the sidelobe radiation. The system is appropriate as a transmission line for frequency tunable gyrotrons operating at TE0n and TE1n modes. As an illustration of our approach, we present results which demonstrate the applicability of the developed system for conversion of the radiation generated by the Gyrotron FU IVA. The examples include conversion of four TE1n mode outputs (TE12, 170 GHz; TE13, 271 GHz; TE14, 372 GHz; TE15, 472 GHz) into gaussian-like beams and three TE0n modes (TE02, 223 GHz; TE03, 323 GHz; TE04, 423 GHz) into bigaussian-like beams.</t>
  </si>
  <si>
    <t>1385-1400</t>
  </si>
  <si>
    <t>55664722000;10242269300;6701570909;56260231500</t>
  </si>
  <si>
    <t>Ogawa, I.;Idehara, T.;Sabchevski, S.;Kasparek, W.</t>
  </si>
  <si>
    <t>Design of a system converting an output radiation of frequency tunable gyrotron into a gaussian beam</t>
  </si>
  <si>
    <t>10.1080/002072100750000178</t>
  </si>
  <si>
    <t>2-s2.0-0034334824</t>
  </si>
  <si>
    <t>['vertical resolution', 'usually comparable', 'two frequencies', 'strong function', 'significant factor', 'resistivity tools', 'resistivity dispersion', 'resistivity data', 'reservoir rock', 'oilfield formations', 'mwd logs', 'much smaller', 'much higher', 'major factor', 'low frequencies', 'frequency logs', 'field logs', 'effects become', 'dispersion effects', 'different spacings', 'dielectric effects', 'dielectric dispersion', 'data interpretation', 'common frequency', 'available data', '400 khz', '2 mhz', '2 megahertz']</t>
  </si>
  <si>
    <t>Laboratory data indicating that resistivity is a strong function of frequency at 2 megahertz (MHz) has recently been published. The most common frequency for measurement while drilling (MWD) resistivity tools is 2 MHz. If oilfield formations were dispersive at 2 MHz, then resistivity dispersion should be a major factor in the interpretation of MWD resistivity data. Some published laboratory data even suggest that water saturations measured at 2 MHz are grossly inaccurate due to dispersion effects. However, the analysis of hundreds of MWD logs with data at two frequencies (400 kHz and 2 MHz) demonstrates that very little resistivity dispersion occurs in oilfield formations at these frequencies. Analysis of practical porous oilfield formations using theoretical models shows that resistivity dispersion should not become apparent unless the frequency is much higher than 2 MHz. Dispersion effects occur at all frequencies. However, the dispersion is much smaller at low frequencies. The question is at what frequency do these effects become a significant factor in data interpretation. Resistivity dispersion is seen in wireline field data when high frequency dielectric tools are used in the same formation as low frequency induction tools. However, when 2 MHz tools and 20 kHz induction tools are used in the same borehole the results are usually comparable. When the results are different, some effect other than resistivity dispersion is usually the cause. The same theoretical models indicate that dielectric dispersion should be significant at 2 MHz, which is in agreement with the two-frequency MWD field data. Hundreds of two-frequency logs through thousands of formations have been analyzed and several typical examples are shown in this paper. The two different measurements are made almost simultaneously using the same antennas. Separation between the resistivity data at the two frequencies is common. However, other effects such as anisotropy, invasion, dielectric effects, and differences in vertical resolution are found to explain these differences more accurately than resistivity dispersion. All of these other effects cause separation of attenuation and phase resistivity data, separation of data from different spacings, or both. Therefore, these effects can be distinguished from resistivity dispersion when all available data are compared with the theoretical formation responses. Only one clear case of resistivity dispersion has been found in any of the two-frequency data sets. This log, like all other field logs that are claimed to be dispersive at 2 MHz, is in a shale. There is no known field log from any source which exhibits significant dispersion at 2 MHz in a reservoir rock.</t>
  </si>
  <si>
    <t>492-502</t>
  </si>
  <si>
    <t>Petrophysics</t>
  </si>
  <si>
    <t>Meyer, W. Hal</t>
  </si>
  <si>
    <t>Baker Hughes, a GE company</t>
  </si>
  <si>
    <t>Meyer W.</t>
  </si>
  <si>
    <t>Field measurements of resistivity dispersion using two frequency MWD propagation resistivity tools</t>
  </si>
  <si>
    <t>2-s2.0-0039381496</t>
  </si>
  <si>
    <t>['higher directivity', 'designing antennas', 'aperture antenna']</t>
  </si>
  <si>
    <t>The directivity of an aperture antenna is studied as a function of its aperture field distribution. Certain commonly used coefficients are refined. Recommendations are given on designing antennas with higher directivity.</t>
  </si>
  <si>
    <t>1194-1198</t>
  </si>
  <si>
    <t>100463138;100463138</t>
  </si>
  <si>
    <t>6506546656;7003513371</t>
  </si>
  <si>
    <t>Povolotskii, F. K.;Khzmalyan, A. D.</t>
  </si>
  <si>
    <t>Povolotskii F.</t>
  </si>
  <si>
    <t>Directivity of an Aperture Antenna</t>
  </si>
  <si>
    <t>2-s2.0-0042188783</t>
  </si>
  <si>
    <t>['sequential use', 'sensitive amplifier', 'like effect', 'demonstrate amplification', 'classical noise', 'bare phase']</t>
  </si>
  <si>
    <t>We propose and demonstrate a nonlinear parametric amplification system that relies on sequential use of a nonlinear phase shift (Kerr-like effect) and on phase-sensitive parametric amplification. We demonstrate amplification that is 50% better than with a bare phase-sensitive amplifier as well as two additional effects: inversion of weak optical modulation and suppression of classical noise. ¬© 2000 Optical Society of America.</t>
  </si>
  <si>
    <t>1585-1587</t>
  </si>
  <si>
    <t>101258040;101258040;101258040;60003242;60003242</t>
  </si>
  <si>
    <t>6602220599;6603878782;7103012199;7003839936;57218888166</t>
  </si>
  <si>
    <t>Symul, T.;Bencheikh, K.;Levenson, J. A.;Eger, D.;Oron, M.</t>
  </si>
  <si>
    <t>Israel;France</t>
  </si>
  <si>
    <t>Yaune;Bagneux</t>
  </si>
  <si>
    <t>Soreq Nuclear Research Center;Unite de Recherche Associee 250</t>
  </si>
  <si>
    <t>60003242;101258040</t>
  </si>
  <si>
    <t>Symul T.</t>
  </si>
  <si>
    <t>Intensity-dependent parametric amplification for traveling-wave signal processing</t>
  </si>
  <si>
    <t>10.1364/OL.25.001585</t>
  </si>
  <si>
    <t>2-s2.0-0043191881</t>
  </si>
  <si>
    <t>['transmitting frequency', 'situated inside', 'road tunnel', 'paper presents', 'mobile antennas', 'image theory', 'first used', 'experiments carried', 'empty tunnel', '1 ghz']</t>
  </si>
  <si>
    <t>This paper presents a narrowband statistical analysis of the field distribution inside a road tunnel. Both fixed and mobile antennas are situated inside the tunnel and the transmitting frequency is 2.1 GHz. A theoretical propagation model based on the image theory is first used and the results are then compared to those obtained from experiments carried out either in an empty tunnel or in presence of traffic.</t>
  </si>
  <si>
    <t>623-631</t>
  </si>
  <si>
    <t>60104665;60104665;60104665</t>
  </si>
  <si>
    <t>7004669030;6508280903;7003924509</t>
  </si>
  <si>
    <t>Li√©nard, Martine;B√©trencourt, Samuel;Degauque, Pierre</t>
  </si>
  <si>
    <t>Lille</t>
  </si>
  <si>
    <t>Universit√© de Lille</t>
  </si>
  <si>
    <t>Li√©nard M.</t>
  </si>
  <si>
    <t>Propagation in road tunnels: A statistical analysis of the field distribution and impact of the traffic</t>
  </si>
  <si>
    <t>2-s2.0-17144446690</t>
  </si>
  <si>
    <t>['wing complex', 'type flies', 'tarsal elements', 'statistical methods', 'olfactory response', 'olfactory organs', 'mutation causes', 'mutant flies', 'low penetrance', 'lawc mutants', 'interperiodica ".', 'homeotic transformation', 'fifth element', 'carefully processed', 'attractant odors', 'arista transformation', 'approximately half', 'affect behavior']</t>
  </si>
  <si>
    <t>Antennae are known to be olfactory organs in Drosophila. The leg-aristae-wing complex (lawc) mutation causes a homeotic transformation of the arista (the fifth element of antenna) into tarsal elements. To test how the homeotic transformation of the arista into the tarsus can affect behavior, we studied the olfactory response in the lawc mutants. The data were carefully processed by statistical methods. In spite of a low penetrance of the trait of arista transformation, the mutant flies were found to be approximately half as perceptible to attractant odors than the wild-type flies. ¬© 2000 MAIK "Nauka/Interperiodica".</t>
  </si>
  <si>
    <t>1288-1290</t>
  </si>
  <si>
    <t>Russian Journal of Genetics</t>
  </si>
  <si>
    <t>60069617;60069617;60069617;60007457;</t>
  </si>
  <si>
    <t>7005675712;6508173814;6508219023;7101695904;7102316456</t>
  </si>
  <si>
    <t>Simonova, O. B.;Sukhoverkhova, T. I.;Zhuravel', D. A.;Romanova, L. G.;Korochkin, L. I.</t>
  </si>
  <si>
    <t>Russian Federation;Russian Federation</t>
  </si>
  <si>
    <t>Moscow;Moscow</t>
  </si>
  <si>
    <t>Institute of Gene Biology, Russian Academy of Sciences;Lomonosov Moscow State University</t>
  </si>
  <si>
    <t>60069617;60007457</t>
  </si>
  <si>
    <t>Simonova O.</t>
  </si>
  <si>
    <t>A study of olfactory response in Drosophila melanogaster leg-aristae-wing complex homeotic mutants</t>
  </si>
  <si>
    <t>2-s2.0-22244454785</t>
  </si>
  <si>
    <t>['work done', 'telecommunications command', 'site visit', 'naval computer', 'literature survey', 'industry experts', 'feasibility study', 'cured urethane', 'coating systems', 'coastal bridges']</t>
  </si>
  <si>
    <t>An overview is given on work done in response to a request by the Naval Facilities Engineering Command (NFEC) on behalf of the Naval Computer and Telecommunications Command (NCTC) to perform a feasibility study on the use of moisture-cured urethane (MCU) coating systems for large antenna towers. Based on the feasibility study, a summary is given on a site visit to Oregon's coastal bridges, identification and procurement of MCU coating systems with topcoats in two Federal Aviation Administration (FAA) colors (white, red-orange), laboratory testing, conversations with industry experts, and a literature survey.</t>
  </si>
  <si>
    <t>60012026;60012026</t>
  </si>
  <si>
    <t>6507759482;6508346794</t>
  </si>
  <si>
    <t>Gaughen, C. Dave;Hoffard, Theresa A.</t>
  </si>
  <si>
    <t>Port Hueneme</t>
  </si>
  <si>
    <t>US Naval Civil Engineering Lab</t>
  </si>
  <si>
    <t>Gaughen C.</t>
  </si>
  <si>
    <t>Moisture-cured urethane coatings for antenna towers: a feasibility study</t>
  </si>
  <si>
    <t>2-s2.0-6644222234</t>
  </si>
  <si>
    <t>['transmitting antenna', 'relay station', 'receiving antenna', 'proposed algorithm', 'ofdm signal', 'loop interference', 'interference must', 'computer simulations', 'avoid problems', 'allowable level']</t>
  </si>
  <si>
    <t>In each relay station in an SFN (single frequency network) for DTB (digital terrestrial broadcasting), the loop interference is caused by the coupling from the transmitting antenna to receiving antenna. The interference must be reduced to an allowable level in order to avoid problems with distortion and oscillation. We propose a frequency-domain adaptive cancellation algorithm which is operated by using Scattered Pilot information in the OFDM signal. In this paper, the principle of the proposed algorithm is outlined and the usefulness of the algorithm is verified by the results of computer simulations.</t>
  </si>
  <si>
    <t>100729914-109030536;100729914-109030536;100729914-109030536;100729914-109030536;100729914-109030536</t>
  </si>
  <si>
    <t>6603612577;7202591678;6506841923;35422888600;55729212500</t>
  </si>
  <si>
    <t>Hamazumi, Hiroyuki;Imamura, Koichiro;Iai, Naohiko;Shibuya, Kazuhiko;Sasaki, Makoto</t>
  </si>
  <si>
    <t>Japan;</t>
  </si>
  <si>
    <t>NHK Sci. and Tech. Res. Laboratories;Digit. Broadcasting Netwk. Res. Div</t>
  </si>
  <si>
    <t>109030536;100729914</t>
  </si>
  <si>
    <t>Hamazumi H.</t>
  </si>
  <si>
    <t>A loop interference canceller for the relay stations in an single frequency network for digital terrestrial broadcasting</t>
  </si>
  <si>
    <t>2-s2.0-84862426133</t>
  </si>
  <si>
    <t>['polyethylene glycol', 'pegh oligomers', 'lanthanide ions', 'energy transfer', 'efficient light', 'chain pegs']</t>
  </si>
  <si>
    <t>A simple system based on terpyridine (tpy), metal ions, and polyethylene glycol (PEG) that forms a very efficient light-conversion molecular devices (LCMD) is presented. The strongly luminescent complexes were produced by he association of tpy with several cationic species in a liquid environment provided by PEGH oligomers. Solid samples obtained by freeze-drying solutions containing medium- or large-chain PEGs, lanthanide ions and tpy give coordination complexes that produce antenna effects by energy transfer from the ligand to the ion.</t>
  </si>
  <si>
    <t>1603-1605</t>
  </si>
  <si>
    <t>Advanced Materials</t>
  </si>
  <si>
    <t>60031155;60031155</t>
  </si>
  <si>
    <t>6701412797;7006746725</t>
  </si>
  <si>
    <t>Bekiari, Vlasoula;Lianos, Panagiotis</t>
  </si>
  <si>
    <t>Bekiari V.</t>
  </si>
  <si>
    <t>New high-yield luminescent materials obtained by combining terpyridine, metal cations (including lanthanides), and poly(ethylene glycol)</t>
  </si>
  <si>
    <t>10.1002/1521-4095(200011)12:21&lt;1603::AID-ADMA1603&gt;3.0.CO;2-P</t>
  </si>
  <si>
    <t>2-s2.0-0034316773</t>
  </si>
  <si>
    <t>['two arms', 'transmitting procedure', 'phenomena occurring', 'equivalent circuit', 'domain approach', 'dipole antennas', 'difference method', 'corresponding time']</t>
  </si>
  <si>
    <t>The static distributed capacitances between two arms of dipole antennas are calculated by a finite-difference method. An equivalent circuit for dipole antennas is proposed. A corresponding time-domain approach for solving the voltage and current of this circuit is given. Some phenomena occurring in the transmitting procedure are discussed.</t>
  </si>
  <si>
    <t>165-168</t>
  </si>
  <si>
    <t>Wang, J. H.</t>
  </si>
  <si>
    <t>Beijing Jiaotong University</t>
  </si>
  <si>
    <t>Research on the transmission characteristics of the pulse voltage and current on dipole antennas</t>
  </si>
  <si>
    <t>10.1002/1098-2760(20001105)27:3&lt;165::AID-MOP4&gt;3.0.CO;2-F</t>
  </si>
  <si>
    <t>2-s2.0-0034325053</t>
  </si>
  <si>
    <t>['vertical portion', 'shaped patch', 'proposed antenna', 'polarization planes', 'novel design', 'nonradiating edges', 'grounded substrate', 'frequency ratio', 'frequency operation', 'dualfrequency operation', 'also obtained']</t>
  </si>
  <si>
    <t>Dual-frequency operation | Patch antenna</t>
  </si>
  <si>
    <t>A novel design of an L-shaped patch antenna for dualfrequency operation is proposed. The proposed antenna is obtained by bending a planar rectangular patch into an L-shaped patch, which is then placed on a grounded substrate, with the patch's horizontal portion parallel to and above the substrate and the edge of the patch's vertical portion in contact with the substrate. The proposed antenna is fed by a 50 fl microstrip line printed on the same substrate, and the antenna's first t\vo resonant frequencies can be excited with good impedance matching, and have the same polarization planes. Good broadside radiation characteristics for the nvo resonant frequencies are also obtained, and by inserting a pair of slits at the nonradiating edges of the patch's vertical portion, the frequency ratio between the two resonant frequencies can be varied, resulting in a dual-frequency operation having a tunable frequency ratio of about 1.66-1.94. ¬© 2000 John Wiley &amp; Sons, Inc.</t>
  </si>
  <si>
    <t>7401774071;35460663000</t>
  </si>
  <si>
    <t>Kuo, Jieh Sen;Wong, Kin Lu</t>
  </si>
  <si>
    <t>Kuo J.</t>
  </si>
  <si>
    <t>A dual-frequency L-shaped patch antenna</t>
  </si>
  <si>
    <t>10.1002/1098-2760(20001105)27:3&lt;177::AID-MOP8&gt;3.0.CO;2-X</t>
  </si>
  <si>
    <t>2-s2.0-0034325169</t>
  </si>
  <si>
    <t>['transponding applications', 'slot lines', 'operating modes', 'operating frequency', 'odd excitations', 'monopulse systems', 'good isolation', 'even mode', 'antenna suitable', 'antenna radiates']</t>
  </si>
  <si>
    <t>The response of a twin Vivaldi antenna to even and odd excitations is used to achieve pattern diversity. The antenna radiates at boresight with a 6.5 dBi gain in the even mode. The odd mode radiates symmetrically with a 6 dBi gain. An antenna suitable for monopulse systems and transponding applications is designed and tested. Good isolation between operating modes is achieved over a 4% bandwidth. The operating frequency can be modified by changing the distances between the slot lines.</t>
  </si>
  <si>
    <t>207-209</t>
  </si>
  <si>
    <t>6508207017;6602159125</t>
  </si>
  <si>
    <t>Linardou, I.;Migliaccio, C.</t>
  </si>
  <si>
    <t>Linardou I.</t>
  </si>
  <si>
    <t>Twin Vivaldi antenna for transponders and monopulse systems</t>
  </si>
  <si>
    <t>10.1002/1098-2760(20001105)27:3&lt;207::AID-MOP18&gt;3.0.CO;2-A</t>
  </si>
  <si>
    <t>2-s2.0-0034325186</t>
  </si>
  <si>
    <t>['reactive load', 'parasitic element', 'monopole antenna', 'input impedance', 'improved due', 'impedance performance']</t>
  </si>
  <si>
    <t>A broadband monopole antenna with a parasitic planar thin conductive element placed in parallel with the monopole is presented. The measured impedance bandwidth reaches up to 1:8. The impedance performance is improved due to the strong electromagnetic coupling between the monopole and the parasitic element. The parasitic element acts as a reactive load for the improvement of the input impedance of the monopole antenna.</t>
  </si>
  <si>
    <t>209-210</t>
  </si>
  <si>
    <t>Broadband monopole antenna with parasitic planar element</t>
  </si>
  <si>
    <t>10.1002/1098-2760(20001105)27:3&lt;209::AID-MOP19&gt;3.0.CO;2-5</t>
  </si>
  <si>
    <t>2-s2.0-0034325190</t>
  </si>
  <si>
    <t>['smart monoblock', 'planar inverted', 'pifa ),', 'mobile communications', 'low losses', 'integrated l', 'impedance tuning', 'f antenna', 'efficient product', 'easy tuning', 'development begun', 'available volume']</t>
  </si>
  <si>
    <t>The development of electrically small antennas for mobile communications is discussed. The development begun with the planar inverted-F antenna (PIFA), which had the advantages of low losses and easy tuning. The smart monoblock-integrated L-antenna (SMILA) evolved as a simple and efficient product, which was easy to manufacture. The frequency and impedance tuning of the antenna was simple as it gained maximum bandwidth in the available volume.</t>
  </si>
  <si>
    <t>155-157</t>
  </si>
  <si>
    <t>101777221;101777221;101777221</t>
  </si>
  <si>
    <t>7004724089;35838201000;6701417455</t>
  </si>
  <si>
    <t>Z√ºrcher, J. F.;Staub, O.;Skrivervik, A. K.</t>
  </si>
  <si>
    <t>Lab. Electromagnetisme A.</t>
  </si>
  <si>
    <t>Z√ºrcher J.F.</t>
  </si>
  <si>
    <t>SMILA: A compact and efficient antenna for mobile communications</t>
  </si>
  <si>
    <t>10.1002/1098-2760(20001105)27:3&lt;155::AID-MOP1&gt;3.0.CO;2-P</t>
  </si>
  <si>
    <t>2-s2.0-0342906499</t>
  </si>
  <si>
    <t>['thz regime', 'rcsj ).', 'like behavior', 'josephson junction', 'infrared laser', 'icrn products', 'hilbert spectroscopy', 'frequency radiation', 'detect high', 'current characteristics', 'better coupling', '77 k', '220 œºv', '10 k', '0 mv']</t>
  </si>
  <si>
    <t>We prepared Josephson junctions made of YBa2Cu3O7 on symmetric 24¬∞ LaAlO3 bicrystal substrates. For better coupling of high-frequency radiation, we structured the contacts with logarithmic-periodic antennas made of YBa2Cu3O7. Characterization was done by measuring the voltage-current characteristics to determine the critical current 1C, the normal-state resistance RN, the noise parameter Œì, and the Stewart-McCumber parameter Œ≤C, as predicted by the resistively and capactively shunted junction model (RCSJ). The junctions showed excellent RCSJ-like behavior with ICRN products of up to 2.0 mV at 10 K and 220 ŒºV at 77 K. To demonstrate the possibility to detect high-frequency radiation up to the THz regime, we used the Josephson junction as a detector for radiation from a far-infrared laser and we reconstructed the spectra by Hilbert spectroscopy. ¬© 2000 American Institute of Physics.</t>
  </si>
  <si>
    <t>3057-3059</t>
  </si>
  <si>
    <t>60028229;60028229;60028229;60028229;60030635</t>
  </si>
  <si>
    <t>57196552140;57197943415;16048263100;57204743825;7101932527</t>
  </si>
  <si>
    <t>Kaestner, A.;Volk, M.;Ludwig, F.;Schilling, M.;Menzel, J.</t>
  </si>
  <si>
    <t>Hamburg;Hamburg</t>
  </si>
  <si>
    <t>Deutsches Elektronen-Synchrotron (DESY);Universit√§t Hamburg</t>
  </si>
  <si>
    <t>60030635;60028229</t>
  </si>
  <si>
    <t>Kaestner A.</t>
  </si>
  <si>
    <t>YBa&lt;inf&gt;2&lt;/inf&gt;Cu&lt;inf&gt;3&lt;/inf&gt;O&lt;inf&gt;7&lt;/inf&gt; Josephson junctions on LaAlO&lt;inf&gt;3&lt;/inf&gt; bicrystals for terahertz-frequency applications</t>
  </si>
  <si>
    <t>10.1063/1.1323545</t>
  </si>
  <si>
    <t>2-s2.0-0001745902</t>
  </si>
  <si>
    <t>['small size', 'phase method', 'mobile configuration', 'measurement results', 'low cost', 'eles antenna', 'element geometry', 'axial ratio']</t>
  </si>
  <si>
    <t>The mobile configuration of easy, low cost, effective, low synthetic aperture radar (ELES) antenna was discussed. The simulation results using the transmission line method (TLM) were compared with the measurement results. The elements were printed on a low permittivity substrate to produce a small size by virtue of the element geometry. The axial ratio of the ELES antenna and the wideband patch antenna were measured by an amplitude-phase method.</t>
  </si>
  <si>
    <t>1911-1912</t>
  </si>
  <si>
    <t>60021097;60021097</t>
  </si>
  <si>
    <t>6506665465;7202876045</t>
  </si>
  <si>
    <t>Suvannapattana, P.;Saunders, S. R.</t>
  </si>
  <si>
    <t>Suvannapattana P.</t>
  </si>
  <si>
    <t>ELES antenna for mobile satellite terminals</t>
  </si>
  <si>
    <t>10.1049/el:20001382</t>
  </si>
  <si>
    <t>2-s2.0-0034319510</t>
  </si>
  <si>
    <t>['yagi concept', 'yagi array', 'patch length', 'parasitic elements', 'oscillation frequency', 'director elements', 'designed according', 'active antenna']</t>
  </si>
  <si>
    <t>An active oscillating antenna for the realization of beam-tilting was introduced with relation to the Yagi concept. The director elements were employed as parasitic elements in a Yagi array. The oscillation frequency was determined by the patch length of the active antenna. The dimensions of the director elements and spacings between the active antenna and parasitic elements were designed according to the dipole Yagi array design.</t>
  </si>
  <si>
    <t>1912-1913</t>
  </si>
  <si>
    <t>60032315;60032315;60032315</t>
  </si>
  <si>
    <t>7402129686;55805208800;35350619100</t>
  </si>
  <si>
    <t>Murata, M.;Li, K.;Matsui, T.</t>
  </si>
  <si>
    <t>Murata M.</t>
  </si>
  <si>
    <t>Planar active Yagi-like antenna</t>
  </si>
  <si>
    <t>10.1049/el:20001359</t>
  </si>
  <si>
    <t>2-s2.0-0034322075</t>
  </si>
  <si>
    <t>['selection diversity', 'performance according', 'noise figures', 'additional antennas']</t>
  </si>
  <si>
    <t>The reverse link capacity of a DS-CDMA distributed antenna (DA) system is evaluated. Selection diversity can be used to compensate for the performance degradation due to the sum of interference and noise figures of additional antennas. To evaluate the performance according to the use of diversity, a DA system model is presented and interference analysis shown.</t>
  </si>
  <si>
    <t>1962-1963</t>
  </si>
  <si>
    <t>60016912;60016912;60016912</t>
  </si>
  <si>
    <t>57206735737;7102684077;7402312534</t>
  </si>
  <si>
    <t>Lee, Jae Hyuck;Roh, Jae Ho;Kang, Chang Eon</t>
  </si>
  <si>
    <t>Reverse link capacity analysis of DS-CDMA system with distributed antennas using selection diversity</t>
  </si>
  <si>
    <t>10.1049/el:20001340</t>
  </si>
  <si>
    <t>2-s2.0-0034322944</t>
  </si>
  <si>
    <t>['transmit antenna', 'time codes', 'signal arrivals', 'receive antenna', 'maximum likelihood', 'decoding algorithm', 'conventional one', 'arrival differences']</t>
  </si>
  <si>
    <t>Space-time coded systems for Rayleigh flat fading environments are considered, in which the signal arrivals from each transmit antenna to a receive antenna are different. For this situation, a maximum likelihood (ML) decoding algorithm for space-time codes which considers the arrival differences is proposed. The simulation results show that the proposed algorithm considerably outperforms the conventional one.</t>
  </si>
  <si>
    <t>1936-1937</t>
  </si>
  <si>
    <t>36754047400;34769714400</t>
  </si>
  <si>
    <t>Jo, Kyuhong;Kim, Hyung Myung</t>
  </si>
  <si>
    <t>Jo K.</t>
  </si>
  <si>
    <t>Decoding of space-time codes for Rayleigh flat fading with arrival time differences</t>
  </si>
  <si>
    <t>10.1049/el:20001343</t>
  </si>
  <si>
    <t>2-s2.0-0034323413</t>
  </si>
  <si>
    <t>107583/410</t>
  </si>
  <si>
    <t>NTNU</t>
  </si>
  <si>
    <t>['three types', 'three compounds', 'strong responses', 'retention times', 'results demonstrate', 'produced volatiles', 'present study', 'polar installed', 'paper responded', 'one polar', 'one non', 'neurones presented', 'large variety', 'indicating e', 'important question', 'hundreds present', 'high specificity', 'headspace techniques', 'gas chromatography', 'gas chromatograph', 'column types', 'chemical structures', 'active components']</t>
  </si>
  <si>
    <t>Gas chromatography | Insect-plant interactions | Olfactory receptor neurones | Plant odours | Single-cell recordings</t>
  </si>
  <si>
    <t>An important question in olfaction is for which odorants receptor neurones have evolved. In the present study, olfactory receptor neurones on the antennae of the tobacco budworm moth Heliothis virescens were screened for sensitivity to naturally occurring plant-produced volatiles by the use of gas chromatography linked to electrophysiology. Volatiles of host as well as non-host plants collected by headspace techniques were used for stimulating the neurones, sequentially via two columns, one polar and one non-polar installed in parallel in the gas chromatograph. Three types of neurones presented in this paper responded to one, two or three compounds for which the retention times were determined in both column types. The chemical structures of the active components were determined on the basis of mass spectrometry linked to gas chromatography, indicating E-Œ≤-ocimene and Œ≤-myrcene as stimulants for neurone type 1, E,E-Œ±-farnesene for neurone type 2 and homo-farnesene for neurone type 3. Re-testing authentic materials verified the identifications for the type 1 neurones. The results demonstrate a high specificity for the three types of neurones by strong responses to one or two structurally similar compounds out of hundreds present in a large variety of plants. The study exemplifies plant odour detection by narrowly tuned receptor neurones in a polyphagous moth species.</t>
  </si>
  <si>
    <t>833-847</t>
  </si>
  <si>
    <t>60013141;60002014;60013141</t>
  </si>
  <si>
    <t>6507082742;7003602441;6701730347</t>
  </si>
  <si>
    <t>R√∏stelien, T.;Borg-Karlson, A. K.;Mustaparta, H.</t>
  </si>
  <si>
    <t>Norway;Sweden</t>
  </si>
  <si>
    <t>Trondheim;Stockholm</t>
  </si>
  <si>
    <t>Norges Teknisk-Naturvitenskapelige Universitet;The Royal Institute of Technology (KTH)</t>
  </si>
  <si>
    <t>60013141;60002014</t>
  </si>
  <si>
    <t>R√∏stelien T.</t>
  </si>
  <si>
    <t>Selective receptor neurone responses to E-Œ≤-ocimene, Œ≤-myrcene, E,E-Œ±-farnesene and homo-farnesene in the moth Heliothis virescens, identified by gas chromatography linked to electrophysiology</t>
  </si>
  <si>
    <t>10.1007/s003590000136</t>
  </si>
  <si>
    <t>2-s2.0-0033758718</t>
  </si>
  <si>
    <t>['unrestrained conditions', 'unrestrained cockroaches', 'turn towards', 'time needed', 'tethered conditions', 'tethered animals', 'test object', 'styrofoam ball', 'stationary object', 'significantly impaired', 'searching behavior', 'restrained cockroaches', 'metal pole', 'mechanosensitive hairs', 'major role', 'horizontal plane', 'frequently approached', 'cockroaches searching', 'blinded cockroaches', 'basal segment', 'angular positions', '90 ¬∞).']</t>
  </si>
  <si>
    <t>Antenna | Cockroach | Hair plate | Mechanoreceptor | Tactile orientation</t>
  </si>
  <si>
    <t>The searching behavior of blinded cockroaches was examined under unrestrained conditions, in an arena, and on a treadmill. When cockroaches searching in a circular arena touched a stationary object (metal pole) with their antennae, they frequently approached the object more closely, and then climbed up it. Similar orientation behavior was observed in tethered animals in open loop conditions, walking on a Styrofoam ball. In these restrained cockroaches, a single antenna sufficed to distinguish the angular positions of an object, in the horizontal plane (0¬∞, 45¬∞, and 90¬∞). A group of mechanosensitive hairs on the basal segment of the antenna (scapal hair plate) appears to play a major role in antennal object detection in the horizontal plane, as gauged by shaving off these scapal hair plates. In unrestrained cockroaches, shaving the scapal hair plate increased the time needed to approach an object. Under tethered conditions, the ability to turn towards and to establish antennal contact with a test object was significantly impaired.</t>
  </si>
  <si>
    <t>7102406019;7103300201</t>
  </si>
  <si>
    <t>Okada, J.;Toh, Y.</t>
  </si>
  <si>
    <t>Okada J.</t>
  </si>
  <si>
    <t>The role of antennal hair plates in object-guided tactile orientation of the cockroach (Periplaneta americana)</t>
  </si>
  <si>
    <t>10.1007/s003590000137</t>
  </si>
  <si>
    <t>2-s2.0-0033759650</t>
  </si>
  <si>
    <t>['waves seem', 'vertical wavelengths', 'somewhat greater', 'scale waves', 'range rates', 'lower e', 'higher heights', 'february 2000', 'equatorial region', 'equatorial electrojet', 'echoes occur', 'drift instability', 'doppler velocities', 'changing systematically', '97 km', '2 km']</t>
  </si>
  <si>
    <t>The multi-beam high resolution MU radar experiments, conducted in February 2000, revealed for the first time kilometer-scale waves in the lower E-region over Shigaraki, Japan. The waves, occurring over a narrow height range of 92 - 97 km, have vertical wavelengths of 0.6 to 1.2 km and periods of 30 to 90 s. The signal intensities associated with these waves, with signal-to-noise ratio values less than ‚àº 5 dB, are lower by about 20 dB compared to that of the quasi-periodic echoes occurring at higher heights. The echoes occur with both negative and positive range rates, changing systematically from one to the other with values of about -25 m s-1 and 20 m s-1, respectively. The Doppler velocities, ranging -50 to 25 m s-1, are generally of the same sense as range rates, but somewhat greater in magnitude. The periodicity and wavelength of the waves seem to resemble those revealed in the equatorial electrojet by the high resolution Jicamarca radar observations and also by the nonlocal nonlinear simulations of the gradient-drift instability. Behavior of the Doppler velocities, however, is found to be different from that reported for the kilometer-scale waves in the equatorial region.</t>
  </si>
  <si>
    <t>3667-3670</t>
  </si>
  <si>
    <t>60050138;60050138;60050138;60050138;60050138</t>
  </si>
  <si>
    <t>7404660540;9274833100;57205943978;6505501522;55398698300</t>
  </si>
  <si>
    <t>Rao, P. B.;Yamamoto, M.;Uchida, A.;Hassenplug, I.;Fukao, S.</t>
  </si>
  <si>
    <t>Tirupati</t>
  </si>
  <si>
    <t>National MST Radar Facility</t>
  </si>
  <si>
    <t>Rao P.B.</t>
  </si>
  <si>
    <t>MU radars observations of kilometer scale waves in the midl atitude lower E-region</t>
  </si>
  <si>
    <t>10.1029/2000GL003820</t>
  </si>
  <si>
    <t>2-s2.0-0034351918</t>
  </si>
  <si>
    <t>['west horizons', 'well enough', 'unexplored yet', 'stationary orbit', 'single motor', 'shield semiconductors', 'sensor data', 'satellite point', 'satellite placed', 'radiometer serves', 'radiometer scans', 'radiation concern', 'present geo', 'placed opposite', 'optically sensing', 'meridian including', 'imaging mission', 'gto ).', 'earth along', 'direct reception', 'circular orbit', 'adding 2', '4 km', '320 km', '30 kbps', '180 deg']</t>
  </si>
  <si>
    <t>Cloud | Infrared | Internet | Meteorology | Orbit | Radiometer | Satellite | Star | Temperature | West</t>
  </si>
  <si>
    <t>SHOWS is a satellite placed on the circular orbit with the inclination of 180 deg and the radius of 20,320 km. Its mission is to take infrared imageries of clouds, similar to those taken from the present geo-stationary meteorological satellites. Although its distance to the earth‚Äôs surface is 40% of that of the geo-stationary orbit, it is well enough to view the earth as a whole. The radiometer scans the earth along the meridian including the sub-satellite point, and the instantaneous geometric field of view (IGFOV) at the sub-satellite point is a circle with the diameter of 4 km. The concept was derived from our experiences in the present world‚Äôs meteorological satellite system and is intended to complement the system by adding 2 such satellites, each placed opposite to the other relative to the earth. It can be launched from Japan by an H-IIA launch vehicle, with the initial injected orbit identical to the geo-stationary transfer orbit (GTO). The radiometer serves not only for the imaging mission but also for the high accuracy attitude determination, by optically sensing the earth‚Äôs east and west horizons, and stars. The orbit is unexplored yet and poses a radiation concern. As much excess weight as available will be expended to shield semiconductors against the radiation. The sensor data will be sent to the earth with 30 kbps. This very low data rate, together with the simple ground antenna mounted only on a single motor will facilitate the direct reception of data by users. A highly integrated data handling system using the Internet has also been conceived. ¬© 2000 SPIE.</t>
  </si>
  <si>
    <t>182-191</t>
  </si>
  <si>
    <t>60023172;60022990;;;;</t>
  </si>
  <si>
    <t>36908127200;6603790558;35971129000;55417520000;36792218300;7404692111</t>
  </si>
  <si>
    <t>Kikuchi, Akira;Tsuiki, Atsuo;Aoyama, Jun Ichi;Hiramatsu, Masaru;Ono, Takeshi;Ikeda, Mizuho</t>
  </si>
  <si>
    <t>Institute for Future Technology Tokyo;Japan Aerospace Exploration Agency</t>
  </si>
  <si>
    <t>60023172;60022990</t>
  </si>
  <si>
    <t>Kikuchi A.</t>
  </si>
  <si>
    <t>Six-hour-orbit-toward-west satellite (SHOWS)</t>
  </si>
  <si>
    <t>10.1117/12.494244</t>
  </si>
  <si>
    <t>2-s2.0-0034516558</t>
  </si>
  <si>
    <t>N00039-84-C-0070</t>
  </si>
  <si>
    <t>MSU</t>
  </si>
  <si>
    <t>['two sites', 'standing crops', 'standing crop', 'significant differences', 'relative abundance', 'reference sites', 'potential effects', 'organic matter', 'operational data', 'magnetic flux', 'low threshold', 'impact design', 'ford river', 'electromagnetic fields', 'dominant diatoms', 'dickinson county', 'diatom community', 'chlorophyll measures', 'caused changes', 'basic makeup', 'antenna site', 'algal communities', '76 hz', '1993 using']</t>
  </si>
  <si>
    <t>Algae | Algal communities | Electric fields | Electromagnetic fields | ELF electromagnetic fields | Stream periphyton</t>
  </si>
  <si>
    <t>Potential effects of extremely low frequency (ELF) electromagnetic fields on periphyton were studied from 1983 to 1993 using a Before, After, Control and Impact design. The study was conducted at two sites on the Ford River, a fourth-order brown water trout stream in Dickinson County, Michigan. The Reference site received 4.9-6.5 times less exposure to ground electric fields and from 300 to 334 times less exposure to magnetic flux from 1989 to 1993 when the antenna was operational at 76 Hz than did the Antenna site. The objective of the study was to determine if ELF electromagnetic fields had caused changes in structure and/or function of algal communities in the Ford River. Significant differences in chlorophyll a standing crop and daily accumulation rate (a surrogate for primary productivity), and organic matter standing crop and daily accumulation rate were observed between the Reference and Antenna site after the antenna became operational. These four related community function variables all increased at the Antenna site with largest and most consistent increases occurring for chlorophyll measures. Compared to pre-operational data, the increase in chlorophyll at the Antenna site also occurred during a period of low amperage testing in 1986-1988, and did not increase further when the antenna became fully operational in 1989, indicating a low threshold for response. There was no significant differences between the Antenna and Reference sites in community structure variables such as diversity, evenness and the relative abundance of dominant diatoms. Thus, 76 Hz ELF electromagnetic radiation apparently did not change the basic makeup of the diatom community but did increase accumulation rates and standing crops of chlorophyll a and organic matter.</t>
  </si>
  <si>
    <t>61-76</t>
  </si>
  <si>
    <t>60031707;60031707;60017474;60029747;60017521;60018466</t>
  </si>
  <si>
    <t>7102460588;6603807472;7003624629;7006319220;6603687585;7005202952</t>
  </si>
  <si>
    <t>Burton, Thomas M.;Uzarski, Donald G.;Stelzer, Robert S.;Eggert, Susan L.;Sobczak, William V.;Mullen, Dennis M.</t>
  </si>
  <si>
    <t>East Lansing;Athens;Murfreesboro;Menlo Park;Millbrook</t>
  </si>
  <si>
    <t>Michigan State University;University of Georgia;Middle Tennessee State University;United States Geological Survey Western Region;Institute of Ecosystem Studies</t>
  </si>
  <si>
    <t>60031707;60029747;60018466;60017521;60017474</t>
  </si>
  <si>
    <t>Burton T.</t>
  </si>
  <si>
    <t>The impact of extremely low frequency electromagnetic fields on stream periphyton: An eleven-year study</t>
  </si>
  <si>
    <t>10.1023/A:1004101719678</t>
  </si>
  <si>
    <t>2-s2.0-0034668686</t>
  </si>
  <si>
    <t>['small cages', 'reared either', 'present work', 'phase marker', 'olfactory stimuli', 'newborn neurons', 'newborn cells', 'neurogenesis seems', 'mushroom bodies', 'life span', 'labeled cells', 'interneurons produced', 'insect brain', 'increased number', 'impoverished environment', 'imaginal life', 'house cricket', 'external factors', 'environmental stimuli', 'enriched environment', 'different periods', 'detected among', 'crickets housed', 'congeneric stimulations', 'cell survival', 'adult insects', 'acheta domesticus']</t>
  </si>
  <si>
    <t>Acheta domesticus | Adult neurogenesis | Enriched/impoverished environment | Mushroom bodies | Neuroblasts</t>
  </si>
  <si>
    <t>Mushroom bodies are the main integrative structures of insect brain. They receive sensory information from the eyes, the palps, and the antennae. In the house cricket, Acheta domesticus, a cluster of mushroom body neuroblasts keeps producing new interneurons during an insect's life span. The aim of the present work is to study the impact of environmental stimuli on mushroom body neurogenesis during adulthood. Crickets were reared either in an enriched environment, where they received complex environmental and congeneric stimulations or isolated in small cages and deprived of most visual, auditory, and olfactory stimuli. They then were injected with a S-phase marker, 5-bromo, 2'-deoxyuridine (BrdU) and sacrificed at different periods of their life. Neurogenesis and cell survival were estimated by counting the number of BrdU-labeled cells in the mushroom bodies. Environmentally enriched crickets were found to have an increased number of newborn cells in their mushroom bodies compared with crickets housed in cages with an impoverished environment. This effect of external factors on neurogenesis seems to be limited to the beginning of imaginal life. Furthermore, no cell loss could be detected among the newborn neurons in either environmental situation, suggesting that cell survival was not affected by the quality of the environment. Considering vertebrate studies which showed that enriched environment increases hippocampal cell survival and improves animal performances in spatial learning tests, we suggest that the increased number of interneurons produced in an integrative brain structure after exposure to enriched environment could contribute to adaptive behavioral performances in adult insects. (C) 2000 John Wiley and Sons, Inc.</t>
  </si>
  <si>
    <t>162-171</t>
  </si>
  <si>
    <t>60008134;60008134;60008134;60008134;60008134;60008134;60008134</t>
  </si>
  <si>
    <t>6504371346;7003747752;7004623928;7003833393;6603248001;6506215092;6603778424</t>
  </si>
  <si>
    <t>Lomassese, Sophie Scotto;Strambi, Colette;Strambi, Alain;Charpin, Pierre;Augier, Roger;Aouane, Acha;Cayre, Myriam</t>
  </si>
  <si>
    <t>Lomassese S.S.</t>
  </si>
  <si>
    <t>Influence of environmental stimulation on neurogenesis in the adult insect brain</t>
  </si>
  <si>
    <t>10.1002/1097-4695(20001115)45:3&lt;162::aid-neu4&gt;3.0.co;2-x</t>
  </si>
  <si>
    <t>2-s2.0-0034669527</t>
  </si>
  <si>
    <t>['translational modifications', 'successfully deduced', 'relative stoichiometry', 'protein components', 'proposed rp', 'ms ).', 'molecular masses', 'molecular mass', 'method proposed', 'membrane proteins', 'mass accuracy', 'identification made', 'hplc coupled', 'higher plants', 'good agreement', 'general use', 'embedded proteins', 'electrophoretic mobility', 'core components', 'core complex', 'complete resolution', 'combined use', 'antenna proteins', 'also complicated', '2000 wiley']</t>
  </si>
  <si>
    <t>Electrospray-ionization | Integral membrane proteins | Mass spectroscopy | Photosystem I | Proteome | Reversed-phase HPLC | Spinach</t>
  </si>
  <si>
    <t>In higher plants, both photosystem I (PSI) and II (PSII) consist of membrane-embedded proteins that contain more than one transmembrane alpha helix. PSI is a multiprotein complex consisting of a core complex of thirteen proteins surrounded by four different types of light harvesting antenna proteins. Up to now, the protein components of both photosystems have been characterized by SDS-PAGE and/or immunoblotting and, therefore, identification made only on the basis of electrophoretic mobility, which is sometimes not sufficient to discriminate between individual membrane proteins. This is also complicated by the fact that some proteins, such as the antenna proteins, have almost identical molecular mass and amino acid sequence, making it difficult to identify and ascertain the relative stoichiometry of the proteins. In this paper, we report the complete resolution of the antenna proteins and most of the core components of PSI from spinach, together with the identification of proteins by molecular mass, successfully deduced by the combined use of HPLC coupled on-line with a mass spectrometer equipped with an electrospray ion source (ESI-MS). The proposed RP-HPLC-ESI-MS method holds several advantages over SDS-PAGE, including better protein separation, especially for antenna proteins, mass accuracy, speed, efficiency, and the potential to reveal isomeric forms. Moreover, the molecular masses determined by HPLC-ESI-MS are in good agreement with the molecular masses of the individual components calculated on the basis of their nucleotide-derived amino acid sequences, indicating an absence of post-translational modifications in these proteins. It follows that if the method proposed is useful for these highly hydrophobic proteins, it may be of general use for any membrane proteins, where the presence of detergent for solubilization may compromise their characterization. (C) 2000 Wiley-Liss, Inc.</t>
  </si>
  <si>
    <t>398-406</t>
  </si>
  <si>
    <t>Proteins: Structure, Function and Genetics</t>
  </si>
  <si>
    <t>60050715;60050715</t>
  </si>
  <si>
    <t>7004750167;6603831098</t>
  </si>
  <si>
    <t>Zolla, Lello;Timperio, Anna Maria</t>
  </si>
  <si>
    <t>Viterbo</t>
  </si>
  <si>
    <t>Universit√† degli Studi della Tuscia Viterbo</t>
  </si>
  <si>
    <t>Zolla L.</t>
  </si>
  <si>
    <t>High performance liquid chromatography-electrospray mass spectrometry for the simultaneous resolution and identification of intrinsic thylakoid membrane proteins</t>
  </si>
  <si>
    <t>10.1002/1097-0134(20001115)41:3&lt;398::AID-PROT110&gt;3.0.CO;2-K</t>
  </si>
  <si>
    <t>2-s2.0-0034669839</t>
  </si>
  <si>
    <t>['weak cross', 'voltage fragments', 'total number', 'though weaker', 'successive losses', 'ring cleavages', 'reducing terminus', 'particularly prominent', 'neutral n', 'na ]+', 'much energy', 'molecular ions', 'mass range', 'mannose glycans', 'little fragmentation', 'lithium providing', 'linear manner', 'latter ion', 'k ]+', 'ion formed', 'insufficient information', 'induced fragmentation', 'glcnac molecule', 'four times', 'energy required', 'diagnostic importance', 'cs +.', 'complete fragmentation', 'chitobiose core', 'chain branching', 'always accompanied', 'although coincident', 'alkali metals', 'abundant signal', 'abundant cone', '4a cross', '221 u', '203 u']</t>
  </si>
  <si>
    <t>Carbohydrates | Collision-induced dissociation | Electrospray | Fragmentation | Glycosidic cleavage</t>
  </si>
  <si>
    <t>The electrospray mass spectra and collision-induced fragmentation of neutral N-linked glycans obtained from glycoproteins were examined with a Q-TOF mass spectrometer. The glycans were ionized most effectively as adducts of alkali metals, with lithium providing the most abundant signal and caesium the least. Singly charged ions generally gave higher ion currents than doubly charged ions. Addition of formic acid could be used to produce [M + H]+ ions, but these ions were always accompanied by abundant cone-voltage fragments. The energy required for collision-induced fragmentation was found to increase in a linear manner as a function of mass with the [M + Na]+ ions requiring about four times as much energy as the [M + H]+ ions for complete fragmentation of the molecular ions. Fragmentation of the [M + H]+ ions gave predominantly B- and Y-type glycosidic fragments whereas the [M + Na]+ and [M + Li]+ ions produced a number of additional fragments including those derived from cross-ring cleavages. Little fragmentation was observed from the [M + K]+ and [M + Rb]+ ions and the only fragment to be observed from the [M + Cs]+ ion was Cs+. The [M + Na]+ and [M + Li]+ ions from all the N-linked glycans gave abundant fragments resulting from loss of the terminal GlcNAc moiety and prominent, though weaker, ions as the result of 0,2A and 2,4A cross-ring cleavages of this residue. Most other ions were the result of successive additional losses of residues from the non-reducing terminus. This pattern was particularly prominent with glycans containing several non-reducing GlcNAc residues where successive losses of 203 u were observed. Many of the ions in the low-mass range were products of several different fragmentation routes but still provided structural information. Possibly of most diagnostic importance was an ion formed by loss of 221 u (GlcNAc molecule) from an ion that had lost the 3-antenna and the chitobiose core. This latter ion, although coincident in mass with some other 'internal' fragments, often provided additional information on the composition of the antennae. Other ions defining antenna composition were weak cross-ring fragments produced from the core branching mannose residue. Glycans containing Gal-GlcNAc residues showed successive losses of this moiety, particularly from the B-type fragments resulting from loss of the reducing-terminal GlcNAc residue. The [M + Na]+ and [M + Li]+ ions from high-mannose and hybrid glycans gave a series of ions of composition (Man)(n) Na/Li+ where n = 1 to the total number of glycans in the molecule, allowing these sugars to be distinguished from the more highly processed complex glycans. Other ions in the spectra of the high-mannose glycans were diagnostic of chain branching but insufficient information was available to determine their mode of formation. Copyright (C) 2000 John Wiley and Sons, Ltd.</t>
  </si>
  <si>
    <t>1178-1190</t>
  </si>
  <si>
    <t>Journal of Mass Spectrometry</t>
  </si>
  <si>
    <t>Harvey, David J.</t>
  </si>
  <si>
    <t>University of Oxford Medical Sciences Division</t>
  </si>
  <si>
    <t>Harvey D.J.</t>
  </si>
  <si>
    <t>Collision-induced fragmentation of underivatized N-linked carbohydrates ionized by electrospray</t>
  </si>
  <si>
    <t>10.1002/1096-9888(200010)35:10&lt;1178::AID-JMS46&gt;3.0.CO;2-F</t>
  </si>
  <si>
    <t>2-s2.0-0033763508</t>
  </si>
  <si>
    <t>['square patch', 'polarization level', 'plane patterns', 'experimentally investigated', 'compact slot', 'compact dual', 'central lines', 'also better', '35 db']</t>
  </si>
  <si>
    <t>Dual linearly polarized operations of a compact slot-loaded square microstrip antenna are experimentally investigated in this paper. Four symmetrical bent slots are embedded in the square patch, and placed in parallel with the patch's central lines or diagonals to achieve lowered operating frequencies of the two linearly polarized radiations (0 and 90¬∞ polarizations ¬±45¬∞ slanted polarizations), which results in a reduced antenna size at a fixed operating frequency. Experimental results show that, for such a compact dual-polarized microstrip antenna with an inexpensive FR4 substrate, isolation between the two feeding ports better than 35 dB can easily be obtained, which is also better than that of a corresponding unslotted dual-polarized square microstrip antenna. In addition, the cross-polarization level in the E- and H-plane patterns for the compact dual-polarized microstrip antenna studied is about as good as that of an unslotted square microstrip antenna.</t>
  </si>
  <si>
    <t>284-287</t>
  </si>
  <si>
    <t>60008495;60011357;60011357</t>
  </si>
  <si>
    <t>7004026337;7402085798;35460663000</t>
  </si>
  <si>
    <t>Row, Jeen Sheen;Yeh, Shih Huang;Wong, Kin Lu</t>
  </si>
  <si>
    <t>Kaohsiung;Changhua</t>
  </si>
  <si>
    <t>National Sun Yat-Sen University;Chienkuo Technology University Taiwan</t>
  </si>
  <si>
    <t>60011357;60008495</t>
  </si>
  <si>
    <t>Row J.</t>
  </si>
  <si>
    <t>Compact dual-polarized microstrip antennas</t>
  </si>
  <si>
    <t>10.1002/1098-2760(20001120)27:4&lt;284::AID-MOP21&gt;3.0.CO;2-L</t>
  </si>
  <si>
    <t>2-s2.0-0034325348</t>
  </si>
  <si>
    <t>['operating frequency', 'mutual coupling', 'interelement spacing', 'experimentally studied', 'experimental results']</t>
  </si>
  <si>
    <t>The characteristics of the mutual coupling between two coplanar waveguide-fed circular disk dielectric resonator (DR) antennas are experimentally studied. The circular disk DR antennas studied in this paper have a very high relative permittivity of 79, and have a low profile comparable to the microstrip patch antennas. Experimental results of both E-plane and H-plane coupling coefficients as a function of operating frequency and interelement spacing are presented and discussed.</t>
  </si>
  <si>
    <t>233-235</t>
  </si>
  <si>
    <t>Mutual coupling between two coplanar waveguide-fed circular disk dielectric resonator antennas</t>
  </si>
  <si>
    <t>10.1002/1098-2760(20001120)27:4&lt;233::AID-MOP4&gt;3.0.CO;2-H</t>
  </si>
  <si>
    <t>2-s2.0-0034325643</t>
  </si>
  <si>
    <t>['studied experimentally', 'resonant frequency', 'radiation patterns', 'permittivity substrate', 'monopole antenna', 'dielectric slab', 'dielectric material', 'dielectric constant', 'case without']</t>
  </si>
  <si>
    <t>Strip monopole antennas printed on high-permittivity substrate are studied experimentally. Compared with the case without the dielectric slab, the resonant frequency of the monopole antenna is decreased by 50% when the antenna is fabricated on material of dielectric constant equal to 80. A wide impedance bandwidth of 35% can be achieved. The radiation patterns of the antennas and gain are insensitive to the dielectric constant of the substrate. The effect of the characteristic of the antennas by changing both the width of the dielectric material and the width of the strip of the monopole antenna is investigated.</t>
  </si>
  <si>
    <t>262-263</t>
  </si>
  <si>
    <t>7102473419;55510527400;55511318500;7101878862</t>
  </si>
  <si>
    <t>Tong, K. F.;Luk, K. M.;Chan, C. H.;Yung, E. K.N.</t>
  </si>
  <si>
    <t>Tong K.</t>
  </si>
  <si>
    <t>Miniature monopole antenna for mobile communications</t>
  </si>
  <si>
    <t>10.1002/1098-2760(20001120)27:4&lt;262::AID-MOP13&gt;3.0.CO;2-O</t>
  </si>
  <si>
    <t>2-s2.0-0034325669</t>
  </si>
  <si>
    <t>['research interest', 'properly designing', 'microstrip antennas', 'major areas', 'large improvement', 'impedance bandwidth', 'based feedline', 'bandwidth enhancement']</t>
  </si>
  <si>
    <t>The bandwidth enhancement of microstrip antennas without changing the antenna radiation characteristics has been one of the major areas of research interest. The authors have obtained a large improvement in the impedance bandwidth of microstrip antennas in the C- and X-bands by properly designing a genetic-algorithm-based feedline.</t>
  </si>
  <si>
    <t>273-275</t>
  </si>
  <si>
    <t>60020825;60020825;60020825</t>
  </si>
  <si>
    <t>57197148402;55109397800;7003280153</t>
  </si>
  <si>
    <t>Raychowdhury, A.;Gupta, B.;Bhattacharjee, R.</t>
  </si>
  <si>
    <t>Jadavpur University</t>
  </si>
  <si>
    <t>Raychowdhury A.</t>
  </si>
  <si>
    <t>Bandwidth improvement of microstrip antennas through a genetic-algorithm-based design of a feed network</t>
  </si>
  <si>
    <t>10.1002/1098-2760(20001120)27:4&lt;273::AID-MOP17&gt;3.0.CO;2-8</t>
  </si>
  <si>
    <t>2-s2.0-0034325686</t>
  </si>
  <si>
    <t>['two broad', 'second introduces', 'optimize equivalent', 'new technique', 'makes use', 'lumped components', 'line segments', 'genetic algorithm', 'component values', 'circuit models', 'band equivalent', 'antenna system']</t>
  </si>
  <si>
    <t>In this paper, we use a genetic-algorithm (GA) technique to optimize equivalent-circuit models of an antenna system. Two broad-band equivalent-circuit models with component values are optimized by use of the genetic algorithm. The first is a conventional RLC network, while the second introduces a new technique that makes use of transmission-line segments as well as lumped components. Both equivalent circuits exhibit good impedance fidelity over a bandwidth exceeding five octaves, including the fundamental through the fourth overtone response.</t>
  </si>
  <si>
    <t>259-261</t>
  </si>
  <si>
    <t>7103270242;56036142700;55925714300</t>
  </si>
  <si>
    <t>Long, B. R.;Werner, P. L.;Werner, D. H.</t>
  </si>
  <si>
    <t>Genetic-algorithm optimization of dipole equivalent-circuit models</t>
  </si>
  <si>
    <t>10.1002/1098-2760(20001120)27:4&lt;259::AID-MOP12&gt;3.0.CO;2-N</t>
  </si>
  <si>
    <t>2-s2.0-0034325949</t>
  </si>
  <si>
    <t>['theoretical results', 'predicting cross', 'polarization performance', 'polarization levels', 'numerical method', 'measured ones', 'hologram used', 'collimating element', 'catr ).', '310 ghz']</t>
  </si>
  <si>
    <t>To overcome the problem of the very tight surface accuracy requirement set on a reflector, a planar hologram structure is proposed to be used as the collimating element in a compact antenna test range (CATR). In this paper, the cross-polarization performance of the hologram used in a CATR is studied. A numerical method for predicting cross-polarization levels is presented, and the theoretical results are compared with the measured ones at 39 and 310 GHz.</t>
  </si>
  <si>
    <t>60103653;60103653;60103653;60103653</t>
  </si>
  <si>
    <t>6603392769;6603070082;6508348188;35809669200</t>
  </si>
  <si>
    <t>Ala-Laurinaho, Juha;Sehm, Tomas;S√§lly, Jussi;R√§is√§nen, Antti V.</t>
  </si>
  <si>
    <t>Ala-Laurinaho J.</t>
  </si>
  <si>
    <t>Cross-polarization performance of the hologram compact antenna test range</t>
  </si>
  <si>
    <t>10.1002/1098-2760(20001120)27:4&lt;225::AID-MOP2&gt;3.0.CO;2-I</t>
  </si>
  <si>
    <t>2-s2.0-0034325956</t>
  </si>
  <si>
    <t>['simulation results', 'longitudinal direction', 'fdtd results', 'difference time', 'characterized using', 'aided designs']</t>
  </si>
  <si>
    <t>A single-step microstrip discontinuity in a substrate is characterized using the finite-difference time-domain (FDTD) method, and an equivalent circuit model has been developed. The microstrip discontinuity newly introduced in this paper has a substrate thickness change in the longitudinal direction with a uniform strip width. The discontinuity has applications in patch antenna feed design and interconnections between microwave circuit modules. The simulation results are compared with those computed by HFSS to show good agreement. An equivalent circuit developed from the FDTD results, which is accurate within 2.4% in magnitude of S11 and S21, can be applied for computer-aided designs.</t>
  </si>
  <si>
    <t>245-248</t>
  </si>
  <si>
    <t>60030250;60032330</t>
  </si>
  <si>
    <t>7202587195;36024195200</t>
  </si>
  <si>
    <t>Chun, Joong Chang;Park, W. S.</t>
  </si>
  <si>
    <t>Pohang;Gyeongju</t>
  </si>
  <si>
    <t>Pohang University of Science and Technology;Uiduk University</t>
  </si>
  <si>
    <t>60032330;60030250</t>
  </si>
  <si>
    <t>Characterization of a single-step microstrip discontinuity in a substrate using the finite-difference time-domain method</t>
  </si>
  <si>
    <t>10.1002/1098-2760(20001120)27:4&lt;245::AID-MOP7&gt;3.0.CO;2-1</t>
  </si>
  <si>
    <t>2-s2.0-0034326196</t>
  </si>
  <si>
    <t>['providing high', 'printed grids', 'possibilities offered', 'polarization purity', 'paper presents', 'band isolation', 'approximately 1']</t>
  </si>
  <si>
    <t>This paper presents a novel printed antenna element capable of providing high-quality radioelectric performance in two frequency bands with a separation in the range of approximately 1:1-1:3. The properties of printed grids are generalized to improve the polarization purity and the band isolation of this dual-band, dual-polarization patch element. A GSM/DCS patch antenna with slot coupling excitation is described, and the possibilities offered by this technique are discussed.</t>
  </si>
  <si>
    <t>265-268</t>
  </si>
  <si>
    <t>Brachat, Patrice</t>
  </si>
  <si>
    <t>Brachat P.</t>
  </si>
  <si>
    <t>Dual-band and dual-polarized gridded patch antenna element</t>
  </si>
  <si>
    <t>10.1002/1098-2760(20001120)27:4&lt;265::AID-MOP15&gt;3.0.CO;2-F</t>
  </si>
  <si>
    <t>2-s2.0-0034326197</t>
  </si>
  <si>
    <t>['size reduction', 'radiation patterns', 'obtained compared', 'loaded element', 'also given']</t>
  </si>
  <si>
    <t>A stacked planar monopole, consisting of a top-loaded element and a parasitic square element, is presented. Its broad bandwidth may be optimized further by cutting two linear slots in the parasite. A size reduction of approx. 80% is obtained compared with a conventional square planar monopole. The gain and radiation patterns are also given in this paper.</t>
  </si>
  <si>
    <t>7006874542;57192671479</t>
  </si>
  <si>
    <t>Dou, Weiping;Chia, W. Y.M.</t>
  </si>
  <si>
    <t>Small broadband stacked planar monopole</t>
  </si>
  <si>
    <t>10.1002/1098-2760(20001120)27:4&lt;288::AID-MOP22&gt;3.0.CO;2-E</t>
  </si>
  <si>
    <t>2-s2.0-0034326198</t>
  </si>
  <si>
    <t>['zone scattered', 'numerical results', 'investigated using', 'induced currents', 'impedance screens', 'first kind', 'finite array', 'field solutions', 'field distributions', 'equation technique', 'direct integral', 'coupling array', 'coupled cylindrical', 'chebyshev polynomials', 'analytical form']</t>
  </si>
  <si>
    <t>The interaction of a Gaussian beam wave with an array of slit-coupled cylindrical-impedance screens is investigated using the direct integral-equation technique, and the induced currents on impedance screens are expanded in terms of a series of Chebyshev polynomials of the first kind. Furthermore, the far-zone scattered-field solutions to such a multiple-coupling array are obtained in an analytical form. Then, numerical results are presented to show the far-zone scattered-field distributions of some finite array.</t>
  </si>
  <si>
    <t>Interaction of a Gaussian beam wave with an array of slit-coupled cylindrical-impedance screens</t>
  </si>
  <si>
    <t>10.1002/1098-2760(20001120)27:4&lt;248::AID-MOP8&gt;3.0.CO;2-Q</t>
  </si>
  <si>
    <t>2-s2.0-0034326207</t>
  </si>
  <si>
    <t>['type quenching', 'sunflower leaves', 'saturating flashes', 'reversible inhibitory', 'quenching process', 'psii centres', 'psii antenna', 'o2 yield', 'o2 evolution', 'n )).', 'min exposures', 'measurements leaves', 'low light', 'long 30', 'limiting flashes', 'high light', 'changes occur', 'adapted either', '30 min', '12 800', '1 min', '1 intensity']</t>
  </si>
  <si>
    <t>Excitation quenching | Leaf | Photosynthesis | Photosystem II</t>
  </si>
  <si>
    <t>O2 evolution from single turnover flashes of up to 96 Œºmol absorbed quanta m-2 and from multiple turnover pulses of 8.6 and 38.6 ms duration and 12 800 and 850 Œºmol absorbed quanta m-2 s-1 intensity, respectively, was measured in sunflower leaves with the help of zirconium O2 analyser. O2 evolution from one flash could be measured with 1% accuracy on the background of 10-50 Œºmol O2 mol-1. Before the measurements leaves were pre-adapted either at 30-60 or 1700 Œºmol quanta m-2 s-1 to induce different non-photochemical excitation quenching (q(N)). Short (1 min) exposures at the high light that created only energy-dependent, q(E) type quenching, caused no changes in the O2 yield from saturating flashes or pulses that could be related to the q(E) quenching, but the yield from low intensity flashes and pulses decreased considerably. Long 30-60-min exposures at the high light induced a reversible inhibitory, q(I) type quenching that decreased the O2 yield from both, saturating and limiting flashes and pulses (but more from the limiting ones), which reversed within 15 min under the low light. The results are in agreement with the notion that q(E) is caused by a quenching process in the PSII antenna and no changes occur in the PSII centres, but the reversible (15-30 min) q(I) quenching is accompanied by inactivation of a part of PSII centres.(C) 2000 Elsevier Science B.V.</t>
  </si>
  <si>
    <t>291-301</t>
  </si>
  <si>
    <t>6604099084;7003867759</t>
  </si>
  <si>
    <t>Oja, Vello;Laisk, Agu</t>
  </si>
  <si>
    <t>Oja V.</t>
  </si>
  <si>
    <t>Oxygen yield from single turnover flashes in leaves: Non-photochemical excitation quenching and the number of active PSII</t>
  </si>
  <si>
    <t>S0005272800001559</t>
  </si>
  <si>
    <t>10.1016/S0005-2728(00)00155-9</t>
  </si>
  <si>
    <t>2-s2.0-0034693699</t>
  </si>
  <si>
    <t>['time constant', 'reaction centre', 'purple bacteria', 'nearly 100', 'monomeric nature', 'fluorescence bands', 'excited state', 'evidence indicate', 'bchl belong', 'bchl 909', 'bchl 805', '954 nm', '929 nm', '909 nm', '886 nm', '6 ps', '6 k', '285 cm']</t>
  </si>
  <si>
    <t>Antenna complex | Charge separation | Energy transfer | Light harvesting complex 1 | Purple bacterium</t>
  </si>
  <si>
    <t>The antenna reaction centre system of the recently described purple non-sulfur bacterium Roseospirillum parvum strain 930I was studied with various spectroscopic techniques. The bacterium contains bacteriochlorophyll (BChl) a, 20% of which was esterified with tetrahydrogeranylgeraniol. In the near-infrared, the antenna showed absorption bands at 805 and 909 nm (929 nm at 6 K). Fluorescence bands were located at 925 and 954 nm, at 300 and 6 K, respectively. Fluorescence excitation spectra and time resolved picosecond absorbance difference spectroscopy showed a nearly 100% efficient energy transfer from BChl 805 to BChl 909, with a time constant of only 2.6 ps. This and other evidence indicate that both types of BChl belong to a single LH1 complex. Flash induced difference spectra show that the primary electron donor absorbs at 886 nm, i.e. at 285 cm-1 higher energy than the long wavelength antenna band. Nevertheless, the time constant for trapping in the reaction centre was the same as for almost all other purple bacteria: 55 ¬± 5 ps. The shape as well as the amplitude of the absorbance difference spectrum of the excited antenna indicated exciton interaction and delocalisation of the excited state over the BChl 909 ring, whereas BChl 805 appeared to have a monomeric nature. (C) 2000 Elsevier Science B.V.</t>
  </si>
  <si>
    <t>338-345</t>
  </si>
  <si>
    <t>60003878;60003878;60003878;60020306;60003878</t>
  </si>
  <si>
    <t>6602807808;6603765104;55464614500;7006453786;7004456032</t>
  </si>
  <si>
    <t>Permentier, Hjalmar P.;Neerken, Sieglinde;Schmidt, Kristiane A.;Overmann, J√∂rg;Amesz, Jan</t>
  </si>
  <si>
    <t>Germany;Netherlands</t>
  </si>
  <si>
    <t>Oldenburg;Leiden</t>
  </si>
  <si>
    <t>Universit√§t Oldenburg;Sterrewacht Leiden</t>
  </si>
  <si>
    <t>60020306;60003878</t>
  </si>
  <si>
    <t>Permentier H.</t>
  </si>
  <si>
    <t>Energy transfer and charge separation in the purple non-sulfur bacterium Roseospirillum parvum</t>
  </si>
  <si>
    <t>S0005272800002000</t>
  </si>
  <si>
    <t>10.1016/S0005-2728(00)00200-0</t>
  </si>
  <si>
    <t>2-s2.0-0034693813</t>
  </si>
  <si>
    <t>['typically less', 'resonant frequency', 'radiated fields', 'polarized l', 'polarization levels', 'orthogonal ports', 'operating band', 'low cross', 'impedance match', 'demonstrated experimentally', '40 db', '35 db', '10 db']</t>
  </si>
  <si>
    <t>A dual-polarized L-band microstrip antenna was designed, constructed, and tested. A new design procedure based on optimizing the orthogonal mode isolation is demonstrated experimentally to provide highly decoupled feedlines and radiated fields with low cross-polarization levels. Isolation between orthogonal ports of less than -36 dB across the operating band is reported. An impedance match of better than -10 dB over a 1% bandwidth centered around the resonant frequency was achieved. Cross-polarization levels were less than -40 dB on boresight, and typically less than -35 dB over the entire radiated field on the resonant frequency.</t>
  </si>
  <si>
    <t>252-255</t>
  </si>
  <si>
    <t>60006288;60006288;60006288;60006288</t>
  </si>
  <si>
    <t>6507287870;6603561022;7003507268;35563466100</t>
  </si>
  <si>
    <t>B√ºke, A.;Moumen, A.;Morrow, I. L.;Ligthart, L. P.</t>
  </si>
  <si>
    <t>B√ºke A.</t>
  </si>
  <si>
    <t>Optimized dual-polarized aperture-coupled patch antenna</t>
  </si>
  <si>
    <t>10.1002/1098-2760(20001120)27:4&lt;252::AID-MOP9&gt;3.0.CO;2-3</t>
  </si>
  <si>
    <t>2-s2.0-0343878164</t>
  </si>
  <si>
    <t>['womersley number', 'wire anemometry', 'wing upstroke', 'wing fanning', 'used hot', 'unsteady flow', 'top speed', 'stroke angle', 'still air', 'speed videography', 'specific region', 'sensory hairs', 'samples fluid', 'pulsatile flow', 'olfactory surfaces', 'odorant molecules', 'mori flap', 'male b', 'magnitude beyond', 'flow visualization', 'feathery antennae', 'faster air', 'dramatic increase', 'cylinders suggest', 'behavior generates', '40 hz', '110 ¬∞']</t>
  </si>
  <si>
    <t>Antenna | Biomechanics | Bombyx mori | Flow | Insect | Lepidopter a | Low Reynolds number | Olfaction | Silkworm | Wing</t>
  </si>
  <si>
    <t>Many organisms increase the air or water flow adjacent to olfactory surfaces when exposed to appropriate chemical stimuli; such 'sniffing' samples fluid from a specific region and can increase the rate of interception of odorant molecules. We used hot-wire anemometry, high-speed videography and flow visualization to study air flow near the feathery olfactory antennae of male silkworm moths (Bombyx mori L.). When exposed to conspecific female sex pheromone, male B. mori flap their wings through a stroke angle of 90-110¬∞at approximately 40 Hz without flying. This behavior generates an unsteady flow of air (mean speed 0.3-0.4 m s-1) towards the antennae from the front of the male. A pulse of peak air speed occurs at each wing upstroke. The Womersley number (characterizing the damping of pulsatile flow through the gaps between the sensory hairs on the antennae) is less than 1; hence, pulses of faster air (at 40 Hz) should move between sensory hairs. Calculation of flow through arrays of cylinders suggest that this wing fanning can increase the rate of interception of pheromone by the sensory hairs on the antennae by at least an order of magnitude beyond that in still air. Although wing fanning produces air flow relative to the antennae that is approximately 15 times faster than that generated by walking at top speed (0.023 m s-1), air flow through the gaps between the sensory hairs is approximately 560 times faster because a dramatic increase in the leakiness of the feathery antennae to air flow occurs at the air velocities produced by fanning.</t>
  </si>
  <si>
    <t>2977-2990</t>
  </si>
  <si>
    <t>60015457;60015457</t>
  </si>
  <si>
    <t>6602235122;7005360614</t>
  </si>
  <si>
    <t>Loudon, C.;Koehl, M. A.R.</t>
  </si>
  <si>
    <t>Lawrence</t>
  </si>
  <si>
    <t>University of Kansas</t>
  </si>
  <si>
    <t>Loudon C.</t>
  </si>
  <si>
    <t>Sniffing by a silkworm moth: Wing fanning enhances air penetration through and pheromone interception by antennae</t>
  </si>
  <si>
    <t>2-s2.0-0033765119</t>
  </si>
  <si>
    <t>['uas system', 'specific expression', 'specific competence', 'posterior half', 'posterior expression', 'posterior compartments', 'polytene chromosomes', 'pattern elements', 'limb primordium', 'inappropriate expression', 'hedgehog signaling', 'gene required', 'fly limbs', 'first described', 'establish posterior', 'either loss', 'ectopically expressed', 'drosophila melanogaster', 'dominant alleles', 'direct regulator', 'cubitus interruptus', 'combgap mutants', 'combgap locus', 'cloned combgap', 'chromosomal protein', 'anteroposterior axis', 'anterior half', 'anterior compartment']</t>
  </si>
  <si>
    <t>Combgap | Cubitus interruptus | Drosophila | Hedgehog signaling | Limb development | Pattern formation</t>
  </si>
  <si>
    <t>The combgap locus, first described by C. B. Bridges in 1925, is a gene required for proper anteroposterior pattern formation in the limbs of Drosophila melanogaster. The development of the anteroposterior axis of fly limbs is initiated by hedgehog signaling from cells of the posterior half to cells of the anterior half of the limb primordium. Hedgehog signaling requires the anterior-specific expression of the gene cubitus interruptus to establish posterior-specific hedgehog secretion and anterior-specific competence to respond to hedgehog. We have cloned combgap and find that it encodes a chromosomal protein with 11 C2H2 zinc fingers. Limb defects found in combgap mutants consist of either loss or duplication of pattern elements in the anteroposterior axis and can be explained through the inappropriate expression of cubitus interruptus and its downstream target genes. In combgap mutants, cubitus interruptus is ectopically expressed in the posterior compartments of wing imaginal discs and is down regulated in the anterior compartment of legs, wings and antennae. We are able to rescue anterior compartment combgap phenotypes by expressing additional cubitus interruptus using the Gal4/UAS system. Dominant alleles of cubitus interruptus, which result in posterior expression, phenocopy combgap posterior compartment phenotypes. Finally, we find that the combgap protein binds to polytene chromosomes at many sites including the cubitus interruptus locus, suggesting that it could be a direct regulator of cubitus interruptus transcription.</t>
  </si>
  <si>
    <t>4083-4093</t>
  </si>
  <si>
    <t>60002306;60002306;60002306;60002306</t>
  </si>
  <si>
    <t>57198330098;8093539300;6602498710;6701551103</t>
  </si>
  <si>
    <t>Svendsen, P. C.;Marshall, S. D.G.;Kyba, M.;Brook, W. J.</t>
  </si>
  <si>
    <t>Calgary</t>
  </si>
  <si>
    <t>University of Calgary</t>
  </si>
  <si>
    <t>Svendsen P.</t>
  </si>
  <si>
    <t>The combgap locus encodes a zinc-finger protein that regulates cubitus interruptus during limb development in Drosophila melanogaster</t>
  </si>
  <si>
    <t>2-s2.0-0033766885</t>
  </si>
  <si>
    <t>['time domain', 'resulting antenna', 'performance characteristics', 'king design', 'genetic algorithm', 'broadband characteristic']</t>
  </si>
  <si>
    <t>An optimisation procedure based on the genetic algorithm is applied to design resistively loaded wire antennas. The broadband characteristic of the antenna is realised through a maximisation of the fidelity factor directly in the time domain. The performance characteristics of the resulting antenna are presented and contrasted with those of the Wu-King design.</t>
  </si>
  <si>
    <t>1988-1990</t>
  </si>
  <si>
    <t>60014586;60028868;60014655;60014655</t>
  </si>
  <si>
    <t>6602185693;7004132913;6701414738;7003589064</t>
  </si>
  <si>
    <t>Fern√°ndez-Pantoja, M.;Monorchio, A.;Rubio-Bretones, A.;G√≥mez-Mart√≠n, R.</t>
  </si>
  <si>
    <t>Italy;Spain;Spain</t>
  </si>
  <si>
    <t>Pisa;Granada;Jaen</t>
  </si>
  <si>
    <t>Universit√† di Pisa;Universidad de Granada, Facultad de Ciencias;Universidad de Ja√©n</t>
  </si>
  <si>
    <t>60028868;60014655;60014586</t>
  </si>
  <si>
    <t>Fern√°ndez-Pantoja M.</t>
  </si>
  <si>
    <t>Direct GA-based optimisation of resistively loaded wire antennas in the time domain</t>
  </si>
  <si>
    <t>10.1049/el:20001400</t>
  </si>
  <si>
    <t>2-s2.0-0034314538</t>
  </si>
  <si>
    <t>['variation due', 'received signal', 'noise ratio', 'input multiple', 'indoor multiple', 'greater influence']</t>
  </si>
  <si>
    <t>Measurements of indoor multiple-input multiple-output (MIMO) channels have been conducted at 5.2GHz and their information theoretic capacity analysed. It has been found that the variation of received signal-to-noise ratio has a greater influence on this capacity than the variation due to changes in the correlation of the channel response matrix.</t>
  </si>
  <si>
    <t>2037-2038</t>
  </si>
  <si>
    <t>60020650;60020650;60020650;60020650</t>
  </si>
  <si>
    <t>7202710445;7102568206;7202904160;7102445851</t>
  </si>
  <si>
    <t>McNamara, D. P.;Beach, M. A.;Fletcher, P. N.;Karlsson, P.</t>
  </si>
  <si>
    <t>McNamara D.</t>
  </si>
  <si>
    <t>Capacity variation of indoor multiple-input multiple-output channels</t>
  </si>
  <si>
    <t>10.1049/el:20001437</t>
  </si>
  <si>
    <t>2-s2.0-0034314924</t>
  </si>
  <si>
    <t>With the introduction of DCS1800 to meet the demands for a wider frequency spectrum for mobile communication systems, novel antenna structures capable of generating dual resonance are in demand. An antenna structure based on the geometry of a bent folded monopole antenna capable of dual resonance frequencies operation is discussed. This antenna is able to cover the GSM/DCS1800 communication system bands.</t>
  </si>
  <si>
    <t>1990-1991</t>
  </si>
  <si>
    <t>60019702;60019702;60019702</t>
  </si>
  <si>
    <t>7406965609;57213425197;7201658579</t>
  </si>
  <si>
    <t>Lee, E.;Hall, P. S.;Gardner, P.</t>
  </si>
  <si>
    <t>Birmingham</t>
  </si>
  <si>
    <t>University of Birmingham</t>
  </si>
  <si>
    <t>Lee E.</t>
  </si>
  <si>
    <t>Dual band folded monopole/loop antenna for terrestrial communication system</t>
  </si>
  <si>
    <t>10.1049/el:20001385</t>
  </si>
  <si>
    <t>2-s2.0-0034315265</t>
  </si>
  <si>
    <t>['sidelobe level', 'lowered significantly', 'authors describe']</t>
  </si>
  <si>
    <t>The sidelobe level of a uniformly excited array can be lowered significantly by reducing the amplitudes of a minority of its elements. The authors describe a genetic algorithm method for determining which amplitudes to reduce and by how much, and illustrate the method by applying it to a 100-element linear array.</t>
  </si>
  <si>
    <t>1991-1993</t>
  </si>
  <si>
    <t>57220885191;7003391894;7006865572;7202825573</t>
  </si>
  <si>
    <t>L√≥pez, P.;Rodr√≠guez, J. A.;Ares, F.;Moreno, E.</t>
  </si>
  <si>
    <t>L√≥pez P.</t>
  </si>
  <si>
    <t>Low sidelobe level in almost uniformly excited array</t>
  </si>
  <si>
    <t>10.1049/el:20001428</t>
  </si>
  <si>
    <t>2-s2.0-0034315266</t>
  </si>
  <si>
    <t>['results obtained', 'resulting structure', 'power splitting', 'appropriate phase', 'achieved via', '8 %.', '1 bandwidth']</t>
  </si>
  <si>
    <t>A 5.8GHz circularly polarised 2 √ó 2 patch antenna array is presented, employing sequential rotation of dual-feed circularly polarised elements; appropriate phase-shifting and power splitting are achieved via a serial feed arrangement. The feed has been optimised using simulated annealing; the resulting structure has a voltage standing wave ratio 2:1 bandwidth of 9.8%. Results obtained by full wave simulation and practical measurement confirm the integrity of the design.</t>
  </si>
  <si>
    <t>1987-1988</t>
  </si>
  <si>
    <t>60004636;60004636;60004636;60004636;60004636;60004636</t>
  </si>
  <si>
    <t>55722993500;56218854100;6507333254;36105242300;6504193893;9239877500</t>
  </si>
  <si>
    <t>Evans, H.;Gale, P.;Aljibouri, B.;Lim, E. G.;Korolkeiwicz, E.;Sambell, A.</t>
  </si>
  <si>
    <t>Evans H.</t>
  </si>
  <si>
    <t>Application of simulated annealing to design of serial feed sequentially rotated 2 √ó 2 antenna array</t>
  </si>
  <si>
    <t>10.1049/el:20001407</t>
  </si>
  <si>
    <t>2-s2.0-0034316219</t>
  </si>
  <si>
    <t>['theoretical calculation', 'reflection characteristic', 'perot laser', 'novel tunable', 'locked fabry', 'experimentally demonstrated']</t>
  </si>
  <si>
    <t>A novel tunable all-optical incoherent bipolar delay-line filter scheme is proposed. It utilises the cross-intensity modulation characteristic of an injection-locked Fabry-Perot laser and the reflection characteristic of a delay line composed of a sequence of tunable fibre Bragg gratings. Bipolar transversal filters are experimentally demonstrated and their filter performance agrees well with theoretical calculation.</t>
  </si>
  <si>
    <t>2001-2003</t>
  </si>
  <si>
    <t>60002798;60002798</t>
  </si>
  <si>
    <t>55369116300;57198530118</t>
  </si>
  <si>
    <t>Wang, X.;Chan, K. T.</t>
  </si>
  <si>
    <t>Chinese University of Hong Kong</t>
  </si>
  <si>
    <t>Tunable all-optical incoherent bipolar delay-line filter using injection-locked Fabry-Perot laser and fibre Bragg gratings</t>
  </si>
  <si>
    <t>10.1049/el:20001424</t>
  </si>
  <si>
    <t>2-s2.0-0034316448</t>
  </si>
  <si>
    <t>['time detector', 'temporal domain', 'relative merits', 'proposed space', 'multipath fading', 'impulsive noise', 'antenna array']</t>
  </si>
  <si>
    <t>A space-time detection scheme combining nonlinear decorrelators and antenna array is investigated for jointly mitigating multiple access interference, multipath fading and impulsive noise. Monte Carlo simulation results of the proposed space-time detector are presented to justify the relative merits of nonlinear signal processing techniques in the spatial-temporal domain.</t>
  </si>
  <si>
    <t>2041-2043</t>
  </si>
  <si>
    <t>6701845616;7006203997;7003783302</t>
  </si>
  <si>
    <t>Chuah, T. C.;Sharif, B. S.;Hinton, O. R.</t>
  </si>
  <si>
    <t>Chuah T.</t>
  </si>
  <si>
    <t>Nonlinear space-time decorrelator for multiuser detection in non-Gaussian channels</t>
  </si>
  <si>
    <t>10.1049/el:20001415</t>
  </si>
  <si>
    <t>2-s2.0-0034318070</t>
  </si>
  <si>
    <t>['time domain', 'stealth design', 'section measurements', 'reverse engineering', 'radome optimisation', 'radar cross', 'military applications', 'hardware configuration', 'first time', 'enormous potential', 'compact range', 'calibration used']</t>
  </si>
  <si>
    <t>Radar cross-section measurements in the time domain are performed, for the very first time, over a compact range. Apart from the hardware configuration and calibration used, extended analysis capabilities are discussed and illustrated with measurements. An enormous potential is envisaged in industrial and military applications, e.g. reverse engineering, radome optimisation and stealth design.</t>
  </si>
  <si>
    <t>1986-1987</t>
  </si>
  <si>
    <t>100691375;60031159;60006288</t>
  </si>
  <si>
    <t>7004510554;55950302500;35563466100</t>
  </si>
  <si>
    <t>De Jongh, R. V.;Mart√≠-Canales, J.;Ligthart, L. P.</t>
  </si>
  <si>
    <t>Noordwijk aan Zee;Delft;Delft</t>
  </si>
  <si>
    <t>ESTEC - European Space Research and Technology Centre;Delft University of Technology;Signaal Delft</t>
  </si>
  <si>
    <t>60031159;60006288;100691375</t>
  </si>
  <si>
    <t>De Jongh R.</t>
  </si>
  <si>
    <t>Analysis of time domain radar cross-section measurements in compact ranges</t>
  </si>
  <si>
    <t>10.1049/el:20001409</t>
  </si>
  <si>
    <t>2-s2.0-0034318543</t>
  </si>
  <si>
    <t>['specific genes', 'smooth pretarsus', 'significantly reduced', 'segment boundary', 'pretarsus specification', 'presumptive pretarsus', 'negatively regulated', 'include aristaless', 'immediate neighbour', 'homeodomain protein', 'ectopic expression', 'drosophila lim1', 'development 127', 'concerted function', 'boundary formation', 'border cells', 'aristaless expression', 'antennal development', 'antagonistic interactions', 'also required', '778 ).', '., sato']</t>
  </si>
  <si>
    <t>Aristaless | BarH1 | BarH2 | Drosophila | Fas2 | Homeobox genes | Leg development | LIM-homeobox genes | Lim1 | Xlim1</t>
  </si>
  <si>
    <t>During Drosophila leg development, the distal-most compartment (pretarsus) and its immediate neighbour (tarsal segment 5) are specified by a pretarsus-specific homeobox gene, aristaless, and tarsal-segment-specific Bar homeobox genes, respectively; the pretarsus/tarsal-segment boundary is formed by antagonistic interactions between Bar and pretarsus-specific genes that include aristaless (Kojima, T., Sato, M. and Saigo, K. (2000) Development 127, 769-778). Here, we show that Drosophila Lim1, a homologue of vertebrate Lim1 encoding a LIM-homeodomain protein, is involved in pretarsus specification and boundary formation through its activation of aristaless. Ectopic expression of Lim1 caused aristaless misexpression, while aristaless expression was significantly reduced in Lim1-null mutant clones. Pretarsus Lim1 expression was negatively regulated by Bar and abolished in leg discs lacking aristaless activity, which was associated with strong Bar misexpression in the presumptive pretarsus. No Lim1 misexpression occurred upon aristaless misexpression. The concerted function of Lim1 and aristaless was required to maintain Fasciclin 2 expression in border cells and form a smooth pretarsus/tarsal-segment boundary. Lim1 was also required for femur, coxa and antennal development.</t>
  </si>
  <si>
    <t>4315-4323</t>
  </si>
  <si>
    <t>60025272;60025272;60025272;60025272;60025272;60025272</t>
  </si>
  <si>
    <t>23006843200;35082665700;6505888438;16154379200;7101766698;7403447962</t>
  </si>
  <si>
    <t>Tsuji, T.;Sato, A.;Hiratani, I.;Taira, M.;Saigo, K.;Kojima, T.</t>
  </si>
  <si>
    <t>Tsuji T.</t>
  </si>
  <si>
    <t>Requirements of Lim1, a Drosophila LIM-homeobox gene, for normal leg and antennal development</t>
  </si>
  <si>
    <t>2-s2.0-0033739541</t>
  </si>
  <si>
    <t>['transient grating', 'times correspond', 'strong oscillations', 'spectral equilibration', 'slow phase', 'single step', 'simulations using', 'rs .)', 'rps .)', 'ring occurs', 'protein phonons', 'predominant frequency', 'peak shifts', 'observations confirm', 'lh2 antenna', 'large difference', 'inolischianum showed', 'initial sub', 'first two', 'equilibration rate', 'eenergy transfer', 'b800 ring', "acidophila ')", '800 fs', '700 fs', '6 ps', '3peps experiments', '3 fs', '2 ps', '162 cm', '1100 fs', '1 ps']</t>
  </si>
  <si>
    <t>Eenergy transfer in the B800 ring of the LH2 antenna of the purple bacteria Rhodopseudomonas (Rps.) acidophila and Rhodospirilluin (Rs.) inolischianum was studied at room temperature using three-pulse echo peak shift (3PEPS) and transient grating (TG) techniques. From the transient grating experiments, we found the B800 -B850 energy transfer rates to be 600-700 fs for both species. The anisotropy of the TG signal decays in about 1 ps for both species, which is ascribed to B 800 ‚Üí B 800 energy transfer. The occurrence of B800 -B800 energy transfer was further substantiated by 3PEPS experiments. When measured over the whole B800 band, the initial peak shift of about 30 fs exhibited a fast &lt;100 fs decay to about 10 fs due to the coupling to protein phonons, followed by a slow phase of about 1 ps, during which the peak shift decayed to 1 -3 fs. Polarized 3PEPS experiments systematically resulted in smaller peak shift values for the third pulse polarized perpendicular to the first two than for the third pulse parallel to the first two. Furthermore, frequency-resolved 3PEPS experiments performed on LH2 of Rs. inolischianum showed a large difference in peak shift decay rates when tuning over the B 800 band. The "blue" peak shifts did not decay after the initial sub-100 fs phase, while "red" peak shifts decayed much faster than the whole band signal. All these observations confirm the presence of B800 -B800 energy transfer. Simulations using the Brownian oscillator model allowed the determination of an equilibration rate of 1100 fs for Rps. acidophila and 800 fs for Rs. inolischianum. For a model in which the spectral equilibration in a ring occurs by single hopping steps between adjacent pigment molecules, these times correspond to 2.2 ps (Rps. acidophila') and 1.6 ps (Rs. inolischianum) for a single step. Strong oscillations with a predominant frequency of 162 cm"1 are observed in the peak shift decays of both species. ¬© 2000 American Chemical Society.</t>
  </si>
  <si>
    <t>11395-11408</t>
  </si>
  <si>
    <t>60008734;60008734-60000239;60008734;60008734</t>
  </si>
  <si>
    <t>6602720990;7003691142;9235299800;35599806700</t>
  </si>
  <si>
    <t>Salverda, Jante M.;Van Mourik, Frank;Van Zwan, Gert Der;Van Grondelle, Rienk</t>
  </si>
  <si>
    <t>Netherlands;Switzerland</t>
  </si>
  <si>
    <t>Amsterdam;Lausanne</t>
  </si>
  <si>
    <t>Vrije Universiteit Amsterdam;Universit√© de Lausanne (UNIL)</t>
  </si>
  <si>
    <t>60008734;60000239</t>
  </si>
  <si>
    <t>Salverda J.M.</t>
  </si>
  <si>
    <t>Energy transfer in the B800 rings of the peripheral bacterial light-harvesting complexes of rhodopseudomonas acidophila and rhodospirillum molischianum studied with photon echo techniques</t>
  </si>
  <si>
    <t>10.1021/jp002034z</t>
  </si>
  <si>
    <t>2-s2.0-0034315696</t>
  </si>
  <si>
    <t>['system comprised', 'gain situations', 'fuzzy approach', 'classic solution', 'basic parameters']</t>
  </si>
  <si>
    <t>A neuro-fuzzy approach for solving the monopulse amplitude direction-finding is proposed. A system comprised of an adaptive network based fuzzy inference system (ANFIS) implementation is simulated and compared to the classic solution of the problem. This comparison is done over a variety of antennas and gain situations, in which the system has to adjust to a change in its basic parameters.</t>
  </si>
  <si>
    <t>125-134</t>
  </si>
  <si>
    <t>Robotics and Autonomous Systems</t>
  </si>
  <si>
    <t>60005681;60005681;60005681;60020486;60007740</t>
  </si>
  <si>
    <t>7801393333;6503893609;6505905059;7005379407;7103056431</t>
  </si>
  <si>
    <t>Bokshtein, Eli;Shmaltz, Doron;Herbst, Ophir;Bunke, Horst;Kandel, Abraham</t>
  </si>
  <si>
    <t>Switzerland;United States;Israel</t>
  </si>
  <si>
    <t>Bern;Tampa;Tel Aviv-Yafo</t>
  </si>
  <si>
    <t>University of Bern;University of South Florida, Tampa;Tel Aviv University</t>
  </si>
  <si>
    <t>60020486;60007740;60005681</t>
  </si>
  <si>
    <t>Bokshtein E.</t>
  </si>
  <si>
    <t>Monopulse amplitude direction-finding using neuro-fuzzy approach</t>
  </si>
  <si>
    <t>S092188900000083X</t>
  </si>
  <si>
    <t>10.1016/S0921-8890(00)00083-X</t>
  </si>
  <si>
    <t>2-s2.0-0034325657</t>
  </si>
  <si>
    <t>['thylakoids change', 'term changes', 'state transitions', 'state transition', 'state 2', 'respond rapidly', 'redox processes', 'redox conditions', 'protein kinase', 'photosystem stoichiometry', 'operate largely', 'main light', 'limited photosystem', 'kinase phosphorylates', 'illumination lead', 'harvesting complex', 'excitation must', 'enables plants', 'dynamic mechanism']</t>
  </si>
  <si>
    <t>Photosynthesis in plants involves two photosystems responsible for converting light energy into redox processes. The photosystems, PSI and PSII, operate largely in series, and therefore their excitation must be balanced in order to optimize photosynthetic performance. When plants are exposed to illumination favouring either PSII or PSI they can redistribute excitation towards the light-limited photosystem. Long-term changes in illumination lead to changes in photosystem stoichiometry. In contrast, state transition is a dynamic mechanism that enables plants to respond rapidly to changes in illumination. When PSII is favoured (state 2), the redox conditions in the thylakoids change and result in activation of a protein kinase. The kinase phosphorylates the main light-harvesting complex (LHCII) and the mobile antenna complex is detached from PSII. It has not been clear if attachment of LHCII to PSI in state 2 is important in state transitions. Here we show that in the absence of a specific PSI subunit, PSI-H, LHCII cannot transfer energy to PSI, and state transitions are impaired.</t>
  </si>
  <si>
    <t>613-615</t>
  </si>
  <si>
    <t>60007971;60007971;60007971;60007971;60007971</t>
  </si>
  <si>
    <t>6603264437;7402088684;6602884251;6602072663;55664625200</t>
  </si>
  <si>
    <t>Lunde, C.;Jensen, P. E.;Haldrup, A.;Knoetzel, J.;Scheller, H. V.</t>
  </si>
  <si>
    <t>Lunde C.</t>
  </si>
  <si>
    <t>The PSI-H subunit of photosystem I is essential for state transitions in plant photosynthesis</t>
  </si>
  <si>
    <t>10.1038/35046121</t>
  </si>
  <si>
    <t>2-s2.0-0034735803</t>
  </si>
  <si>
    <t>['time required', 'spatial variation', 'single set', 'simple procedure', 'significant decrease', 'polynomial representation', 'modeling problems', 'model range', 'frequency range', 'frequency domain', 'dipole antenna', 'denominator coefficients', 'binomial representation', 'also used', 'accurately reconstruct', '950 mhz']</t>
  </si>
  <si>
    <t>Antenna radiation patterns | Model-based parameter estimation</t>
  </si>
  <si>
    <t>The Fade rational function fitting model commonly used for model-based parameter estimation (MBPE) in the frequency domain is enhanced to include spatial dependence in the numerator and denominator coefficients. This allows the function to interpolate an antenna radiated electric field pattern in both the frequency and spatial domains simultaneously, such that a single set of coefficients can be used to accurately reconstruct an entire radiation pattern at any frequency in the fitting-model range. A simple procedure is introduced for transforming interpolated electric fields into gain patterns using input impedance versus frequency curves also obtained via MBPE. The utility of this method is demonstrated by applying it to a dipole antenna over a frequency range of 150-950 MHz and using a polynomial representation in 9 for the coefficient spatial dependence. It is also used to estimate radiation patterns for a three-element Yagi array between the frequencies of 470 and 500 MHz using a binomial representation for the spatial variation that includes terms dependent on 9 as well as &lt;/). The use of this method for interpolating radiation patterns has at least two significant advantages; one being large compression ratios for the amount of data that must be stored to accurately reproduce patterns and the other being a significant decrease in the amount of time required for modeling problems with large computational domains. ¬©2000 IEEE.</t>
  </si>
  <si>
    <t>383-392</t>
  </si>
  <si>
    <t>The simultaneous interpolation of antenna radiation patterns in both the spatial and frequency domains using model-based parameter estimation</t>
  </si>
  <si>
    <t>S0018926X00024492</t>
  </si>
  <si>
    <t>10.1109/8.841899</t>
  </si>
  <si>
    <t>2-s2.0-0000160269</t>
  </si>
  <si>
    <t>['spatial scope', 'southern california', 'single emitter', 'remotely sensing', 'remote sensing', 'receive array', 'radio receivers', 'precisely quantifying', 'performance one', 'marine layer', 'coastal regions']</t>
  </si>
  <si>
    <t>Antenna arrays | Electromagnetic propagation in nonhomogeneous media | Refractivity estimation | Signal processing | Uhf radio propagation</t>
  </si>
  <si>
    <t>In coastal regions the presence of the marine boundary layer can significantly affect RF propagation. The relatively high specific humidity of the underlying "marine layer" creates elevated trapping layers in the radio refractivity structure. While direct sensing techniques provide good data, they are limited in their temporal and spatial scope. There is a need for assessing the three-dimensional (3-D) time-varying refractivity structure. Recently published results (Gingras et al. [1]) indicate that matched-field processing methods hold promise for remotely sensing the refractive profile structure between an emitter and receive array. This paper is aimed at precisely quantifying the performance one can expect with matched-field processing methods for remote sensing of the refractivity structure using signal strength measurements from a single emitter to an array of radio receivers. The performance is determined via simulation and is evaluated as a function of: 1) the aperture of the receive array; 2) the refractivity profile model; and 3) the objective function used in the optimization. Refractivity profile estimation results are provided for a surface-based duct example, an elevated duct example, and a sequence of time-varying refractivity profiles. The refractivity profiles used were based on radiosonde measurements collected off the coast of southern California. ¬©2000 IEEE.</t>
  </si>
  <si>
    <t>345-356</t>
  </si>
  <si>
    <t>Gerstoft, Peter</t>
  </si>
  <si>
    <t>Gerstoft P.</t>
  </si>
  <si>
    <t>Estimation of radio refractivity structure using matched-field array processing</t>
  </si>
  <si>
    <t>S0018926X00024625</t>
  </si>
  <si>
    <t>10.1109/8.841895</t>
  </si>
  <si>
    <t>2-s2.0-0000368069</t>
  </si>
  <si>
    <t>['wireless systems', 'spatial processing', 'smart antennas', 'reference list', 'received signal', 'papers appearing', 'material presented', 'main purpose', 'large number', 'interfering signals', 'increase capacity', 'incoming signals', 'currently used', 'current state', 'communication systems', 'cdma digital', 'basic model', 'article provides', 'array processing', 'antennas include', 'adaptive algorithms']</t>
  </si>
  <si>
    <t>Adaptive arrays | CDMA | Land mobile radio cellular systems | Smart antennas | Switched beam antennas | TDMA | Wireless communications</t>
  </si>
  <si>
    <t>Smart antennas have recently received increasing interest for improving the performance of wireless radio systems. These systems of antennas include a large number of techniques that attempt to enhance the received signal, suppress all interfering signals, and increase capacity, in general. The main purpose of this article is to provide an overview of the current state of research in the area of smart antennas, and to describe how they can be used in wireless systems. Thus, this article provides a basic model for determining the angle of arrival for incoming signals, the appropriate antenna beamforming, and the adaptive algorithms that are currently used for array processing. Moreover, it is shown how smart antennas, with spatial processing, can provide substantial additional improvement when used with TDMA and CDMA digital-communication systems. The material presented is tutorial in nature, leaving the details for further study from the papers appearing in the reference list.</t>
  </si>
  <si>
    <t>129-136</t>
  </si>
  <si>
    <t>Chryssomallis, Michael</t>
  </si>
  <si>
    <t>Komotini</t>
  </si>
  <si>
    <t>Democritus University of Thrace</t>
  </si>
  <si>
    <t>Chryssomallis M.</t>
  </si>
  <si>
    <t>Smart antennas</t>
  </si>
  <si>
    <t>10.1109/74.848965</t>
  </si>
  <si>
    <t>2-s2.0-0000561654</t>
  </si>
  <si>
    <t>['time resolution', 'time differences', 'tibetan plateau', 'station measurements', 'special features', 'propagated downward', 'one intracloud', 'lightning discharges', 'eastern area', 'different stations', 'average speed', 'analyzed using', '5 km', '1 œºs', '0 km']</t>
  </si>
  <si>
    <t>Intracloud discharge | K-type breakdown process | Plateau lightning | Radiation pulse</t>
  </si>
  <si>
    <t>Some special features of lightning discharges in the eastern area of Qinghai-Tibetan Plateau have been investigated through multi-station measurements of wide-band slow antenna systems synchronized by Global Positioning System (GPS) with a time resolution of 1 Œºs. The K-type breakdown processes during one intracloud (IC) discharge were analyzed using the time differences of radiation pulses arriving at different stations. It was found that K-type breakdown processes during IC discharge started from a negative charge region and propagated downward to the lower positive charge region with an average speed of 1.5 √ó 107 m/s. The altitude of negative charge region was between 5.0 and 6.0 km above ground, while that of positive charge region was between 2.5 and 3.5 km above ground.</t>
  </si>
  <si>
    <t>610-611</t>
  </si>
  <si>
    <t>Progress in Natural Science</t>
  </si>
  <si>
    <t>60073580;60073580;60073580;60073580;60018429;60018429;60018429;60024322</t>
  </si>
  <si>
    <t>56234966000;55547738500;55717117500;7405272189;55676100700;56143567100;7202953787;7005256762</t>
  </si>
  <si>
    <t>Qie, Xiushu;Yu, Ye;Liu, Xinsheng;Zhang, Guangshu;Wang, Daohong;Watanabe, Teiji;Takagi, Nobuyuki;Ushio, Tomo O.</t>
  </si>
  <si>
    <t>China;Japan;Japan</t>
  </si>
  <si>
    <t>Lanzhou;Suita;Gifu</t>
  </si>
  <si>
    <t>Cold and Arid Regions Environmental and Engineering Research Institute Chinese Academy of Sciences;Osaka University;Gifu University</t>
  </si>
  <si>
    <t>60073580;60024322;60018429</t>
  </si>
  <si>
    <t>K-type breakdown process of intracloud discharge in Chinese inland plateau</t>
  </si>
  <si>
    <t>2-s2.0-0001078269</t>
  </si>
  <si>
    <t>['shaped slot', 'required dimensions', 'modified u', 'microstrip antennas', 'experimental results', 'determined experimentally', 'bandwidth enhancement', 'antenna design', 'angle slots', '4 times']</t>
  </si>
  <si>
    <t>Bandwidth enhancement | Microstrip antennas</t>
  </si>
  <si>
    <t>With the loading of a pair of right-angle slots and a modified U-shaped slot in a rectangular microstrip patch, novel bandwidth enhancement of microstrip antennas is demonstrated. Required dimensions of the right-angle slots and modified U-shaped slot for bandwidth enhancement with good radiating characteristics have been determined experimentally in this study and the obtained antenna bandwidth can be as large as about 2.4 times that of a corresponding unslotted rectangular microstrip antenna. Details of the antenna design and experimental results are presented and discussed. ¬© 2000 IEEE.</t>
  </si>
  <si>
    <t>1149-1152</t>
  </si>
  <si>
    <t>35249332900;35460663000</t>
  </si>
  <si>
    <t>Sze, Jia Yi;Wong, Kin Lu</t>
  </si>
  <si>
    <t>Sze J.</t>
  </si>
  <si>
    <t>Slotted rectangular microstrip antenna for bandwidth enhancement</t>
  </si>
  <si>
    <t>S0018926X00069350</t>
  </si>
  <si>
    <t>10.1109/8.884481</t>
  </si>
  <si>
    <t>2-s2.0-0001295328</t>
  </si>
  <si>
    <t>['vector sensors', 'uses esprit', 'six electromagnetic', 'six colocated', 'proposed method', 'proposed algorithm', 'priori information', 'polarizational beamspace', 'polarization states', 'polarization parameters', 'polarization estimates', 'polarization diversity', 'novel self', 'incident sources', 'herein presented', 'field components', 'estimation algorithm', 'diversely polarized', 'cosine estimates', 'axis direction', 'automatically pairs', 'arrival angles']</t>
  </si>
  <si>
    <t>Antenna arrays | Array signal processing | Data fusion | Direction of arrival estimation | Polarization</t>
  </si>
  <si>
    <t>A novel self-initiating multiple signal classification (MUSIC)-based direction-finding (DF) and polarization-estimation algorithm in spatio-polarizational beamspace is herein presented for an arbitrarily spaced array of identically oriented electromagnetic vector sensors. An electromagnetic vector sensor, already commercially available, is composed of six colocated, but diversely polarized, antennas distinctly measuring all six electromagnetic-field components of a multisource incident wave field. This proposed algorithm: 1) exploits the incident sources' polarization diversity; 2) decouples the estimation of the sources' arrival angles from the estimation of the sources' polarization parameters; 3) uses ESPRIT on pairs of vector sensors to self-generate coarse estimates of the arrival angles to start off its MUSIC-based iterative search without any a priori information on the incident sources' parameters; 4) estimate the sources' polarization states; and 5) automatically pairs the x-axis direction-cosine estimates with the y-axis direction-cosine estimates and with the polarization estimates. Monte Carlo simulation results verify the efficacy of the proposed method. ¬© 2000 IEEE.</t>
  </si>
  <si>
    <t>60002798;60009254</t>
  </si>
  <si>
    <t>Self-Initiating MUSIC-Based direction finding and polarization estimation in spatio-polarizational beamspace</t>
  </si>
  <si>
    <t>S0018926X00077061</t>
  </si>
  <si>
    <t>10.1109/8.884492</t>
  </si>
  <si>
    <t>2-s2.0-0001447565</t>
  </si>
  <si>
    <t>['two photosystems', 'stress reduced', 'slightly impacted', 'reaction center', 'ps ii', 'protein complex', 'polypeptide indicated', 'page showed', 'mild sds', 'lhc ii2', 'lhc ii1', 'lhc ii', 'japonica subspecies', 'japonica rice', 'japonica one', 'indica subspecies', 'indica rice', 'flag leaves', 'comparatively investigated', '27 kd']</t>
  </si>
  <si>
    <t>Chlorophyll-protein complex | Excitation energy distribution | High light stress | Subspecies of rice</t>
  </si>
  <si>
    <t>Influence of high light stress on the photosynthesis of flag leaves of indica subspecies (cv. "Shanyou 63", sensitive to photoinhibition) and japonica subspecies (cv. "Wuyujing", resistant to photoinhibition) of rice (Oryza sativa L.) was comparatively investigated. In both cultivars of rice, the excitation energy distribution between two photosystems was altered and the excitation energy transfer from light harvesting chlorophyll protein complexes to PS II was inhibited by high light stress. These decreases were more pronounced in indica rice cultivar as compared to japonica one. The analysis of mild SDS-PAGE showed that in indica rice, high light stress almost disaggregated the trimer of light harvesting chlorophyll protein complexes of PS II (LHC II1). The stress reduced the contents of internal antennae chlorophyll protein complexes of PS II (CPa), light harvesting chlorophyll protein of PS I (CP I a) and Chl a protein complex of PS I reaction center (CP I) as well as dimer of LHC II (LHC II2) in indica rice. In japonica subspecies, however, high light stress depressed the contents of LHC II1, CPa and CP I a, but slightly impacted on CP I content. Moreover, the increase in the contents of monomer of LHC II by high light stress was found in both subspecies. In consistent with above results, analysis of polypeptide indicated that the amounts of 27 kD and 25 kD polypeptide of LHC II in particular, as well as that of 21 kD polypeptide of CP I a were reduced by high light stress in both subspecies. It was found that, comparing with japonica rice, the stress pronouncedly diminished 43 kD and 47 kD proteins of CPa and 23 kD extrisic protein in indica rice.</t>
  </si>
  <si>
    <t>1278-1284</t>
  </si>
  <si>
    <t>Acta Botanica Sinica</t>
  </si>
  <si>
    <t>60014773;60014773;60014773;60073600;60014773;60014773</t>
  </si>
  <si>
    <t>8872270700;55231211900;7406451186;7005816352;7501449770;7004899916</t>
  </si>
  <si>
    <t>Xin, Yue Yong;Feng, Li Jie;Xu, Yi Nong;Jiao, De Mao;Li, Liang Bi;Kuang, Ting Yun</t>
  </si>
  <si>
    <t>Nanjing;Beijing</t>
  </si>
  <si>
    <t>Jiangsu Academy of Agricultural Sciences;Institute of Botany Chinese Academy of Sciences</t>
  </si>
  <si>
    <t>60073600;60014773</t>
  </si>
  <si>
    <t>Xin Y.</t>
  </si>
  <si>
    <t>Effects of high light stress on chlorophyll-protein complexes of two subspecies of rice</t>
  </si>
  <si>
    <t>2-s2.0-0001559072</t>
  </si>
  <si>
    <t>9 040 433</t>
  </si>
  <si>
    <t>['related configurations', 'numerical integration', 'implement numerically', 'find applications', 'dielectric half', 'accurate method']</t>
  </si>
  <si>
    <t>Apertures | Half-space | Slot antennas</t>
  </si>
  <si>
    <t>An efficient and accurate method of analysis for an annular slot radiating on a dielectric half-space is presented. The result involves neither singularity nor any numerical integration and, therefore, is computationally very efficient and easy to implement numerically. The method is very rigorous and general and should find applications in other related configurations. ¬©2000 IEEE.</t>
  </si>
  <si>
    <t>467-468</t>
  </si>
  <si>
    <t>Efficient and accurate computation of an annular slot on a dielectric half-space</t>
  </si>
  <si>
    <t>S0018926X0002456X</t>
  </si>
  <si>
    <t>10.1109/8.841908</t>
  </si>
  <si>
    <t>2-s2.0-0001611963</t>
  </si>
  <si>
    <t>['visible region', 'spectroscopically characterized', 'royal society', 'new class', 'ethanol solution', 'energy levels', 'chemistry 2000', '89 v', '2x 2']</t>
  </si>
  <si>
    <t>The complexes [NBu4]2-n[a.y-Ru(H2-xdcphen)2X 2 (n = 0 or 1; H2dcphen; =4,7-dicarboxy-l,10-phenanthroline; X = Cl, CN or SCN) were synthesized and spectroscopically characterized as a new class of photosensitizers. The energy levels of the LUMO and HOMO of r√¢-[Ru(H2dcphen)2(NCS)2] were estimated to be -1.02 and 0.89 V (vs. SCE), respectively, slightly more positive than those of [NBu4]2n[m-Ru(H2-xdcbpy)2(NCS) 2] (x = 0 or 1 ; H2dcbpy = 4,4'-dicarboxy-2,2'-bipyridine). A more intense and broader MLCT absorption of [NBu4]2[r√§Ru(H2-xdcphen)2(NCS)2] (;; = 0 or 1 ) than that of [NBu4]2-x[r√§-Ru(H1-xdcbpy) 2(NCS)2] (;; = 0 or 1) was observed in ethanol solution at around 525 nm in the visible region. It is demonstrated that the new complexes act as efficient light harvesting antennae for dye-sensitized solar cells. A [NBu4]2-x[cw-Ru(Hdcphen)2(NCS)2] sensitized nanocrystalline TiO2 film shows a remarkable solar light to electrical power conversion efficiency of 6.1% at 100mWcm-2of AM 1.5. ¬© The Royal Society of Chemistry 2000.</t>
  </si>
  <si>
    <t>2817-2822</t>
  </si>
  <si>
    <t>1470479X</t>
  </si>
  <si>
    <t>Journal of the Chemical Society, Dalton Transactions</t>
  </si>
  <si>
    <t>Yanagida, Masatoshi</t>
  </si>
  <si>
    <t>National Institute of Materials and Chemical Research</t>
  </si>
  <si>
    <t>Yanagida M.</t>
  </si>
  <si>
    <t>A new efficient photosensitizer for nanocrystalline solar cells: Synthesis and characterization of m-bis(4,7-dicarboxy-l,10phenanthroline)dithiocyanato ruthenium(n)</t>
  </si>
  <si>
    <t>10.1039/b002391o</t>
  </si>
  <si>
    <t>2-s2.0-0002363273</t>
  </si>
  <si>
    <t>Array signal processing | Land mobile radio cellular handsets | Land mobile radio cellular systems | Land mobile radio diversity systems | Land mobile radio equipment | Smart antennas</t>
  </si>
  <si>
    <t>142-151</t>
  </si>
  <si>
    <t>60027090;60027090;60027090;60027090</t>
  </si>
  <si>
    <t>7201791618;7006247497;57199939474;6602468210</t>
  </si>
  <si>
    <t>Dietrich, Carl B.;Stutzman, Warren L.;Kim, Byung Ki;Dietze, Kai</t>
  </si>
  <si>
    <t>Dietrich C.</t>
  </si>
  <si>
    <t>Smart antennas in wireless communications: Base-station diversity and handset beamforming</t>
  </si>
  <si>
    <t>10.1109/74.883513</t>
  </si>
  <si>
    <t>2-s2.0-0003184652</t>
  </si>
  <si>
    <t>['usually stated', 'rigorous study', 'provided q', 'poynting theorem', 'making use', 'main purpose', 'lossless network', 'fractional bandwidth', 'first give', 'essentially equivalent', 'determine whether', 'controversial topic', 'complete description', 'b stands', 'arbitrary antenna', 'antenna system', 'antenna q']</t>
  </si>
  <si>
    <t>Antenna input impedance | Energy storage | Q factor</t>
  </si>
  <si>
    <t>The calculation of antenna Q has been an interesting and a controversial topic for years. In this paper, we first give a rigorous study of antenna Q by introducing a complete description of the complex power balance relation for an antenna system. Using the complex Poynting theorem, we have shown that the antenna is essentially equivalent to a one port lossy network. The Foster reactance theorem is usually stated for a lossless network. The main purpose of this paper is to determine whether the Foster reactance theorem holds for antennas. By making use of a complex frequency domain version of the Poynting theorem, we have shown that the Foster reactance theorem is valid for an antenna. Finally, the Foster reactance theorem for the antenna has been applied to demonstrate the widely held assumption Q ‚àº 1/B, provided Q &gt; 1, where B stands for the fractional bandwidth of an arbitrary antenna. ¬©2000 IEEE.</t>
  </si>
  <si>
    <t>401-408</t>
  </si>
  <si>
    <t>Geyi, Wen</t>
  </si>
  <si>
    <t>Research in Motion Limited</t>
  </si>
  <si>
    <t>Geyi W.</t>
  </si>
  <si>
    <t>The foster reactance theorem for antennas and radiation q</t>
  </si>
  <si>
    <t>S0018926X00024479</t>
  </si>
  <si>
    <t>10.1109/8.841901</t>
  </si>
  <si>
    <t>2-s2.0-0003335283</t>
  </si>
  <si>
    <t>F19628-95-C-0060</t>
  </si>
  <si>
    <t>['utd formulations', 'tracing techniques', 'surface diffraction', 'realistic computer', 'performed heuristically', 'object interactions', 'object geometries', 'mounted antennas', 'geometrical data', 'general shape', 'facetized objects', 'computed entirely', 'antenna propagation', 'antenna coupling', 'aircraft inter', 'aided design', 'aapg 2000']</t>
  </si>
  <si>
    <t>Design automation | Electromagnetic diffraction | Electromagnetic surface waves | Geometrical Theory of Diffraction | Ray tracing | Uniform Theory of Diffraction</t>
  </si>
  <si>
    <t>The Aircraft inter-Antenna Propagation with Graphics (AAPG) 2000 computer code relies on realistic computer-aided design (CAD) platform geometrical modeling to support Uniform Geometrical Theory of Diffraction (UTD) predictions of antenna-to-antenna coupling for aircraft-mounted antennas. The code employs novel ray-tracing techniques that permit the computation of UTD propagation paths over facetized objects of general shape. Moreover, geometrical data, required by UTD formulations for wedge and smooth-surface diffraction and reflection, are computed entirely from path and facetized-object geometries. Since the entire object representation in AAPG 2000 is in terms of facets, division of path-object interactions into wedge and smooth-surface cases must be performed heuristically.</t>
  </si>
  <si>
    <t>100-106</t>
  </si>
  <si>
    <t>60032949;101675907;60032949;60032949;60032949;101675907</t>
  </si>
  <si>
    <t>6603250937;7005024625;54781764400;6506528503;6506648535;6504006101</t>
  </si>
  <si>
    <t>Hussar, Paul E.;Oliker, Vladimir;Riggins, Homer L.;Smith-Rowland, Edward M.;Klocko, William R.;Prussner, Laird</t>
  </si>
  <si>
    <t>Chicago;Atlanta</t>
  </si>
  <si>
    <t>IIT Research Institute;Matis, Inc.</t>
  </si>
  <si>
    <t>60032949;101675907</t>
  </si>
  <si>
    <t>Hussar P.</t>
  </si>
  <si>
    <t>An implementation of the UTD on facetized CAD platform models</t>
  </si>
  <si>
    <t>10.1109/74.842127</t>
  </si>
  <si>
    <t>2-s2.0-0004774299</t>
  </si>
  <si>
    <t>['two setae', 'superfamily augaptiloidea', 'species belongs', 'praecoxal endites', 'paragnathal envelope', 'new genus', 'mandibular endopod', 'mandible outside', 'griceus buskeyi', 'coxal endites', 'coxal endite', 'calanoid copepods', 'antenna 2', 'abdominal somites', '4 suggests']</t>
  </si>
  <si>
    <t>The new genus and species of deep-sea, benthopelagic calanoid copepod, Griceus buskeyi, differs from other calanoid copepods in the following derived character states: dorsal interlocking extensions of abdominal somites; antenna 2, mandible, and maxilla 1 originate posterior to the labrum and paragnaths; coxal endite of the mandible outside of the labral-paragnathal envelope; praecoxal and coxal endites of maxilla 1 unarmed; praecoxal endites of maxilla 2 unarmed; endopod of maxilliped with four articulating segments. Two setae on middle endopodal segment of swimming legs 3 and 4 suggests the new genus and species belongs to the superfamily Augaptiloidea. A mandibular endopod which is reduced in size to a small unarmed lobe and absence of an endopod on maxilla 1 suggests an affinity with the arietellid genus Paraugaptilus Wolfenden.</t>
  </si>
  <si>
    <t>77-87</t>
  </si>
  <si>
    <t>60007670;60007670</t>
  </si>
  <si>
    <t>7203060270;6602436583</t>
  </si>
  <si>
    <t>Ferrari, Frank D.;Markhaseva, E. L.</t>
  </si>
  <si>
    <t>Smithsonian National Museum of Natural History</t>
  </si>
  <si>
    <t>Ferrari F.</t>
  </si>
  <si>
    <t>Griceus buskeyi, a new genus and species of calanoid copepod (Crustacea) from benthopelagic waters off Hawaii</t>
  </si>
  <si>
    <t>2-s2.0-0005686445</t>
  </si>
  <si>
    <t>['‚ äô', 'starburst phase', 'scuba 450', 'quiescent galaxies', 'prominent emission', 'overlap area', 'observations suggest', 'ngc 4038', 'mutually triggered', 'merging galaxies', 'isophot 60', 'infrared emission', 'galaxy disks', 'found like', 'far separated', 'dust mass', 'considerable fraction', 'concentrating kernels', 'common phenomenon', 'cold dust', 'coincide excellently', 'co maps', 'clouds rotating', 'angular momentum', 'also responsible', 'active starbursts', '850 maps', '6 cm', '30 k', '20 k', '15 œºm']</t>
  </si>
  <si>
    <t>Galaxies: fundamental parameters | Galaxies: individual | Galaxies: interactions | Galaxies: photometry | Infrared: galaxies</t>
  </si>
  <si>
    <t>SCUBA 450 and 850 maps of the Antennae Galaxy resolve the nuclei of NGC 4038/39 and two prominent regions in the overlap area of the galaxy disks. They coincide excellently with bright emission peaks seen on 15 Œºm, 6 cm and CO maps. ISOPHOT 60 and 100 Œºm maps reveal that the overlap area and the NGC 4038 nucleus are also responsible for the bulk of the far-infrared emission. In addition to the prominent emission from dust at a temperature of about 30 K, typical for active starburst galaxies, cold dust at temperatures below 20 K is found like in quiescent galaxies and dense cloud complexes. Thus, the observations suggest a common phenomenon for merging galaxies: besides the warm dust heated by active starbursts they possess simultaneously dense concentrations of cold dust which are presumably in a pre-starburst phase. The dust mass in the two overlap region knots is about 107 M‚äô which comprises a considerable fraction of the typical dust content of a whole spiral galaxy. Such a high concentration could be explained by an initial inelastic collision of clouds which loose their angular momentum and serve as concentrating kernels into which the other clouds rotating in the disks are running. The two submm knots seem to comprise independent kernels, since they are too far separated to be mutually triggered.</t>
  </si>
  <si>
    <t>Astronomy and Astrophysics</t>
  </si>
  <si>
    <t>60007268;60007268;60019537;60007268-60006858;60009037</t>
  </si>
  <si>
    <t>24829177700;7003958093;7005129560;6603411034;56164327200</t>
  </si>
  <si>
    <t>Haas, M.;Klaas, U.;Coulson, I.;Thommes, E.;Xu, C.</t>
  </si>
  <si>
    <t>United States;United States;Germany;United Kingdom</t>
  </si>
  <si>
    <t>Honolulu;Pasadena;Heidelberg;Edinburgh</t>
  </si>
  <si>
    <t>University Hawaii Institute for Astronomy;Jet Propulsion Laboratory;Max Planck Institute for Astronomy;Royal Observatory</t>
  </si>
  <si>
    <t>60019537;60009037;60007268;60006858</t>
  </si>
  <si>
    <t>Haas M.</t>
  </si>
  <si>
    <t>The cold dust concentrations in the colliding galaxies NGC 4038/39</t>
  </si>
  <si>
    <t>2-s2.0-0006225924</t>
  </si>
  <si>
    <t>['technical feasibility', 'scalp infection', 'rf generator', 'rf antennas', 'response rate', 'reasonable tolerance', 'phantom model', 'minor complication', 'major complications', 'implanted catheters', 'clinically applicable', 'cases confirmed', 'antitumor effects', '53 %.', '2 cases']</t>
  </si>
  <si>
    <t>Canine model | Clinical trial | Malignant brain tumor | Phantom study | Radiofrequency hyperthermia</t>
  </si>
  <si>
    <t>RF interstitial hyperthermia system for the treatment of malignant brain tumors was developed using gold-made RF antennas and RF generator. RF antennas were demonstrated in a phantom model and tested in normal canine model to achieve satisfied temperature distributions. Furthermore, to apply this new modality clinically, Phase I-II trial involving thirty patients with malignant brain tumors was undertaken. All cases confirmed the ability of RF interstitial hyperthermia to obtaine the technical feasibility and reasonable tolerance for the patients was documented. The antitumor effects were evaluated by CT, and the treated tumors showed CR in 5, PR in 11, ST in 12 and PD in 2 cases, respectively. Response rate (CR + PR) was 53%. There were no major complications. Transient cerebral edema, liquorrhea, small hemorrhage beside the implanted catheters and scalp infection were observed as a minor complication. In conclusion, RF interstitial hyperthermia can be clinically applicable in the treatment for malignant brain tumors because of its less-invasiveness.</t>
  </si>
  <si>
    <t>Eksperimentalnaya Onkologiya</t>
  </si>
  <si>
    <t>60022313;60022313;60022313;60022313;60022313;60022313;60022313;60022313</t>
  </si>
  <si>
    <t>57192151202;56254300000;36900002700;6602589129;55473987200;57214637633;7102059365;36043782700</t>
  </si>
  <si>
    <t>Takahashi, H.;Suda, T.;Motoyama, H.;Uzuka, T.;Takahashi, S.;Marita, K.;Kakinuma, K.;Tanaka, R.</t>
  </si>
  <si>
    <t>Takahashi H.</t>
  </si>
  <si>
    <t>Radiofrequency interstitial hyperthermia of malignant brain tumors: Development of heating system</t>
  </si>
  <si>
    <t>2-s2.0-0006276913</t>
  </si>
  <si>
    <t>['wholebody antennas', 'surface antennas', 'noise ratio', 'maximum snr', 'magnetic dipole', 'loop coil', 'human body', 'homogeneous half', 'electromagnetic fields', 'derived formulas']</t>
  </si>
  <si>
    <t>Magnetic resonance | Signal-to-noise ratio</t>
  </si>
  <si>
    <t>Approximating the human body by a homogeneous half-space or cylinder the electromagnetic fields of surface antennas or wholebody antennas for magnetic resonance imaging (MRI) can analytically be calculated. Using these expressions the signal-to-noise ratio (SNR) of a general magnetic resonance detecting antenna can be predicted. We show how the optimum magnetic resonance antenna must look like to achieve the maximum SNR, which will also be presented. Finally, we apply the derived formulas to special antenna geometries like the singleand the double-loop coil, the magnetic dipole, and the "birdcage" resonator. ¬© 2000 IEEE.</t>
  </si>
  <si>
    <t>418-428</t>
  </si>
  <si>
    <t>Schnell, Wilfried</t>
  </si>
  <si>
    <t>Schnell W.</t>
  </si>
  <si>
    <t>Ultimate signal-to-noise-ratio of surface and body antennas for magnetic resonance imaging</t>
  </si>
  <si>
    <t>S0018926X00024613</t>
  </si>
  <si>
    <t>10.1109/8.841903</t>
  </si>
  <si>
    <t>2-s2.0-0006424503</t>
  </si>
  <si>
    <t>['relative position', 'regions near', 'reference point', 'radio sources', 'previous determinations', 'precision phase', 'one tenth', 'observed sources', 'millimeter wavelengths', 'millimeter arrays', 'lower frequencies', 'largely free', 'ideal tool', 'differential phase', 'delay residuals', 'bl 2007', 'ambiguous definitions', 'advanced enough', 'absolute kinematics', '43 ghz']</t>
  </si>
  <si>
    <t>Astrometry | Galaxies: BL lacertae objects: individual: BL 2007+777 | Galaxies: quasars: individual: QSO 1928+738 | Techniques: interferometric</t>
  </si>
  <si>
    <t>From 43 GHz VLBA observations of the pair of radio sources QSO 1928+738 and BL 2007+777 we have demonstrated the feasibility of precision phase-delay differential astrometric techniques at millimeter wavelengths. For a pair of sources with 5¬∞ separation and high antenna elevations, we have shown that present astrometric models and millimeter arrays are advanced enough to model the differential phase-delay to within 2 picoseconds, less than one tenth of a phase-cycle at 43 GHz. The root-mean-square of the differential phase-delay residuals is dominated by the fluctuations of the atmospheric water vapor. We have determined the relative position of the observed sources with a precision twofold better than previous determinations at lower frequencies and, more importantly, largely free from ambiguous definitions of the reference point on the structure of the radio sources. Our result makes 43 GHz VLBI phase-delay differential astrometry an ideal tool to study the absolute kinematics of the highly variable structures of regions near the core of extragalactic radio sources.</t>
  </si>
  <si>
    <t>60002644;60002644;60002644;60001754</t>
  </si>
  <si>
    <t>6701378443;7003522277;6603863712;7102531000</t>
  </si>
  <si>
    <t>Guirado, J. C.;Marcaide, J. M.;P√©rez-Torres, M. A.;Ros, E.</t>
  </si>
  <si>
    <t>Spain;Germany</t>
  </si>
  <si>
    <t>Valencia;Bonn</t>
  </si>
  <si>
    <t>Universitat de Val√®ncia;Max Planck Institute for Radio Astronomy</t>
  </si>
  <si>
    <t>60002644;60001754</t>
  </si>
  <si>
    <t>Guirado J.C.</t>
  </si>
  <si>
    <t>VLBI difference astrometry at 43 GHz</t>
  </si>
  <si>
    <t>2-s2.0-0008609006</t>
  </si>
  <si>
    <t>['z )-', 'uninfested seedlings', 'uninfested maize', 'significantly attractive', 'present study', 'individual compounds', 'hexenyl acetate', 'female parasitoid', 'doses tested', 'different doses', 'detectable amounts', 'blend comprised', '(¬£)- 4']</t>
  </si>
  <si>
    <t>Braconidae | Cliilo f'nrtcllns | Coicsia flavipes | GC-EAD | Plant volatiles | Pyralidae | Tritrophic system | Zen innys</t>
  </si>
  <si>
    <t>In the present study, Y-tube olfactometric assays confirmed that volatiles from maize seedlings infested with Chih partclliis larvae were more attractive to the borer's larval endoparasitoid Cotcsia flavipes, than volatiles from uninfested maize. Coupled gas chromatographyelectroantennographic detector (GC-EAD) analysis of the volatiles from, larvae-infested maize revealed six electrophysiologically active compounds on the antennae of the female parasitoid. These compounds were identified by GC-MS as (Z)-S-hexenyl acetate, linalool, (E)-4,8-dimethyl-l,3,7-nonatriene, heptanal, (E)-Œ≤-ocimene and a C-5 aliphatic compound. (¬£)-4,8-Dimethyl-l, 3, 7-nonatriene was present in EAG-detectable amounts in the volatiles of uninfested seedlings. In bioassays, a blend comprised of (Z)-S-hexenyl acetate, linalool, (E)-4,8-dimethyl-1,3,7-nonatriene, (E)-Œ≤-ocimene and heptanal was significantly attractive to the parasitoid. Of the individual compounds, (Z)-3-hexenyl acetate was attractive at the doses tested while (¬£)-4,8-dimethyl-l, 3, 7-nonatriene and heptanal showed varying degree of attractiveness to the parasitoid at different doses. Linalool and (E)-Œ≤-ocimene were unattractive at the same doses. The significance of these results is discussed. ¬©2000 ICIPE.</t>
  </si>
  <si>
    <t>181-189</t>
  </si>
  <si>
    <t>Insect Science and its Application</t>
  </si>
  <si>
    <t>60051492;60051492;60051492;60051492</t>
  </si>
  <si>
    <t>14062381700;6602710622;6602815334;7004266507</t>
  </si>
  <si>
    <t>Nci-Song, Adele J.;Njagi, Peter G.N.;Torto, Baldwyn;Overholt, William A.</t>
  </si>
  <si>
    <t>Kenya</t>
  </si>
  <si>
    <t>Nairobi</t>
  </si>
  <si>
    <t>International Centre of Insect Physiology and Ecology Nairobi</t>
  </si>
  <si>
    <t>Nci-Song A.</t>
  </si>
  <si>
    <t>Identification of behaviourally active components from maize volatiles for the stemborer parasitoid cotes/a flavipes cameron (hymenoptera: braconidae)</t>
  </si>
  <si>
    <t>2-s2.0-0012296559</t>
  </si>
  <si>
    <t>['whip antenna', 'radiation patterns', 'operator wears', 'mounted antenna', 'mhz band', 'human body', 'higher gain', 'excellent performance', 'antenna provides', '5 dbd']</t>
  </si>
  <si>
    <t>Human body-mounted antenna | PIFA</t>
  </si>
  <si>
    <t>A new planar antenna, suitable for use on a shoulder, has been studied for police and fire service portable radios in the 350-MHz band. This shoulder-mounted antenna, which is a type of planar inverted F antenna (PIFA), features extreme compactness while maintaining a higher gain than that of a conventional whip antenna and small impedance changes in the presence of a human body. The low-profile structure enables the antenna to be unseen when the operator wears a jacket. A prototype of the antenna has been built and tested, and the measured impedance characteristics and the radiation patterns are presented. Emphasis is placed on the effect of the human body. The antenna provides a gain of -5.5 dBd, which is 3.5 dB higher than that of a whip antenna. Field measurements verified the excellent performance under a multiple propagation environment. ¬© 2000 IEEE.</t>
  </si>
  <si>
    <t>1041-1044</t>
  </si>
  <si>
    <t>60107350;60107350;60107350</t>
  </si>
  <si>
    <t>7404212156;57207902469;55701090300</t>
  </si>
  <si>
    <t>Ogawa, Koichi;Uwano, Tomoki;Takahashi, Masao</t>
  </si>
  <si>
    <t>Ogawa K.</t>
  </si>
  <si>
    <t>A shoulder-mounted planar antenna for mobile radio applications</t>
  </si>
  <si>
    <t>S0018954500035234</t>
  </si>
  <si>
    <t>10.1109/25.845120</t>
  </si>
  <si>
    <t>2-s2.0-0033706779</t>
  </si>
  <si>
    <t>971-0916-072-2</t>
  </si>
  <si>
    <t>['viterbi decoders', 'using base', 'sequence code', 'proposed system', 'far resistance', 'division multiple', 'decorrelating filter', 'coding gain', 'coded direct', 'asynchronous channels', 'asymptotic cases']</t>
  </si>
  <si>
    <t>Asynchronous channels | Multiuser detector | Trellis-coded modulation</t>
  </si>
  <si>
    <t>In this paper, we propose and analyze a multiuser receiver using a decorrelating filter and Viterbi decoders for trellis-coded direct-sequence code-division multiple-access (DS/CDMA) systems with biorthogonal signal constellation in asynchronous channels. The biorthogonality is implemented by user signature waveforms and the decorrelating filter. The performance of the proposed system is investigated with emphasis on the asymptotic cases: it is shown that the proposed system provides us with some coding gain and near-far resistance. It is confirmed that we can enhance the performance of the proposed system by using base-station antenna arrays. ¬© 2000 IEEE.</t>
  </si>
  <si>
    <t>844-855</t>
  </si>
  <si>
    <t>60001558;60032144;60018986;60001558;60032144-60018986</t>
  </si>
  <si>
    <t>36062498000;57193914023;56981384400;36064388500;36068571100</t>
  </si>
  <si>
    <t>Kim, Kwang Soon;Song, Lickho;Kim, Hong Gil;Kim, Yun Hee;Kim, Sun Yong</t>
  </si>
  <si>
    <t>Daejeon;Chuncheon;Daejeon</t>
  </si>
  <si>
    <t>Korea Advanced Institute of Science and Technology;Hallym University;Electronics and Telecommunications Research Institute</t>
  </si>
  <si>
    <t>60032144;60018986;60001558</t>
  </si>
  <si>
    <t>A multiuser receiver for trellis-coded DS/CDMA systems in asynchronous channels</t>
  </si>
  <si>
    <t>S0018954500036926</t>
  </si>
  <si>
    <t>10.1109/25.845103</t>
  </si>
  <si>
    <t>2-s2.0-0033715305</t>
  </si>
  <si>
    <t>['second part', 'large arrays', 'diffraction method', 'backed apertures']</t>
  </si>
  <si>
    <t>Electromagnetic diffraction | Floquet expansions | Phased-array antennas</t>
  </si>
  <si>
    <t>This second part of a two-paper sequence deals with the generalization to three-dimensional (3-D) arrays of the truncated Floquet wave (TFW) diffraction method for the full wave analysis of large arrays. This generalization potentially includes arrays consisting of microstrip excited slots, cavity-backed apertures, and patches. The formulation is carried out first by deriving an appropriate fringe integral equation (IE) and next by defining entire domain basis functions in terms of global-array functions shaped as TFW diffracted rays whose analytical expression is derived on the basis of prototype canonical problems. The efficiency and the accuracy of this method is demonstrated by comparison with the results of an element-by-element full wave approach for a rectangular slot array. ¬© 2000 IEEE.</t>
  </si>
  <si>
    <t>601-611</t>
  </si>
  <si>
    <t>60002838;60000251-60002838;60000251-60012162;60031159</t>
  </si>
  <si>
    <t>7102618489;7005998607;24766561500;56248884500</t>
  </si>
  <si>
    <t>Neto, Andrea;Maci, Stefano;Vecchi, Giuseppe;Sabbadini, Marco</t>
  </si>
  <si>
    <t>Netherlands;Italy;Italy;United States</t>
  </si>
  <si>
    <t>Noordwijk aan Zee;Turin;Siena;New York</t>
  </si>
  <si>
    <t>ESTEC - European Space Research and Technology Centre;Politecnico di Torino;Universit√† degli Studi di Siena;IEEE</t>
  </si>
  <si>
    <t>60031159;60012162;60002838;60000251</t>
  </si>
  <si>
    <t>Neto A.</t>
  </si>
  <si>
    <t>A truncated Floquet wave diffraction method for the full-wave analysis of large phased arrays-part II: Generalization to 3-D cases</t>
  </si>
  <si>
    <t>S0018926X00024510</t>
  </si>
  <si>
    <t>10.1109/8.843675</t>
  </si>
  <si>
    <t>2-s2.0-0033719931</t>
  </si>
  <si>
    <t>['unknown function', 'unknown currents', 'three diffracted', 'small number', 'simple interpretation', 'sequence deals', 'second part', 'recently described', 'physical interpretation', 'paper deals', 'large phased', 'infinite configuration', 'infinite array', 'floquet waves', 'first part', 'finite array', 'field diffracted', 'exact solution', 'efficiently represented', 'efficient method', 'dominant phenomenon', 'dimensional example', 'current perturbation', 'basis functions', 'basic concepts', 'array edge', 'array antennas', 'appropriate generalization', 'also permits', 'accurately represented']</t>
  </si>
  <si>
    <t>This two-part sequence deals with the formulation of an efficient method for the full wave analysis of large phased-array antennas. This is based on the method of moments (MoM) solution of a fringe integral equation (IE) in which the unknown function is the difference between the exact solution of the finite array and that of the associated infinite array. The unknown currents can be interpreted as produced by the field diffracted at the array edge, which is excited by the Floquet waves (FW's) pertinent to the infinite configuration. Following this physical interpretation, the unknown in the IE is efficiently represented by a very small number of basis functions with domain on the entire array aperture. In order to illustrate the basic concepts, the first part of this sequence deals with the two-dimensional example of a linearly phased slit array. It is shown that the dominant phenomenon for describing the current perturbation with respect to the infinite array is accurately represented in most cases by only three diffracted-ray-shaped unknown functions. This also permits a simple interpretation of the element-by-element current oscillation, which was recently described by other authors. The second part of this paper deals with the appropriate generalization of this method to three-dimensional (3-D) arrays. ¬© 2000 IEEE.</t>
  </si>
  <si>
    <t>594-600</t>
  </si>
  <si>
    <t>A truncated Floquet wave diffraction method for the full wave analysis of large phased arrays-part I: Basic principles and 2-D cases</t>
  </si>
  <si>
    <t>S0018926X00024509</t>
  </si>
  <si>
    <t>10.1109/8.843674</t>
  </si>
  <si>
    <t>2-s2.0-0033726309</t>
  </si>
  <si>
    <t>ECS-‚Äú99013 61</t>
  </si>
  <si>
    <t>['wider class', 'processing methodology', 'paper presents', 'novel approach', 'norbert wiener', 'ergodic structure', 'efficient computation', 'deterministic approach', 'array antennas', 'also delineated', 'adaptive weights', 'adaptive signal', 'adaptive processing', 'adaptive antennas']</t>
  </si>
  <si>
    <t>Adaptive arrays | Adaptive signal processing | Array signal processing | Multipath channels | Shaped beam antennas | Sidelobe cancellation</t>
  </si>
  <si>
    <t>This paper presents a novel approach for efficient computation of adaptive weights in phased-array antennas. The fundamental philosophical differences between adaptive antennas and adaptive signal-processing methodology are also delineated in the introduction. This approach, unlike the conventional statistical techniques, eliminates the requirement for an interference covariance matrix, and represents a rethinking of the entire conventional approach to adaptive processing. This approach provides greater flexibility in solving a wider class of problems, at the expense of a slightly reduced number of degrees of freedom. It is important to note that the application of a deterministic approach to address stochastic problems with an ergodic structure can be seen in the works of Norbert Wiener and A. N. Kolmogorov, as outlined in the introduction. This paper presents examples to illustrate the effectiveness and uniqueness of this new pragmatic approach. ¬©2000 IEEE.</t>
  </si>
  <si>
    <t>39-55</t>
  </si>
  <si>
    <t>60030551;60030551;100377123;100377123;60019228;60024872;125301693</t>
  </si>
  <si>
    <t>55650323300;7201756983;7004221282;6602599267;7005187912;55413900600;56277552400</t>
  </si>
  <si>
    <t>Sarkar, Tapan K.;Koh, Jinwan;Adve, Raviraj;Schneible, Richard A.;Wicks, Michael C.;Choi, Seungwon;Palma, Magdalena Salazar</t>
  </si>
  <si>
    <t>United States;South Korea;United States;Spain;United States</t>
  </si>
  <si>
    <t>Syracuse;Seoul;Dayton;Madrid;Roma</t>
  </si>
  <si>
    <t>Syracuse University;Hanyang University;Air Force Research Laboratory;Sistemas y Radiocommunicacion;Research Associates for Defense Conversion</t>
  </si>
  <si>
    <t>60030551;60024872;60019228;125301693;100377123</t>
  </si>
  <si>
    <t>Sarkar T.K.</t>
  </si>
  <si>
    <t>A pragmatic approach to adaptive antennas</t>
  </si>
  <si>
    <t>10.1109/74.842124</t>
  </si>
  <si>
    <t>2-s2.0-0033736729</t>
  </si>
  <si>
    <t>['temperature variations', 'structural loads', 'satisfactory convergence', 'required accuracy', 'pointing errors', 'pointing accuracy', 'paper presents', 'meter antennas', 'manufacturing imperfections', 'instrumentation necessary', 'inclinometer data', 'error estimation', 'derives algorithms', 'created look', 'conical scanning', 'comparison shows', 'assumed flat', 'antenna structure', 'actual measurements', '5 mm']</t>
  </si>
  <si>
    <t>Antenna mechanical factors | Antenna tolerance analysis | Pointing systems | Satellite communication | Satellite tracking | Scanning antennas | Space vehicle tracking</t>
  </si>
  <si>
    <t>The 34-meter antennas of the NASA Deep Space Network are "wheel and track" antennas. The latter term refers to a set of wheels at the base of the structure, which roll on a circular steel track supported by a concrete foundation ring. The track is assumed flat; however, its level varies due to manufacturing imperfections, structural loads, non-uniformity of the soil, and temperature variations. It is specified that the deviations of the azimuth-track level shall not exceed ¬± 0.5 mm. During tracking, this amplitude of deviations causes deformations of the antenna structure, resulting in pointing errors of ¬± 2 mdeg, which exceed the required accuracy for 32-GHz (Ka-band) tracking. However, structural deformations caused by the azimuth track unevenness are repeatable; therefore, a look-up table can be created to improve the blind-pointing accuracy. This paper presents the process for creation of the look-up table, describes the instrumentation necessary for determining the pointing errors, and describes the processing of inclinometer data. It derives algorithms for the pointing-error estimation, and for the azimuth-axis tilt using the inclinometer data. It compares the error corrections based on the created look-up table and actual measurements of pointing errors using the conical scanning (conscan) technique. This comparison shows a satisfactory convergence that justifies the implementation of the approach in forthcoming NASA missions. ¬©2000 IEEE.</t>
  </si>
  <si>
    <t>28-38</t>
  </si>
  <si>
    <t>7006777295;6508261223;6602121417</t>
  </si>
  <si>
    <t>Gawronski, Wodek;Baher, Farrokh;Quintero, Ofelia</t>
  </si>
  <si>
    <t>Gawronski W.</t>
  </si>
  <si>
    <t>Azimuth-track level compensation to reduce blind-pointing errors of the deep space network antennas</t>
  </si>
  <si>
    <t>10.1109/74.842123</t>
  </si>
  <si>
    <t>2-s2.0-0033737259</t>
  </si>
  <si>
    <t>3200-055928.98/1</t>
  </si>
  <si>
    <t>['walking person', 'vertical lift', 'velocity variation', 'unlimited number', 'unconstrained free', 'triaxial accelerometer', 'studied whether', 'step variability', 'receivers allow', 'perfect correlation', 'low back', 'living environment', 'individual step', 'human locomotion', 'high frequency', 'gps technique', 'free pace', 'external work', 'different parameters', 'constant speed', 'average intra', 'athletics track', 'also analyzed', 'accurate enough', '40 ).']</t>
  </si>
  <si>
    <t>Accelerometer | Differential GPS | External mechanical work | Stride frequency | Walking</t>
  </si>
  <si>
    <t>New Global Positioning System (GPS) receivers allow now to measure a location on earth at high frequency (5Hz) with a centimetric precision using phase differential positioning method. We studied whether such technique was accurate enough to retrieve basic parameters of human locomotion. Eight subjects walked on an athletics track at four different imposed step frequencies (70-130steps/min) plus a run at free pace. Differential carrier phase localization between a fixed base station and the mobile antenna mounted on the walking person was calculated. In parallel, a triaxial accelerometer, attached to the low back, recorded body accelerations. The different parameters were averaged for 150 consecutive steps of each run for each subject (total of 6000 steps analyzed). We observed a perfect correlation between average step duration measured by accelerometer and by GPS (r=0.9998, N=40). Two important parameters for the calculation of the external work of walking were also analyzed, namely the vertical lift of the trunk and the velocity variation per step. For an average walking speed of 4.0km/h, average vertical lift and velocity variation were, respectively, 4.8cm and 0.60km/h. The average intra-individual step-to-step variability at a constant speed, which includes GPS errors and the biological gait style variation, were found to be 24.5% (coefficient of variation) for vertical lift and 44.5% for velocity variation. It is concluded that GPS technique can provide useful biomechanical parameters for the analysis of an unlimited number of strides in an unconstrained free-living environment. Copyright (C) 2000 Elsevier Science Ltd.</t>
  </si>
  <si>
    <t>1717-1722</t>
  </si>
  <si>
    <t>Journal of Biomechanics</t>
  </si>
  <si>
    <t>60000239;60028186;60028186;60000239</t>
  </si>
  <si>
    <t>33167801900;6506049436;6603170065;7103285460</t>
  </si>
  <si>
    <t>Terrier, Philippe;Ladetto, Quentin;Merminod, Bertrand;Schutz, Yves</t>
  </si>
  <si>
    <t>Lausanne;Lausanne</t>
  </si>
  <si>
    <t>Swiss Federal Institute of Technology Lausanne;Universit√© de Lausanne (UNIL)</t>
  </si>
  <si>
    <t>60028186;60000239</t>
  </si>
  <si>
    <t>Terrier P.</t>
  </si>
  <si>
    <t>High-precision satellite positioning system as a new tool to study the biomechanics of human locomotion</t>
  </si>
  <si>
    <t>S0021929000001330</t>
  </si>
  <si>
    <t>10.1016/S0021-9290(00)00133-0</t>
  </si>
  <si>
    <t>2-s2.0-0033817098</t>
  </si>
  <si>
    <t>DAAG-55-97-0132</t>
  </si>
  <si>
    <t>['power compression', 'optical power', 'microwave integrated', 'greater bandwidth', 'fed patches', 'coplanar waveguide', 'conventional microstrip', 'circuits based', 'circuit implementations', 'also provide', 'also presented']</t>
  </si>
  <si>
    <t>Amplifier | CPW | Quasi-optical | Spatial</t>
  </si>
  <si>
    <t>A quasi-optical power-combining amplifier array based on coplanar waveguide (CPW)-fed microstrip patch antennas is introduced in this paper. Both the transmit and receive antennas employ CPW-fed patches. This amplifier is not only compatible with monolithic-microwave integrated-circuit implementations, but can also provide a greater bandwidth than circuits based on conventional microstrip-fed patch antennas. A 4x4 amplifier array was designed and constructed at X-band. Results for the gain and power compression are also presented. ¬© 2000 IEEE.</t>
  </si>
  <si>
    <t>276-280</t>
  </si>
  <si>
    <t>Ortiz, Scan C.</t>
  </si>
  <si>
    <t>Ortiz S.C.</t>
  </si>
  <si>
    <t>A cpw-fed microstrip patch quasi-optical amplifier array</t>
  </si>
  <si>
    <t>S0018948000008450</t>
  </si>
  <si>
    <t>10.1109/22.821775</t>
  </si>
  <si>
    <t>2-s2.0-0033871067</t>
  </si>
  <si>
    <t>['wave propagation', 'wave loss', 'urban areas', 'transmitting antennas', 'three building', 'qualitative derivation', 'proposed model', 'propagation phenomena', 'point site', 'operating frequencies', 'new model', 'new height', 'mf obtained', 'mf ground', 'key novelty', 'hf obtained', 'hf ground', 'ground waves', 'gain factor', 'experimental data', 'earlier models', 'complex parameters', 'coarse prediction', 'calculation using', 'calculate either', 'building parameters']</t>
  </si>
  <si>
    <t>Electromagnetic propagation | Ground wave propagation | HF radio propagation | MF radio propagation | Urban areas</t>
  </si>
  <si>
    <t>Following the discussions [1] on the propagation phenomena and regularities of ground waves at HF, observed in urban areas in China, and processing the experimental data at HF obtained from 1993 through 1997 and those at MF obtained in 1995 and 1997 in Beijing, a new model for MF and HF ground-wave propagation in urban areas is proposed in this paper. The key novelty in the proposed model is the inclusion of three building-complex parameters, rb, rx and rc, and a new height-gain factor, Gh. A qualitative derivation of these is offered. The method of selecting these building parameters is discussed. Some HF and MF ground-wave propagation losses, which occur under several different conditions of the operating frequencies, the heights, and the locations of the transmitting antennas, are calculated by means of the new model and, for contrast, by means of some earlier models. The new model can be used to calculate either the coarse prediction of ground-wave loss, or to calculate fire predictions, oven for a point site. The accuracy of the calculation using the new model is superior to that of the earlier models. ¬© 2000 IEEE.</t>
  </si>
  <si>
    <t>21-33</t>
  </si>
  <si>
    <t>Lichun, Luo</t>
  </si>
  <si>
    <t>Institute of North Electronic Equipment</t>
  </si>
  <si>
    <t>Lichun L.</t>
  </si>
  <si>
    <t>A new MF and HF ground-wave model for urban areas</t>
  </si>
  <si>
    <t>10.1109/74.826345</t>
  </si>
  <si>
    <t>2-s2.0-0033873267</t>
  </si>
  <si>
    <t>['volume electric', 'usually sufficient', 'results using', 'previous literature', 'numerically solving', 'new results', 'inhomogeneous media', 'field integral', 'basis functions', 'analyzed using', 'accurate determination']</t>
  </si>
  <si>
    <t>Dielectric antennas | Dielectric resonators | Integral equations | Nonhomogeneous media</t>
  </si>
  <si>
    <t>In this paper, dielectric resonators possessing separable-coordinate geometries immersed in planarly-inhomogeneous media are analyzed using a volume electric-field integral-equation (IE)/Galerkin's technique. A three-dimensional complete entiredomain basis function set is utilized in numerically solving the IE. It is shown that a few terms of one physically significant subset of basis functions are usually sufficient for the accurate determination of complex resonant frequencies of cylindrical and rectangular resonators immersed in homogeneous and planarly inhomogeneous environments. The results using a few basis functions show good agreement with the previous literature, and new results are presented for some rectangular resonator geometries. ¬© 2000 IEEE.</t>
  </si>
  <si>
    <t>84-92</t>
  </si>
  <si>
    <t>60019909;60019909</t>
  </si>
  <si>
    <t>56169932000;57203229560</t>
  </si>
  <si>
    <t>Lin, Shu Li;Hanson, George W.</t>
  </si>
  <si>
    <t>Milwaukee</t>
  </si>
  <si>
    <t>University of Wisconsin-Milwaukee</t>
  </si>
  <si>
    <t>An efficient full-wave method for analysis of dielectric resonators possessing separable geometries immersed in inhomogeneous environments</t>
  </si>
  <si>
    <t>S0018948000002209</t>
  </si>
  <si>
    <t>10.1109/22.817475</t>
  </si>
  <si>
    <t>2-s2.0-0033874035</t>
  </si>
  <si>
    <t>['weather constraints', 'solution adopted', 'secondary foci', 'radio astronomy', 'medicina antenna', 'automatic change']</t>
  </si>
  <si>
    <t>Microwave receivers | Multireflector antennas | Radio astronomy | Reflector antenna feeds | Reflector antenna mechanical factors | Reflector antennas</t>
  </si>
  <si>
    <t>We present a solution adopted for the Medicina antenna to carry out the fast, remote, and automatic change of many microwave receivers used for observation in radio astronomy. This new setup allows the capability to switch receivers located at the antenna's primary and secondary foci in a couple of minutes, without the need of manpower or equipment, and regardless of weather constraints. ¬© 2000 IEEE.</t>
  </si>
  <si>
    <t>54-60</t>
  </si>
  <si>
    <t>60021199;60021199;60021199;60021199</t>
  </si>
  <si>
    <t>6603079667;7003876075;6506465897;7004409727</t>
  </si>
  <si>
    <t>Orfei, Alessandro;Morsiani, Marco;Zacchiroli, Giampaolo;Maccaferri, Giuseppe</t>
  </si>
  <si>
    <t>Orfei A.</t>
  </si>
  <si>
    <t>An agile receiver-switching solution for use with parabolic antennas</t>
  </si>
  <si>
    <t>10.1109/74.826348</t>
  </si>
  <si>
    <t>2-s2.0-0033885655</t>
  </si>
  <si>
    <t>DAAG55-97-K-0132</t>
  </si>
  <si>
    <t>['wave analysis', 'thin substrates', 'thin substrate', 'slot transitions', 'problematic procedure', 'moments integral', 'magnetic discontinuities', 'equation formulation', 'efficiently handle', 'based strip']</t>
  </si>
  <si>
    <t>Electromagnetic analysis | Generalized scattering matrix | Green's functions | Method of moments | Patch | Slot antennas | Waveguide transition</t>
  </si>
  <si>
    <t>In this paper, a method-of-moments integral-equation formulation of a generalized scattering matrix (GSM) is presented for the full-wave analysis of interactive planar electric and magnetic discontinuities in waveguide. This was developed to efficiently handle a variety of waveguide-based strip-to-slot transitions, especially on thin substrates. This single matrix formulation replaces the problematic procedure of cascading individual GSM's of an electric (strip) layer, a thin substrate, and a magnetic (slot) layer. ¬© 2000 IEEE.</t>
  </si>
  <si>
    <t>126-137</t>
  </si>
  <si>
    <t>60004923;60012070;60004923;60012070;60004923</t>
  </si>
  <si>
    <t>57208090295;7201416725;7102666796;7006858788;7103146832</t>
  </si>
  <si>
    <t>Yakovlev, Alexander B.;Khalil, Ahmed I.;Hicks, Chris W.;Mortazawi, Amir;Steer, Michael B.</t>
  </si>
  <si>
    <t>Leeds;Raleigh</t>
  </si>
  <si>
    <t>University of Leeds;NC State University</t>
  </si>
  <si>
    <t>60012070;60004923</t>
  </si>
  <si>
    <t>Yakovlev A.</t>
  </si>
  <si>
    <t>The generalized scattering matrix of closely spaced strip and slot layers in waveguide</t>
  </si>
  <si>
    <t>S0018948000002258</t>
  </si>
  <si>
    <t>10.1109/22.817481</t>
  </si>
  <si>
    <t>2-s2.0-0033888260</t>
  </si>
  <si>
    <t>Teknologi og Produktion, Det Frie Forskningsr√•d</t>
  </si>
  <si>
    <t>9 400 274</t>
  </si>
  <si>
    <t>FTP, DFF</t>
  </si>
  <si>
    <t>['solved using', 'resonance frequency', 'practical waveguide', 'paper presents', 'line coupler', 'integral equations', 'excellent agreement', 'electromagnetic fields', 'edge conditions', 'db coupler', 'boundary conditions', 'accurate integral', '1 db']</t>
  </si>
  <si>
    <t>Coupler | Integral equation | Slot | Strip line | Waveguide</t>
  </si>
  <si>
    <t>This paper presents a practical waveguide-tostrip-line coupler. An accurate integral-equation model satisfying all boundary conditions for the electromagnetic fields and all edge conditions for the currents are described. The integral equations are solved using the method of moments. An experimental -5-dB coupler has been built. Measured and computed scattering parameters are in excellent agreement. The waveguide-to-strip-line coupling terms agrees within 0.1 dB at the resonance frequency. The discussion and the presented data provides physical insight to the operation of the coupler itself. ¬© 2000 IEEE.</t>
  </si>
  <si>
    <t>226-238</t>
  </si>
  <si>
    <t>√òstergaard, Allan</t>
  </si>
  <si>
    <t>Lystrup</t>
  </si>
  <si>
    <t>Terma AS</t>
  </si>
  <si>
    <t>√òstergaard A.</t>
  </si>
  <si>
    <t>A full-wave electromagnetic model for the waveguide-to-strip-line coupler using vias for confinement of parallel-plate modes</t>
  </si>
  <si>
    <t>S0018948000008504</t>
  </si>
  <si>
    <t>10.1109/22.821768</t>
  </si>
  <si>
    <t>2-s2.0-0033890361</t>
  </si>
  <si>
    <t>['te modes', 'spectral domain', 'spatial domain', 'sommerfeld identity', 'second step', 'results obtained', 'remaining part', 'oriented electric', 'generalized pencil', 'functions approximated', 'function method', 'form green', 'first step', 'domain green', 'domain closed', 'coupled tm', 'complex exponentials', 'closed forms', 'arbitrary layer']</t>
  </si>
  <si>
    <t>Closed forms | Cylinders | Cylindrical antennas | Green's function | Hankel transforms | Nonhomogeneous media | Spectral-domain analysis</t>
  </si>
  <si>
    <t>A numerically efficient technique is developed to obtain the spatial-domain closed-form Green's functions of the electric and magnetic fields due to z- and œÜ-oriented electric and magnetic sources embedded in an arbitrary layer of a cylindrical stratified medium. First, the electric- and magnetic-field components representing the coupled TM and TE modes are derived in the spectral domain for an arbitrary observation layer. The spectral-domain Green's functions are then obtained and approximated in terms of complex exponentials in two consecutive steps by using the generalized pencil of function method. For the Green's functions approximated in the first step, the large argument behavior of the zeroth-order Hankel functions is used for the transformation into the spatial domain with the use of the Sommerfeld identity. In the second step, the remaining part of the Green's functions are approximated on two complementary parts of a proposed deformed path and transformed into the spatial domain, analytically. The results obtained in the two consecutive steps are combined to yield the spatial-domain Green's functions in closed forms. ¬© 2000 IEEE.</t>
  </si>
  <si>
    <t>40-49</t>
  </si>
  <si>
    <t>60004305;60004305-60003500</t>
  </si>
  <si>
    <t>14018827000;14066998900</t>
  </si>
  <si>
    <t>Tokg√∂z, √áa«ßatay;Durai, G√ºlbin</t>
  </si>
  <si>
    <t>Middle East Technical University (METU);The Ohio State University</t>
  </si>
  <si>
    <t>60004305;60003500</t>
  </si>
  <si>
    <t>Tokg√∂z C.</t>
  </si>
  <si>
    <t>Closed-formgreen's functions for cylindrically stratified media</t>
  </si>
  <si>
    <t>S0018948000002106</t>
  </si>
  <si>
    <t>10.1109/22.817470</t>
  </si>
  <si>
    <t>2-s2.0-0033892102</t>
  </si>
  <si>
    <t>['study demonstrates', 'proper combination', 'paper describes', 'output voltage', 'eliminate wiring', 'circuit topology']</t>
  </si>
  <si>
    <t>Actuators | Free-space power combining and rectification | Microstrip patch, rectenna</t>
  </si>
  <si>
    <t>This paper describes a dual-polarized rectenna capable of producing a 50-V output voltage that can be used for driving mechanical actuators. This study demonstrates a circuit topology that allows the output of multiple rectenna elements to be combined in order to step up the output voltage. In this paper, an independent rectifying circuit is used for each of two orthogonal polarizations. By proper combination, the output voltage is doubled over that of the single polarization case. Such panels are being explored for use on the next-generation space telescope to eliminate wiring between actuators and provide for true mechanical isolation. ¬© 2000 IEEE.</t>
  </si>
  <si>
    <t>111-120</t>
  </si>
  <si>
    <t>60009037;60009037;60024590;60009037</t>
  </si>
  <si>
    <t>6701919037;57199715682;57212723891;14067824400</t>
  </si>
  <si>
    <t>Epp, Larry W.;Khan, Abdur R.;Smith, Hugh K.;Peter Smith, R.</t>
  </si>
  <si>
    <t>Schaumburg;Pasadena</t>
  </si>
  <si>
    <t>Motorola;Jet Propulsion Laboratory</t>
  </si>
  <si>
    <t>60024590;60009037</t>
  </si>
  <si>
    <t>Epp L.W.</t>
  </si>
  <si>
    <t>A compact dual-polarized 8.51-GHz rectenna for high-voltage (50 V) actuator applications</t>
  </si>
  <si>
    <t>S0018948000002234</t>
  </si>
  <si>
    <t>10.1109/22.817479</t>
  </si>
  <si>
    <t>2-s2.0-0033894379</t>
  </si>
  <si>
    <t>['techniques used', 'setting requiring', 'paper presents', 'microwave spectrum', 'material containing', 'loss material', 'housing material', 'high proportion', 'electromagnetic spectrum', 'electrical properties', 'conductive plastic', 'challenges encountered', 'castable thermoplastic', 'carbon black', 'biological tissues', '900 mhz']</t>
  </si>
  <si>
    <t>Dielectric materials | Imaging | Microwave | Phantom | Tissue equivalent</t>
  </si>
  <si>
    <t>A conductive plastic composite that exhibits complex dielectric properties similar to biological tissues over the electromagnetic spectrum of 300-900 MHz has been synthesized from compressed carbon black mixed with a castable thermoplastic. This paper presents the techniques used to control the electrical properties of the conductive plastic and describes the challenges encountered in fabricating a material containing a high proportion of carbon black. While developed to serve as a housing material for a microwave antenna array for imaging biological bodies, the composite should be useful in any setting requiring a stable, solid, high-loss material that simulates biological tissues over the microwave spectrum. ¬© 2000 IEEE.</t>
  </si>
  <si>
    <t>76-81</t>
  </si>
  <si>
    <t>60026175;60030443;60030443;60001844</t>
  </si>
  <si>
    <t>7601551238;7005474447;7003545137;7102750366</t>
  </si>
  <si>
    <t>Chang, John T.;Fanning, Margaret W.;Meaney, Paul M.;Paulsen, Keith D.</t>
  </si>
  <si>
    <t>Hanover;Livermore;Lebanon</t>
  </si>
  <si>
    <t>Thayer School of Engineering at Dartmouth;Lawrence Livermore National Laboratory;Dartmouth-Hitchcock Medical Center</t>
  </si>
  <si>
    <t>60030443;60026175;60001844</t>
  </si>
  <si>
    <t>A conductive plastic for simulating biological tissue at microwave frequencies</t>
  </si>
  <si>
    <t>S001893750002175X</t>
  </si>
  <si>
    <t>10.1109/15.831707</t>
  </si>
  <si>
    <t>2-s2.0-0033904964</t>
  </si>
  <si>
    <t>['vesical carcinoma', 'urethral applicator', 'temperature increase', 'technical modification', 'simulations obtained', 'prostatic urethra', 'placed inside', 'paper deals', 'obtained using', 'microwave thermotherapy', 'experimental results', 'experimental determination', 'electromagnetic studies', 'electromagnetic performance', 'electromagnetic model', 'difference time', 'dielectric permittivities', 'currently used', 'clinical routines', 'bladder cancer', 'anesthetized dogs']</t>
  </si>
  <si>
    <t>Bladder | FDTD | Helical applicator | Microwaves | Radiometry | Thermochemotherapy</t>
  </si>
  <si>
    <t>Microwave thermotherapy is currently used in clinical routines for benign prostatic hyperplasia treatments. The temperature increase is obtained using an endocavitary microwave applicator placed in the prostatic urethra. This urethral applicator after a technical modification can be placed inside the bladder in order to potentiate the effects of the treatment by chemotherapy of vesical carcinoma. This paper deals with electromagnetic studies of this new endocavitary applicator. First of all, the experimental determination of the dielectric permittivities for the propagation domain characterization is achieved in order to be used in the electromagnetic model. Compared to experimental results, these simulations obtained by the finite-difference time-domain formalism allow us to determine the electromagnetic performance of this applicator. Finally, the in vivo study realized on anesthetized dogs to determine the therapeutic protocol associating chemotherapy and thermotherapy in the treatment of the bladder cancer is presented. ¬© 2000 IEEE.</t>
  </si>
  <si>
    <t>633-641</t>
  </si>
  <si>
    <t>100817345;100817345;60013858;60102595;100817345;100817345</t>
  </si>
  <si>
    <t>6506928165;6701735722;6602980643;7003814979;7003411401;7004583077</t>
  </si>
  <si>
    <t>Dietsch, Alain;Camart, Jean Christophe;Sozanski, Jean Pierre;Pr√©vost, Bernard;Mauroy, Brigitte;Chive, Maurice</t>
  </si>
  <si>
    <t>Roubaix;Lille;Algerie</t>
  </si>
  <si>
    <t>Hopital Victor Provo;Centre Oscar Lambret;9929-Universit√© des Sciences et Technologies</t>
  </si>
  <si>
    <t>60102595;60013858;100817345</t>
  </si>
  <si>
    <t>Dietsch A.</t>
  </si>
  <si>
    <t>Microwave thermochemotherapy in the treatment of the bladder carcinoma-electromagnetic and dielectric studies-clinical protocol</t>
  </si>
  <si>
    <t>S001892940003281X</t>
  </si>
  <si>
    <t>10.1109/10.841335</t>
  </si>
  <si>
    <t>2-s2.0-0034024474</t>
  </si>
  <si>
    <t>P01CA042745</t>
  </si>
  <si>
    <t>['vessel walls', 'two pairs', 'thermal imaging', 'temperatures induced', 'stokes equation', 'state flow', 'second employs', 'second ard', 'rf array', 'results show', 'quantitatively access', 'one pair', 'numerical calculations', 'numerical accuracy', 'measured using', 'measured data', 'good agreement', 'first assumed', 'feasible using', 'current vessels', 'current flow', 'chemical shift', 'another pair']</t>
  </si>
  <si>
    <t>Counter-current flow | Finite element | Heat transfer | Hyperthermia | MR proton chemical imaging | Noninvasive thermometry</t>
  </si>
  <si>
    <t>Two numerical techniques are used to calculate the effect of large vessel counter-current flow on hyperthermic temperature distributions. One is based on the Navier-Stokes equation for steady-state flow, and the second employs a convective-type boundary condition at the interface of the vessel walls. Steady-state temperature fields were calculated for two energy absorption rate distributions (ARD) in a cylindrical tissue model having two pairs of counter-current vessels (one pair with equal diameter vessels and another pair with unequal diameters). The first assumed a uniform ARD throughout cylinder; the second ARD was calculated for a tissue cylinder inside an existing four antenna Radiofrequency (RF) array. A tissue equivalent phantom was constructed to verify the numerical calculations. Temperatures induced with the RF array were measured using a noninvasive magnetic resonance imaging technique based on the chemical shift of water. Temperatures calculated using the two numerical techniques are in good agreement with the measured data. The results show: 1) the convective-type boundary condition technique reduces computation time by a factor of ten when compared to the fully conjugated method with little quantitative difference (~0.3 ¬∞C) in the numerical accuracy and 2) the use of noninvasive magnetic resonance imaging (thermal imaging) to quantitatively access the temperature perturbations near large vessels is feasible using the chemical shift technique. ¬© 2000 IEEE Publisher Item Identifier S 0018-9294(00)02635-5.</t>
  </si>
  <si>
    <t>435-443</t>
  </si>
  <si>
    <t>60113147;60008724;60008724;100438098</t>
  </si>
  <si>
    <t>56146843000;35475361200;7005630767;7101682882</t>
  </si>
  <si>
    <t>Craciunescu, Oana I.;Samulski, Thaddeus V.;MacFall, James R.;Clegg, Scott T.</t>
  </si>
  <si>
    <t>Durham;Durham;Gilbert</t>
  </si>
  <si>
    <t>Duke University Medical Center;Duke University;Cerprobe Corp</t>
  </si>
  <si>
    <t>60113147;60008724;100438098</t>
  </si>
  <si>
    <t>Craciunescu O.</t>
  </si>
  <si>
    <t>Perturbations in hyperthermia temerature distributions associated with counter-current flow: Nnumerical simulations and empirical verification</t>
  </si>
  <si>
    <t>10.1109/10.828143</t>
  </si>
  <si>
    <t>2-s2.0-0034071755</t>
  </si>
  <si>
    <t>NSC 86-2221-E-009-31</t>
  </si>
  <si>
    <t>['transmitting frequency', 'transmitting antennas', 'study presents', 'statistical model', 'specific model', 'saturation regions', 'saturation allows', 'satisfactory performance', 'relative ease', 'optimum value', 'one wavelength', 'narrow range', 'measurement sites', 'measured one', 'large number', 'intensity fluctuation', 'indoor environments', 'indoor environment', 'hybrid model', 'finding confirms', 'field scattered', 'factor r', 'ensemble average', 'diversity gain', 'diffused scattering', 'choosing r', 'blind test', '44 ghz']</t>
  </si>
  <si>
    <t>Field strength measurement | Indoor environment | Multipath fading | Radio propagation model | Space diversity</t>
  </si>
  <si>
    <t>This study presents a novel hybrid model based on a two-dimensional (2-D) site-specific model and a statistical model to investigate space diversity in indoor environments. The statistical model describes the field scattered by rough surface boundaries and randomly positioned scatterers which may be important when one or both of the receiving and transmitting antennas are close to the boundaries of the scatterers. Comparing the computed spatial correlation with the measured one with the transmitting frequency at 2.44 GHz at many different sites demonstrates the effectiveness of the hybrid model. In addition to accurately predicting field strength the hybrid model can quantify the relative mean contribution of diffused scattering in an indoor environment with a factor r. The factor is equal to the ratio of ensemble average of a randomly scattered envelope to the spatially averaged envelope. Its optimum value is in a narrow range from 0.3 to 0.5 when the intensity fluctuation at the measurement sites is in or close to saturation regions where a large number of micromultipaths are generated. This finding confirms the relative ease in applying the hybrid model. Experimental results suggest that choosing r = 0.4 in a saturation allows the hybrid model to yield a satisfactory performance as confirmed by a blind test. Moreover good diversity gains can be obtained with an antenna spacing greater than or equal to one wavelength. Our results further demonstrate that the diversity gain of horizontally spaced antennas exceeds that of vertically spaced antennas. ¬© 2000 IEEE.</t>
  </si>
  <si>
    <t>457-466</t>
  </si>
  <si>
    <t>60012370;60012370;60012370;60012370</t>
  </si>
  <si>
    <t>6604045835;7403713363;57199286113;7201525716</t>
  </si>
  <si>
    <t>Tarng, J. H.;Chang, Ruey Shan;Huang, Jiunn Ming;Tu, Yih Min</t>
  </si>
  <si>
    <t>Tarng J.</t>
  </si>
  <si>
    <t>A new and efficient hybrid model for estimating space diversity in indoor environment</t>
  </si>
  <si>
    <t>S0018954500025445</t>
  </si>
  <si>
    <t>10.1109/25.832977</t>
  </si>
  <si>
    <t>2-s2.0-0034156744</t>
  </si>
  <si>
    <t>['urban environments', 'temporal dispersion', 'statistical properties', 'multicluster model', 'model includes', 'laplacian functions', 'laplacian function', 'impinging waves', 'delay pdf', 'better characterized', 'azimuth pdf', 'accurately modeled', 'accurately described']</t>
  </si>
  <si>
    <t>Antenna arrays | Azimuth dispersion | Directional channel model | Propagation model</t>
  </si>
  <si>
    <t>A simple statistical model of azimuthal and temporal dispersion in mobile radio channels is proposed. The model includes the probability density function (pdf) of the delay and azimuth of the impinging waves as well as their expected power conditioned on the delay and azimuth. The statistical properties are extracted from macrocellular measurements conducted in a variety of urban environments. It is found that in typical urban environments the power azimuth spectrum (PAS) is accurately described by a Laplacian function while a Gaussian pdf matches the azimuth pdf. Moreover the power delay spectrum (PDS) and the delay pdf are accurately modeled by an exponential decaying function. In bad urban environments channel dispersion is better characterized by a multicluster model where the PAS and PDS are modeled as a sum of Laplacian functions and exponential decaying functions respectively. ¬© 2000 IEEE.</t>
  </si>
  <si>
    <t>437-447</t>
  </si>
  <si>
    <t>60022134;60022134;60022134</t>
  </si>
  <si>
    <t>7201733345;35584209600;7006510917</t>
  </si>
  <si>
    <t>Pedersen, Klaus Ingemann;Mogensen, Preben E.;Fleury, Bernard H.</t>
  </si>
  <si>
    <t>Pedersen K.</t>
  </si>
  <si>
    <t>A stochastic model of the temporal and azimuthal dispersion seen at the base station in outdoor propagation environments</t>
  </si>
  <si>
    <t>S0018954500025548</t>
  </si>
  <si>
    <t>10.1109/25.832975</t>
  </si>
  <si>
    <t>2-s2.0-0034156745</t>
  </si>
  <si>
    <t>Comisi√≥n Interministerial de Ciencia y Tecnolog√≠a</t>
  </si>
  <si>
    <t>TIC 98-0263</t>
  </si>
  <si>
    <t>CICYT</t>
  </si>
  <si>
    <t>['wireless systems', 'union bound', 'time diversity', 'sufficient depth', 'simple method', 'known method', 'fading environments', 'exact calculation', 'error performance', 'different antennas', 'coded modulation', 'chernoff bound', 'based predetection', 'also shown']</t>
  </si>
  <si>
    <t>Trellis-coded modulation (TCM) when combined with interleaving of sufficient depth is known to provide some form of time diversity that allows for the achievement of good error performance in fading environments. Also space diversity reception in which several signals received at different antennas are combined is a well-known method that can be used to combat the effects of fading in wireless systems. In this paper we consider the analysis of the error performance of reference-based predetection and postdetection diversity systems when used in conjunction with trellis-coded modulation techniques. Based on the combination of the transfer function upper bounding technique with the exact calculation of pairwise error event probabilities we present a new and simple method for exact calculation of the union bound on the average bit error rate (BER) performance of these systems in correlated Rayleigh fading channels. This method has the same complexity as the union-Chernoff bound and some examples are given to illustrate its application. Monte-Carlo simulation results which are more indicative of the exact system performance are also shown. ¬© 2000 IEEE.</t>
  </si>
  <si>
    <t>540-549</t>
  </si>
  <si>
    <t>60009780;60009780</t>
  </si>
  <si>
    <t>7003374416;6602095987</t>
  </si>
  <si>
    <t>Femenias, Guillem;Furio, Ignasi</t>
  </si>
  <si>
    <t>Palma</t>
  </si>
  <si>
    <t>Universitat de les Illes Balears</t>
  </si>
  <si>
    <t>Femenias G.</t>
  </si>
  <si>
    <t>A new simple and exact union bound for reference-based predetection and postdetection diversity TCM-MPSK systems in rayleigh fading</t>
  </si>
  <si>
    <t>S0018954500025500</t>
  </si>
  <si>
    <t>10.1109/25.832985</t>
  </si>
  <si>
    <t>2-s2.0-0034156976</t>
  </si>
  <si>
    <t>['within 0', 'technological problems', 'techniques inherited', 'spatial resolution', 'soil moisture', 'required calibration', 'recently proposed', 'receiving channels', 'receiver noise', 'procedures based', 'noise sources', 'noise generated', 'network losses', 'large number', 'interferometric radiometers', 'feasible alternative', 'especially critical', 'ensemble noise', 'directly applied', 'current space', 'calibration requirements', '5 ¬∞', '050 db']</t>
  </si>
  <si>
    <t>Calibration | Interferometry | Noisy networks | Radiometry</t>
  </si>
  <si>
    <t>The spatial resolution of current space-borne Earth observation radiometers is limited by the physical antenna aperture. This is especially critical at i-band, which exhibits high sensitivity to soil moisture and sea surface salinity. Interferometric radiometers (InR's) are currently being studied by several space agencies as a feasible alternative to overcome this problem. However, their calibration is a crucial issue since most techniques inherited from radio astronomy cannot be directly applied. Due to the large number of receiving channels, calibration techniques based on centralized noise injection from a single noise source will require a large and stable distribution network, which is technically very complex and unacceptable from the point-of-view of mass and volume. Procedures based on distributed noise injection from a set of noise sources through smaller distribution networks have been recently proposed by the authors as an alternative to alleviate these technological problems. In this paper, the analysis of these networks, the impact of the noise generated by the network losses on the calibration, and the impact of front-end reradiated noise are analyzed. Finally, the optimum circuit topologies and tolerances to which these networks have to be characterized in order to achieve the required calibration are derived. These configurations are formed by cascading basic 1: 2 and 1:3 isolated power splitters. Isolators at receivers' inputs have to be included in order to minimize offsets originated from the correlation of reradiation of receiver noise. It has been found that, in order to satisfy the calibration requirements of InR's, the S-parameters of the ensemble noise-injection network plus isolators have to be known to within 0.025-0.050 dB in amplitude and 0.5¬∞ in phase, and their physical temperature known to within 0.5 ¬∞C. ¬©2000 IEEE.</t>
  </si>
  <si>
    <t>545-552</t>
  </si>
  <si>
    <t>4 PART 1</t>
  </si>
  <si>
    <t>7003676233;7005018006;7102336728;7005053049</t>
  </si>
  <si>
    <t>Corbella, Ignasi;Camps, Adriano;Torres, Francesc;Bar√°, Javier</t>
  </si>
  <si>
    <t>Corbella I.</t>
  </si>
  <si>
    <t>Analysis of noise-injection networks for interferometric-radiometer calibration</t>
  </si>
  <si>
    <t>S0018948000027824</t>
  </si>
  <si>
    <t>10.1109/22.842026</t>
  </si>
  <si>
    <t>2-s2.0-0034172335</t>
  </si>
  <si>
    <t>['wave study', 'significant reduction', 'several components', 'scattering parameters', 'relative specialization', 'rectangular waveguides', 'published data', 'numerical evaluation', 'mode filters', 'higher q', 'generally based', 'general junction', 'elliptical waveguides', 'either circular', 'efficient computer', 'data obtained', 'current approaches', 'coupling integrals', 'corrugated horns', 'computer time', 'better manufacturability', 'aided design']</t>
  </si>
  <si>
    <t>Elliptical waveguide | Mode matching | Waveguide discontinuities</t>
  </si>
  <si>
    <t>Elliptical waveguides are currently finding applications in several components as corrugated horns, cavities for dual-mode filters and feeds for reflector antennas since they provide improved flexibility, better manufacturability, and higher Q with respect to either circular or rectangular waveguides. Efficient computer-aided design of components involving elliptical waveguides requires rapid evaluation of the scattering parameters at the discontinuities. To this end, we derive analytical formulas for full-wave study of a general junction between two elliptical waveguides and the relative specialization to the case of a junction between a circular and concentrical elliptical waveguide of larger cross section. With respect to current approaches, which are generally based on the numerical evaluation of the coupling integrals, the proposed analytical formulas allow to achieve a significant reduction of computer time. Results have been tested against published data and have also been compared with data obtained by numerical evaluation of the coupling integrals; in all cases, an almost perfect agreement has been observed. ¬© 2000 IEEE.</t>
  </si>
  <si>
    <t>597-605</t>
  </si>
  <si>
    <t>7005171615;6603553410</t>
  </si>
  <si>
    <t>Mongiardo, Mauro;Tomassoni, Cristiano</t>
  </si>
  <si>
    <t>Modal analysis of discontinuities between elliptical waveguides</t>
  </si>
  <si>
    <t>S0018948000027769</t>
  </si>
  <si>
    <t>10.1109/22.842032</t>
  </si>
  <si>
    <t>2-s2.0-0034172345</t>
  </si>
  <si>
    <t>['thz schottky', 'term mapping', 'spaceborne platform', 'selected components', 'room temperature', 'reproducibly achieved', 'oh radical', 'measured double', 'large portions', 'k dsb', 'important player', 'diode receiver', 'best design', '9000 k']</t>
  </si>
  <si>
    <t>Antenna radiation patterns | Atmospheric measurements | Diplexers | Heterodyning | Horn antennas | Membranes | Micromachining | Noise measurement | Reliability | Satellite applications | Schottky diode mixers | Semiconductor device noise</t>
  </si>
  <si>
    <t>The OH radical is an important player in known ozone depletion cycles; however, due to its location in the atmosphere, it must be studied from either a balloon or spaceborne platform. For long-term mapping over large portions of the earth, a spaceborne platform is the most desirable. NASA's Earth Observing System Microwave Limb Sounder instrument is slated to house a 2.5-THz Schottky-diode receiver for such measurements. In this paper, we describe the design, fabrication, and testing of the receiver front end. Measured double-sideband (DSB) receiver noise temperatures of better than 9000 K are reproducibly achieved with all devices of our best design. Estimated mixer noise is 3500-K DSB for optimal bias conditions and at room temperature. Selected components will be used in the first terahertz heterodyne receiver to be flown in space. ¬© 2000 IEEE.</t>
  </si>
  <si>
    <t>733-739</t>
  </si>
  <si>
    <t>4 PART 2</t>
  </si>
  <si>
    <t>6701310156;7003852382;57212282910;7404842074;14067824400;35549804700</t>
  </si>
  <si>
    <t>Gaidis, Michael C.;Pickett, Herbert M.;Smith, C. D.;Martin, Suzanne C.;Peter Smith, R.;Siegel, Peter H.</t>
  </si>
  <si>
    <t>Gaidis M.C.</t>
  </si>
  <si>
    <t>A 2.5-THz receiver front end for spaceborne applications</t>
  </si>
  <si>
    <t>S0018948000025229</t>
  </si>
  <si>
    <t>10.1109/22.841966</t>
  </si>
  <si>
    <t>2-s2.0-0034172609</t>
  </si>
  <si>
    <t>['wireless terrestrial', 'turn assigned', 'system suffers', 'source tracking', 'simulation results', 'paper considers', 'noise ratio', 'neural network', 'neural multiple', 'first stage', 'doppler spread', 'doa estimation', 'different pair', 'antenna array']</t>
  </si>
  <si>
    <t>Direction-of-arrival estimation | Multibeam antennas | Neural networks</t>
  </si>
  <si>
    <t>This paper considers the problem of multiple-source tracking with neural network-based smart antennas for wireless terrestrial and satellite mobile communications. The neural multiple-source tracking (N-MUST) algorithm is based on an architecture of a family of radial basis function neural networks (RBFNN) to perform both detection and direction of arrival (DOA) estimation. The field of view of the antenna array is divided into spatial angular sectors, which are in turn assigned to a different pair of RBFNN's. When a network detects one or more sources in the first stage, the corresponding second stage network(s) are activated to perform the DOA estimation. Simulation results are performed to investigate the performance of the algorithm for various angular separations, with sources of random relative signal-to-noise ratio and when the system suffers from a doppler spread. ¬© 2000 IEEE.</t>
  </si>
  <si>
    <t>768-776</t>
  </si>
  <si>
    <t>60013301;60000251-60033021;60022144</t>
  </si>
  <si>
    <t>6602768503;35465847700;7005656258</t>
  </si>
  <si>
    <t>El Zooghby, Ahmed H.;Christodoulou, Christos G.;Georgiopoulos, Michael</t>
  </si>
  <si>
    <t>Albuquerque;Orlando;San Diego;New York</t>
  </si>
  <si>
    <t>The University of New Mexico;University of Central Florida;Qualcomm Incorporated;IEEE</t>
  </si>
  <si>
    <t>60033021;60022144;60013301;60000251</t>
  </si>
  <si>
    <t>El Zooghby A.</t>
  </si>
  <si>
    <t>A neural network-based smart antenna for multiple source tracking</t>
  </si>
  <si>
    <t>S0018926X00043799</t>
  </si>
  <si>
    <t>10.1109/8.855496</t>
  </si>
  <si>
    <t>2-s2.0-0034186876</t>
  </si>
  <si>
    <t>['theoretical results', 'surface waves', 'radiation characteristics', 'obtain broad', 'microstrip patches', 'metallic cavities', 'limitations due', 'infinite substrates', 'feeding technique', 'different wide', 'design procedure', 'combined utilization', 'cavity enclosure', 'capacitive probe', 'capacitive coupling']</t>
  </si>
  <si>
    <t>Capacitive probe feeding | Microstrip antenna arrays</t>
  </si>
  <si>
    <t>In this paper, a hybrid full wave method for the analysis of probe-fed infinite phased arrays of single and stacked microstrip patches, backed by metallic cavities, is applied to investigate the combined utilization of the capacitive probe-feeding technique and the cavity enclosure of microstrip patches. The goal is to obtain broad-band microstrip antennas on thick substrates without the limitations due to the generation of surface waves of the conventional microstrip antennas on infinite substrates. A design procedure for the capacitive coupling is investigated and theoretical results for the active input impedance and radiation characteristics of different wide-band antenna designs are presented. ¬© 2000 IEEE.</t>
  </si>
  <si>
    <t>784-789</t>
  </si>
  <si>
    <t>60009455;60000251-60009455;60000251-60009455</t>
  </si>
  <si>
    <t>6506362194;35614881800;7005853672</t>
  </si>
  <si>
    <t>Gonz√°lez de Aza, Miguel A.;Zapata, Juan;Encinar, Jos√© A.</t>
  </si>
  <si>
    <t>Madrid;New York</t>
  </si>
  <si>
    <t>Escuela T√©cnica Superior de Ingenieros de Telecomunicaci√≥n, Universidad Polit√©cnica de Madrid;IEEE</t>
  </si>
  <si>
    <t>60009455;60000251</t>
  </si>
  <si>
    <t>Gonz√°lez de Aza M.A.</t>
  </si>
  <si>
    <t>Broad-band cavity-backed and capacitively probe-fed micro strip patch arrays</t>
  </si>
  <si>
    <t>S0018926X00043702</t>
  </si>
  <si>
    <t>10.1109/8.855498</t>
  </si>
  <si>
    <t>2-s2.0-0034187321</t>
  </si>
  <si>
    <t>AST-9413935</t>
  </si>
  <si>
    <t>['performance details', 'packed array', 'make images', 'ghz band', 'elenient close', 'brightness fluctuations', '130 db']</t>
  </si>
  <si>
    <t>Multireflector antennas | Mutual coupling</t>
  </si>
  <si>
    <t>Design and performance details are given for a 0.9-m-diameter shielded cassegrain antenna, which will be used in a 13-elenient close-packed array. The array is designed to make images of brightness fluctuations in the cosmic microwave background radiation. Coupling between a pair of the shielded cassegrain antennas with a separation of 1 m is in the range -110 to -130 dB over the 26- to 36-GHz band. ¬© 2000 IEEE.</t>
  </si>
  <si>
    <t>836-838</t>
  </si>
  <si>
    <t>60000251-60031581;60031581;60011779;60020583</t>
  </si>
  <si>
    <t>7003450896;7102286445;35310530500;36865343700</t>
  </si>
  <si>
    <t>Padin, Stephen;Cartwright, John K.;Joy, M.;Meitzler, J. C.</t>
  </si>
  <si>
    <t>Pasadena;Huntsville;Huntsville;New York</t>
  </si>
  <si>
    <t>California Institute of Technology;The University of Alabama in Huntsville;NASA Marshall Space Flight Center;IEEE</t>
  </si>
  <si>
    <t>60031581;60020583;60011779;60000251</t>
  </si>
  <si>
    <t>Padin S.</t>
  </si>
  <si>
    <t>A measurement of the coupling between close-packed shielded cassegrain antennas</t>
  </si>
  <si>
    <t>S0018926X00043672</t>
  </si>
  <si>
    <t>10.1109/8.855504</t>
  </si>
  <si>
    <t>2-s2.0-0034187676</t>
  </si>
  <si>
    <t>2FD97-0135</t>
  </si>
  <si>
    <t>['simple model', 'multiband behavior', 'model shows', 'measured data', 'fractal nature', 'flare angle']</t>
  </si>
  <si>
    <t>Antennas | Fractals | Multifrequency antennas</t>
  </si>
  <si>
    <t>A simple model that explains the behavior of the Sierpinski fractal antenna is presented. This model shows that the multiband behavior of the Sierpinski fractal antenna is a consequence of its fractal nature. The model is applied to predict the behavior of the Sierpinski fractal antenna when the flare angle is modified and its validity is assessed by comparing its predictions with measured data. ¬© 2000 IEEE.</t>
  </si>
  <si>
    <t>713-719</t>
  </si>
  <si>
    <t>60000251-60007592;60007592;60007592;60000251-60007592</t>
  </si>
  <si>
    <t>7801356634;6504590162;6603288211;7402720225</t>
  </si>
  <si>
    <t>Baliarda, Carles Puente;Borau, Carmen Borja;Rodero, M√≤nica Navarro;Robert, Jordi Romeu</t>
  </si>
  <si>
    <t>Barcelona;New York</t>
  </si>
  <si>
    <t>Universitat Polit√®cnica de Catalunya;IEEE</t>
  </si>
  <si>
    <t>60007592;60000251</t>
  </si>
  <si>
    <t>Baliarda C.</t>
  </si>
  <si>
    <t>An iterative model for fractal antennas: Application to the Sierpinski gasket antenna</t>
  </si>
  <si>
    <t>S0018926X0004374X</t>
  </si>
  <si>
    <t>10.1109/8.855489</t>
  </si>
  <si>
    <t>2-s2.0-0034187706</t>
  </si>
  <si>
    <t>['temporal filtering', 'suboptimal receiver', 'reasonable approximation', 'proposed receiver', 'paper show', 'paper proposes', 'multiuser detection', 'maximum likelihood', 'major advantages', 'joint spatial', 'incident angle', 'effectively combined', 'desired signals', 'cascaded connection']</t>
  </si>
  <si>
    <t>Adaptive array antenna | Maximum likelihood estimation | Mobile radio communications | Multiuser detection</t>
  </si>
  <si>
    <t>This paper proposes a suboptimal receiver for joint spatial-temporal filtering and multiuser detection in mobile radio communications using single carrier signaling. The proposed receiver is a reasonable approximation of the maximum likelihood (ML) based optimal receiver described herein. A cascaded connection of an adaptive array antenna and an ML multiuser sequence estimator is the basis of the proposed receiver. The major advantages of the proposed receiver over conventional adaptive array antennas are: 1) delayed path components of desired signals can be effectively combined; 2) interference signals exceeding the degree of freedom; and 3) those having the same incident angle as that of desired path components can both be suppressed. The proposed receiver does not require prohibitively large computational complexity. Results of computer simulations presented in this paper show that the proposed receiver exhibits excellent performance even in severe multipath fading environments. ¬© 2000 IEEE.</t>
  </si>
  <si>
    <t>1196-1206</t>
  </si>
  <si>
    <t>Fukawa, Kazuhiko</t>
  </si>
  <si>
    <t>Fukawa K.</t>
  </si>
  <si>
    <t>A suboptimal receiver for joint spatial-temporal filtering and multiuser detection in mobile radio communications</t>
  </si>
  <si>
    <t>S0018954500048477</t>
  </si>
  <si>
    <t>10.1109/25.875228</t>
  </si>
  <si>
    <t>2-s2.0-0034201990</t>
  </si>
  <si>
    <t>['wireless communications', 'typically assumed', 'street grid', 'paper aims', 'microcells make', 'low power', 'longer circular', 'frequency planning', 'direction relative', 'different approach', 'commercial environments', 'channelized systems', 'cellular design', 'cell shape', 'cell layout', 'anisotropic propagation']</t>
  </si>
  <si>
    <t>Cell plannings | Cell shape | Propagation modelings | Time-division multiple-access (tdma) microcells | Traffic capacity</t>
  </si>
  <si>
    <t>Microcells for wireless communications can be realized with low base station antennas operating at low power. The low base station antennas expected for microcells make the propagation characteristics dependent on the direction relative to the street grid. Due to this anisotropic propagation, the shape of microcells is no longer circular, as is typically assumed so for macrocellular system planning. Therefore the infrastructure of microcells should be implemented with a different approach from that for macrocells. This paper aims at finding the effect of microcellular wave propagation on the development of cellular design for channelized systems in residential/commercial environments by examining key aspects of cell layout. Using a measurement-based anisotropic propagation model, cell shape and frequency reuse patterns are investigated for the downlink, and a methodology for frequency planning is presented. ¬© 2000 IEEE.</t>
  </si>
  <si>
    <t>1303-1313</t>
  </si>
  <si>
    <t>60008652;60108318</t>
  </si>
  <si>
    <t>56971057700;7005129354</t>
  </si>
  <si>
    <t>Har, Dongsoo;Bertoni, Henry L.</t>
  </si>
  <si>
    <t>New York;Newbury</t>
  </si>
  <si>
    <t>NYU Tandon School of Engineering;Vodafone</t>
  </si>
  <si>
    <t>60108318;60008652</t>
  </si>
  <si>
    <t>Effect of anisotropie propagation modeling on microcellular system design</t>
  </si>
  <si>
    <t>S0018954500036811</t>
  </si>
  <si>
    <t>10.1109/25.875247</t>
  </si>
  <si>
    <t>2-s2.0-0034204006</t>
  </si>
  <si>
    <t>DAAH04-96-1-0005</t>
  </si>
  <si>
    <t>['wave ratio', 'voltage standing', 'state devices', 'power combining', 'phased arrays', 'novel broad', 'novel antenna', 'mutual coupling', 'microstrip circuitry', 'measured 48', 'high dielectric', 'frequency bandwidth', 'db front', 'constant substrate', 'completely compatible', 'classic yagi', 'back ratio', 'array environment', 'array element', 'array antenna', 'antenna achieves', 'active arrays']</t>
  </si>
  <si>
    <t>Planar antennas | Quasi-yagi antenna | Spatial power combining</t>
  </si>
  <si>
    <t>In this paper, a novel broad-band planar antenna based on the classic Yagi-Uda dipole antenna is presented, and its usefulness as an array antenna is explored. This "quasi-Yagi" antenna is realized on a high dielectric-constant substrate, and is completely compatible with microstrip circuitry and solid-state devices. This antenna achieves a measured 48% frequency bandwidth for voltage standing-wave ratio &lt; 2, better than a 12-dB front-to-back ratio, smaller than -15 dB cross polarization, and 3-5-dBi absolute gain. Mutual coupling of the antenna in an array environment is investigated. Finally, three simple arrays are presented, demonstrating the usefulness of the antenna as an array element. This novel antenna should find wide application in wireless communication systems, power combining, phased arrays, and active arrays, as well as millimeter-wave imaging arrays. ¬© 2000 IEEE.</t>
  </si>
  <si>
    <t>910-918</t>
  </si>
  <si>
    <t>60027550;60027550;60027550;60027550;60027550</t>
  </si>
  <si>
    <t>7006826516;57224704376;6602995516;7402872518;36041035600</t>
  </si>
  <si>
    <t>Deal, William R.;Kaneda, Noriaki;Sor, James;Qian, Yongxi;Itoh, Tatsuo</t>
  </si>
  <si>
    <t>Deal W.R.</t>
  </si>
  <si>
    <t>A new quasi-yagi antenna for planar active antenna arrays</t>
  </si>
  <si>
    <t>S0018948000050298</t>
  </si>
  <si>
    <t>10.1109/22.846717</t>
  </si>
  <si>
    <t>2-s2.0-0034204881</t>
  </si>
  <si>
    <t>['straightforward characterization', 'simple functions', 'receiving parameters', 'radiation resistance', 'power intensity', 'induced voltage', 'general proof', 'fundamental relation', 'equivalent surface', 'equivalent length', 'directional gain', 'available power', 'antenna factor']</t>
  </si>
  <si>
    <t>Antenna radiation patterns | Antenna theory | Antennas | Polarization | Receiving antennas | Transmitting antennas</t>
  </si>
  <si>
    <t>An expression for the electric field radiated by an arbitrary current distribution is given, which leads to a straightforward characterization of an antenna by a complex vector called the equivalent length. All classical transmitting parameters - such as the radiated power density, power intensity, radiation resistance, directional gain, and gain-are simple functions of the equivalent length. The same is true for the receiving parameters: induced voltage, available power, equivalent surface, and antenna factor. Eliminating the equivalent length between the gain and an equivalent surface provides a simple, direct, and general proof of the fundamental relation for antennas.</t>
  </si>
  <si>
    <t>49-53</t>
  </si>
  <si>
    <t>Meys, Ren√© P.</t>
  </si>
  <si>
    <t>Universit√© Libre de Bruxelles</t>
  </si>
  <si>
    <t>Meys R.</t>
  </si>
  <si>
    <t>A summary of the transmitting and receiving properties of antennas</t>
  </si>
  <si>
    <t>10.1109/74.848947</t>
  </si>
  <si>
    <t>2-s2.0-0034205246</t>
  </si>
  <si>
    <t>['wireline network', 'wireless units', 'wireless access', 'weights needed', 'time processor', 'thereby protecting', 'thereby permitting', 'remote users', 'reasonable approximations', 'readily achieved', 'rapidly compute', 'protocol parameters', 'proposed protocol', 'proposed medium', 'proper choice', 'primary goal', 'point pedestrian', 'pilot tone', 'packet transfer', 'packet flow', 'new medium', 'multipath propagation', 'multimedia services', 'good set', 'essentially extending', 'enabling delivery', 'either direction', 'database resources', 'base station', 'atm bandwidth', 'access units', 'access unit', 'access protocol']</t>
  </si>
  <si>
    <t>Media access protocols | Wireless</t>
  </si>
  <si>
    <t>A new medium-access protocol is proposed for sharing a high-speed radio channel among a number of small wireless packet-access units, some of which may be stationary and some of which may be within moving vehicles. Such a system could provide fixed-point pedestrian and remote users with wireless access to CPU and database resources of an underlying asynchronous transfer mode (ATM) wireline network, essentially extending the ATM bandwidth-upon-demand interface directly to the wireless units and enabling delivery of multimedia services (albeit at the lower peak rate afforded by the radio channel). A primary goal of the proposed medium-access protocol is the pre-delivery of a signal from each packet-access unit as needed to rapidly compute the weights needed by a base station's adaptive array processor or a space-time processor, thereby protecting the packet flow in each direction from the effects of both multipath propagation and adjacent channel interference arising in neighboring radio cells. An impairment-robust direct sequence spread-spectrum-based polling signal is invoked to stimulate a pilot tone from a given remote immediately prior to packet transfer in either direction, thereby permitting the base station to determine a good set of antenna element combining or power splitting weights to be used for that packet. Reasonable approximations are invoked to study the performance of the proposed protocol and the link utilization efficiency and average message delay are found. By proper choice of protocol parameters, a radio resource utilization efficiency of about 95% is readily achieved. Accuracy of the approximations is confirmed by extensive computer simulations. ¬© 2000 IEEE.</t>
  </si>
  <si>
    <t>328-336</t>
  </si>
  <si>
    <t>IEEE/ACM Transactions on Networking</t>
  </si>
  <si>
    <t>60000251-60030612;60000251-60021939</t>
  </si>
  <si>
    <t>7006070875;7202383543</t>
  </si>
  <si>
    <t>Acampora, Anthony S.;Krishnamurthy, Srikanth V.</t>
  </si>
  <si>
    <t>San Diego;Malibu;New York</t>
  </si>
  <si>
    <t>University of California, San Diego;HRL Laboratories;IEEE</t>
  </si>
  <si>
    <t>60030612;60021939;60000251</t>
  </si>
  <si>
    <t>Acampora A.</t>
  </si>
  <si>
    <t>A new adaptive MAC layer protocol for broadband packet wireless networks in harsh fading and interference environments</t>
  </si>
  <si>
    <t>S1063669200050007</t>
  </si>
  <si>
    <t>10.1109/90.851979</t>
  </si>
  <si>
    <t>2-s2.0-0034206326</t>
  </si>
  <si>
    <t>['polarization level', 'paper presents', 'low vswr', 'low cross', 'feed system', 'common aperture', 'antenna system']</t>
  </si>
  <si>
    <t>Corrugated horn antennas | Microwave radiometry | Mode matching methods | Multifrequency antennas | Offset reflector antennas | Remote sensing | Satellite antennas</t>
  </si>
  <si>
    <t>This paper presents the design and development of an antenna system for the Multi-frequency Scanning Microwave Radiometer (MSMR) payload, flown on Oceansat - I, in May, 1999. The antenna was designed to meet stringent specifications of a very low cross-polarization level, high beam efficiency, good pattern symmetry, and low VSWR, at four widely separated frequency bands. It used a common aperture-feed system, consisting of a corrugated horn along with an eight-port orthomode transducer. The calculated as well as the measured electrical performance are presented. ¬©2000 IEEE.</t>
  </si>
  <si>
    <t>21-30</t>
  </si>
  <si>
    <t>Sharma, Shashi Bhushan</t>
  </si>
  <si>
    <t>Sharma S.B.</t>
  </si>
  <si>
    <t>The antenna system for the Multi-frequency Scanning Microwave Radiometer (MSMR)</t>
  </si>
  <si>
    <t>10.1109/74.848945</t>
  </si>
  <si>
    <t>2-s2.0-0034206864</t>
  </si>
  <si>
    <t>['transient response', 'testing function', 'stepping procedure', 'iterative time', 'domain model', 'delta function', 'antennas theory']</t>
  </si>
  <si>
    <t>Integral equations | Numerical analysis | Time domain analysis | Wire scatterers</t>
  </si>
  <si>
    <t>A time-domain model to provide the transient response of complex 3D wire structure is presented. It is based on the antennas theory. The Electric Field Integral Equation is solved by the Method of Moments and an iterative time-stepping procedure. The current is described by a first order expanding scheme. The delta function is chosen as testing function for point-matching. ¬© 2000 IEEE.</t>
  </si>
  <si>
    <t>868-871</t>
  </si>
  <si>
    <t>60030981-60023578;60030981;60030981</t>
  </si>
  <si>
    <t>A time-domain integral formulation for the scattering by thin wires</t>
  </si>
  <si>
    <t>S0018946400069685</t>
  </si>
  <si>
    <t>10.1109/20.877581</t>
  </si>
  <si>
    <t>2-s2.0-0034219584</t>
  </si>
  <si>
    <t>['payloads considered', 'payload architectures', 'fixed quality', 'communications capacity', 'best performance', 'also shown']</t>
  </si>
  <si>
    <t>This paper analytically compares the communications capacity of various satellite payload architectures against a fixed quality of service (QoS) metric which is connection blocking probability. The effectiveness of the payload architectures is dependent on the payload switching technique, multiple access scheme, and the number of satellite antenna beams utilized. The payloads considered are an on-board circuit switch and an on-board asynchronous transfer mode (ATM) switch. It is shown that a demand assigned multiple access scheme (DAMA) with an on-board ATM switch provides the best performance in terms of communications payload resource utilization. It is also shown that DAMA with a circuit-switched payload provides efficient performance if the number of satellite beams employed is small. Finally, it is shown that the degree of DAMA resource sharing allowed in the system strongly influences resource utilization performance. The sensitivity of these results to key system parameters is determined and further work in this area is proposed. ¬© 2000 IEEE.</t>
  </si>
  <si>
    <t>941-947</t>
  </si>
  <si>
    <t>3 PART 1</t>
  </si>
  <si>
    <t>Nichols, Robert A.</t>
  </si>
  <si>
    <t>Nichols R.A.</t>
  </si>
  <si>
    <t>Communications capacity analysis for multiple-beam processing satellites</t>
  </si>
  <si>
    <t>10.1109/7.869513</t>
  </si>
  <si>
    <t>2-s2.0-0034224864</t>
  </si>
  <si>
    <t>['signal detection', 'sample support', 'rank reduction', 'rank property', 'rank glrt', 'proposed detectors', 'problem may', 'overcome either', 'numerical examples', 'loaded glrt', 'ill conditioned', 'false alarm', 'diagonal loading', 'covariance matrix', 'adverse conditions', 'adaptive array']</t>
  </si>
  <si>
    <t>The problem of signal detection in unknown Gaussian interference utilizing an adaptive array is considered here. Two modified generalized likelihood ratio test (GLRT) detectors are suggested that improve on the performance of Kelly's GLRT when the interference has low-rank property and the sample support for estimating the array covariance matrix is limited. Under these adverse conditions, the sample covariance matrix might be ill conditioned. This problem may be overcome either by diagonal loading of the covariance matrix or rank reduction of the data. The two modified GLRT detectors are referred to as loaded GLRT (L-GLRT) and reduced-rank GLRT (RR-GLRT), respectively. Expressions are developed for the probabilities of false alarm and detection. The advantage of the proposed detectors is illustrated by numerical examples. ¬© 2000 IEEE.</t>
  </si>
  <si>
    <t>810-818</t>
  </si>
  <si>
    <t>60022904;60022904</t>
  </si>
  <si>
    <t>6602429496;7005000103</t>
  </si>
  <si>
    <t>Ayoub, T. F.;Haimovich, A. M.</t>
  </si>
  <si>
    <t>Newark</t>
  </si>
  <si>
    <t>New Jersey Institute of Technology</t>
  </si>
  <si>
    <t>Ayoub T.</t>
  </si>
  <si>
    <t>Modified GLRT signal detection algorithm</t>
  </si>
  <si>
    <t>10.1109/7.869498</t>
  </si>
  <si>
    <t>2-s2.0-0034225091</t>
  </si>
  <si>
    <t>['tlm simulations', 'several comparisons', 'recently proposed', 'pml scn', 'microstrip antennas', 'line matrix', 'finally presented', 'domain experiments', 'dimensional transmission', 'difference time', 'complete derivation', 'better understand']</t>
  </si>
  <si>
    <t>Absorbing boundary | Perfectly matched layer | Tlm method</t>
  </si>
  <si>
    <t>In this paper, the complete derivation of the new perfectly matched layer symmetrical condensed node (PML SCN) recently proposed for the implementation of the Berenger's PML's in the three-dimensional transmission-line matrix (TLM) method is given. Several comparisons between TLM and finite-difference time-domain experiments are performed in order to better understand the behavior of PML's in TLM simulations. In particular, the way to implement the numerical conductivity values with the PML SCN is considered. TLM simulations of waveguide and microstrip antennas are finally presented to prove that the use of this new PML SCN improves the absorbing boundary conditions in the TLM. ¬© 2000 IEEE.</t>
  </si>
  <si>
    <t>1081-1088</t>
  </si>
  <si>
    <t>7 PART 1</t>
  </si>
  <si>
    <t>35571525300;6603765151</t>
  </si>
  <si>
    <t>Dubard, Jean Lou;Pompei, Dominique</t>
  </si>
  <si>
    <t>Dubard J.L.</t>
  </si>
  <si>
    <t>Optimization of the PML Efficiency in 3-D TLM Method</t>
  </si>
  <si>
    <t>S0018948000054673</t>
  </si>
  <si>
    <t>10.1109/22.848490</t>
  </si>
  <si>
    <t>2-s2.0-0034226115</t>
  </si>
  <si>
    <t>['various kinds', 'time constant', 'thermal analysis', 'subject exposed', 'results evidence', 'radiated power', 'power absorption', 'performed considering', 'kg depending', 'eye lens', 'external part', 'different antennas', 'considered phone', 'complete electromagnetic', 'brain tissue', 'brain lie', '7 w', '600 mw', '50 min', '1 g']</t>
  </si>
  <si>
    <t>Biological effects of electromagnetic radiation | Dosimetry | Electromagnetic heating | Fdtd methods | Land mobile radio cellular systems | Temperature</t>
  </si>
  <si>
    <t>In this paper, a complete electromagnetic and thermal analysis has been performed considering the head of a subject exposed to various kinds of cellular phones available on the market, and focusing the attention on important organs like the eye lens and brain. Attention has first been posed on a particular phone model, and a comparison between the absorbed power distribution and steady-state temperature increases has been carried out. The influence of different antennas (dipole, monopole, whip, and planar inverted F antenna) on the power absorption and on the consequent tissue heating has then been analyzed. The obtained results show, for a radiated power of 600 mW, maximum SAR values, averaged over 1 g, from 2.2 to 3.7 W/kg depending on the considered phone. The maximum temperature increases are obtained in the ear and vary from 0.22 ¬∞C to 0.43 ¬∞C, while the maximum temperature increases in the brain lie from 0.08 ¬∞C to 0.19 ¬∞C. These steady-state temperature increases are obtained after about 50 min of exposure, with a time constant of approximately 6 min. Finally, the results evidence a maximum temperature increase in the external part of the brain from 0.10 ¬∞C to 0.16 ¬∞C for every 1 W/kg of SAR, averaged over 1 g of brain tissue. ¬© 2000 IEEE.</t>
  </si>
  <si>
    <t>1118-1126</t>
  </si>
  <si>
    <t>60000251-60032350;60000251-60032350;60000251-60032350;60000251-60032350</t>
  </si>
  <si>
    <t>Rome;New York</t>
  </si>
  <si>
    <t>Sapienza Universit√† di Roma;IEEE</t>
  </si>
  <si>
    <t>60032350;60000251</t>
  </si>
  <si>
    <t>Specific Absorption Rate and Temperature Increases in the Head of a Cellular-Phone User</t>
  </si>
  <si>
    <t>S0018948000054703</t>
  </si>
  <si>
    <t>10.1109/22.848494</t>
  </si>
  <si>
    <t>2-s2.0-0034226642</t>
  </si>
  <si>
    <t>['‚ âà77', 'terminal consists', 'space shuttle', 'space experiment', 'pole yba2cu3o7', 'microwave integrated', 'k operation', 'ground terminal', 'element phased', 'circuit amplifier', 'array antenna']</t>
  </si>
  <si>
    <t>Cryogenic electronics | MMIC amplifiers | Receiving antennas | Superconducting filters</t>
  </si>
  <si>
    <t>A K-band receiver terminal has been designed for ‚âà77-K operation to support the NASA Glenn Research Center's direct-data-distribution (D3) space experiment. The D3 experiment involves a 256-element phased-array antenna, aboard the space shuttle, transmitting dual 622-Mb/s beams to the ground terminal. The beams are left- and right-hand-side circularly polarized for isolation. The terminal consists of a Cassegrain reflector antenna with a corrugated feed horn, a six-pole YBa2Cu3O7-Œ¥ microstrip bandpass filter, a three-stage InP high electron-mobility transistor monolithic-microwave integrated-circuit amplifier, and a 1-W at 80-K Stirling cycle cryocooler. ¬©2000 IEEE.</t>
  </si>
  <si>
    <t>1216-1220</t>
  </si>
  <si>
    <t>7 PART 2</t>
  </si>
  <si>
    <t>60026717;60026717;60004154</t>
  </si>
  <si>
    <t>7003870589;7401654495;7005048571</t>
  </si>
  <si>
    <t>Romanofsky, Robert R.;Warner, Joseph D.;Alterovitz, Samuel A.</t>
  </si>
  <si>
    <t>Cleveland;Cleveland</t>
  </si>
  <si>
    <t>NASA Glenn Research Center;Cleveland State University</t>
  </si>
  <si>
    <t>60026717;60004154</t>
  </si>
  <si>
    <t>Romanofsky R.R.</t>
  </si>
  <si>
    <t>A cryogenic k-band ground terminal for NASA's direct-data-distribution space experiment</t>
  </si>
  <si>
    <t>S0018948000055447</t>
  </si>
  <si>
    <t>10.1109/22.853464</t>
  </si>
  <si>
    <t>2-s2.0-0034228865</t>
  </si>
  <si>
    <t>['unknown interference', 'unequal gain', 'small errors', 'results showed', 'produced essentially', 'phase responses', 'method constructs', 'method 1', 'ideal patterns', 'highly tolerant', 'experimental evaluation', 'element positions', 'element patterns', 'different sets', 'calibration method', 'calibration matrix', 'calibration data', 'array elements']</t>
  </si>
  <si>
    <t>The experimental evaluation of a calibration method [1] developed for receive antenna arrays is presented. The method constructs a calibration matrix to compensate for unequal gain and phase responses at the array elements, mutual coupling among the elements, and small errors in element positions. The results showed that the method 1) reduced the deviation of the element gain patterns from the isolated-element patterns, the deviation of array beam patterns from the ideal patterns, the errors in relative element output powers and phases, and the errors in direction estimates using single-target and two-target array snapshots; 2) increased the alignment of single-target array snapshots with array steering vectors and the probability of resolving two targets as their angular separation decreased to zero; 3) produced essentially the same calibration matrix with different sets of calibration data; and 4) was highly tolerant to unknown interference in the calibration data.</t>
  </si>
  <si>
    <t>819-828</t>
  </si>
  <si>
    <t>Hung, Eric K.L.</t>
  </si>
  <si>
    <t>Hung E.</t>
  </si>
  <si>
    <t>Matrix-construction calibration method for antenna arrays</t>
  </si>
  <si>
    <t>10.1109/7.869501</t>
  </si>
  <si>
    <t>2-s2.0-0034229049</t>
  </si>
  <si>
    <t>Charles Phelps Taft Research Center</t>
  </si>
  <si>
    <t>NRL</t>
  </si>
  <si>
    <t>['using fe', 'symmetrical residues', 'straightforward manner', 'resulting congruences', 'paper presents', 'numerically demonstrate', 'maximum amount', 'key problems', 'integers within', 'found use', 'form m1', 'folding analog', 'example calculation', 'direct consequence', 'digital converters', 'complete residues', 'bits throughout', 'also presented', 'algorithm consists', '3 moduli']</t>
  </si>
  <si>
    <t>Field-programmable logic | Folding analog-to-digital converters | FPGA | Symmetrical number system | Xlinx</t>
  </si>
  <si>
    <t>The Optimum Symmetrical Number System (OSNS) formulation is a direct consequence of the need to extract the maximum amount of information from a symmetrically folded waveform, and has found use in applications such as folding analog-to-digital converters and phase-sampled direction finding antenna architectures. One of the key problems in an OSNS hardware realization is recombining the OSNS symmetrical residues (Si, s2,..., s3) to determine the unknown incoming value. The symmetrical residues cannot be converted (e.g., using the Chinese Remainder Theorem) in a straightforward manner, since the integers within each modulus are ambiguous. This paper presents an OSNS-to-binary conversion algorithm for N = 3 moduli of the form m1 = 2k + 1, m2 = 2k, and m3 = 2k - 1. The algorithm consists of three main steps: 1) conversion of the symmetrical residues into complete residues; 2) solving the resulting congruences in binary; and 3) determining the unknown incoming value. A B = 14-bit pipelined field-programmable logic design (FPLD) using fe = 6 is also presented to illustrate the algorithm. The number of bits throughout the FPLD are quantified and an example calculation is worked out to numerically demonstrate the efficiency of the design. ¬© 2000 IEEE.</t>
  </si>
  <si>
    <t>736-745</t>
  </si>
  <si>
    <t>IEEE Transactions on Circuits and Systems II: Analog and Digital Signal Processing</t>
  </si>
  <si>
    <t>60033012;60025152;60033012</t>
  </si>
  <si>
    <t>35608729100;57205048149;6602931360</t>
  </si>
  <si>
    <t>Pace, Phillip E.;Styer, David;Ringer, William P.</t>
  </si>
  <si>
    <t>Monterey;Cincinnati</t>
  </si>
  <si>
    <t>Naval Postgraduate School;University of Cincinnati</t>
  </si>
  <si>
    <t>60033012;60025152</t>
  </si>
  <si>
    <t>An optimum SNS-to-binary conversion algorithm and pipelined field-programmable logic design</t>
  </si>
  <si>
    <t>S1057713000065782</t>
  </si>
  <si>
    <t>10.1109/82.861406</t>
  </si>
  <si>
    <t>2-s2.0-0034247787</t>
  </si>
  <si>
    <t>['vacuum space', 'vacuum cooler', 'transmit band', 'thin films', 'test housing', 'temperature superconducting', 'substrate size', 'station applications', 'sided yba2cu3o7', 'recent investigation', 'receiver ports', 'receive band', 'paper presents', 'nitrogen cooler', 'minimum isolation', 'encapsulated duplexer', 'duplexer consists', 'cellular base', 'bandstop filters', 'antenna ports', 'also obtained', 'additional loss', '80 k', '55 k', '5 mm', '35 db', '30 db', '3 db', '1880 mhz', '1785 mhz', '15 db']</t>
  </si>
  <si>
    <t>Cellular base-station | Hts filters | Mobile communication | Superconducting duplexer</t>
  </si>
  <si>
    <t>This paper presents a recent investigation of a high-temperature superconducting (HTS) duplexer for cellular base-station applications. The duplexer consists of two HTS hybrids and two HTS bandstop filters. The principle and design of the duplexer are described. The components of the duplexer were fabricated individually using double-sided YBa2Cu3O7 (YBCO) thin films on LaAlO3 (LAO) substrates. The substrate size for each of the hybrids was 0.5 √ó 22.5 √ó 15.5 mm, while each of the bandstop filters had a substrate size of 0.5 √ó 13 √ó 38 mm. Experiments were performed both with a test housing in a liquid-nitrogen cooler at a temperature of 80 K and in an encapsulated RF connector ring in a vacuum cooler at 55 K. The measured insertion loss was less than 0.3 dB both from the antenna to receiver ports over a receive band of 1770-1785 MHz and from the transmitter to antenna ports over a transmit band of 1805-1880 MHz. The isolation between the transmitter and receiver was measured to be greater than 35 dB. Good measured results were also obtained for the encapsulated duplexer with the maximum insertion loss of 1.15 dB, the additional loss being due to the microstrip feed lines across the vacuum space, and the minimum isolation of about 30 dB. ¬© 2000 IEEE.</t>
  </si>
  <si>
    <t>1336-1343</t>
  </si>
  <si>
    <t>60019702;60018829;60019269;60022995;60019702;60018829</t>
  </si>
  <si>
    <t>24495645400;7101744863;6603560178;6603661527;6701646584;7003780857</t>
  </si>
  <si>
    <t>Hong, Jia Sheng;Lancaster, Michael J.;Greed, Robert B.;Jedamzik, Dieter;Mage, Jean Claude;Chaloupka, Heinz J.</t>
  </si>
  <si>
    <t>Germany;United Kingdom;France;United Kingdom</t>
  </si>
  <si>
    <t>Wuppertal;Birmingham;Puteaux;Farnborough</t>
  </si>
  <si>
    <t>Bergische Universit√§t Wuppertal;University of Birmingham;Thales Group;BAE Systems plc</t>
  </si>
  <si>
    <t>60022995;60019702;60019269;60018829</t>
  </si>
  <si>
    <t>Hong J.</t>
  </si>
  <si>
    <t>A high-temperature superconducting duplexer for cellular base-station applications</t>
  </si>
  <si>
    <t>S0018948000065352</t>
  </si>
  <si>
    <t>10.1109/22.859478</t>
  </si>
  <si>
    <t>2-s2.0-0034250833</t>
  </si>
  <si>
    <t>['reflection losses', 'oscillator power', 'mismatch losses', 'high directivity', 'high coupling', 'ghz schottky', 'fed double', 'dfs antenna', 'cm lenses', 'avoidance radars', '77 ghz', '30 ghz', '152 ghz', '150 ghz']</t>
  </si>
  <si>
    <t>Millimeter-wave antenna | Millimeter-wave receivers | Schottky diode mixers</t>
  </si>
  <si>
    <t>A 150-GHz Schottky-diode subharmonic receiver based on a coplanar-waveguide-fed double-folded-slot (DPS) antenna is presented in this paper. The DFS antenna is placed on an extended hemispherical high-resistivity silicon substrate lens to achieve a high directivity and a high coupling to a Gaussian beam efficiency. The uniplanar receiver results in a 12¬±0.5-dB measured double-sideband conversion loss at 144-152 GHz for a 8-10 mW local-oscillator power at 77 GHz, and has a wide-band ‚â§ 13-dB conversion loss over 30 GHz of bandwidth (140-170 GHz). The measured conversion loss includes silicon lens absorption and reflection losses, as well as IF mismatch losses. The applications are in new small aperture (7.5-cm lenses) collision-avoidance radars at 150 GHz. ¬© 2000 IEEE.</t>
  </si>
  <si>
    <t>1416-1419</t>
  </si>
  <si>
    <t>60025778;60000874;60000874</t>
  </si>
  <si>
    <t>56228926500;7006390970;7006384021</t>
  </si>
  <si>
    <t>Gauthier, Gildas P.;Raskin, Jean Pierre;Rebeiz, Gabriel M.</t>
  </si>
  <si>
    <t>United States;Belgium</t>
  </si>
  <si>
    <t>Ann Arbor;Louvain-la-Neuve</t>
  </si>
  <si>
    <t>University of Michigan, Ann Arbor;Universit√© Catholique de Louvain</t>
  </si>
  <si>
    <t>60025778;60000874</t>
  </si>
  <si>
    <t>Gauthier G.</t>
  </si>
  <si>
    <t>A 140-170-GHz low-noise uniplanar subharmonic schottky receiver</t>
  </si>
  <si>
    <t>S0018948000065443</t>
  </si>
  <si>
    <t>10.1109/22.859491</t>
  </si>
  <si>
    <t>2-s2.0-0034251571</t>
  </si>
  <si>
    <t>U.S. Department of Defense</t>
  </si>
  <si>
    <t>26-3501-99</t>
  </si>
  <si>
    <t>DOD</t>
  </si>
  <si>
    <t>['vertical polarization', 'thereby explaining', 'scatter dependence', 'propagation factor', 'perturbational equations', 'perturbational approach', 'normalized roughness', 'latter includes', 'incidence angle', 'horizontal polarization', 'high frequency', 'grazing angle', 'give results', 'erroneous limit', 'dirichlet boundary', 'direct proportion', 'dipole antennas', 'difficulty occurs', 'attendant result', 'appropriate surface']</t>
  </si>
  <si>
    <t>Electromagnetic (EM) scattering from rough surfaces | Perturbation methods</t>
  </si>
  <si>
    <t>Rice's "classic" perturbation theory predicts an erroneous limit at grazing for vertically polarized plane wave scatter from an infinite perfectly conducting rough surface; likewise, the attendant result for the specularly reflected mode also fails at grazing. We show where and why in the system of perturbational equations this difficulty occurs. We then reformulate the perturbational approach to handle the low-incidence angle region for a one-dimensionally (1-D) rough Neumann boundary (vertical polarization from a perfectly conducting surface). The result for scattered fields vanishes in direct proportion to incidence angle above grazing and the result for the normalized roughness-modified surface impedance becomes constant with angle near grazing. For completeness and comparison, we give results for the horizontal polarization at a Dirichlet boundary, where perturbation results encounter no difficulties. Scatter dependence on grazing angle is explained in terms of the "classic" perturbation result multiplied by a propagation factor to the cell. The latter includes the sum of the direct and specularly reflected waves at the surface. This quantity can be replaced by the appropriate surface-wave propagation factor for radiation from dipole antennas, thereby explaining the strong observed vertically polarized sea scatter at high frequency (HF) on and below the horizon. ¬© 2000 IEEE.</t>
  </si>
  <si>
    <t>1452-1460</t>
  </si>
  <si>
    <t>100326559;60007801</t>
  </si>
  <si>
    <t>7005431123;7202577511</t>
  </si>
  <si>
    <t>Barrick, Donald E.;Fitzgerald, Rosa</t>
  </si>
  <si>
    <t>El Paso;Los Altos</t>
  </si>
  <si>
    <t>The University of Texas at El Paso;CODAR Ocean Sensors, Ltd.</t>
  </si>
  <si>
    <t>60007801;100326559</t>
  </si>
  <si>
    <t>Barrick D.</t>
  </si>
  <si>
    <t>The failure of "classic" perturbation theory at a rough neumann boundary near grazing</t>
  </si>
  <si>
    <t>S0018926X00093807</t>
  </si>
  <si>
    <t>10.1109/8.898780</t>
  </si>
  <si>
    <t>2-s2.0-0034261614</t>
  </si>
  <si>
    <t>['validity domains', 'urban environment', 'system planners', 'rigorous models', 'resolution databases', 'ray optics', 'propagation models', 'new methodology', 'needed implies', 'major impact', 'land usage', 'increasingly affecting', 'increasing interest', 'higher degree', 'etc .)', 'e .,', 'database cost', 'computation time', 'cellular planning']</t>
  </si>
  <si>
    <t>Cellular systems | Propagation | Small cells</t>
  </si>
  <si>
    <t>The choice of a given propagation model has a major impact on the accuracy and effectiveness of cellular planning, especially in urban environment, where a higher degree of detail is required. Rigorous models, such as those based on ray optics, are generally heavily time-consuming; furthermore, they are accurate only if high-resolution databases (of buildings, land usage, etc.) are available, and the cost of these databases is increasingly affecting the operators' budget. Therefore, one should use them only in their "validity domain," i.e., the area where they are both reliable and necessary: using complex tools where it's not needed implies an overhead in terms of computation time and, above all, database cost. For this reason, increasing interest and effort are being devoted by operators, manufacturers, and system planners in general to determine the validity domains of propagation models in urban environment. In this paper, we introduce a new methodology, based on objective indicators related to field strength statistics, to determine these domains. ¬© 2000 IEEE.</t>
  </si>
  <si>
    <t>1508-1515</t>
  </si>
  <si>
    <t>60028218;60028218;60028218;60028218</t>
  </si>
  <si>
    <t>6602890557;6603059988;7004214026;7004642576</t>
  </si>
  <si>
    <t>Barbiroli, Marina;Carciofi, Claudia;Falciasecca, Gabriele;Frullone, Mario</t>
  </si>
  <si>
    <t>Bologna</t>
  </si>
  <si>
    <t>Alma Mater Studiorum Universit√† di Bologna</t>
  </si>
  <si>
    <t>Barbiroli M.</t>
  </si>
  <si>
    <t>A measurement-based methodology for the determination of validity domains of prediction models in urban environment</t>
  </si>
  <si>
    <t>S001895450007910X</t>
  </si>
  <si>
    <t>10.1109/25.892533</t>
  </si>
  <si>
    <t>2-s2.0-0034261718</t>
  </si>
  <si>
    <t>['sinr ),', 'required condition', 'proposed method', 'proposed algorithm', 'noise ratio', 'new technique', 'multiple access', 'minimal loss', 'main contribution', 'derived analytically', 'ber ),', 'base station', 'autocorrelation matrix', 'alternative way', 'adaptive gain', 'adaptive beaniforrning', 'achievable capacity', '5n ).']</t>
  </si>
  <si>
    <t>Adaptive array system | Code-division-multiple access (cdma) mobile communications | Lagrange multiplier | Maximum eigenvalue | Time-space filtering</t>
  </si>
  <si>
    <t>An alternative way of adaptive beaniforrning is presented in this paper. The main contribution of the new technique is in its simplicity with a minimal loss of accuracy. Total computational load for computing a suboptimal weight vector from each new signal vector is about O(2N2 + 5N). It can further be reduced down to O(3 AT) by approximating the autocorrelation matrix with the instantaneous signal vector at each snapshot. The required condition on the adaptive gain for the proposed algorithm to converge is derived analytically. The proposed beamforming algorithm is applied to the base station of a code-division-multiple access (CDMA) mobile communication system. The performance of the proposed method is shown in multipath fading communication channels in terms of the signal-to-interference + noise ratio (SINR), the bit error rate (BER), and the achievable capacity of a given CDMA cell/sector. ¬© 2000 IEEE.</t>
  </si>
  <si>
    <t>1793-1806</t>
  </si>
  <si>
    <t>Choi, Seungwon</t>
  </si>
  <si>
    <t>Youngdungpo-gu</t>
  </si>
  <si>
    <t>LG Corporation</t>
  </si>
  <si>
    <t>Choi S.</t>
  </si>
  <si>
    <t>A novel adaptive beamforming algorithm for a smart antenna system in a cdma mobile communication environment</t>
  </si>
  <si>
    <t>S0018954500078890</t>
  </si>
  <si>
    <t>10.1109/25.892584</t>
  </si>
  <si>
    <t>2-s2.0-0034261804</t>
  </si>
  <si>
    <t>['university building', 'statistical model', 'rician distributions', 'recorded data', 'polaraization diversity', 'nakagami distribution', 'moving means', 'maximal ratio', 'excellent fit', 'equal gain', 'diversity branches', 'cross correlation', 'average duration', 'also evaluated']</t>
  </si>
  <si>
    <t>Correlation | Diversity methods | Indoor radio communications | Modeling, multipath channels</t>
  </si>
  <si>
    <t>The aim of this paper is to report the results of a propagation measurement experiment to reach a statistical model of the indoor radio channel at 10 GHz using directive antennas at both terminals. The measurements were conducted on a floor of a university building. The distribution of the received fading envelope was tested to fit the Rayleigh and Rician distributions, but were not satisfactory. The Nakagami distribution was found to give an excellent fit with its parameter, m, depending on the separation between transmitter and receiver. The results of the level crossing rate (LCR) and the average duration of fades (ADFs) confirmed this result. The effect of using reception diversity to improve the quality of the received fading signal was tested. Frequency, space and polaraization diversity were applied and the cross correlation between the envelopes of the received fading signals (magnitude and power) in the diversity branches was evaluated. The diversity gain achieved was also evaluated. The effect of three different combining techniques (selection, equal gain and maximal ratio) and the effect of applying a global or moving means to the recorded data was studied. ¬© 2000 IEEE.</t>
  </si>
  <si>
    <t>1491-1507</t>
  </si>
  <si>
    <t>6701648946;7006112843</t>
  </si>
  <si>
    <t>Abouraddy, Ayman F.;Elnoubi, Said M.</t>
  </si>
  <si>
    <t>Abouraddy A.</t>
  </si>
  <si>
    <t>Statistical modeling of the indoor radio channel at 10 GHz through propagation measurements Part I: Narrow-band measurements and modeling</t>
  </si>
  <si>
    <t>S0018954500041499</t>
  </si>
  <si>
    <t>10.1109/25.892532</t>
  </si>
  <si>
    <t>2-s2.0-0034261898</t>
  </si>
  <si>
    <t>['uniform mesh', 'software package', 'setting source', 'rf antennas', 'program includes', 'paper describes', 'object geometries', 'modeling antennas', 'microstrip discontinuities', 'illustrative examples', 'handle conductors', 'graphically inputting', 'difference time', 'curved surfaces', 'conformal finite', 'boundary conditions']</t>
  </si>
  <si>
    <t>Boundary condition | Cavity antennas | Conformal FDTD Method | FDTD methods | Graphical user interfaces | Mesh generation | Microstrip circuits | Microstrip components | Software packages | Visual languages</t>
  </si>
  <si>
    <t>This paper describes a conformal Finite-Difference Time-Domain (FDTD) software package, and presents its applications to RF antennas and microstrip circuit components. The program includes a Visual Basic GUI, for graphically inputting the object geometries, setting source and boundary conditions, generating a non-uniform mesh, and post-processing of the data. A robust Conformal Finite-Difference Time-Domain (CFDTD) technique is employed to handle conductors with curved surfaces and edges. Illustrative examples that show the application of the code for modeling antennas as well as microstrip discontinuities are presented in the paper.</t>
  </si>
  <si>
    <t>A conformal FDTD software package modeling antennas and microstrip circuit components</t>
  </si>
  <si>
    <t>10.1109/74.883505</t>
  </si>
  <si>
    <t>2-s2.0-0034290899</t>
  </si>
  <si>
    <t>AST-9615025</t>
  </si>
  <si>
    <t>['theoretical predictions', 'slot antennas', 'slot antenna', 'polarized quasi', 'polarized patterns', 'polarized mixer', 'orthogonal pair', 'optical superconductor', 'novel cross', 'noise performance', 'noise dual', 'mixer utilizes', 'mixer block', 'measured co', 'lumped element', 'implemented using', 'feed point', 'double sideband', 'computer simulations', 'circuit containing', 'antenna consists', '550 ghz', '528 ghz', '180 ¬∞', '115 k']</t>
  </si>
  <si>
    <t>Dual polarization | Low noise | Mixer | Quasi-optical | Superconductor-insulator-superconductor</t>
  </si>
  <si>
    <t>In this paper, we describe the design, fabrication, and the performance of a low-noise dual-polarized quasi-optical superconductor-insulator-superconductor (SIS) mixer at 550 GHz. The mixer utilizes a novel cross-slot antenna on a hyperhemispherical substrate lens, two junction tuning circuits, niobium trilayer junctions, and an IF circuit containing a lumped element 180¬∞ hybrid. The antenna consists of an orthogonal pair of twin-slot antennas, and has four feed points, two for each polarization. Each feed point is coupled to a two-junction SIS mixer. The 180¬∞ IF hybrid is implemented using a lumped element/microstrip circuit located inside the mixer block. Fourier transform spectrometer measurements of the mixer frequency response show good agreement with computer simulations. The measured co-polarized and cross-polarized patterns for both polarizations also agree with the theoretical predictions. The noise performance of the dual-polarized mixer is excellent, giving uncorrected receiver noise temperature of better than 115 K (double sideband) at 528 GHz for both the polarizations. ¬© 2000 IEEE.</t>
  </si>
  <si>
    <t>1680-1686</t>
  </si>
  <si>
    <t>60031581;60031581</t>
  </si>
  <si>
    <t>7006729055;7407281737</t>
  </si>
  <si>
    <t>Chattopadhyay, Goutam;Miller, David</t>
  </si>
  <si>
    <t>Chattopadhyay G.</t>
  </si>
  <si>
    <t>A dual-polarized quasi-optical SIS mixer at 550 GHz</t>
  </si>
  <si>
    <t>S0018948000087238</t>
  </si>
  <si>
    <t>10.1109/22.873895</t>
  </si>
  <si>
    <t>2-s2.0-0034294323</t>
  </si>
  <si>
    <t>['wave structures', 'typical printed', 'suitably summarizes', 'relevant results', 'radiative features', 'radiation performance', 'radiating microstrips', 'radiating line', 'paper presents', 'line formulation', 'heavier full', 'feeding line', 'efficient description', 'dominant mode', 'domain techniques', 'coupling effects', 'coupled feeding', 'convenient fashion', 'circuit leaky']</t>
  </si>
  <si>
    <t>Equivalent circuits | Feeds | Leaky-wave antennas | Microstrip antennas | Planar transmission lines</t>
  </si>
  <si>
    <t>This paper presents an original circuit model that furnishes an efficient description of the impedance and of the radiation performance for typical printed-circuit leaky-wave structures. In particular, referring to a junction between slot-coupled feeding and radiating microstrips, we have developed an unconventional equivalent transmission-line formulation, involving the propagation of the dominant mode for the feeding line and of the first higher mode for the radiating line, which is leaky. The quantification of the relevant scattering matrix, achieved with spectral-domain techniques, suitably summarizes the coupling effects and, consequently, the radiative features. Various antenna configurations have been tested, and the relevant results have been validated through comparisons with heavier full-wave numerical approaches. In addition to substantial computational advantages, this innovative approach gives the possibility of treating printed leaky-wave structures in a convenient fashion by means of a network formalism similar to that used in standard microwave circuits. ¬© 2000 IEEE.</t>
  </si>
  <si>
    <t>1661-1672</t>
  </si>
  <si>
    <t>60032350;60032350;60032350;60032350;60032350</t>
  </si>
  <si>
    <t>6701731702;26541402700;7006012591;7102947741;7004439932</t>
  </si>
  <si>
    <t>Burghignoli, Paolo;Nallo, Carlo Di;Frezza, Fabrizio;Galli, Alessandro;Lampariello, Paolo</t>
  </si>
  <si>
    <t>Burghignoli P.</t>
  </si>
  <si>
    <t>Efficient description of impedance and radiation features in printed-circuit leaky-wave structures-an unconventional scattering-matrix approach</t>
  </si>
  <si>
    <t>S0018948000087287</t>
  </si>
  <si>
    <t>10.1109/22.873893</t>
  </si>
  <si>
    <t>2-s2.0-0034295924</t>
  </si>
  <si>
    <t>['way short', 'using two', 'unique aspect', 'separate antennas', 'receiver even', 'multichannel environment', 'military applications', 'lock band', 'gunn diode', 'e .,', 'demodulation performance', 'certain commercial']</t>
  </si>
  <si>
    <t>Active microstrip antenna | Current valley</t>
  </si>
  <si>
    <t>An unique aspect of the injection-locked active microstrip antenna incorporating a Gunn diode, i.e., the variation of the device current within the lock band, is exploited for the demodulation of an FM microwave signal. A simple experimental arrangement has been presented to demonstrate the demodulation performance of the receiver even in a multichannel environment. Using two such separate antennas as transmitter and receiver, a two-way short-range communication system has been demonstrated that may be suited for certain commercial and military applications. ¬© 2000 IEEE.</t>
  </si>
  <si>
    <t>1765-1768</t>
  </si>
  <si>
    <t>60030482;60030482</t>
  </si>
  <si>
    <t>57218919279;7402635377</t>
  </si>
  <si>
    <t>Biswas, B. N.;Bhattacharya, A.</t>
  </si>
  <si>
    <t>Bardhaman</t>
  </si>
  <si>
    <t>The University of Burdwan</t>
  </si>
  <si>
    <t>Biswas B.N.</t>
  </si>
  <si>
    <t>A novel scheme for reception using an active microstrip antenna</t>
  </si>
  <si>
    <t>S0018948000087196</t>
  </si>
  <si>
    <t>10.1109/22.873908</t>
  </si>
  <si>
    <t>2-s2.0-0034297422</t>
  </si>
  <si>
    <t>TIC98-0630</t>
  </si>
  <si>
    <t>['wave analysis', 'suitable green', 'rigorous full', 'results show', 'resonant modes', 'resonant frequencies', 'radiation patterns', 'quality factors', 'magnetized ferrites', 'isotropic dielectrics', 'ground planes', 'good agreement', 'experimental results', 'circular patches', 'circular apertures', 'authors analyze']</t>
  </si>
  <si>
    <t>Microstrip patches with tuning slots | Microwave planar circuits | Resonators</t>
  </si>
  <si>
    <t>In this paper, the authors analyze how the resonant modes of circular microstrip patch resonators are affected by the presence of circular apertures in the ground plane located under the patches. A rigorous full-wave analysis in the Hankel transform domain (HTD) is carried out in order to obtain the resonant frequencies, quality factors, and radiation patterns of the circular microstrip patch resonators over ground planes with circular apertures. With the use of suitable Green's functions in the HTD, the analysis is performed for the case where the circular patches, as well as the ground planes containing the apertures are embedded in a multilayered substrate consisting of isotropic dielectrics, uniaxial anisotropic dielectrics, and/or magnetized ferrites. The numerical results obtained are compared with experimental results, and good agreement is found. The results show that the circular apertures significantly affect the resonant frequencies of circular microstrip patches. ¬© 2000 IEEE Publisher Item Identifier S 0018-9480(00)08720-2.</t>
  </si>
  <si>
    <t>1756-1762</t>
  </si>
  <si>
    <t>60033284;60033284</t>
  </si>
  <si>
    <t>6602166138;35561784500</t>
  </si>
  <si>
    <t>Losada, Vicente;Boix, Rafa√´l R.</t>
  </si>
  <si>
    <t>Sevilla</t>
  </si>
  <si>
    <t>Universidad de Sevilla</t>
  </si>
  <si>
    <t>Losada V.</t>
  </si>
  <si>
    <t>Resonant modes of circular microstrip patches over ground planes with circular apertures in multilayered substrates containing anisotropie and ferrite materials</t>
  </si>
  <si>
    <t>10.1109/22.873906</t>
  </si>
  <si>
    <t>2-s2.0-0034297539</t>
  </si>
  <si>
    <t>89-E-FA06-2-4</t>
  </si>
  <si>
    <t>['transition section', 'return loss', 'required specifications', 'plate line', 'parametric study', 'overall structure', 'output relation', 'novel structure', 'matching method', 'introduce corrugations', 'horn antennas', 'enables us', 'cascaded subcells', 'block approach', 'analyzed rigorously']</t>
  </si>
  <si>
    <t>Bifurcation | Corrugated transitions | Method of mode matching | Tri-plate line (TPL)</t>
  </si>
  <si>
    <t>A novel structure is investigated for the improvement of tri-plate line (TPL) performance. Based on experience in the design of horn antennas, we introduce corrugations of the transition section of the TPL in order to achieve better field uniformity and to reduce the return loss. A corrugated transition waveguide may be viewed as the cascade of bifurcated metal waveguides. We employed the building-block approach, which breaks the overall structure into cascaded subcells, each of which may be analyzed rigorously by the mode-matching method. Thus, the input-output relation of each subcell is obtained as well as that of the overall structure. This enables us to carry out a parametric study on the field distribution inside the TPL test fixture, so that we can optimize its design for any required specifications. ¬© 2000 IEEE.</t>
  </si>
  <si>
    <t>314-325</t>
  </si>
  <si>
    <t>60000251-60012370</t>
  </si>
  <si>
    <t>Hwang, Ruey Bing</t>
  </si>
  <si>
    <t>Hwang R.B.</t>
  </si>
  <si>
    <t>The improvement of tri-plate line performance by using corrugated transitions</t>
  </si>
  <si>
    <t>S0018937500102005</t>
  </si>
  <si>
    <t>10.1109/15.902300</t>
  </si>
  <si>
    <t>2-s2.0-0034313029</t>
  </si>
  <si>
    <t>['sources corresponding', 'source region', 'simple connection', 'radiation pattern', 'radiation operator', 'radiation fields', 'point source', 'operational rules', 'given together', 'formula derivation', 'fields given', 'field zone', 'field outside', 'far zone', 'express sources', 'existing tables', 'different sources', 'different classes', 'current element', 'considerable simplification', 'computable functions', 'classical recursion']</t>
  </si>
  <si>
    <t>Antenna theory | Electromagnetic (EM) radiation | Operator methods</t>
  </si>
  <si>
    <t>The concept of the radiation operator is introduced to assist in the analysis of various problems involving sources and their radiation fields. It gives the field outside the source region as operating on the field of a point source. Because there is a simple connection between the radiation vector describing the far-field and the radiation operator, it can be used to define fields anywhere outside the source region from their values in the far-field zone. Another important property of the radiation operator is its ability to express sources of fields given their radiation pattern and polarization in the far zone. The source of such a field can be written in the form of radiation operator operating on a current element, the delta function source. To interpret this in terms of computable functions, existing tables of operational rules for different classes of operators can be applied. Examples of radiation operators corresponding to different sources are given together with examples of sources corresponding to given radiation field patterns. Finally, it is shown that the radiation operator allows a considerable simplification to the derivation of the multipole expansion theory when compared to the classical recursion-formula derivation through spherical harmonic eigenfunctions. ¬© 2000 IEEE.</t>
  </si>
  <si>
    <t>1701-1706</t>
  </si>
  <si>
    <t>60000251-60103653</t>
  </si>
  <si>
    <t>Espoo;New York</t>
  </si>
  <si>
    <t>Aalto University;IEEE</t>
  </si>
  <si>
    <t>60103653;60000251</t>
  </si>
  <si>
    <t>The radiation operator</t>
  </si>
  <si>
    <t>S0018926X00077206</t>
  </si>
  <si>
    <t>10.1109/8.900227</t>
  </si>
  <si>
    <t>2-s2.0-0034313033</t>
  </si>
  <si>
    <t>['wide class', 'scattering problems', 'large fields', 'hierarchical tvfes', 'hierarchical mixed', 'element boundary', 'electromagnetic radiation', 'efficient analysis', 'allowing combination', 'accurate prediction']</t>
  </si>
  <si>
    <t>Antenna arrays | Finite-element methods | Periodic structures</t>
  </si>
  <si>
    <t>Hierarchical mixed-order tangential vector finite elements (TVFEs) for tetrahedra are attractive for accurate and efficient analysis of a wide class of electromagnetic radiation and scattering problems. They provide versatile geometrical modeling and accurate field representation by allowing combination of lowest and higher order TVFEs. In this letter, the finite-element boundary-integral (FE-BI) method with hierarchical TVFEs for tetrahedra is used for analysis of infinite, doubly periodic antenna arrays. It is shown that accurate prediction of array scanning properties can be obtained by using higher order TVFEs in the regions where large fields and rapid field variations are expected and lowest order TVFEs elsewhere. This is demonstrated in the case of a microstrip patch array. ¬© 2000 IEEE.</t>
  </si>
  <si>
    <t>1784-1786</t>
  </si>
  <si>
    <t>7007076790;7403741740;7102576479</t>
  </si>
  <si>
    <t>Filipoviƒá, Dejan S.;Anderson, Lars S.;Volakis, John L.</t>
  </si>
  <si>
    <t>Filipoviƒá D.</t>
  </si>
  <si>
    <t>A multiresolution method for simulating infinite periodic arrays</t>
  </si>
  <si>
    <t>S0018926X00108397</t>
  </si>
  <si>
    <t>10.1109/8.900238</t>
  </si>
  <si>
    <t>2-s2.0-0034313092</t>
  </si>
  <si>
    <t>['small antennas', 'results show', 'resulting curve', 'nowhere differentiable', 'koch monopole', 'koch curve', 'highly convoluted', 'fundamental limit', 'fractal objects', 'finite area', 'experimentally analyzed', 'antenna approaches']</t>
  </si>
  <si>
    <t>Fractals | Small antennas</t>
  </si>
  <si>
    <t>Fractal objects have some unique geometrical properties. One of them is the possibility to enclose in a finite area an infinitely long curve. The resulting curve is highly convoluted being nowhere differentiable. One such curve is the Koch curve. In this paper, the behavior the Koch monopole is numerically and experimentally analyzed. The results show that as the number of iterations on the small fractal Koch monopole are increased, the Q of the antenna approaches the fundamental limit for small antennas. ¬© 2000 IEEE.</t>
  </si>
  <si>
    <t>1773-1781</t>
  </si>
  <si>
    <t>60000251-60007592;60000251-60007592;60000251-60007592</t>
  </si>
  <si>
    <t>7801356634;56883021900;6701335577</t>
  </si>
  <si>
    <t>Baliarda, Carles Puente;Romeu, Jordi;Cardama, Angel</t>
  </si>
  <si>
    <t>The Koch monopole: A small fractal antenna</t>
  </si>
  <si>
    <t>S0018926X00077188</t>
  </si>
  <si>
    <t>10.1109/8.900236</t>
  </si>
  <si>
    <t>2-s2.0-0034313113</t>
  </si>
  <si>
    <t>['polarization arrays', 'plane coupling', 'planar single', 'planar array', 'parametric studies', 'parametric investigations', 'highest frequency', 'good agreement', 'full e', 'feed dimensions', 'edge elements', 'difference time', 'cannot benefit', 'amplitude tapering', 'active vswr']</t>
  </si>
  <si>
    <t>Element coupling | FDTD | Phased arrays | Stripline antenna | Wide-band arrays</t>
  </si>
  <si>
    <t>A 5:1 bandwidth stripline notch array antenna is designed from parametric investigations of flare and feed dimensions. The finite-difference time-domain (FDTD) method is employed to perform the parametric studies. Both linear and planar single-polarization arrays are considered with half-wavelength element spacing at the highest frequency. The linear-array elements depend upon E-plane element mutual coupling to achieve wideband behavior. Edge elements, which cannot benefit from full E-plane coupling, are shown to maintain good transmit performance with the application of amplitude tapering. The planar array is shown to have a scannability (active VSWR &lt;2) averaging 51¬∞ off broadside in the E-plane and exceeding 60¬∞ in the H-plane. As an infinite planar array, the antenna is predicted to have a bandwidth exceeding 7:1 on broadside. Measurements are in good agreement with the computations.</t>
  </si>
  <si>
    <t>1733-1740</t>
  </si>
  <si>
    <t>60000251-60027271;60000251-60027271;60000251-60027271</t>
  </si>
  <si>
    <t>6507950340;6603578520;6602488511</t>
  </si>
  <si>
    <t>Kragalott, Mark;Pickles, William R.;Kluskens, Michael S.</t>
  </si>
  <si>
    <t>Washington, D.C.;New York</t>
  </si>
  <si>
    <t>Naval Research Laboratory;IEEE</t>
  </si>
  <si>
    <t>60027271;60000251</t>
  </si>
  <si>
    <t>Kragalott M.</t>
  </si>
  <si>
    <t>Design of a 5 : 1 bandwidth stripline notch array from FDTD analysis</t>
  </si>
  <si>
    <t>S0018926X00077139</t>
  </si>
  <si>
    <t>10.1109/8.900231</t>
  </si>
  <si>
    <t>2-s2.0-0034313132</t>
  </si>
  <si>
    <t>['two sets', 'thereby switching', 'theoretical predictions', 'semiconductor waveguide', 'n diodes', 'frequency sweeping', 'different periods', 'beam steering', 'beam direction', '5 ghz']</t>
  </si>
  <si>
    <t>Electronic beam steering | Leaky wave antenna</t>
  </si>
  <si>
    <t>We report an electronically switchable dielectric leaky wave antenna. The main beam angle can be electronically steered using p-i-n diodes. The diodes are used as switches to control the radiation from two sets of gratings with different periods, thereby switching the main beam angle. Beam steering is achieved at a single fixed frequency; no frequency sweeping is necessary. A microwave prototype demonstrates a 35¬∞ change in beam direction at 3.5 GHz. Measured antenna patterns agree with theoretical predictions. This approach should be scalable to millimeter-wave frequencies using diodes monolithically integrated on a semiconductor waveguide. ¬© 2000 IEEE.</t>
  </si>
  <si>
    <t>1769-1772</t>
  </si>
  <si>
    <t>60089889-100726908;60013791;60089889-60013791</t>
  </si>
  <si>
    <t>55492460100;35195416000;56984331800</t>
  </si>
  <si>
    <t>Huang, Limin;Chiao, Jung Chih;De Lisio, Michael P.</t>
  </si>
  <si>
    <t>Canada;United States;Canada</t>
  </si>
  <si>
    <t>Dundas;Honolulu;</t>
  </si>
  <si>
    <t>IEEE Canada;University of Hawai ªi at MƒÅnoa;Mitec Telecom</t>
  </si>
  <si>
    <t>60089889;60013791;100726908</t>
  </si>
  <si>
    <t>Huang L.</t>
  </si>
  <si>
    <t>An electronically switchable leaky wave antenna</t>
  </si>
  <si>
    <t>S0018926X00108373</t>
  </si>
  <si>
    <t>10.1109/8.900235</t>
  </si>
  <si>
    <t>2-s2.0-0034313177</t>
  </si>
  <si>
    <t>['¬± 5', 'within 3', 'within 1', 'upper peninsula', 'unvegetated areas', 'tree types', 'tree heights', 'track direction', 'topsar dem', 'significant discrepancies', 'resolution u', 'residual errors', 'periodic patterns', 'measured gcps', 'interferometric sar', 'insar antennas', 'forest floor', 'coherence image', 'careful examination', 'best estimate', 'band topsar', 'also collected']</t>
  </si>
  <si>
    <t>Calibration | Environmental factors | Image analysis | Interferometry | Radar applications | Radar data processing | Synthetic aperture radar (sar) | Vegetation</t>
  </si>
  <si>
    <t>In this paper, the accuracy of the digital elevation model (DEM) generated by the Jet Propulsion Laboratory (JPL) TOPSAR for extracting canopy height is evaluated. For this purpose, an experiment using C-band TOPSAR at the Michigan Forest Test Site (MFTS) in Michigan's Upper Peninsula was conducted. Nearly 25 forest stands were chosen in MFTS, which included a variety of tree types, tree heights, and densities. For these stands, extensive ground data were also collected. The most important and difficult-to-characterize ground truth parameter was the forest ground level data, which is required for extracting the height of the scattering phase center from the interferometric SAR(INSAR) DEM. To accomplish this, differential global positioning system (GPS) measurements were done to accurately (¬±5 cm) characterize the elevation of: 1) a grid of points over the forest floor of each stand and 2) numerous ground control points (GCPs) over unvegetated areas. Significant discrepancies between GPS and TOPSAR DEM and between the two TOPSAR OEMs of the same area were observed. The discrepancies are attributed to uncompensated aircraft roll and multipath. An algorithm is developed to remove the residual errors in roll angle using elevation data from: 1) 100-m resolution U.S. Geological Survey DEM and 2) the GPS-measured GCPs. With this algorithm, the uncertainties are reduced to within 3 m. Still, comparison between the corrected TOPSAR OEMs shows an average periodic height discrepancy along the cross-track direction of about ¬±5 m. Simulation results show that this might have been caused by multipath from an object near one of the INSAR antennas. Careful examination of the coherence image and the backscatter image also show such periodic patterns. Recommendations are provided for the extraction of the best estimate of the scattering phase center height, and a model is provided to estimate actual tree height. It is accurate to within 1 m or 10% for the red pine test stands used here. -. ¬©2000 IEEE.</t>
  </si>
  <si>
    <t>2446-2454</t>
  </si>
  <si>
    <t>60025778;60025778;60025778;60025778</t>
  </si>
  <si>
    <t>7408650179;35585913500;54786582100;6508188204</t>
  </si>
  <si>
    <t>Kobayashi, Yutaka;Sarabandi, Kamal;Leland Pierce, I.;Craig Dobson, M.</t>
  </si>
  <si>
    <t>Kobayashi Y.</t>
  </si>
  <si>
    <t>An evaluation of the JPL TOPSAR for extracting eree heights</t>
  </si>
  <si>
    <t>S0196289200062173</t>
  </si>
  <si>
    <t>10.1109/36.885193</t>
  </si>
  <si>
    <t>2-s2.0-0034314982</t>
  </si>
  <si>
    <t>['wide swath', 'viewing angles', 'system specifications', 'system consists', 'surface temperature', 'sst ),', 'spatial resolutions', 'soil moisture', 'similar frequencies', 'science measurement', 'offset feeds', 'ocean winds', 'ocean targets', 'observing simultaneously', 'microwave radiometry', 'making use', 'large antennas', 'good sensitivity', 'established techniques', 'designed primarily', 'combined passive', 'calibration requirements', 'backscattering signatures', 'application drives', 'active channels']</t>
  </si>
  <si>
    <t>Mesh antenna | Radiometer | Salinity | Scatterometer | Soil moisture</t>
  </si>
  <si>
    <t>Microwave radiometry and scatterometry are established techniques for surface remote sensing applications. Some applications, such as measurement of sea surface salinity (SSS), sea surface temperature (SST), and soil moisture, require low frequency observations (~6 GHz and below) for good sensitivity, and sensors with large antennas to achieve adequate spatial resolution. Potentially, benefits can be obtained by observing simultaneously with passive and active channels, at similar frequencies, viewing angles, and spatial resolutions, making use of the complementary information contained in the emissivity and backscattering signatures of land and ocean targets. In this study, we investigate a concept for combined passive and active multichannel sensing with high spatial resolution, high measurement sensitivity, and wide swath for frequent global coverage. The system consists of a lightweight, rotating, d√©ployable mesh antenna with offset feeds. The system specifications are designed primarily for the measurement of sea surface salinity, since this application drives the precision and calibration requirements and, like soil moisture, is a science measurement for which no spaceborne capability currently exists. Demonstration of a capability for sea surface salinity will enhance the potential of this large antenna concept for other applications such as soil moisture and, by including higher frequencies, high resolution measurements of ocean winds, precipitation, sea-surface temperature, and sea-ice. ¬© 2000 IEEE.</t>
  </si>
  <si>
    <t>2645-2655</t>
  </si>
  <si>
    <t>60009037;60009037;60009037;60027550</t>
  </si>
  <si>
    <t>7006231742;7404032603;7004444029;7102110120</t>
  </si>
  <si>
    <t>Njoku, E. G.;Wilson, W. J.;Yueh, S. H.;Rahmat-Samii, Y.</t>
  </si>
  <si>
    <t>University of California, Los Angeles;Jet Propulsion Laboratory</t>
  </si>
  <si>
    <t>60027550;60009037</t>
  </si>
  <si>
    <t>A large-antenna microwave radiometer-scatterometer concept for ocean salinity and soil moisture sensing</t>
  </si>
  <si>
    <t>S0196289200062124</t>
  </si>
  <si>
    <t>10.1109/36.885211</t>
  </si>
  <si>
    <t>2-s2.0-0034317747</t>
  </si>
  <si>
    <t>['¬© 2000', 'signal may', 'receiving antennas', 'moving object', 'filtration algorithms', 'elementary antenna', 'allerton press']</t>
  </si>
  <si>
    <t>Filtration algorithms for the parameters of a moving object with propagation of the signals in a turbulent medium arc synthesized. Because of inhomogeneitics in the medium, the signal may be considered coherent within the aperture of each elementary antenna of a multiposition radar system. The signals are collectively mutually noncoherent at the outputs of the receiving antennas. ¬©2000 by Allerton Press, Inc.</t>
  </si>
  <si>
    <t>Automatic Control and Computer Sciences</t>
  </si>
  <si>
    <t>100315264;100315264</t>
  </si>
  <si>
    <t>7006449635;8402284700</t>
  </si>
  <si>
    <t>Taran, V. N.;Yukhnov, V. I.</t>
  </si>
  <si>
    <t>Rostov Mil. Inst. for Rocket Defense</t>
  </si>
  <si>
    <t>Taran V.</t>
  </si>
  <si>
    <t>Synthesis of space-time signal processing algorithm in the case of phase and amplitude fluctuation</t>
  </si>
  <si>
    <t>2-s2.0-0034407587</t>
  </si>
  <si>
    <t>DAAHO4-98-1-0001</t>
  </si>
  <si>
    <t>['unit cell', 'shifterless beamforming', 'rise time', 'receive circuit', 'quasioptical array', 'power amplifier', 'paper presents', 'optical power', 'optical energy', 'noise amplifier', 'measured performance', 'fast switching', 'duplex transmit', 'antenna element', 'active element', '7 pj', '7 mw', '2 ns', '14 pj', '10 ghz', '1 œºw']</t>
  </si>
  <si>
    <t>Active antennas | Microwave switches | Optical switches | Switched circuits</t>
  </si>
  <si>
    <t>This paper presents an optically switched X-band active antenna element for half-duplex transmit/receive (T/R) applications. The antenna element is designed to be a unit cell of a quasioptical array with fast switching between T and R and with built-in phase-shifterless beamforming. The measured performance of the active element is 14 dB gain contributed by the power amplifier (PA) in transmission and 16 dB gain contributed by the low-noise amplifier in reception, with 30 dB isolation between T and R. The switching is accomplished with only 1 ŒºW of optical power for 1.7 Us switching time (1.7 pJ of optical energy) and a rise time of 2 ns at 10 GHz with 7 mW of optical power (14 pJ of optical energy). The design, implementation, and measured performance of the optically controlled transmit/receive circuit are presented. ¬© 2000 IEEE.</t>
  </si>
  <si>
    <t>2686-2691</t>
  </si>
  <si>
    <t>7003311249;7101961963</t>
  </si>
  <si>
    <t>Vian, James;Popovic, Zoya</t>
  </si>
  <si>
    <t>Vian J.</t>
  </si>
  <si>
    <t>A transmit/receive active antenna with fast low-power optical switching</t>
  </si>
  <si>
    <t>S0018948000107471</t>
  </si>
  <si>
    <t>10.1109/22.899031</t>
  </si>
  <si>
    <t>2-s2.0-0034427305</t>
  </si>
  <si>
    <t>['prototype 23', 'paper summarizes', 'new type']</t>
  </si>
  <si>
    <t>Ferroelectric devices | Phase shifters | Phased array antennas | Scanning antennas</t>
  </si>
  <si>
    <t>This paper summarizes the development of a prototype 23.675-GHz linear 16-element scanning phased array antenna based on thin ferroelectric film coupled microstripline phase shifters and microstrip patch radiators. A new type of scanning reflectarray antenna is introduced. ¬© 2000 IEEE.</t>
  </si>
  <si>
    <t>2504-2510</t>
  </si>
  <si>
    <t>Romanofsky, Robert R.</t>
  </si>
  <si>
    <t>Cleveland</t>
  </si>
  <si>
    <t>NASA Glenn Research Center</t>
  </si>
  <si>
    <t>K -B and phased array antennas based on bag.6010.4otiu3 thin-film phase shifters</t>
  </si>
  <si>
    <t>S0018948000107811</t>
  </si>
  <si>
    <t>10.1109/22.899005</t>
  </si>
  <si>
    <t>2-s2.0-0034427470</t>
  </si>
  <si>
    <t>['source point', 'similar method', 'regions close', 'precise details', 'potentially significant', 'nominally using', 'hybrid method', 'human head', 'fdtd technique', 'dyadic green', 'differences could', 'difference time', 'computed results', 'compute parameters', 'auxiliary sources']</t>
  </si>
  <si>
    <t>Biological effects of electromagnetic radiation | Dosimetry | Error analysis | Fdtd methods | Hybrid numerical techniques | Land mobile radio cellular systems</t>
  </si>
  <si>
    <t>A set of finite-difference time-domain (FDTD) numerical experiments modeling canonical representations of the human head/cellular phone interaction has been performed in order to investigate the effect of specific simulation details (e.g., antenna numerical representation and absorbing boundary conditions) on computed results. Furthermore, hybrid techniques based on the dyadic Green's function and the method of auxiliary sources, and on a hybrid method-of-moments-FDTD technique have been used to compute parameters of interest for comparison with the FDTD evaluated parameters. It was found that small, but potentially significant, differences in computed results could occur, even between groups that were nominally using a very similar method. However, these differences could be made to become very small when precise details of the simulation were harmonized, particularly in the regions close to the source point. ¬© 2000 IEEE.</t>
  </si>
  <si>
    <t>2676-2685</t>
  </si>
  <si>
    <t>60002947;60032350;60032350;60002947;60032350;60032350;60015331;60015331;60008524;60008524;60031624;60031624;60031624;60031624</t>
  </si>
  <si>
    <t>7005448427;7003948945;56231427700;7102355233;6603887757;6603094570;7005683394;6508078994;13612913300;7006824457;7102832809;6602296653;35952791600;36055785900</t>
  </si>
  <si>
    <t>Nikita, Konstantina S.;Cavagnaro, Marta;Bernardi, Paolo;Uzunoglu, Nikolaos K.;Pisa, Stefano;Piuzzi, Emanuele;Sahalos, John N.;Krikelas, George I.;Vaul, John A.;Excell, Peter S.;Cerri, Graziano;Chiarandini, Simona;De Leo, Roberto;Russo, Paola</t>
  </si>
  <si>
    <t>Italy;Italy;Greece;United Kingdom;Greece</t>
  </si>
  <si>
    <t>Rome;Ancona;Thessaloniki;Bradford;Athens</t>
  </si>
  <si>
    <t>Sapienza Universit√† di Roma;Universit√† Politecnica delle Marche;Aristotle University of Thessaloniki;University of Bradford;National Technical University of Athens</t>
  </si>
  <si>
    <t>60032350;60031624;60015331;60008524;60002947</t>
  </si>
  <si>
    <t>Nikita K.</t>
  </si>
  <si>
    <t>A study of uncertainties in modeling antenna performance and power absorption in the head of a cellular phone user</t>
  </si>
  <si>
    <t>S001894800010746X</t>
  </si>
  <si>
    <t>10.1109/22.899030</t>
  </si>
  <si>
    <t>2-s2.0-0034427474</t>
  </si>
  <si>
    <t>['range imaging', 'radar simulator', 'performed using', 'mobile targets', 'included stationary', 'first test', 'coherent system', 'bistatic responses']</t>
  </si>
  <si>
    <t>Doppler radar | Fm radar | Microwave imaging | Radar imaging</t>
  </si>
  <si>
    <t>A coherent system with two stepped frequency radar sensors separated by 1-2 m is presented in this paper for close-range imaging. Resolution is achieved via range resolution from the two different sensor positions, exploiting both monostatic and bistatic responses. A first test had been performed using a vector measurement equipment for an antenna measurement range as a radar simulator, and now, a mobile experimental system was built and tested, which included stationary and mobile targets. ¬© 2000 IEEE.</t>
  </si>
  <si>
    <t>2736-2741</t>
  </si>
  <si>
    <t>60085149;60010586;60010586</t>
  </si>
  <si>
    <t>7005825499;7102063968;6506084869</t>
  </si>
  <si>
    <t>Michael, Birgit;Menzel, Wolfgang;Gronau, Arnold</t>
  </si>
  <si>
    <t>Michael B.</t>
  </si>
  <si>
    <t>A real-time close-range imaging system with fixed antennas</t>
  </si>
  <si>
    <t>S0018948000107963</t>
  </si>
  <si>
    <t>10.1109/22.899038</t>
  </si>
  <si>
    <t>2-s2.0-0034428731</t>
  </si>
  <si>
    <t>['wave region', 'wave fiber', 'system architectures', 'rf upconverter', 'realize cost', 'optical transceivers', 'optical transceiver', 'one employs', 'laser diode', 'good prospects', 'external modulator', 'electroabsorption transceiver', 'effective fiber', 'eatx ).', 'eat ),', 'band millimeter']</t>
  </si>
  <si>
    <t>Electroabsorption | Optical fiber communication | Optical millimeter-wave devices | Radio communication | Transceivers</t>
  </si>
  <si>
    <t>To realize a cost-effective and practical antenna base station (BS) for 60-GHz-band millimeter-wave fiber-radio access systems, an approach to a single optical component BS is presented in this paper. The external modulation technique will allow to replace the pair of a photodetector (PD) and a laser diode with an external modulator at the BS by an optical transceiver. Two system architectures using different types of optical transceivers are studied in detail: one employs an electroabsorption transceiver (EAT), and the other employs an electroabsorption transceiver/mixer (EATX). The EAT serves simultaneously as a PD and an external light modulator in 60-GHz-band millimeter-wave region. The EATX furthermore acts as an IF-to-RF upconverter and an RF-to-IF downconverter. It will be shown that both system architectures have good prospects to realize cost-effective fiber-radio access systems. ¬© 2000 IEEE.</t>
  </si>
  <si>
    <t>2588-2595</t>
  </si>
  <si>
    <t>Kitayama, Ken Ichi</t>
  </si>
  <si>
    <t>Kitayama K.I.</t>
  </si>
  <si>
    <t>An approach to single optical component antenna base stations for broad-band millimeter-wave fiber-radio access systems</t>
  </si>
  <si>
    <t>S0018948000107938</t>
  </si>
  <si>
    <t>10.1109/22.899017</t>
  </si>
  <si>
    <t>2-s2.0-0034430057</t>
  </si>
  <si>
    <t>['three branches', 'significantly improve', 'paper presents', 'noise figure', 'fabricated using', 'calibration switching', 'branch consists', '8 mm2', '4 dbm', '3 db', '2 ghz', '16 db', '15 db']</t>
  </si>
  <si>
    <t>Amplitude control | Gaas mesfet | HIPERLAN | MMIC | Phase control | Smart antennas | Vector modulator</t>
  </si>
  <si>
    <t>This paper presents a calibratable adaptive antenna combiner with three branches for high-performance radio local area network at 5.2 GHz. The system was mounted on a reinforced duroid substrate and enables the integration in a laptop interface card. Each branch consists of a bent stacked slot antenna, a low-noise-amplifier monolithic microwave integrated circuit (MMIC) with antenna/calibration switching and a vector modulator MMIC with an amplitude control range of 15 dB and 360 phase control range. The signals of the three branches are combined by an active adder MMIC. A calibration is proposed to significantly improve the phase and amplitude control resolution and the yield of the designed MMIC circuits, which were fabricated using a commercial GaAs process. Each branch has a maximum power gain of 16 dB, a noise figure of 3.3 dB, and a 1-dB output compression point of -4 dBm. The whole system draws less than 28 mA from a 2.7-V voltage supply. The total required MMIC chip size is 10.8 mm2. ¬© 2000 IEEE.</t>
  </si>
  <si>
    <t>2714-2720</t>
  </si>
  <si>
    <t>60025858;60025858;60025858</t>
  </si>
  <si>
    <t>56259557900;35886469700;7006187666</t>
  </si>
  <si>
    <t>Ellinger, Frank;Vogt, Rolf;B√§chtold, Werner</t>
  </si>
  <si>
    <t>Ellinger F.</t>
  </si>
  <si>
    <t>Calibratable adaptive antenna combiner at 5.2 ghz with high yield for laptop interface card</t>
  </si>
  <si>
    <t>S0018948000107513</t>
  </si>
  <si>
    <t>10.1109/22.899035</t>
  </si>
  <si>
    <t>2-s2.0-0034430370</t>
  </si>
  <si>
    <t>France T√©l√©com</t>
  </si>
  <si>
    <t>99 1B 113</t>
  </si>
  <si>
    <t>['successfully applied', 'rigorously equivalent', 'particular treatments', 'new wavelet', 'microstrip structures', 'memory storage', 'general formulation', 'finer finite', 'field computation', 'every level', 'domain schemes', 'difference time', 'cpu time', 'boundary conditions', 'based technique']</t>
  </si>
  <si>
    <t>Far-field computation | Fdtd methods | Haar transforms | Microstrip antennas | Microstrip circuits | Multiresolution analysis | Subgridding | Wavelet transforms</t>
  </si>
  <si>
    <t>A new wavelet-based technique to generate multiresolution time-domain schemes is presented in this paper. By using symbolic calculus, a rigorous and general formulation of subgridding at every level of multiresolution is obtained. As it is rigorously equivalent to a finer finite-difference time-domain (FDTD) scheme, it does not require any particular treatments for boundary conditions. This technique has been successfully applied to the study of microstrip structures. The near- and the far-field computation can be both improved in terms of CPU time and memory storage, while maintaining the same accuracy as the classical FDTD computation. ¬© 2000 IEEE.</t>
  </si>
  <si>
    <t>2261-2270</t>
  </si>
  <si>
    <t>60005049;60104081;60005049;60104081</t>
  </si>
  <si>
    <t>An efficient analysis of planar microwave circuits using a dwt-based haar mrtd scheme</t>
  </si>
  <si>
    <t>S0018948000107185</t>
  </si>
  <si>
    <t>10.1109/22.898973</t>
  </si>
  <si>
    <t>2-s2.0-0034430472</t>
  </si>
  <si>
    <t>DAAG55-98-1-0352</t>
  </si>
  <si>
    <t>['water velocities', 'shaped rods', 'setal socket', 'seta increases', 'scolopale tube', 'receptors resemble', 'receptors exceed', 'potential threats', 'pleuromamma xiphias', 'physiological performance', 'overall sensitivity', 'linked microtubules', 'likely mechanism', 'large number', 'individual microtubules', 'gated channels', 'function relationships', 'frequency response', 'first antennae', 'firmly anchored', 'firm anchoring', 'elucidate structure', 'distal dendrites', 'dendritic membrane', 'dendrite inside', 'crustacean mechanoreceptors']</t>
  </si>
  <si>
    <t>Crustacean | Cuticular sensilla | Mechanotransduction | Scolopidia | Sensory | Zooplankton</t>
  </si>
  <si>
    <t>The mechanoreceptors of the first antennae of Pleuromamma xiphias, a mesopelagic calanoid copepod, are critical for the detection of potential threats. These receptors exceed the physiological performance of other crustacean mechanoreceptors in sensitivity to water velocities as well as in frequency response. A study of these receptors was initiated to elucidate structure-function relationships. Morphologically, the receptors resemble the arthropod scolopidial organs by the presence of a scolopale tube. However, the rigidity of the copepod receptors greatly exceeds those described for crustaceans and other arthropods. The scolopale tube completely encloses the distal dendrites and it is firmly anchored to the cuticle. Microtubules are organized in register and arise from microtubule subfibers associated with crescent-shaped rods which extend from the basal body region to the setal socket. The distal dendrites are filled with a large number of cross-linked microtubules. Termination of the distal dendrites inside the lumen of the setae is gradual with a firm anchoring to the cuticle. A likely mechanism for mechanotransduction would involve a linkage between individual microtubules and mechano-gated channels in the dendritic membrane. The rigidity probably contributes to the high frequency sensitivity, and termination of the dendrite inside the seta increases the overall sensitivity of these receptors. ¬© 2001 Elsevier Science Ltd.</t>
  </si>
  <si>
    <t>275-288</t>
  </si>
  <si>
    <t>60006819;60006819</t>
  </si>
  <si>
    <t>6602923998;7103014113</t>
  </si>
  <si>
    <t>Weatherby, T. M.;Lenz, P. H.</t>
  </si>
  <si>
    <t>Mechanoreceptors in calanoid copepods: Designed for high sensitivity</t>
  </si>
  <si>
    <t>S1467803901000111</t>
  </si>
  <si>
    <t>10.1016/S1467-8039(01)00011-1</t>
  </si>
  <si>
    <t>2-s2.0-0034437618</t>
  </si>
  <si>
    <t>['xyelotomidae rasnitsyn', 'respectively ),', 'ephialtitidae handlirsch', '1906 ).']</t>
  </si>
  <si>
    <t>Hymenoptera | Insecta | Lower Cretaceous | N.gen. | N.sp. | Spain</t>
  </si>
  <si>
    <t>Two new hymenoterans are described from the Lower Barremian lithographic limestones of Sierra del Montsec (Lleida, Spain), Leridatoma pulcherrimapulcherima n.gen., n.sp. (Xyelotomidae RASNITSYN, 1968) that combines the most and the least advanced character states in the family (in structure of antenna and fore wing RS, respectively), and Cretephialtites pedrerae n.gen., n.sp. (Ephialtitidae HANDLIRSCH, 1906).</t>
  </si>
  <si>
    <t>59-64</t>
  </si>
  <si>
    <t>Acta Geologica Hispanica</t>
  </si>
  <si>
    <t>60025993;60025993</t>
  </si>
  <si>
    <t>7003722753;7003559971</t>
  </si>
  <si>
    <t>Rasnitsyn, A. P.;Ansorge, J.</t>
  </si>
  <si>
    <t>Paleontological Institute of Russian Academy of Sciences</t>
  </si>
  <si>
    <t>Rasnitsyn A.P.</t>
  </si>
  <si>
    <t>Two new Lower Cretaceous hymenopterous insects (Insecta: Hymenoptera) from Sierra del Montsec, Spain</t>
  </si>
  <si>
    <t>2-s2.0-0034438114</t>
  </si>
  <si>
    <t>['temporal characteristics', 'structure determination', 'site energies', 'simultaneous simulation', 'satisfactory reproduction', 'protein interactions', 'prominent features', 'key spectral', 'good point', 'function relationship', 'directed mutagenesis', 'dipole approximation', 'detailed treatments', 'coulombic interaction', 'considerable part', 'better understanding', 'assignments proposed']</t>
  </si>
  <si>
    <t>CP29 | Electronic excited states | Energy transfer | LHCII | Light-harvesting complexes | Photosynthesis</t>
  </si>
  <si>
    <t>We have suggested a model for the electronic excited states of the minor plant antenna, CP29, by incorporating a considerable part of the current information offered by structure determination, site-directed mutagenesis, and spectroscopy in the modeling. We have assumed that the electronic excited states of the complex have been decided by the chlorophyll-chlorophyll (Chl) and Chl-protein interactions and have modeled the Coulombic interaction between a pair of Chls in the point-dipole approximation and the Chl-protein interactions are treated as empirical fit parameters. We have suggested the Qy dipole moment orientations and the site energies for all the chlorophylls in the complex through a simultaneous simulation of the absorption and linear dichroism spectra. The assignments proposed have been discussed to yield a satisfactory reproduction of all prominent features of the absorption, linear and circular dichroism spectra as well as the key spectral and temporal characteristics of the energy transfer processes among the chlorophylls. The orientations and the spectral assignments obtained by relatively simple exciton calculations have been necessary to provide a good point of departure for more detailed treatments of structure-function relationship in CP29. Moreover, it has been discussed that the CP29 model suggested can guide the studies for a better understanding of the structure-function relationship in the major plant antenna, LHCII.</t>
  </si>
  <si>
    <t>321-339</t>
  </si>
  <si>
    <t>Journal of Biological Physics</t>
  </si>
  <si>
    <t>60004305;60014808;60004305</t>
  </si>
  <si>
    <t>6506333240;15919102600;6602366587</t>
  </si>
  <si>
    <t>I≈üeri, Erkut I.;Albayrak, Duygu;G√ºlen, Demet</t>
  </si>
  <si>
    <t>Ankara;Ankara</t>
  </si>
  <si>
    <t>Bilkent √úniversitesi;Middle East Technical University (METU)</t>
  </si>
  <si>
    <t>60014808;60004305</t>
  </si>
  <si>
    <t>I≈üeri E.</t>
  </si>
  <si>
    <t>Electronic excited states of the CP29 antenna complex of green plants: A model based on exciton calculations</t>
  </si>
  <si>
    <t>10.1023/A:1010352731838</t>
  </si>
  <si>
    <t>2-s2.0-0034438520</t>
  </si>
  <si>
    <t>['whole antenna', 'two plant', 'terminal pores', 'specialist parasitoid', 'recorded responses', 'plants damaged', 'microplitis croceipes', 'male antennae', 'low numbers', 'longitudinal axis', 'host location', 'female antennae', 'emitted volatiles', 'croceipes antennae', 'conducted scanning', 'approximately twice', 'also plant']</t>
  </si>
  <si>
    <t>Electrophysiology | Host-location-recognition | Parasitic wasp | Sensillum | Ultrastructure</t>
  </si>
  <si>
    <t>The specialist parasitoid, Microplitis croceipes (Cresson) (Hymenoptera: Braconidae), uses chemical cues from plants damaged by herbivore-feeding and also plant by-products in host location and acceptance. These chemicals are detected by the wasp's antennae. We conducted scanning and transmission electron microscopy studies of male and female M. croceipes antennae and detected no distinct morphological differences in the chemoreceptors between the sexes. Male antennae are approximately twice as long as female antennae. We found five morphological sensillar types in both sexes: Sensilla (s) trichodea were the most abundant and distributed over the whole antenna; s. chaetica were present in low numbers only on the scape and pedicel; and s. basiconica, s. coeloconica and elongated s. placodea were found only on the flagellum. Ultrastructural investigations revealed pore systems on s. basiconica and s. placodea. In s. placodea, sensory neurons run parallel to the longitudinal axis of the sensilla with terminal pores. We recorded responses from single olfactory receptor neurons in s. placodea to two plant-emitted volatiles, cis-3-hexenol and ocimene, and two anthropogenic compounds, cyclohexanone and 2-diisopropylaminoethanol. Male receptor neurons were more sensitive than those of females with significantly higher spike frequency being registered from neurons in males. ¬© 2001 Elsevier Science Ltd.</t>
  </si>
  <si>
    <t>231-240</t>
  </si>
  <si>
    <t>60004354;60004354;60004354;60004354</t>
  </si>
  <si>
    <t>6602663257;7408066828;56136051000;7402604731</t>
  </si>
  <si>
    <t>Ochieng, S. A.;Park, K. C.;Zhu, J. W.;Baker, T. C.</t>
  </si>
  <si>
    <t>Iowa State University</t>
  </si>
  <si>
    <t>Ochieng S.</t>
  </si>
  <si>
    <t>Functional morphology of antennal chemoreceptors of the parasitoid Microplitis croceipes (Hymenoptera: Braconidae)</t>
  </si>
  <si>
    <t>S1467803901000081</t>
  </si>
  <si>
    <t>10.1016/S1467-8039(01)00008-1</t>
  </si>
  <si>
    <t>2-s2.0-0034439658</t>
  </si>
  <si>
    <t>['stepwise manner', 'single row', 'protocerebral contribution', 'progeny remains', 'perineurium called', 'neuroblasts located', 'longer immunoreactive', 'lateral cleft', 'immunoreactive neighbours', 'glomerular components', 'expression pattern', 'engrailed protein', 'direct columns', 'compact block', 'cellular organization', 'cells disappears', 'become separated', 'antennal lobe']</t>
  </si>
  <si>
    <t>Brain | Development | Immunocytochemistry | Insect | Segmentation</t>
  </si>
  <si>
    <t>The expression pattern of the engrailed protein was studied in neuroblasts which delaminate at the border of the protocerebrum and antennal lobe of the deutocerebrum in the early embryonic brain of the grasshopper. The antennal lobe is a complex structure comprising both glomerular and non-glomerular components, a cellular organization which distinguishes it from the striate-like neuropil comprising the remainder of the deutocerebrum. Early in embryogenesis engrailed expression in the protocerebrum is restricted to a compact block of neuroblasts located at its interface with the antennal lobe. Subsequently engrailed expression in these cells disappears in a stepwise manner from anterior to posterior so that by 37% of embryogenesis only a single row of three engrailed positive neuroblasts and their progeny remains. Contemporaneously engrailed expression reappears in a group of more anterior progeny deriving from neuroblasts which are no longer immunoreactive. The three remaining engrailed positive neuroblasts then become separated from their non-immunoreactive neighbours by an invagination of the perineurium called the lateral cleft and come to lie completely within the developing antennal lobe. These cells then direct columns of immunoreactive progeny centrifugally towards the centre of the lobe. Such a protocerebral contribution to the antennal lobe suggests that the evolution and ontogeny of this brain region need to be reconsidered. ¬© 2001 Elsevier Science Ltd.</t>
  </si>
  <si>
    <t>267-274</t>
  </si>
  <si>
    <t>60028717;60028717</t>
  </si>
  <si>
    <t>7003342262;7404478883</t>
  </si>
  <si>
    <t>Boyan, George;Williams, Leslie</t>
  </si>
  <si>
    <t>Ludwig-Maximilians-Universit√§t M√ºnchen</t>
  </si>
  <si>
    <t>Boyan G.</t>
  </si>
  <si>
    <t>Building the antennal lobe: Engrailed expression reveals a contribution from protocerebral neuroblasts in the grasshopper Schistocerca gregaria</t>
  </si>
  <si>
    <t>S1467803901000093</t>
  </si>
  <si>
    <t>10.1016/S1467-8039(01)00009-3</t>
  </si>
  <si>
    <t>2-s2.0-0034440084</t>
  </si>
  <si>
    <t>['wired probes', 'thermal images', 'retrieval techniques', 'retrieval results', 'ptp technique', 'plane distribution', 'particular interest', 'one method', 'numerical simulations', 'new york', 'near field', 'national institute', 'measure near', 'known results', 'iterative plane', 'ir thermographic', 'ir thermograms', 'holographic phase', 'holographic data', 'field thermographic', 'field range', 'complex intensity', 'aut ).', 'aperture source', 'also discussed']</t>
  </si>
  <si>
    <t>In this paper, we apply microwave holography to infrared (IR) thermal images of electromagnetic (EM) fields to measure near-field and far-field radiation patterns of antennas. The phase of the field is retrieved from IR thermograms (magnitude-only thermal images of the field) measured in the near field of the antenna using microwave holography. One method to extract the phase is to use an iterative plane-to-plane (PTP) two-dimensional (2D) holographic phase retrieval method. After the phase is recovered, the near-field thermographic/holographic data can be processed to determine the complex intensity (magnitude and phase) of the field at any distance in front of the antenna under test (AUT). Of particular interest is the far-field radiation pattern of the antenna or, especially for phased array antennas, the aperture source-plane distribution. Numerical simulations were performed to determine the feasibility, accuracy, and sensitivity of these IR thermographic/holographic phase-retrieval techniques. The advantages and disadvantages of the technique are also discussed. To demonstrate the feasibility of the technique, actual IR thermograms were obtained at the Air Force Research Laboratory/Rome Research Site (AFRL/RRS) in Rome, (New York) and holograms were derived from a simple planar 6 √ó 6 phased array patch antenna using the PTP technique. The phase-retrieval results are presented and compared with the known results for this antenna, as measured on the near-field range at the National Institute of Technology and Standards (NIST) using standard hard-wired probes. The agreement between the results for this antenna is very good. ¬© 2001 John Wiley &amp; Sons, Inc.</t>
  </si>
  <si>
    <t>International Journal of Imaging Systems and Technology</t>
  </si>
  <si>
    <t>60010265;60014708;60023053</t>
  </si>
  <si>
    <t>7003593918;7102252948;7004384154</t>
  </si>
  <si>
    <t>Norgard, John;Will, John;Stubenrauch, Carl</t>
  </si>
  <si>
    <t>Gaithersburg;Santa Clara;Colorado Springs</t>
  </si>
  <si>
    <t>National Institute of Standards and Technology;Sun Microsystems;University of Colorado at Colorado Springs</t>
  </si>
  <si>
    <t>60023053;60014708;60010265</t>
  </si>
  <si>
    <t>Norgard J.</t>
  </si>
  <si>
    <t>Quantitative images of antenna patterns using infrared thermography and microwave holography</t>
  </si>
  <si>
    <t>10.1002/ima.1006</t>
  </si>
  <si>
    <t>2-s2.0-0034440663</t>
  </si>
  <si>
    <t>['widespread application', 'weight allow', 'unique advantages', 'thus reducing', 'technical constraints', 'space mission', 'space applications', 'small volume', 'manufacturing processes', 'innovative applications', 'inflatable structures', 'inflatable structure', 'increased payload', 'high potential', 'give way', 'extremely lightweight', 'extreme limitations', 'entry vehicle', 'early sixties', 'already made', 'aerospace engineering']</t>
  </si>
  <si>
    <t>Deployable structures | Inflatable structures | Pressurized structures | Space structures</t>
  </si>
  <si>
    <t>Because of the high structural efficiency of a tensile stressed pressurized lightweight membrane, an inflatable structure can be extremely lightweight. Moreover, it is collapsible and can be transported in a small volume. This and other favourable characteristics give inflatable structures some unique advantages over conventional structural forms, especially when extreme limitations are placed upon weight and volume for applications in architecture, aeronautics and space. For space applications, the decrease in volume and weight allow for smaller and ligher launch vehicles or an increased payload, thus reducing the costs of a space mission. Proposals for inflatable structures were already made in the early sixties. The widespread application of inflatables in aerospace engineering as well as other branches of industry as set back due to economical and technical constraints. Their high potential, however, has always retained interest. New advanced materials, manufacturing processes and computer technologies may solve still existing problems and give way to innovative applications. Successful test missions of an inflatable re-entry vehicle, an antenna and a concept for an inflatable space habitat illustrate this.</t>
  </si>
  <si>
    <t>177-190</t>
  </si>
  <si>
    <t>Journal of the International Association for Shell and Spatial Structures</t>
  </si>
  <si>
    <t>6701557637;6504745232;6602967517</t>
  </si>
  <si>
    <t>Beukers, A.;M√∂lder, O. V.;Vermeeren, C. A.J.R.</t>
  </si>
  <si>
    <t>Beukers A.</t>
  </si>
  <si>
    <t>Inflatable structures in space engineering</t>
  </si>
  <si>
    <t>2-s2.0-0034445886</t>
  </si>
  <si>
    <t>['via fluorescence', 'substantial modernization', 'reliably established', 'reaction centres', 'ratio proved', 'primary reaction', 'primary photoreactions', 'primary events', 'minor portion', 'internal discrepancy', 'fluorescence parameters', 'electronic excitations', 'electron transfer', 'divergence seems', 'dimensionless value', 'differ 5', 'current model', 'author proposes', 'author calculated', 'antenna chlorophylls', '10 times', '1 chl']</t>
  </si>
  <si>
    <t>According to the current model of primary events in plants, electronic excitations generated in antenna chlorophylls (Chl) by the light rapidly migrate within vast Chl ensembles, reach the reaction centres (RCs) and initiate the primary photoreactions of electron transfer from the RC special pairs (P700 and P680 in plant photosystems). A minor portion of electronic excitations is lost en route, in particular, via fluorescence of Chl a. A number of fluorescence parameters in vivo had been reliably established in many independent studies. Based on these parameters, the author calculated a dimensionless value, the ratio of fluorescence yields emitted by PS-2 and PS-1 Chl a ensembles. The ratio proved to differ 5-10 times from that obtained in experiments. Such a divergence seems to indicate an internal discrepancy in the currently used model. The author proposes a substantial modernization of the model by introducing a new subpicosecond state for RCs, which precedes the primary reaction of electron transfer from the RC special pairs.</t>
  </si>
  <si>
    <t>333-341</t>
  </si>
  <si>
    <t>Membrane and Cell Biology</t>
  </si>
  <si>
    <t>Borisov, A. Y.</t>
  </si>
  <si>
    <t>Borisov A.</t>
  </si>
  <si>
    <t>The currently accepted model of primary energy conversion in the plant photosystems must be substantially modernized</t>
  </si>
  <si>
    <t>2-s2.0-0034451504</t>
  </si>
  <si>
    <t>['tpef cross', 'simultaneous second', 'shg radiation', 'shg cross', 'model provides', 'model based', 'highly structured', 'harmonic generation', 'directly compared', 'array antennas']</t>
  </si>
  <si>
    <t>Nonlinear optics | Optical second-harmonic generation | Second-harmonic microscopy | Shg | Two-photon microscopy</t>
  </si>
  <si>
    <t>We demonstrate that simultaneous second-harmonic generation (SHG) and two-photon excited fluorescence (TPEF) can be used to rapidly image membranes labeled with a lipophilic styryl dye. We have developed a model based on the theory of phased-array antennas which shows that the SHG radiation is highly structured and can be roughly of the same power as TPEF. This model provides a definition of a SHG cross-section which can be directly compared to the TPEF cross-section.</t>
  </si>
  <si>
    <t>183-188</t>
  </si>
  <si>
    <t>Molecular Crystals and Liquid Crystals Science and Technology Section B: Nonlinear Optics</t>
  </si>
  <si>
    <t>60030236;60030236;60030236;60030236</t>
  </si>
  <si>
    <t>Ecole Superieure de Physique et de Chimie Industrielles de la Ville de Paris</t>
  </si>
  <si>
    <t>Simultaneous second-harmonic generation and two-photon excited fluorescence microscopy</t>
  </si>
  <si>
    <t>2-s2.0-0034452717</t>
  </si>
  <si>
    <t>99-04-39-075</t>
  </si>
  <si>
    <t>['white light', 'whereas content', 'unique chlorophyll', 'state cycle', 'specific reactions', 'reversible photoinhibition', 'red light', 'ps ii', 'preferentially located', 'predominating prokaryote', 'photosynthetic apparatus', 'photosynthesis revealed', 'partial reactions', 'optical cross', 'o2 evolution', 'nonuniformly distributed', 'minor fraction', 'lower efficiency', 'including 3', 'h2 photoevolution', 'grown cells', 'functional organization', 'energy transfer', 'competent ps', 'centers involved', 'aerobic conditions', 'action spectra', 'acaryochloris marina', '90 chl', '735 nm', '46 ].', '4 oscillation', '4 chl', '2 pheo', '100 chl']</t>
  </si>
  <si>
    <t>Action spectra | Antenna size | Flash yield | H  photoevolution 2 | O  evolution 2 | Photoinhibition of respiration | Photosystems I and II</t>
  </si>
  <si>
    <t>Functional organization of the photosynthetic apparatus in the unique chlorophyll d-predominating prokaryote, Acaryochloris marina, was studied using polarographic measurements of single-turnover flash yields, action spectra and optical cross sections for PS-specific reactions. O2 evolution was indicative of PS II activity, while reversible photoinhibition of respiratory O2 uptake under aerobic conditions in the presence of DCMU and H2 photoevolution by anaerobically adapted cells were the indicatives of PS I activity. O2 evolution in the cells upon single-turnover flashes followed the normal S-state cycle with a period-4 oscillation. Analysis of action spectra for the partial reactions of photosynthesis revealed that: (1) distinct spectral forms of Chl d are nonuniformly distributed between PS I and PS II, e.g. Chl d-695 and Chl d-735 are preferentially located in PS II and PS I, respectively; (2) a minor fraction of Chl a in the cells belongs mostly to PS II; (3) biliproteins transfer excitation energy both to PS II and, with a lower efficiency, PS I; (4) the efficiency of energy transfer from biliproteins to PS II depends on the light quality growth conditions and is larger in white light (WL)-grown cells compared to the red light (RL)-grown cells. Content of functional O2 evolving PS II centers decreases 2 times in the RL-grown cells relative to the WL-grown cells, whereas content of competent PS I centers involved in photoinhibition of respiration remains almost the same in both the cultures. The effective antenna size of PS I was estimated to be 80-90 Chl d including 3-10 molecules absorbing at 735 nm. The effective optical cross-section of PS II corresponded to 90-100 Chl d and, presumably, 4 Chl a + 2 Pheo a [Mimuro et al. (1999) Biochim Biophys Acta 1412: 37-46]. Optical cross-section measurements indicated that the functional PS II units of A. marina attach one rod of four hexameric units of biliproteins.</t>
  </si>
  <si>
    <t>60110546;60110546;60029904;60029904</t>
  </si>
  <si>
    <t>7003825263;35944650900;7102537206;35576868000</t>
  </si>
  <si>
    <t>Boichenko, Vladimir A.;Klimov, Vyacheslav V.;Miyashita, Hideaki;Miyachi, Shigetoh</t>
  </si>
  <si>
    <t>Pushchino;Kamaishi</t>
  </si>
  <si>
    <t>Institute of Fundamental Problems of Biology of the Russian Academy of Sciences;Marine Biotechnology Institute, Iwate</t>
  </si>
  <si>
    <t>60110546;60029904</t>
  </si>
  <si>
    <t>Boichenko V.</t>
  </si>
  <si>
    <t>Functional characteristics of chlorophyll d-predominating photosynthetic apparatus in intact cells of Acaryochloris marina</t>
  </si>
  <si>
    <t>10.1023/A:1010637631417</t>
  </si>
  <si>
    <t>2-s2.0-0034452742</t>
  </si>
  <si>
    <t>Systematic Entomology</t>
  </si>
  <si>
    <t>60016849;60016849-60004044;60004044</t>
  </si>
  <si>
    <t>10.1046/j.1365-3113.2000.00098.x</t>
  </si>
  <si>
    <t>2-s2.0-0034454931</t>
  </si>
  <si>
    <t>['zenithal satellite', 'zenith view', 'three satellites', 'tests using', 'south direction', 'satellites placed', 'satellite system', 'satellite services', 'polar region', 'moving near', 'least one', 'inclined geo', 'identical inclination', 'geostationary satellites', 'experimental results', 'elevation angle', 'dual use', 'comets satellite', 'based positioning', 'arbitrary point', '8 satellites', '8 satellite']</t>
  </si>
  <si>
    <t>Figure-8 satellite | Frequency sharing | Mobile satellite communication | Polar region observation | Positioning</t>
  </si>
  <si>
    <t>The figure-8 satellite (quasi-zenithal satellite) system is a satellite constellation consisting of three or more satellites placed in inclined geo-synchronous circular orbits with an identical inclination of around 45 degrees. At any time, at least one of the three satellites is moving near the zenith view from Japan. The sub-satellite point traces a so-called 'figure of eight' locus on the ground, elongating in the north-south direction with an arbitrary point on the equator in the center. The figure-8 satellite system has several potential applications including mobile satellite communications at a high-elevation angle, dual use of the same frequency between geostationary satellites and figure-8 satellites in fixed-satellite services, satellite-based positioning, and observation of the polar region. This paper describes applications of the figure-8 satellite system. In particular, the applicability of the satellite system to mobile satellite communications is shown by the experimental results of tests using the COMETS satellite.</t>
  </si>
  <si>
    <t>215-226</t>
  </si>
  <si>
    <t>60092258;60092258;60092258;60092258</t>
  </si>
  <si>
    <t>57200782015;55464826600;16555148300;35501540000</t>
  </si>
  <si>
    <t>Tanaka, M.;Kimura, K.;Kawase, S.;Wakana, H.</t>
  </si>
  <si>
    <t>Tanaka M.</t>
  </si>
  <si>
    <t>Applications of the figure-8 satellite system</t>
  </si>
  <si>
    <t>2-s2.0-0034457723</t>
  </si>
  <si>
    <t>['technological features', 'specific market', 'skyplexnet system', 'skyplex technology', 'overall description', 'dvb compliance', 'board multiplexer']</t>
  </si>
  <si>
    <t>An overall description of the SkyplexNet system and of the typical service exploitation for broadband multimedia services is given. The networking aspects related with the Skyplex technology, the TDMA operation mode, the DVB compliance and finally the bandwidth on-demand allocation make SkyplexNet a cost effective solution addressing properly the specific market. With reference to such scenario, the technological features of a Ground Segment Architecture based on the 'Skyplex on-board multiplexer' are presented.</t>
  </si>
  <si>
    <t>227-241</t>
  </si>
  <si>
    <t>Tomasicchio, G.</t>
  </si>
  <si>
    <t>Alenia Aeronautica</t>
  </si>
  <si>
    <t>Tomasicchio G.</t>
  </si>
  <si>
    <t>The SkyplexNet, a new satellite network with traffic control and distributed network management</t>
  </si>
  <si>
    <t>2-s2.0-0034458517</t>
  </si>
  <si>
    <t>['safety assessment', 'proposed approach', 'power workstation', 'power deposition', 'mixed finite', 'high accuracy', 'difference time']</t>
  </si>
  <si>
    <t>Dosimetry | Finite-difference time-domain (FDTD) methods | Synthetic aperture radar (SAR) computation</t>
  </si>
  <si>
    <t>A mixed finite-difference time-domain (FDTD)-integral equation approach for the evaluation of the power deposition in the human body model immersed in a complex electromagnetic environment is proposed. The advantage of the proposed approach is that safety assessment for exposure to generic sources may be performed on-site, in a few minutes, with high accuracy and without the need of a high-power workstation. The method uses previously stored FDTD-computed impulse responses (Green's functions) of the human body model by integrating them with the complex incident electromagnetic field distribution that can be measured on site. The application of this method to the dosimetry of cellular telephone base station antennas is presented to show its versatility and ease of use. ¬© 2000 IEEE.</t>
  </si>
  <si>
    <t>1830-1836</t>
  </si>
  <si>
    <t>60000251-60025488-60004923;60000251-60025488</t>
  </si>
  <si>
    <t>7003666534;7103082601</t>
  </si>
  <si>
    <t>Lazzi, Gianluca;Gandhi, Om P.</t>
  </si>
  <si>
    <t>Salt Lake City;Raleigh;New York</t>
  </si>
  <si>
    <t>The University of Utah;NC State University;IEEE</t>
  </si>
  <si>
    <t>60025488;60004923;60000251</t>
  </si>
  <si>
    <t>A mixed FDTD-integral equation approach for on-site safety assessment in complex electromagnetic environments</t>
  </si>
  <si>
    <t>S0018926X00077176</t>
  </si>
  <si>
    <t>10.1109/8.901271</t>
  </si>
  <si>
    <t>2-s2.0-0034458961</t>
  </si>
  <si>
    <t>NSC 89-2213-E-022-001</t>
  </si>
  <si>
    <t>['triangular patch', 'triangle tip', 'fixed frequency', 'feed equilateral', 'experimentally studied', 'cp design', 'bottom edge', '22 %,']</t>
  </si>
  <si>
    <t>Novel circular polarization (CP) designs of single-feed equilateral-triangular microstrip antennas are proposed and experimentally studied. The proposed CP designs can easily be achieved by loading a narrow tuning stub at the triangle tip or at the center of the bottom edge of the triangular patch. Moreover, by embedding a cross-slot of equal slot lengths in the triangular patch, a compact CP operation can easily be obtained, with an antenna size reduction up to about 22%, as compared to the CP design of a regular triangular microstrip antenna without cross-slot at a fixed frequency.</t>
  </si>
  <si>
    <t>1869-1872</t>
  </si>
  <si>
    <t>60116768;60011357</t>
  </si>
  <si>
    <t>7601561423;35460663000</t>
  </si>
  <si>
    <t>Lu, Jui Han;Wong, Kin Lu</t>
  </si>
  <si>
    <t>National Kaohsiung University of Science and Technology;National Sun Yat-Sen University</t>
  </si>
  <si>
    <t>Single-feed circularly polarized equilateral-triangular microstrip antenna with a tuning stub</t>
  </si>
  <si>
    <t>10.1109/8.901278</t>
  </si>
  <si>
    <t>2-s2.0-0034458962</t>
  </si>
  <si>
    <t>['thus leading', 'proposed technique', 'optimal focusing', 'one guarantees', 'new approach', 'linear function', 'global optimum', 'geometrical characteristics', 'extremely effective', 'enhanced performance', 'convex set', 'convex constraint', 'approach formulates']</t>
  </si>
  <si>
    <t>Antenna synthesis | Arrays | Near-field constraints | Optimal focusing | Optimal synthesis</t>
  </si>
  <si>
    <t>A new approach to the optimal focusing of array fields subject to arbitrary upper bounds is presented. The approach formulates the problem as the minimization of a linear function in a convex set. Unlike other approaches, this one guarantees the achievement of the global optimum by using local optimization techniques and can, moreover, deal with any convex constraint on the unknowns, such as near field constraints. Optimization is performed by two ad hoc developed solution algorithms, which exploit the geometrical characteristics of the problem at hand, thus leading to extremely effective and computationally efficient numerical codes. An extensive numerical analysis has been performed in all cases of linear, planar, and circular arc arrays. The enhanced performance of the proposed technique with respect to the solution algorithms available in the literature fully confirms the effectiveness of the approach. ¬© 2000 IEEE.</t>
  </si>
  <si>
    <t>1837-1847</t>
  </si>
  <si>
    <t>60017293;60017293;60021199</t>
  </si>
  <si>
    <t>7003402426;55946194300;6603673875</t>
  </si>
  <si>
    <t>Isernia, Tommaso;Iorio, Paolo Di;Soldovieri, Francesco</t>
  </si>
  <si>
    <t>Rome;Naples</t>
  </si>
  <si>
    <t>Consiglio Nazionale delle Ricerche;Universit√† degli Studi di Napoli Federico II</t>
  </si>
  <si>
    <t>60021199;60017293</t>
  </si>
  <si>
    <t>Isernia T.</t>
  </si>
  <si>
    <t>An effective approach for the optimal focusing of array fields subject to arbitrary upper bounds</t>
  </si>
  <si>
    <t>S0018926X00108555</t>
  </si>
  <si>
    <t>10.1109/8.901272</t>
  </si>
  <si>
    <t>2-s2.0-0034458969</t>
  </si>
  <si>
    <t>['varied significantly', 'suppressed using', 'slots cut', 'return loss', 'radiation patterns', 'practical design', 'patch dimensions', 'lower frequency', 'impedance characteristics', 'frequency ranges', 'either hand', 'cost antennas', 'circular polarisation', 'antenna excites']</t>
  </si>
  <si>
    <t>The launch of new mobile satellite communication links for telephone and data applications demands development of small, low-profile, low-cost antennas. A single-layer, multiband microstrip patch antenna is described, which operates over the frequency ranges of the Iridium and Globalstar satellite communication systems, 1.6 and 2.5GHz. The antenna excites the TM10 and TM30 resonant modes which can operate with either dual linear polarisation or either hand of circular polarisation. The unwanted TM20 mode is suppressed using a combination of slots cut into the patch and by shaping the corners of the patch. Frequency band separations can be varied significantly from 1.3 to 2.5 √ó the lower frequency. Data for designing the patch dimensions is presented. The return loss, impedance characteristics and radiation patterns are presented for a practical design.</t>
  </si>
  <si>
    <t>427-430</t>
  </si>
  <si>
    <t>6506303750;56020461500</t>
  </si>
  <si>
    <t xml:space="preserve">Lelaratne, R. J.;Langley, </t>
  </si>
  <si>
    <t>Lelaratne R.</t>
  </si>
  <si>
    <t>Dual-band patch antenna for mobile satellite systems</t>
  </si>
  <si>
    <t>10.1049/ip-map:20000864</t>
  </si>
  <si>
    <t>2-s2.0-0034459056</t>
  </si>
  <si>
    <t>['proposed antenna', 'parametrical effects', 'novel kind', 'impedance bandwidth', 'fed strip', 'experimentally presented', 'examined experimentally', 'electromagnetically coupled', 'broadband applications']</t>
  </si>
  <si>
    <t>A novel kind of planar monopole antenna is experimentally presented for broadband applications. A square planar radiator is electromagnetically coupled with a probe-fed strip. The medium between the radiator and the strip is a thin dielectric slab. The parametrical effects on the bandwidth have also been examined experimentally. The proposed antenna is demonstrated to have an impedance bandwidth of 60% for a VSWR = 1.5 and stable radiation patterns across the passband.</t>
  </si>
  <si>
    <t>526-528</t>
  </si>
  <si>
    <t>Chen, Z. N.</t>
  </si>
  <si>
    <t>Broadband planar monopole antenna</t>
  </si>
  <si>
    <t>10.1049/ip-map:20000797</t>
  </si>
  <si>
    <t>2-s2.0-0034459058</t>
  </si>
  <si>
    <t>['tm incidences', 'ring cfss', 'oblique te', 'measured data', 'ies ),', 'highly stable', 'frequency shift', 'free space', 'distinct null', 'dielectric substrate', 'conventional œª', 'conducting elements', 'complementary fss', 'cfss problem', 'band loss', 'aperture elements', '2 resonator']</t>
  </si>
  <si>
    <t>A concept in frequency selective surface (FSS) technology that stems from Babinet's principle, whereby a hybrid of two closely coupled FSS, a layer of conducting elements and a layer of aperture elements are etched either side of a dielectric substrate, acronymed as complementary FSS (CFSS) is introduced. There are two narrow passbands separated by a distinct null. The CFSS creates electrically large elements from physically small ones to such an extent that a conventional Œª/2 resonator in free space at the lower passband resonant frequency would be over three times longer than the dipole length employed in the CFSS. This passband is highly stable for normal and oblique TE and TM incidences, with less than 2% frequency shift. A full wave modal analysis is developed and two integral equations (IEs), an electric field IE and a magnetic field IE, are derived. These IEs are coupled and this renders them suitable for the solution of the CFSS problem. The interlayer dielectric region is critical to the location of the passbands as well as the in-band loss. Results are presented for dipole and ring CFSS and compared with measured data up to 40GHz.</t>
  </si>
  <si>
    <t>501-507</t>
  </si>
  <si>
    <t>60000891;101606019;60000891-101606019</t>
  </si>
  <si>
    <t>35567056400;35571123200;6507337884</t>
  </si>
  <si>
    <t xml:space="preserve">Lockyer, J. C.;Vardaxoglou, R. A.;Simpkin, </t>
  </si>
  <si>
    <t>Loughborough;Stevenage</t>
  </si>
  <si>
    <t>Loughborough University;Chelton Radomes Ltd.</t>
  </si>
  <si>
    <t>60000891;101606019</t>
  </si>
  <si>
    <t>Lockyer J.</t>
  </si>
  <si>
    <t>Complementary frequency selective surfaces</t>
  </si>
  <si>
    <t>10.1049/ip-map:20000799</t>
  </si>
  <si>
    <t>2-s2.0-0034459164</t>
  </si>
  <si>
    <t>['using conformal', 'significantly lower', 'quasistatic parameters', 'new type', 'mapping techniques', 'form expressions', 'coupling coefficient', 'coupled structure', 'also discussed']</t>
  </si>
  <si>
    <t>The V-shaped microshield coupled parallel coplanar waveguides, a new type of the coupled parallel coplanar waveguide (CP CPW), is proposed. Closed-form expressions are presented for calculating the quasistatic parameters of this coupled structure by using conformal-mapping techniques. The effect of the V-shaped conductor backing on the coupling between CPWs is also discussed. Comparisons are made between the present numerical results and the spectral-domain method results available in the literature for a conventional CP CPW. In addition, the coupling coefficient of the present coupled CPW is shown to be significantly lower than that of a coupled parallel CPW.</t>
  </si>
  <si>
    <t>509-513</t>
  </si>
  <si>
    <t>60004366;60004366;60004366</t>
  </si>
  <si>
    <t>35562168500;35563439400;6506261882</t>
  </si>
  <si>
    <t xml:space="preserve">G√∂r√ºr, C.;Karpuz, M.;Duyar, </t>
  </si>
  <si>
    <t>Niƒüde</t>
  </si>
  <si>
    <t>Nigde Omer Halisdemir University</t>
  </si>
  <si>
    <t>G√∂r√ºr C.</t>
  </si>
  <si>
    <t>Analysis of coupled coplanar waveguides with V-shaped conductor backing using conformal-mapping method</t>
  </si>
  <si>
    <t>10.1049/ip-map:20000830</t>
  </si>
  <si>
    <t>2-s2.0-0034459165</t>
  </si>
  <si>
    <t>['validated via', 'two parts', 'two dimensions', 'smaller 2', 'run time', 'reciprocity theorem', 'radiation pattern', 'paper presents', 'nonsymmetric part', 'measured results', 'larger 3', 'improved accuracy', 'full 3', 'fdtd simulation', 'equivalent 2', 'efficient method', 'difference time', 'conformal approach', 'conductive surfaces', 'computer storage', 'computational domain', 'composite system', 'combined via', 'circular symmetry']</t>
  </si>
  <si>
    <t>This paper presents an efficient method to accurately solve large body scattering problems with partial circular symmetry. The method effectively reduces the computational domain from three to two dimensions by using the reciprocity theorem. It does so by dividing the problem into two parts: a larger 3-D region with circular symmetry, and a smaller 2-D region without circular symmetry. An finite-difference time-domain (FDTD) algorithm is used to analyze the circularly symmetric 3-D case, while a method of moments (MOM) code is employed for the nonsymmetric part of the structure. The results of these simulations are combined via the reciprocity theorem to yield the radiation pattern of the composite system. The advantage of this method is that it achieves significant savings in computer storage and run time in performing an equivalent 2-D as opposed to a full 3-D FDTD simulation. In addition to enhancing computational efficiency, the FDTD algorithm used in this paper also features one improvement over conventional FDTD methods: a conformal approach for improved accuracy in modeling curved dielectric and conductive surfaces. The accuracy of the method is validated via a comparison of simulated and measured results.</t>
  </si>
  <si>
    <t>1810-1817</t>
  </si>
  <si>
    <t>60000251-60001439;60000251-60001439;60000251-60001439</t>
  </si>
  <si>
    <t>7403914320;6701588446;55197051100</t>
  </si>
  <si>
    <t>Yu, Wenhua;Arakaki, Dean;Mittra, Raj</t>
  </si>
  <si>
    <t>University Park;New York</t>
  </si>
  <si>
    <t>Pennsylvania State University;IEEE</t>
  </si>
  <si>
    <t>60001439;60000251</t>
  </si>
  <si>
    <t>On the solution of a class of large body problems with full or partial circular symmetry by using the finite-difference time-domain (FDTD) method</t>
  </si>
  <si>
    <t>10.1109/8.901269</t>
  </si>
  <si>
    <t>2-s2.0-0034459675</t>
  </si>
  <si>
    <t>['output signal', 'noise ration', 'evaluate numerically', 'cochannel interference', 'ber expressions']</t>
  </si>
  <si>
    <t>The effect of cochannel interference on the performance of digital mobile radio systems in a Rayleigh fading environment is studied. The average bit error rate (BER) of an antenna array system with an optimum combining scheme that maximizes the output signal-to-interference-plus-noise ration (SINR) is analyzed. BER expressions which are easy to evaluate numerically are derived for coherent binary phase shift keying (BPSK) schemes in an environment with cochannel interference and noise.</t>
  </si>
  <si>
    <t>387-389</t>
  </si>
  <si>
    <t>Performance of antenna array systems with optimum combining in a Rayleigh fading environment</t>
  </si>
  <si>
    <t>10.1109/4234.898717</t>
  </si>
  <si>
    <t>2-s2.0-0034459788</t>
  </si>
  <si>
    <t>['various values', 'strong function', 'small f', 'shadow blockage', 'ray tracing', 'lens diameter', 'good agreement', 'design curves', 'also demonstrated']</t>
  </si>
  <si>
    <t>The effects of shadow blockage on the efficiency of a dielectric Fresnel lens is investigated. Since shadow blockage is a strong function of the F/D value, it should be factored into the design, especially for compact lenses designed with a small F/D. Equations are derived, based on ray tracing, to determine the decrease in aperture efficiency due to shadow blockage. Design curves have been generated to plot shadow efficiency against lens diameter for various values of F/D. Good agreement with measured radiation patterns is also demonstrated.</t>
  </si>
  <si>
    <t>60018714;60018714</t>
  </si>
  <si>
    <t>7003819332;55665355900</t>
  </si>
  <si>
    <t xml:space="preserve">Petosa, A.;Lttipiboon, </t>
  </si>
  <si>
    <t>Shadow blockage effects on the aperture efficiency of dielectric Fresnel lenses</t>
  </si>
  <si>
    <t>10.1049/ip-map:20000800</t>
  </si>
  <si>
    <t>2-s2.0-0034459809</t>
  </si>
  <si>
    <t>['spatial filtering', 'significantly reduce', 'significant factor', 'significant degradation', 'particularly prevalent', 'operate satisfactorily', 'northerly latitudes', 'multipath propagation', 'ionospheric movements', 'investigation suggests', 'investigation concentrated', 'delay spread', 'data employed', 'also possible']</t>
  </si>
  <si>
    <t>The high latitude ionosphere is a dynamic propagation medium in which HF radio signals associated with each propagation mode may arrive at the receiver over a range of angles in both azimuth and in elevation. Furthermore, ionospheric movements at the reflection points impose Doppler shifts and Doppler spreads onto the signals. Large Doppler spreads and multipath propagation in which the delay spread is large are particularly prevalent at these northerly latitudes and can result in a significant degradation in the performance of digital communication systems. This investigation suggests that the application of spatial filtering from simple antenna arrays comprising pairs or triplets of antennas can significantly reduce the level of apparent Doppler spreading, frequently to levels at which modern, high speed modems are expected to operate satisfactorily. The investigation concentrated on Doppler spread since this was the most significant factor in the data employed in this study; however, it is noted that reductions in effective multipath delay spread are also possible.</t>
  </si>
  <si>
    <t>487-494</t>
  </si>
  <si>
    <t>60033125;60003554;60033125-60003554</t>
  </si>
  <si>
    <t>35548735200;57196859022;6603860713</t>
  </si>
  <si>
    <t>Warrington, E. M.;Jackson, C. A.;Lundborg, B.</t>
  </si>
  <si>
    <t>Leicester;Stockholm</t>
  </si>
  <si>
    <t>University of Leicester;Totalforsvarets forskningsinstitut</t>
  </si>
  <si>
    <t>60033125;60003554</t>
  </si>
  <si>
    <t>Warrington E.</t>
  </si>
  <si>
    <t>Directional diversity of HF signals received over high latitude paths, and the possibility of improved data throughput by means of spatial filtering</t>
  </si>
  <si>
    <t>10.1049/ip-map:20000877</t>
  </si>
  <si>
    <t>2-s2.0-0034460584</t>
  </si>
  <si>
    <t>['receive antennas', 'matrix channel', 'fading channel', 'code rate', 'channel rank']</t>
  </si>
  <si>
    <t>Space-time block codes are a remarkable modulation scheme discovered recently for the multiple antenna wireless channel. They have an elegant mathematical solution for providing full diversity over the coherent, flat-fading channel. In addition, they require extremely simple encoding and decoding. Although these codes provide full diversity at low computational costs, we show that they incur a loss in capacity because they convert the matrix channel into a scalar AWGN channel whose capacity is smaller than the true channel capacity. In this letter the loss in capacity is quantified as a function of channel rank, code rate, and number of receive antennas.</t>
  </si>
  <si>
    <t>384-386</t>
  </si>
  <si>
    <t>60012708;60012708</t>
  </si>
  <si>
    <t>7103163461;7004920065</t>
  </si>
  <si>
    <t>Sandhu, Sumeet;Paulraj, Arogyaswami</t>
  </si>
  <si>
    <t>Sandhu S.</t>
  </si>
  <si>
    <t>Space-time block codes: a capacity perspective</t>
  </si>
  <si>
    <t>10.1109/4234.898716</t>
  </si>
  <si>
    <t>2-s2.0-0034460617</t>
  </si>
  <si>
    <t>T2X2-DM-601448</t>
  </si>
  <si>
    <t>['scattering antenna', 'resistive sheets', 'planes across', 'phase center', 'new antenna', 'modified version', 'measured results', 'many applications', 'low rcs', 'ideal antenna', 'genetic algorithm', 'electromagnetic fields', 'easily design', 'constant beamwidth', 'bandwidth low', 'band features']</t>
  </si>
  <si>
    <t>Rcard | Tapered | TEM horn antenna | Ultrawideband</t>
  </si>
  <si>
    <t>A novel stable beamwidth, ultrawide-bandwidth low-scattering antenna is presented in this paper. This antenna is a modified version of the conducting slotline bowtie hybrid (SBH) antenna with resistive sheets (Rcards) introduced into the guiding structure design. Since the resistive sheets can attenuate creeping wave fields, much smaller rolled edges are needed in the Rcard SBH antenna. Moreover, due to the Rcard's partially transparent nature with respect to electromagnetic fields, the radar cross section (RCS) associated with this new antenna is smaller than the original conducting rolled edge one. By employing an optimization process based on the concept of the genetic algorithm, one can easily design the Rcard SBH antenna to obtain a very stable antenna beamwidth and phase center in both the E- and II-planes across the entire operating frequency bandwidth. Because of its constant beamwidth, low RCS, and broad-band features, the Rcard SBH antenna is an ideal antenna for many applications such as a compact range feed. Calculated and measured results are presented to demonstrate the performance of this new antenna. ¬© 2000 IEEE.</t>
  </si>
  <si>
    <t>1848-1857</t>
  </si>
  <si>
    <t>60026638;60000251-60003500</t>
  </si>
  <si>
    <t>7404274927;7004270570</t>
  </si>
  <si>
    <t>Chang, Li Chung T.;Burnside, Walter D.</t>
  </si>
  <si>
    <t>Espoo;Columbus;New York</t>
  </si>
  <si>
    <t>Nokia Corporation;The Ohio State University;IEEE</t>
  </si>
  <si>
    <t>60026638;60003500;60000251</t>
  </si>
  <si>
    <t>Chang L.</t>
  </si>
  <si>
    <t>An ultrawide-bandwidth tapered resistive TEM horn antenna</t>
  </si>
  <si>
    <t>S0018926X00108634</t>
  </si>
  <si>
    <t>10.1109/8.901273</t>
  </si>
  <si>
    <t>2-s2.0-0034460937</t>
  </si>
  <si>
    <t>['radiation characteristics', 'mom ).', 'input impedance', 'frequency bandwidth', 'evaluated using', 'electromagnetically coupled', 'approximately 0', 'antenna height', '064 wavelengths']</t>
  </si>
  <si>
    <t>Electromagnetically coupled feed | Loop</t>
  </si>
  <si>
    <t>The radiation characteristics of a low-profile loop antenna are evaluated using the method of moments (MoM). The loop having a circumference of approximately two wavelengths is electromagnetically coupled to a bent feed line and radiates a circularly polarized conical beam. The frequency bandwidth for a 3-dB axial ratio criterion is calculated to be approximately 0.5% for an antenna height of h = 0.064 wavelengths. Over the same bandwidth, the input impedance is approximately 50 ohms and the gain is approximately 7 dB. ¬© 2000 IEEE.</t>
  </si>
  <si>
    <t>1864-1866</t>
  </si>
  <si>
    <t>7404449964;7102225860;57220533028</t>
  </si>
  <si>
    <t>Nakano, H.;Fujimori, K.;Yamauchi, J.</t>
  </si>
  <si>
    <t>Nakano H.</t>
  </si>
  <si>
    <t>A low-profile conical beam loop antenna with an electromagnetically coupled feed system</t>
  </si>
  <si>
    <t>S0018926X00108385</t>
  </si>
  <si>
    <t>10.1109/8.901276</t>
  </si>
  <si>
    <t>2-s2.0-0034461077</t>
  </si>
  <si>
    <t>['viable element', 'special feature', 'slot aperture', 'printed bow', 'octave bandwidth', 'metal baffles', 'frequency range', 'entire pcn']</t>
  </si>
  <si>
    <t>A partial cavity backed wide bandwidth slot antenna fed with a bow-tie feed line is proposed as a viable element for mobile communication base station applications. A novel feeding mechanism consisting of a printed bow-tie feed placed within the slot aperture and metal baffles between the slot ground plane and a grounded backplane allow this antenna to operate over more than an octave bandwidth (1.15 to 2.46GHz) with a VSWR &lt; 2. Measured radiation patterns are presented for the frequency range of 1.7-2.2GHz, selected to give total coverage over the entire PCN and UMTS frequency bands. The gain of the antenna was found to be 5.4dBi at 1.7GHz and 4.6dBi at 2.2GHz. In addition to its bandwidth, a special feature of the slot antenna design is the small slot ground plane (1Œª0 √ó 1Œª0) and small background plane (2Œª0 √ó 2Œª0) needed for consistent pattern formation over the entire frequency range of interest.</t>
  </si>
  <si>
    <t>483-486</t>
  </si>
  <si>
    <t>55663081600;7102894931;7102125229</t>
  </si>
  <si>
    <t xml:space="preserve">Rao, V.;Fusco, R.;Cahill, </t>
  </si>
  <si>
    <t>Rao V.</t>
  </si>
  <si>
    <t>Octave bandwidth printed bow-tie fed partial cavity slot antenna</t>
  </si>
  <si>
    <t>10.1049/ip-map:20000796</t>
  </si>
  <si>
    <t>2-s2.0-0034461230</t>
  </si>
  <si>
    <t>['satellite communication', 'ring geometry', 'operating range', 'mixing oscillator', 'frequency response', 'drain fet']</t>
  </si>
  <si>
    <t>An active microstrip antenna with self-mixing oscillator is introduced with double-ring geometry. It is simple to implement and presents a dual-frequency response in the operating range of C-band. The circuit with common-drain FET is used as an oscillator as well as a mixer. This active microstrip antenna can be applied in ROTV of satellite communication as the down converter.</t>
  </si>
  <si>
    <t>479-482</t>
  </si>
  <si>
    <t>60079715;60020351;60022847;60025864-60022847</t>
  </si>
  <si>
    <t>7410118528;55663966200;7407034371;55664407400</t>
  </si>
  <si>
    <t xml:space="preserve">Liu, P. C.;Lu, D. C.;Chang, C. C.;Chang, </t>
  </si>
  <si>
    <t>Taipei;Dacun;Hsinchu;Taoyuan</t>
  </si>
  <si>
    <t>National Defense University Taiwan;Da-Yeh University;Industrial Technology Research Institute of Taiwan;Chang Gung University</t>
  </si>
  <si>
    <t>60079715;60025864;60022847;60020351</t>
  </si>
  <si>
    <t>Liu P.C.</t>
  </si>
  <si>
    <t>Double-ring active microstrip antenna and self-mixing oscillator in C-band</t>
  </si>
  <si>
    <t>10.1049/ip-map:20000794</t>
  </si>
  <si>
    <t>2-s2.0-0034462301</t>
  </si>
  <si>
    <t>['virtual source', 'used near', 'time domain', 'tem horns', 'r ),', 'powerful tool', 'paper describes', 'normalised irs', 'normalised ir', 'measured data', 'impulse response', 'far field', 'factor 1', 'domain simulations', 'different air', 'describing antennas', 'common way', 'apparent point', 'although still']</t>
  </si>
  <si>
    <t>A common way of describing antennas in the time domain is by means of their impulse response. When the time-domain antenna equations are expressed in terms of the normalised impulse response (normalised IR), they become very simple to use, because all frequency-dependent antenna characteristics are included in the normalised IR. This paper describes a method for measuring the normalised IR experimentally, using a vector network analyser. The normalised IRs of different air and dielectric-filled TEM horn antennas are compared and discussed. The normalised IR is found to be a powerful tool for simulating antenna behaviour directly in the time domain. Thanks to the introduction of the virtual source, (i.e. an apparent point in the antenna from which the radiated field degrades by a factor 1/r), the time-domain antenna equations can also be used near the TEM horns, although still in the far field of the antenna. Some examples of time-domain simulations and system modelling using the normalised IR are presented. In each example, the simulations are compared with measured data.</t>
  </si>
  <si>
    <t>463-468</t>
  </si>
  <si>
    <t>60004280;60000874;60004280-60000874</t>
  </si>
  <si>
    <t>23478501400;55664334000;55667504400</t>
  </si>
  <si>
    <t xml:space="preserve">Scheers, M.;Acheroy, A.;Vander Vorst, </t>
  </si>
  <si>
    <t>Brussels;Louvain-la-Neuve</t>
  </si>
  <si>
    <t>Koninklijke Militaire School - Ecole Royale Militaire;Universit√© Catholique de Louvain</t>
  </si>
  <si>
    <t>60004280;60000874</t>
  </si>
  <si>
    <t>Scheers M.</t>
  </si>
  <si>
    <t>Time-domain simulation and characterisation of TEM horns using a normalised impulse response</t>
  </si>
  <si>
    <t>10.1049/ip-map:20000708</t>
  </si>
  <si>
    <t>2-s2.0-0034462452</t>
  </si>
  <si>
    <t>['verified successfully', 'uses definitions', 'systems using', 'selectable beamwidth', 'presented theory', 'measurement possibilities', 'measurable parameters', 'level model', 'lenses ).', 'focusing elements', 'fed systems', 'different parameters', 'characteristic parameters', 'briefly discussed', 'basic system', 'basic parameters', 'applied directly']</t>
  </si>
  <si>
    <t>A basic system-level model for the gain and G/T of active multielement receive antennas is presented that covers arbitrary beamforming networks and direct radiating arrays, as well as array-fed systems with one or more focusing elements (reflectors or lenses). Since the model is based on measurable parameters and uses definitions, which are consistent with conventional communication system analysis terms, it can be applied directly to the analysis and design of systems using such antennas and can be used to support the specification, design, and test of such antennas as well. Measurement possibilities for the basic parameters are briefly discussed and the characteristic parameters of generic active beamforming networks are derived and compared. Finally, the impact of the different parameters on the overall antenna gain and G/T is illustrated by one application example that covers a reconfigurable multifeed reflector antenna with selectable beamwidth. The presented theory has been verified successfully in the frame of a classified EHF antenna development whose details cannot be reported here.</t>
  </si>
  <si>
    <t>1818-1829</t>
  </si>
  <si>
    <t>60000251-60086242</t>
  </si>
  <si>
    <t>Kraft, Ulrich R.</t>
  </si>
  <si>
    <t>Ottobrunn;New York</t>
  </si>
  <si>
    <t>Airbus Defence and Space;IEEE</t>
  </si>
  <si>
    <t>60086242;60000251</t>
  </si>
  <si>
    <t>Kraft U.</t>
  </si>
  <si>
    <t>Gain and G/T of multielement receive antennas with active beamforming networks</t>
  </si>
  <si>
    <t>10.1109/8.901270</t>
  </si>
  <si>
    <t>2-s2.0-0034462832</t>
  </si>
  <si>
    <t>['short board', 'several resonances', 'radiative pattern', 'multiplate antenna', 'measured data', 'low profile', 'light weight', 'large bandwidth', 'input impedance', 'fundamental characteristics', 'frequency characteristics', 'found theoretically', 'fdtd method', 'current distribution', 'bridge boards', 'bridge board', 'antenna evaluation']</t>
  </si>
  <si>
    <t>A multiplate antenna is proposed as an antenna with a low profile, light weight, and large bandwidth. By stacking parallel plates in this antenna, several resonances are generated to increase the bandwidth. In this paper, the FDTD method is used to analyze this low-profile multiplate antenna. First, the frequency characteristics of the input impedance, the SWR, and the radiative pattern are derived, and the results are compared with the measured data. From this comparison, it is proved that the present analytical method is effective for antenna evaluation. Next, the radiative pattern and the current distribution on the plates are described. The variations of the fundamental characteristics of the antenna are studied in terms of the location of the short board and the bridge board as the elements of the antenna. It is found theoretically that the short and bridge boards are effective in adjusting the characteristics of the multiplate antenna, such as the bandwidth. The low-profile multiplate antenna has a size reduction ratio of 0.0057 and a bandwidth of 48% with SWR &lt;2.0.</t>
  </si>
  <si>
    <t>15039218900;36900989800;7005495467</t>
  </si>
  <si>
    <t>Yang, Jun Won;Iijima, Toshihiko;Tokumaru, Shinobu</t>
  </si>
  <si>
    <t>Multiplates: Low-profile antennas</t>
  </si>
  <si>
    <t>10.1002/(SICI)1520-6424(200004)83:4&lt;12::AID-ECJA2&gt;3.0.CO;2-I</t>
  </si>
  <si>
    <t>2-s2.0-0034465894</t>
  </si>
  <si>
    <t>['tutorial describes', 'transform methods', 'traditional fourier', 'several applications', 'radiation patterns', 'radiation pattern', 'prospecting simulations', 'power distributions', 'linear equations', 'including analysis', 'impedance calculations', 'human head', 'frequency domain', 'fdtd simulations', 'cellular telephone', 'antenna impedance']</t>
  </si>
  <si>
    <t>This tutorial compares several methods of converting from the time to the frequency domain for FDTD simulations. Applications include calculations of field or power distributions, antenna impedance, and radiation patterns. The traditional Fourier-transform methods are compared to two methods based on the solution of linear equations. This tutorial describes how to program and use these techniques, and evaluates their effectiveness for several applications, including analysis of a millimeter-resolution human model underneath a 60-Hz power line, antenna-radiation pattern and impedance calculations, the calculation of the coupling of a cellular telephone to the human head, and geophysical-prospecting simulations.</t>
  </si>
  <si>
    <t>Furse, Cynthia M.</t>
  </si>
  <si>
    <t>Logan</t>
  </si>
  <si>
    <t>Utah State University</t>
  </si>
  <si>
    <t>Furse C.</t>
  </si>
  <si>
    <t>Faster than Fourier: ultra-efficient time-to-frequency-domain conversions for FDTD simulations</t>
  </si>
  <si>
    <t>10.1109/74.894179</t>
  </si>
  <si>
    <t>2-s2.0-0034467109</t>
  </si>
  <si>
    <t>['torque bias', 'torque ).', 'small gap', 'shaping principles', 'precision instruments', 'pointing precision', 'paper explains', 'loop precision', 'left uncorrected', 'identical torques', 'gear teeth', 'external disturbances', 'elevation bullgear', 'electronic circuits', 'causing backlash', 'backlash controllers', 'antennas indicated', 'antenna load', 'antenna dynamics', '8 ].', '2 ],', '11 ].']</t>
  </si>
  <si>
    <t>Measurements at the drives of the NASA Deep Space Network (DSN) antennas indicated that the small gap between gear teeth was causing backlash at the gearboxes and elevation bullgear. Left uncorrected, backlash will deteriorate the antenna's pointing precision. Backlash is observed not only in antennas and telescopes [1, 2], but also in precision instruments [3-6] and robots [7, 8]. Often, to reduce backlash impact on the closed-loop precision, anti-backlash controllers are designed [9-11]. At DSN, the backlash was eliminated by implementing two identical drives that impose two non-identical torques (a.k.a. torque bias, or counter-torque). The difference between these two torques depends on the antenna load, and is shaped by the drive's electronic circuits. The paper explains the shaping principles of the circuit, and shows how the circuits can be modified to improve the antenna dynamics under external disturbances.</t>
  </si>
  <si>
    <t>60009037;60027272;60009037;60009037</t>
  </si>
  <si>
    <t>7006777295;23003374500;36741785600;6506498897</t>
  </si>
  <si>
    <t>Gawronski, W.;Beech-Brandt, J. J.;Ahlstrom, H. G.;Maneri, E.</t>
  </si>
  <si>
    <t>Edinburgh;Pasadena</t>
  </si>
  <si>
    <t>The University of Edinburgh;Jet Propulsion Laboratory</t>
  </si>
  <si>
    <t>60027272;60009037</t>
  </si>
  <si>
    <t>Torque-bias profile for improved tracking of the deep space network antennas</t>
  </si>
  <si>
    <t>10.1109/74.894180</t>
  </si>
  <si>
    <t>2-s2.0-0034467194</t>
  </si>
  <si>
    <t>['wide range', 'test article', 'small supplies', 'simultaneous assessment', 'respiratory function', 'pharmaceutical industry', 'modest requirement', 'locomotor activity', 'highly useful', 'generate simultaneously', 'general pharmacologist', 'efficient use', 'drug development', 'data focussing', 'conscious rats', 'broad spectrum', 'body temperature', 'arterial pressure', 'additional assessment']</t>
  </si>
  <si>
    <t>Concious rats | Plethysmography | Safety pharmacology | Telemetry</t>
  </si>
  <si>
    <t>The general pharmacologist in the pharmaceutical industry is challenged to generate physiologically relevant data on possible safety liabilities or on secondary therapeutic uses as early as possible in drug development. This implies the need for efficient use of usually only small supplies of test article. For this reason, we have developed a new animal model combining various elements to provide a broad spectrum of data focussing on the so-called vital physiological functions: cardiovascular, respiratory, and central nervous system. This system uses rats chronically implanted with transmitters for the measurement of arterial pressure, ECG, and body temperature. Modification of the transmitters also allows for the simultaneous assessment of locomotor activity. Studies are performed with these rats in plethysmographs placed directly over the antenna units thus allowing for the additional assessment of respiratory function in the same studies. Using this system, we can generate simultaneously a wide range of relevant physiological parameters in conscious rats with a modest requirement for test article. Such an approach is highly useful for getting early safety readouts of potential drug development candidates as well as for detecting possible secondary therapeutic actions of a drug. ¬© 2001 Elsevier Science Inc.</t>
  </si>
  <si>
    <t>211-217</t>
  </si>
  <si>
    <t>Journal of Pharmacological and Toxicological Methods</t>
  </si>
  <si>
    <t>60011807;60011807;60011807;60011807</t>
  </si>
  <si>
    <t>6506725336;57210853937;56630227800;7006606179</t>
  </si>
  <si>
    <t>Schierok, Hans;Markert, Michael;Pairet, Michel;Guth, Brian</t>
  </si>
  <si>
    <t>Ingelheim am Rhein</t>
  </si>
  <si>
    <t>Boehringer Ingelheim Pharma GmbH &amp; Co. KG</t>
  </si>
  <si>
    <t>Schierok H.</t>
  </si>
  <si>
    <t>Continuous assessment of multiple vital physiological functions in conscious freely moving rats using telemetry and a plethysmography system</t>
  </si>
  <si>
    <t>S1056871900001015</t>
  </si>
  <si>
    <t>10.1016/S1056-8719(00)00101-5</t>
  </si>
  <si>
    <t>2-s2.0-0034467949</t>
  </si>
  <si>
    <t>['thalamotomy induced', 'thalamic stimulation', 'slight changes', 'rising numbers', 'radiofrequency receiver', 'karger ag', 'intractable pain', 'insufficient discussion', 'first time', 'external generator', 'emergent application', 'dbs patients', 'dbs patient', 'applied mainly', 'antenna applied', 'also increased', 'action tremor']</t>
  </si>
  <si>
    <t>Cardioversion | Central pain | Thalamic stimulation | Thalamotomy</t>
  </si>
  <si>
    <t>Deep brain stimulation (DBS) has been applied mainly for the treatment of intractable pain and involuntary movement disorders. Based on the rising numbers of patients undergoing DBS therapy, the possibility of emergent application of cardioversion for the treatment of occasional severe arrhythmia in DBS patients has also increased. However, there has been insufficient discussion about cardioversion in DBS patients. We employed a radiofrequency receiver that transmits to the brain impulses provided by an external generator through an antenna applied to the skin in front of the receiver. We experienced a patient who displayed almost complete cessation of his action tremor with thalamic stimulation. He also developed central dysesthetic pain and showed complete disappearance of his action tremor, even without stimulation, following successful application of cardioversion. It is considered that slight changes in the high-voltage electrical current or high-voltage electrical current spread induced central dysesthetic pain and almost identical effects to thalamotomy. We report for the first time a case of thalamotomy induced by cardioversion in a DBS patient. Clearly, we need to bear in mind that cardioversion has the capability to cause brain lesions in DBS patients with a radiofrequency receiver implanted subcutaneously at the anterior chest wall. Copyright ¬© 2001 S. Karger AG, Basel.</t>
  </si>
  <si>
    <t>73-82</t>
  </si>
  <si>
    <t>Stereotactic and Functional Neurosurgery</t>
  </si>
  <si>
    <t>60006792;60006792;60006792;60006792;60006792;60006792</t>
  </si>
  <si>
    <t>36045332200;7402294155;7005794988;13607567700;57188721839;7201819749</t>
  </si>
  <si>
    <t>Yamamoto, Takamitsu;Katayama, Yoichi;Fukaya, Chikashi;Kurihara, Jyun;Oshima, Hideki;Kasai, Masahiko</t>
  </si>
  <si>
    <t>Nihon University School of Medicine</t>
  </si>
  <si>
    <t>Yamamoto T.</t>
  </si>
  <si>
    <t>Thalamotomy caused by cardioversion in a patient treated with deep brain stimulation</t>
  </si>
  <si>
    <t>10.1159/000056466</t>
  </si>
  <si>
    <t>2-s2.0-0034468136</t>
  </si>
  <si>
    <t>['spatial ebb', 'radiation process', 'radiation fields', 'made clearer', 'linear dipole', 'harmonic excitation', 'fields around', 'field values', 'computed near', 'aids visualization']</t>
  </si>
  <si>
    <t>Computed near-field values of Poynting's vector and electric and magnetic field intensities for a linear dipole are displayed in a way that aids visualization of the radiation process. The fields are computed for time-harmonic excitation, but are shown as a function of time to demonstrate the spatial ebb and flow of the fields around the dipole. By this means, the distinction between near and radiation fields is made clearer, and the shedding of energy by the dipole can be observed.</t>
  </si>
  <si>
    <t>46-54</t>
  </si>
  <si>
    <t>60026175-60006164-60025778-105244578-60011132;60026175-60029445-60014439</t>
  </si>
  <si>
    <t>7404492537;56873646700</t>
  </si>
  <si>
    <t>Miller, E. K.;Deadrick, F. J.</t>
  </si>
  <si>
    <t>United States;United States;United States;United States;United States;United States;United States</t>
  </si>
  <si>
    <t>Minneapolis;Livermore;Ann Arbor;Davis;Athens;Los Alamos;Manhattan</t>
  </si>
  <si>
    <t>University of Minnesota Twin Cities;Lawrence Livermore National Laboratory;University of Michigan, Ann Arbor;University of California, Davis;Ohio University;Los Alamos National Laboratory;Kansas University</t>
  </si>
  <si>
    <t>60029445;60026175;60025778;60014439;60011132;60006164;105244578</t>
  </si>
  <si>
    <t>Miller E.K.</t>
  </si>
  <si>
    <t>Visualizing near-field energy flow and radiation</t>
  </si>
  <si>
    <t>10.1109/74.894181</t>
  </si>
  <si>
    <t>2-s2.0-0034468472</t>
  </si>
  <si>
    <t>Xunta de Galicia</t>
  </si>
  <si>
    <t>PGlDTOOPX120603PR</t>
  </si>
  <si>
    <t>['simulated annealing', 'patch rings', 'examples illustrate', 'concentric rings', 'antennas composed']</t>
  </si>
  <si>
    <t>In this paper, we describe the synthesis of pencil-beam power patterns for antennas composed of concentric rings of uniformly excited circular patches. The synthesis is performed by simulated annealing, varying the radii of the patch rings so as to optimize performance parameters. Examples illustrate the potential of the method.</t>
  </si>
  <si>
    <t>70-74</t>
  </si>
  <si>
    <t>6602260861;7006865572;7202825573</t>
  </si>
  <si>
    <t>Vicente-Lozano, M.;Ares-Pena, F.;Moreno, E.</t>
  </si>
  <si>
    <t>Vicente-Lozano M.</t>
  </si>
  <si>
    <t>Pencil-beam pattern synthesis with a uniformly excited multi-ring planar antenna</t>
  </si>
  <si>
    <t>10.1109/74.894183</t>
  </si>
  <si>
    <t>2-s2.0-0034468533</t>
  </si>
  <si>
    <t>['way splitter', 'varying errors', 'switchable four', 'monopulse antenna', 'great accuracy', 'four balanced', 'fast switches', 'electronically controlled', 'designed components', 'balanced four', 'accurate integration']</t>
  </si>
  <si>
    <t>Direction of arrival estimation | Monopulse antennas | Monopulse radar</t>
  </si>
  <si>
    <t>Accurate integration and calibration of well-designed components can compensate for time-varying errors in a monopulse antenna system. A switchable four-port bit system, using a balanced four-way splitter and four balanced, electronically controlled, fast switches, make it possible to know the signal location measured by the monopulse antenna with very great accuracy in the presence of these errors.</t>
  </si>
  <si>
    <t>82-86</t>
  </si>
  <si>
    <t>60159811;;</t>
  </si>
  <si>
    <t>7005729263;6506821031;57198418933</t>
  </si>
  <si>
    <t>Bodnar, Donald G.;Harbater, Zelman;Margalit, Avigdor</t>
  </si>
  <si>
    <t>Suwanee</t>
  </si>
  <si>
    <t>NSI-MI Technologies</t>
  </si>
  <si>
    <t>Bodnar D.G.</t>
  </si>
  <si>
    <t>A bit system that guarantees better accuracy for monopulse antenna detection systems</t>
  </si>
  <si>
    <t>10.1109/74.894184</t>
  </si>
  <si>
    <t>2-s2.0-0034468728</t>
  </si>
  <si>
    <t>['wavelength resonator', 'structure show', 'proposed structures', 'periodic arrays', 'patch antennas', 'microstrip resonators', 'conventional half', 'conducting dipoles', '3 db', '10 ghz']</t>
  </si>
  <si>
    <t>A photonic band gap structure made from periodic arrays of conducting dipoles and tripoles on a dielectric is presented. Using the proposed structures, several example devices have been demonstrated for microstrip resonators and filters as well as patch antennas. Measured and predicted frequency responses of a microstrip line using a dual dipole metallodielectric photonic bandgap (MPBG) structure show a 40% band width centred at 10 GHz. A planar microstrip resonator using a dipole MPBG shows a slower wave performance and a higher Q factor when compared with the conventional half-wavelength resonator. Three patch antenna designs on different dielectric constant substrates using a tripole MBPG produce better return loss, higher boresight gains (up to 3 dB) and smoother radiation patterns as a result of surface wave suppression.</t>
  </si>
  <si>
    <t>395-400</t>
  </si>
  <si>
    <t>IEE Proceedings: Optoelectronics</t>
  </si>
  <si>
    <t>60000891;60000891;60000891;60000891</t>
  </si>
  <si>
    <t>55477268200;6503949685;35567056400;35572083100</t>
  </si>
  <si>
    <t xml:space="preserve">Lee, A.;Chauraya, D. S.;Lockyer, J. C.;Vardaxoglou, </t>
  </si>
  <si>
    <t>Loughborough</t>
  </si>
  <si>
    <t>Loughborough University</t>
  </si>
  <si>
    <t>Lee A.</t>
  </si>
  <si>
    <t>Dipole and tripole metallodielectric photonic bandgap (MPBG) structures for microwave filter and antenna applications</t>
  </si>
  <si>
    <t>10.1049/ip-opt:20000892</t>
  </si>
  <si>
    <t>2-s2.0-0034469095</t>
  </si>
  <si>
    <t>['wide variety', 'synthesis problems', 'proposed method', 'phase distribution', 'energy relations', 'computed results', 'antenna patterns']</t>
  </si>
  <si>
    <t>Antenna patterns can be synthesized using stationary phase concept and the energy relations. The minimization of maximum side lobe level in pattern with prescribed beam width is obtained by introducing nonlinear phase distributions. The proposed method is general and it will be applied to a wide variety of synthesis problems. Computed results on the phase distribution and the ramp radiation patterns are presented for different array lengths.</t>
  </si>
  <si>
    <t>Modelling, measurement and control. A, general physics, electronics, electrical engineering</t>
  </si>
  <si>
    <t>60081053;60081053;60081053;60081053;60081053</t>
  </si>
  <si>
    <t>57195770435;6504255443;6603866895;7101987279;7801499340</t>
  </si>
  <si>
    <t>Sudhakar, A.;Saritha, P.;Chakravarthy, M. Dilip;Raju, G. S.N.;Gottumukkala, K. R.</t>
  </si>
  <si>
    <t>Guntur</t>
  </si>
  <si>
    <t>R.V.R. &amp; J.C.College of Engineering</t>
  </si>
  <si>
    <t>Sudhakar A.</t>
  </si>
  <si>
    <t>Optimized ramp patterns</t>
  </si>
  <si>
    <t>2-s2.0-0034472283</t>
  </si>
  <si>
    <t>['synthesis problem', 'switched supply', 'supply ).', 'supplementary constraint', 'radiating diagram', 'new approach', 'binary law']</t>
  </si>
  <si>
    <t>We present here a new approach of antenna array synthesis with a switched supply, the radiating diagram is conformed by changing the amplitude of the supply (binary law of supply). The reproduction of a switched supply prescribe a supplementary constraint on the supply binary law which should be taken into account in the synthesis problem. In our paper, we propose a mathematical programming method for the synthesis resolution problem.</t>
  </si>
  <si>
    <t>41-61</t>
  </si>
  <si>
    <t>60068756;60068756</t>
  </si>
  <si>
    <t>7003363059;6602624122</t>
  </si>
  <si>
    <t>Meriah, S. M.;Bendimerad, F. T.</t>
  </si>
  <si>
    <t>Tlemcen</t>
  </si>
  <si>
    <t>Universit√© Abou Bekr Belkaid Tlemcen</t>
  </si>
  <si>
    <t>Meriah S.</t>
  </si>
  <si>
    <t>Microstrip antennas array synthesis by commutation of the supply</t>
  </si>
  <si>
    <t>2-s2.0-0034473363</t>
  </si>
  <si>
    <t>['wave solid', 'sponsored research', 'recent progress', 'recent government', 'power microwave', 'combining techniques']</t>
  </si>
  <si>
    <t>An overview is given on the recent progress in the development of high-power microwave and millimeter-wave solid-state sources using spatial power-combining techniques. Several promising topologies are discussed, and four compelling technology demonstrations are presented that have emerged from recent government-sponsored research in academia and industry.</t>
  </si>
  <si>
    <t>48-59</t>
  </si>
  <si>
    <t>60002059;60027550;60031581;60029241</t>
  </si>
  <si>
    <t>54679568900;57223745182;7102803490;7103208478</t>
  </si>
  <si>
    <t>Harvey, J.;Brown, E. R.;Rutledge, D. B.;York, R. A.</t>
  </si>
  <si>
    <t>Pasadena;Santa Barbara;Los Angeles;Research Triangle Park</t>
  </si>
  <si>
    <t>California Institute of Technology;University of California, Santa Barbara;University of California, Los Angeles;U.S. Army Research Office</t>
  </si>
  <si>
    <t>60031581;60029241;60027550;60002059</t>
  </si>
  <si>
    <t>Harvey J.</t>
  </si>
  <si>
    <t>Spatial power combining for high-power transmitters</t>
  </si>
  <si>
    <t>10.1109/6668.893246</t>
  </si>
  <si>
    <t>2-s2.0-0034474981</t>
  </si>
  <si>
    <t>Deutscher Akademischer Austauschdienst France</t>
  </si>
  <si>
    <t>D/94/14920</t>
  </si>
  <si>
    <t>['tryptic digestion', 'purifying glycoproteins', 'profiles obtained', 'mass spectrometry', 'linked glycans', 'intact glycoprotein', 'hybrid structures', 'glycosylated mainly', 'five antennae', 'exoglycosidase digestion', 'complex glycans', 'commercial samples', 'chicken ovalbumin']</t>
  </si>
  <si>
    <t>Analysis of commercial samples of chicken ovalbumin by reversed-phase high performance liquid chromatography and matrix-assisted laser desorption/ionization mass spectrometry (MALDI-MS) showed the presence of several other co-purifying glycoproteins. These were isolated, subjected to tryptic digestion, and two of them were identified as ovomucoid and chicken riboflavin binding-protein following database matching of the peptide masses obtained by MALDI. The N-linked glycans were released from the glycoproteins and their structures were examined by MALDI-MS in combination with exoglycosidase digestion. Ovalbumin was found to be glycosylated mainly with high-mannose and hybrid structures, consistent with profiles obtained on the intact glycoprotein by electrospray. The other glycoproteins contained mainly larger, complex glycans with up to five antennae, many of which had earlier been associated with ovalbumin. Copyright ¬© 2000 American Society for Mass Spectrometry.</t>
  </si>
  <si>
    <t>564-571</t>
  </si>
  <si>
    <t>Journal of the American Society for Mass Spectrometry</t>
  </si>
  <si>
    <t>60002634;60002634;60002634;60002634</t>
  </si>
  <si>
    <t>7202064593;7007068113;35242635300;55367238900</t>
  </si>
  <si>
    <t>Harvey, D. J.;Wing, D. R.;K√ºster, B.;Wilson, I. B.H.</t>
  </si>
  <si>
    <t>Composition of N-linked carbohydrates from ovalbumin and co-purified glycoproteins</t>
  </si>
  <si>
    <t>S1044030500001227</t>
  </si>
  <si>
    <t>10.1016/S1044-0305(00)00122-7</t>
  </si>
  <si>
    <t>2-s2.0-0034477636</t>
  </si>
  <si>
    <t>['terminal glcnac', 'ring fragments', 'mass spectrometry', 'lost one', 'lose water', 'linked glycans', 'ion found', 'glcnac residues', 'glcnac residue', 'glcnac molecule', 'glcnac ].', 'core mannose', 'chitobiose core', 'chicken ovalbumin', 'antennae attached', 'antenna linked']</t>
  </si>
  <si>
    <t>N-linked glycans were released from chicken ovalbumin by hydrazinolysis and examined by matrix-assisted laser desorption/ionization mass spectrometry. Postsource decay analysis showed that most fragment ions arose as the result of internal glycosidic cleavages involving loss of nonreducing terminal residues from ions that had lost one or both GlcNAc residues from the chitobiose core [GlcNAcŒ≤(1 ‚Üí 4)GlcNAc]. Cross-ring fragments were abundant from the reducing-terminal GlcNAc but other cross-ring fragments were weak. The ion found to be most useful for determining the composition of the antennae attached to the 3- or 6-linked core mannose residues was an internal cleavage ion formed by loss of both the chitobiose core and the antenna linked to the 3-position of the core branching mannose. This ion was observed to lose water in the absence of a 'bisecting' GlcNAc residue (Œ≤1 ‚Üí 4 linked to the core mannose) and to lose a GlcNAc molecule (221 mass units) when a bisecting GlcNAc residue was present. Copyright ¬© 2000 American Society for Mass Spectrometry.</t>
  </si>
  <si>
    <t>572-577</t>
  </si>
  <si>
    <t>Harvey, D. J.</t>
  </si>
  <si>
    <t>Postsource decay fragmentation of N-linked carbohydrates from ovalbumin and related glycoproteins</t>
  </si>
  <si>
    <t>S1044030500001215</t>
  </si>
  <si>
    <t>10.1016/S1044-0305(00)00121-5</t>
  </si>
  <si>
    <t>2-s2.0-0034477669</t>
  </si>
  <si>
    <t>['work shows', 'work presents', 'without tuning', 'upconversion transmitter', 'standard 0', 'quadrature voltage', 'q mixers', 'prototype integrates', 'power supply', 'power amplifier', 'low voltage', 'locked loop', 'ii dcs', 'ic operates', 'design trade', 'controlled oscillator', 'complete phase', 'chip inductors', 'antenna filter', 'analog front', '79 prescaler', '2 v', '160 mw']</t>
  </si>
  <si>
    <t>This work presents the design and implementation of a 2-V cellular transceiver front-end in a standard 0.25-Œºm CMOS technology. The prototype integrates a low-IF receiver (low noise amplifier, I/Q mixers, and VGAs) and a direct-upconversion transmitter (I/Q mixers and pre-amplifier) on a single die together with a complete phase-locked loop, including a 64/79 prescaler, a fully integrated loop filter, and a quadrature voltage-controlled oscillator with on-chip inductors. Design trade-offs have been made over the boundaries of the different building blocks to optimize the overall system performance. All building blocks feature circuit topologies that enable comfortable operation at low voltage. As a result, the IC operates from a power supply of only 2 V, while consuming 191 mW in receiver (RX) mode and 160 mW in transmitter (TX) mode. To build a complete transceiver system for 1.8-GHz cellular communication, only an antenna, an antenna filter, a power amplifier, and a digital baseband chip must be added to the analog front-end. This work shows the potential of achieving the analog performance required for the class I/II DCS-1800 cellular system in a standard 0.25-Œºm CMOS technology, without tuning or trimming.</t>
  </si>
  <si>
    <t>1895-1907</t>
  </si>
  <si>
    <t>IEEE Journal of Solid-State Circuits</t>
  </si>
  <si>
    <t>60025063;60025063;60025063;60025063;60018735</t>
  </si>
  <si>
    <t>34572758100;7201733908;6602648236;6701697044;35770857300</t>
  </si>
  <si>
    <t>Steyaert, Michel S.J.;Janssens, Johan;De Muer, Bram;Borremans, Marc;Itoh, Nobuyuki</t>
  </si>
  <si>
    <t>Belgium;Japan</t>
  </si>
  <si>
    <t>3000 Leuven;Tokyo</t>
  </si>
  <si>
    <t>KU Leuven;Toshiba Corporation</t>
  </si>
  <si>
    <t>60025063;60018735</t>
  </si>
  <si>
    <t>2-V CMOS cellular transceiver front-end</t>
  </si>
  <si>
    <t>10.1109/4.890303</t>
  </si>
  <si>
    <t>2-s2.0-0034480243</t>
  </si>
  <si>
    <t>['time applications', 'surrounding grid', 'potential post', 'ionospheric delay', 'internal sites', 'high precision', 'gps meteorology', 'central japan', 'called hirim', '30 km', '195 days']</t>
  </si>
  <si>
    <t>We model the ionospheric delay of Global Positioning System (GPS) signals with high precision and use it to correct single frequency (L1) GPS baseline estimations. We find that baselines up to 30 km in length are more precisely determined using corrected L1 data than using dual frequency data. The high resolution ionospheric modeling technique (called HiRIM in this paper) is demonstrated with 195 days of data from a 25-site GPS network at Œü1 km spacing in central Japan. The network was designed for high vertical precision tectonic studies. We compute ionospheric corrections using data from a surrounding grid of nine GPS sites spaced Œü50 km. Based on the observations from the surrounding grid, epoch and satellite specific ionospheric delays are interpolated to correct L1 observations from the internal sites. HiRIM has potential post-processing and real-time applications in navigation, surveying, and GPS meteorology.</t>
  </si>
  <si>
    <t>3821-3824</t>
  </si>
  <si>
    <t>60015590;60015590;60015590;60032915;60032915;60032915</t>
  </si>
  <si>
    <t>7006367091;35211160600;7403053395;22947693100;25822412800;8517378800</t>
  </si>
  <si>
    <t>Rocken, Christian;Johnson, James M.;Braun, John J.;Kawawa, Hiroshi;Hatanaka, Yuki;Imakiire, Tetsuro</t>
  </si>
  <si>
    <t>Tsukuba;Boulder</t>
  </si>
  <si>
    <t>Geographical Survey Institute of Japan;University Corporation for Atmospheric Research</t>
  </si>
  <si>
    <t>60032915;60015590</t>
  </si>
  <si>
    <t>Rocken C.</t>
  </si>
  <si>
    <t>Improving GPS surveying with modeled ionospheric corrections</t>
  </si>
  <si>
    <t>10.1029/2000GL012049</t>
  </si>
  <si>
    <t>2-s2.0-0034480988</t>
  </si>
  <si>
    <t>['third generation', 'smart antennas', 'new technology', 'mobile communications', 'key applications', 'increasing number', 'enhancing features', 'currently one', 'article summarizes']</t>
  </si>
  <si>
    <t>Due to the increasing number of users in mobile communications and the demand for mobile multimedia services with high data rates, third-generation mobile radio systems are currently one of the key communication technologies in research, development, and international standardization bodies. This article summarizes the international standardization activities for this new technology, outlines its key applications, and provides an overview of UMTS as specified by the 3GPP. Moreover, an overview of capacity-enhancing features such as joint (multi-user) detection and smart antennas is given. Finally, we develop a vision for mobile communications beyond the third generation.</t>
  </si>
  <si>
    <t>18-24</t>
  </si>
  <si>
    <t>IEEE Personal Communications</t>
  </si>
  <si>
    <t>60028673-60005322-60019722-60009254;60028673-60004935</t>
  </si>
  <si>
    <t>7005894536;7201861317</t>
  </si>
  <si>
    <t>Haardt, Martin;Mohr, Werner</t>
  </si>
  <si>
    <t>Germany;Germany;United States;Germany;Germany</t>
  </si>
  <si>
    <t>Munich;Munich;West Lafayette;Bochum;Hannover</t>
  </si>
  <si>
    <t>Siemens AG;Technical University of Munich;Purdue University;Ruhr-Universitat Bochum;Gottfried Wilhelm Leibniz Universit√§t Hannover</t>
  </si>
  <si>
    <t>60028673;60019722;60009254;60005322;60004935</t>
  </si>
  <si>
    <t>Haardt M.</t>
  </si>
  <si>
    <t>Complete solution for third-generation wireless communications: two modes on air, one winning strategy</t>
  </si>
  <si>
    <t>10.1109/98.892254</t>
  </si>
  <si>
    <t>2-s2.0-0034482387</t>
  </si>
  <si>
    <t>['stop holder', 'easy removal', 'data collection', 'calibration measurements', 'beam stop']</t>
  </si>
  <si>
    <t>A beam-stop holder is described that allows for easy removal of the beam stop during alignment and calibration measurements and then for precise repositioning prior to data collection.</t>
  </si>
  <si>
    <t>415-416</t>
  </si>
  <si>
    <t>Journal of Applied Crystallography</t>
  </si>
  <si>
    <t>60011480;60011480;60011480;60011480</t>
  </si>
  <si>
    <t>6506955540;55477941000;37042312500;35763878400</t>
  </si>
  <si>
    <t>Bertok, A.;Allen, Jr;Li, W.;Sheriff, S.</t>
  </si>
  <si>
    <t>Bristol-Myers Squibb Pharmaceutical Research Institute</t>
  </si>
  <si>
    <t>Bertok A.</t>
  </si>
  <si>
    <t>A beam-stop mount designed for use with area detectors</t>
  </si>
  <si>
    <t>10.1107/S0021889899015587</t>
  </si>
  <si>
    <t>2-s2.0-0034483542</t>
  </si>
  <si>
    <t>['wideband ds', 'transmit diversity', 'site diversity', 'reverse link', 'rate users', 'pilot symbol', 'multipath interference', 'interference canceller', 'forward link', 'experimental results', 'experimental evaluations', 'enhancing techniques', 'aaad transceiver']</t>
  </si>
  <si>
    <t>This article reviews enhanced wireless access technologies and experimental evaluations of the wideband DS-CDMA physical layer employing intercell asynchronous operation with a three-step fast cell search method, pilot symbol-assisted coherent links, signal-to-interference plus background noise power ratio-based fast transmit power control, site diversity (soft/softer handover), and transmit diversity in the forward link. The article also presents link-capacity-enhancing techniques such as using an interference canceller and adaptive antenna array diversity receiver/transmitter, and experimental results in a real multipath fading channel. The laboratory and field experiments exemplify superior techniques of the W-CDMA physical layer and the potential of the IC and AAAD transceiver to decrease the mobile transmit power in the reverse link and multipath interference from high-rate users with large transmit power in the forward link.</t>
  </si>
  <si>
    <t>60025555-60025272-60025017-100601489;60025555-60023462;60025555-60023462;60025555-60008435-100726063-101254137-60020661-60025017</t>
  </si>
  <si>
    <t>55411183500;35560451600;55649567818;7103400688</t>
  </si>
  <si>
    <t>Sawahashi, Mamoru;Higuchi, Kenichi;Tanaka, Shinya;Adachi, Fumiyuki</t>
  </si>
  <si>
    <t>Japan;Japan;Japan;Japan;United Kingdom;Japan;Japan;Japan;Japan</t>
  </si>
  <si>
    <t>Tokyo;Tokyo;Ikoma;Tokyo;Liverpool;Sendai;Yokohama;;Koganei</t>
  </si>
  <si>
    <t>Nippon Telegraph and Telephone Corporation;The University of Tokyo;Nara Institute of Science and Technology;Waseda University;University of Liverpool;Tohoku University;Graduate School of Engineering;Elec. Commun. Labs. Nippon T;Institute of Electronics</t>
  </si>
  <si>
    <t>60025555;60025272;60025017;60023462;60020661;60008435;101254137;100726063;100601489</t>
  </si>
  <si>
    <t>Sawahashi M.</t>
  </si>
  <si>
    <t>Enhanced wireless access technologies and experiments for W-CDMA communications</t>
  </si>
  <si>
    <t>10.1109/98.892253</t>
  </si>
  <si>
    <t>2-s2.0-0034484397</t>
  </si>
  <si>
    <t>['weighting coefficients', 'promising results', 'optimum combining', 'noise ratios', 'multisensor array', 'multipath fading', 'main lobe', 'high signal', 'flat fading', 'fading correlation', 'downlink transmissions', 'cochannel interference', 'channel interference', 'beam pattern', 'base station', 'array elements', 'adaptive arrays', '5 db']</t>
  </si>
  <si>
    <t>Adaptive arrays can significantly increase cell capacity, improve signal quality, and reduce transmitter power requirements. In this article we establish a relationship between the information theoretic capacity of a mobile radio system and the beam pattern of a multisensor array. We investigate the capacity improvement potentially achieved via an optimized design strategy for an unequally spaced array; that is, the positions and the weighting coefficients of the array elements are selected to improve the average system capacity subject to various constraints like minimizing the maximum sidelobe level or keeping the beamwidth of the main lobe to a minimum. Next, we investigate the effect of fading correlation on the performance of an unequally spaced adaptive array. Results are presented for optimum combining with flat fading as well as for frequency-selective fading using a two-path delay spread model. Computer simulations show that it is possible to achieve a gain of 1.5 dB for moderate to high signal-to-noise ratios when compared to the equally spaced array. Finally, it is shown that a base station with wide antenna element spacing has improved bit error rate performance over one with narrow element spacing under co-channel interference and multipath fading. In particular, we improve the performance for both uplink and downlink transmissions in a slow fading channel with cochannel interference. Promising results are presented for a 4 channel carrier time division duplexing system.</t>
  </si>
  <si>
    <t>32-35</t>
  </si>
  <si>
    <t>60014300-60009512-60008950-60008383;60026553-60004750-60008950</t>
  </si>
  <si>
    <t>7006870644;7402866285</t>
  </si>
  <si>
    <t>Jana, Rittwik;Dey, Subhrakanti</t>
  </si>
  <si>
    <t>Australia;United States;Australia;Australia;United States;India</t>
  </si>
  <si>
    <t>Parkville;San Antonio;Adelaide;Canberra;Florham Park;Kharagpur</t>
  </si>
  <si>
    <t>University of Melbourne;AT&amp;T Inc.;The University of Adelaide;The Australian National University;AT&amp;T Laboratories Florham Park;Indian Institute of Technology Kharagpur</t>
  </si>
  <si>
    <t>60026553;60014300;60009512;60008950;60008383;60004750</t>
  </si>
  <si>
    <t>Jana R.</t>
  </si>
  <si>
    <t>3G wireless capacity optimization for widely spaced antenna arrays</t>
  </si>
  <si>
    <t>10.1109/98.892256</t>
  </si>
  <si>
    <t>2-s2.0-0034484398</t>
  </si>
  <si>
    <t>['tumt aims', 'tissue interactions', 'thermal monitoring', 'therapeutic results', 'therapeutic modalities', 'technical specifications', 'shock strategy', 'respond poorly', 'prostate determines', 'proposed recently', 'permit application', 'operating frequency', 'negligible number', 'microwave energy', 'maximum benefit', 'intrinsic characteristics', 'initially promising', 'induce apoptosis', 'hyperplastic tissue', 'histologic composition', 'health systems', 'friendly procedure', 'firm place', 'feedback mode', 'favorable candidates', 'energy protocols', 'duration protocols', 'coagulative necrosis', 'better efficacy', 'best results', 'additional theories']</t>
  </si>
  <si>
    <t>Benign prostate hyperplasia | Microwave | Thermotherapy</t>
  </si>
  <si>
    <t>Transurethral microwave thermotherapy (TUMT) has gained a firm place in the spectrum of therapeutic modalities for management of patients with lower urinary tract symptoms suggestive of bladder outflow obstruction. To achieve optimum results following TUMT, intense research focuses on appropriate patient selection, heat-tissue interactions, and modification of technical specifications. Results of TUMT are good to excellent for the majority of patients, but there is a non-negligible number of patients who respond poorly. The selection of favorable candidates for TUMT aims to improve the therapeutic results, and both clinical baseline parameters and intrinsic characteristics of the prostate (histologic composition and vasculature) may influence treatment outcome. TUMT achieves therapeutic response through coagulative necrosis of the hyperplastic tissue, but additional theories have been proposed recently, suggesting that TUMT may cause neural destruction and induce apoptosis. Individualization of the treatment is expected to offer the best results, and because the temperature achieved inside the prostate determines the actual parenchymal necrosis, thermal monitoring during treatment will permit application of microwave energy in a feedback mode. Various microwave devices differ in technical specifications (operating frequency, design of antenna, cooling system), and recently introduced software programs (high-energy protocols, heat-shock strategy, short-duration protocols) aim at better efficacy, providing a more patient-friendly procedure. TUMT has survived the "test of time" that other, initially promising, modalities have failed. What remains to be determined is the maximum benefit that patients and health systems can gain from such a technique.</t>
  </si>
  <si>
    <t>256-261</t>
  </si>
  <si>
    <t>Techniques in Urology</t>
  </si>
  <si>
    <t>60002573;60002573;60002573;60002573</t>
  </si>
  <si>
    <t>6701434565;6701484607;35429146600;7102844406</t>
  </si>
  <si>
    <t>Floratos, D. L.;Alivizatos, G. J.;Debruyne, F. M.J.;De la Rosette, J. J.M.C.H.</t>
  </si>
  <si>
    <t>Radboud University Nijmegen Medical Centre</t>
  </si>
  <si>
    <t>Floratos D.</t>
  </si>
  <si>
    <t>Transurethral microwave thermotherapy in the armamentarium of therapeutic modalities for benign prostatic hyperplasia</t>
  </si>
  <si>
    <t>2-s2.0-0034487547</t>
  </si>
  <si>
    <t>4.1 kDa protein | Low-molecular-mass proteins | Oxygen evolution | Photosystem II | PsbX | PSII</t>
  </si>
  <si>
    <t>The psbX gene (sm10002) coding for a 4.1 kDa protein in Photosystem II of plants and cyanobacteria was deleted in both wild type and in a Photosystem I-less mutant of the cyanobacterium Synechocystis sp. PCC 6803. Polymerase chain reaction and sequencing analysis showed that the mutants had completely segregated. Deletion of the PsbX protein does not seem to influence growth rate. electron transport or water oxidation ability. Whereas a high light induction of the psbX mRNA could be observed in wild type, deletion of the gene did not lead to high light sensibility. Light saturation measurements and 77K fluorescence measurements indicated a minor disconnection of the antenna in the deletion mutant. Furthermore, fluorescence induction measurements as well as immuno-staining of the DI protein showed that the amount of Photosystem II complexes in the mutants was reduced by 30%. Therefore, PsbX does not seem to be necessary for the Photosystem II electron transport, but directly or indirectly involved in the regulation of the amount of functionally active Photosystem II centres in Synechocystis sp. PCC 6803.</t>
  </si>
  <si>
    <t>Functional analysis of the PsbX protein by deletion of the corresponding gene in Synechocystis sp. PCC 6803</t>
  </si>
  <si>
    <t>2-s2.0-0034487878</t>
  </si>
  <si>
    <t>['receiver diversity', 'positive impact', 'obtain represent', 'fading channels', 'existing literature', 'error exponent', 'coded modulation', 'also considered']</t>
  </si>
  <si>
    <t>In this correspondence, we compute the random coding error exponent for coded modulation transmitted over a flat, memoryless, Rayleigh fading channel. In addition, estimates of code lengths required to achieve a certain error probability are determined and compared to those required for the additive white Gaussian noise channel. Finally, the effect of receiver antenna diversity is also considered as a method to compensate for fading and is shown to have a significant, positive impact on the error exponent. The results we obtain represent an information theoretic view that complements the existing literature on performance of coded modulation over fading channels with receiver diversity.</t>
  </si>
  <si>
    <t>1970-1974</t>
  </si>
  <si>
    <t>60016005;60021378</t>
  </si>
  <si>
    <t>35232445800;7005692610</t>
  </si>
  <si>
    <t>Ahmed, Walid K.M.;McLane, Peter J.</t>
  </si>
  <si>
    <t>Murray;Kingston</t>
  </si>
  <si>
    <t>Nokia Bell Labs;Queen‚Äôs University</t>
  </si>
  <si>
    <t>60021378;60016005</t>
  </si>
  <si>
    <t>Ahmed W.</t>
  </si>
  <si>
    <t>Information theoretic considerations for coded modulation over fading channels</t>
  </si>
  <si>
    <t>10.1109/26.891203</t>
  </si>
  <si>
    <t>2-s2.0-0034488133</t>
  </si>
  <si>
    <t>['special case', 'signals may', 'receiver knows', 'one antenna', 'natural extension', 'low probability', 'fading coefficients', 'differential modulation', 'diagonal signals', 'channel systems', 'channel system', 'antenna unknown']</t>
  </si>
  <si>
    <t>We present a framework for differential modulation with multiple antennas across a continuously fading channel, where neither the transmitter nor the receiver knows the fading coefficients. The framework can be seen as a natural extension of standard differential phase-shift keying commonly used in single-antenna unknown-channel systems. We show how our differential framework links the unknown-channel system with a known-channel system, and we develop performance design criteria. As a special case, we introduce a class of diagonal signals where only one antenna is active at any time, and demonstrate how these signals may be used to achieve full transmitter diversity and low probability of error.</t>
  </si>
  <si>
    <t>2041-2052</t>
  </si>
  <si>
    <t>60021378;60021378</t>
  </si>
  <si>
    <t>35499388800;7003890464</t>
  </si>
  <si>
    <t>Hochwald, Bertrand M.;Sweldens, Wim</t>
  </si>
  <si>
    <t>Differential unitary space-time modulation</t>
  </si>
  <si>
    <t>10.1109/26.891215</t>
  </si>
  <si>
    <t>2-s2.0-0034488802</t>
  </si>
  <si>
    <t>['total length', 'thoracic spines', 'stages iv', 'shield width', 'setation involving', 'setation formulae', 'setal type', 'rocky bottoms', 'relative location', 'morphological features', 'morphological differences', 'membranobalanus koreanus', 'mandible would', 'larval stage', 'larval morphology', 'larvae reared', 'interspecific identification', 'first time', 'coloured sponge', 'cliona celata', 'barnacle larvae', 'antennal endopodite', 'acasta spongites', '4th segment']</t>
  </si>
  <si>
    <t>Membranobalanus koreanus is a sponge barnacle inhabiting the pumpkin-coloured sponge, Cliona celata, which is attached to rocky bottoms. The larval morphology is described and illustrated for the first time from larvae reared in the laboratory. Size and setation formulae are given for each larval stage. Total length, shield width, setal type of the 4th segment of the antennal endopodite, morphology of the labrum, and cephalic shield spine in stages IV-VI, and setation involving the number, relative location, and types of setae on appendages such as antennule, antenna and mandible would be useful in the identification of the barnacle larvae. In addition to the above morphological features, patterns and number of the thoracic spines are found to be useful in both the intraspecific and interspecific identification of barnacle larvae. Morphological differences between the larvae of M. koreanus and Acasta spongites, both inhabiting the sponges, are minor.</t>
  </si>
  <si>
    <t>393-406</t>
  </si>
  <si>
    <t>60080958;60080958</t>
  </si>
  <si>
    <t>57229845400;6505676489</t>
  </si>
  <si>
    <t>Lee, C.;Min Shim, J.</t>
  </si>
  <si>
    <t>Busan</t>
  </si>
  <si>
    <t>National Fisheries Research and Development Institute (NFRDI)</t>
  </si>
  <si>
    <t>Larval development of Membranobalanus koreanus Kim and Kim, 1983, reared in the laboratory (Cirripedia, Thoracica)</t>
  </si>
  <si>
    <t>10.1163/156854000504480</t>
  </si>
  <si>
    <t>2-s2.0-0034489331</t>
  </si>
  <si>
    <t>['prostatic gland', 'microwave thermotherapy', 'microwave antennas', 'impedance matching', 'functional principles', 'becoming increasingly', 'article provides']</t>
  </si>
  <si>
    <t>Benign prostatic hyperplasia | Coil | Dipole | Helical | Impedance matching | Microwave applicators | Monopole | Thermotherapy</t>
  </si>
  <si>
    <t>Microwave thermotherapy for treatment of benign prostatic hyperplasia (BPH) is becoming increasingly more common. This article provides an introduction to the functional principles of microwave antennas for delivery of energy to the prostatic gland. Different antenna designs (monopole, dipole, and helical coil types) and impedance matching are discussed.</t>
  </si>
  <si>
    <t>100609306;100609306</t>
  </si>
  <si>
    <t>6701663464;7005058330</t>
  </si>
  <si>
    <t>Bolmsj√∂, M. B.;Vrba, J.</t>
  </si>
  <si>
    <t>ProstaLund Operations</t>
  </si>
  <si>
    <t>Bolmsj√∂ M.</t>
  </si>
  <si>
    <t>Microwave applicators for thermotherapy of benign prostatic hyperplasia: A primer</t>
  </si>
  <si>
    <t>2-s2.0-0034489371</t>
  </si>
  <si>
    <t>['sequence code', 'error correction', 'division multiple', 'concatenated coding', 'capacity tradeoffs', 'average bit', 'asynchronous direct', 'access communications']</t>
  </si>
  <si>
    <t>Concatenated coding | Multipath fading channels | Wide-band CDMA | Wireless communications</t>
  </si>
  <si>
    <t>In this work, we investigate the use of forward-error correction (FEC) as well as concatenated coding for reliable data transmission in asynchronous direct-sequence code-division multiple-access communications over frequency-selective Rayleigh fading channels. The FEC scheme combines antenna diversity with low complexity concatenated codes which consist of a Reed-Solomon outer code and a convolutional inner code. Under this concatenated coding scheme, we analyze the average bit-error rate performance and capacity tradeoffs between various system parameters under a fixed total bandwidth expansion and concatenated codes constraint requirements. ¬© 2000 IEEE.</t>
  </si>
  <si>
    <t>1965-1969</t>
  </si>
  <si>
    <t>14067682400;55666697100</t>
  </si>
  <si>
    <t>Melanie Wong, Y. F.;Letaief, Khaled Ben</t>
  </si>
  <si>
    <t>Melanie Wong Y.</t>
  </si>
  <si>
    <t>Concatenated coding for DS/CDMA</t>
  </si>
  <si>
    <t>S0090677800109018</t>
  </si>
  <si>
    <t>10.1109/26.891202</t>
  </si>
  <si>
    <t>2-s2.0-0034489410</t>
  </si>
  <si>
    <t>['unique combination', 'tip deflection', 'technology referred', 'technologies originating', 'smart tongue', 'smart systems', 'smart system', 'silicon processing', 'signal processing', 'sensor site', 'sense changes', 'semiconductor industry', 'required microelectronics', 'remotely accessed', 'remote measurement', 'recent years', 'power requirements', 'paper focuses', 'optimal response', 'optically active', 'multifunctional polymers', 'multidisciplinary one', 'microelectromechanical systems', 'mems industry', 'mems incorporating', 'mems devices', 'mems ),', 'medical industries', 'medical applications', 'materials science', 'materials belonging', 'material properties', 'made possible', 'interdigital transducers', 'inertial navigation', 'idts ),', 'ice formation', 'health monitoring', 'grown rapidly', 'great deal', 'film transistors', 'examples include', 'emerging field', 'electronic circuitry', 'electromagnetic response', 'electrical engineering', 'drag sensing', 'dimensional mems', 'control feedback', 'conformal antenna', 'composites results', 'civil structures', 'chiral polymers', 'category include', 'carbon nanotubes', 'brief overview', 'artificial materials', 'antenna system', 'actuator functions', 'active ceramics']</t>
  </si>
  <si>
    <t>The technology referred to by the terms `microelectromechanical systems' (MEMS), `interdigital transducers' (IDTs), and `smart systems' is a multidisciplinary one which has generated a great deal of interest in the chemical, mechanical, electrical engineering, medical, materials science, and food science communities in recent years. The term `smart system' refers to a device or an array of devices that can sense changes in its environment and makes a useful or optimal response by changing its material properties, geometry, or mechanical or electromagnetic response. Both the sensor and actuator functions with the appropriate feedback must be integrated, and comprise the `brain' of the material. The materials belonging to this category include a range of artificial materials, from optically active or chiral polymers to multifunctional polymers, carbon nanotubes, piezoelectrics, ferroelectrics, and other active ceramics. The miniaturization of sensors and subsequently that of the MEMS incorporating the sensors, actuators, and electronic circuitry for signal processing and control feedback have been made possible by advances in technologies originating in the semiconductor industry, and the emerging field has grown rapidly during the past ten years. Recently, microstereolithography has revolutionized the MEMS industry through multifunctional polymeric materials incorporating organic thin-film transistors with three-dimensional MEMS which is not possible with silicon processing. The integration of MEMS, IDTs, and the required microelectronics and conformal antenna in the multifunctional smart materials and composites results in a smart wireless system suitable for sensing and control of a variety of functions in automobile, aerospace, marine, and civil structures, and the food and medical industries. This unique combination of technologies also results in novel conformal sensors that can be remotely accessed by an antenna system with the advantage of no power requirements at the sensor site. After giving a brief overview of microsensors and MEMS, the paper focuses on the design and fabrication of MEMS devices and their use in engineering and medical applications. Examples include: (1) accelerometers and gyroscopes for automobiles, inertial navigation, etc; (2) drag sensing and reduction for aircraft; (3) sensing and control of ice formation and de-icing for aircraft; (4) remote measurement of tip deflection for helicopters; (5) health monitoring of structures; and (6) a `smart tongue and electronic nose'.</t>
  </si>
  <si>
    <t>953-972</t>
  </si>
  <si>
    <t>36039583900;7202350150</t>
  </si>
  <si>
    <t>Varadan, V. K.;Varadan, V. V.</t>
  </si>
  <si>
    <t>Microsensors, microelectromechanical systems (MEMS), and electronics for smart structures and systems</t>
  </si>
  <si>
    <t>10.1088/0964-1726/9/6/327</t>
  </si>
  <si>
    <t>2-s2.0-0034498290</t>
  </si>
  <si>
    <t>['water flow', 'surface roughness', 'subsurface structures', 'subsurface fractures', 'subsurface fracture', 'strong cross', 'rough surface', 'powerful technique', 'polarized components', 'polarimetric information', 'inner structure', 'difference time', 'borehole radar', '100 mhz']</t>
  </si>
  <si>
    <t>Borehole radar is known as a powerful technique for monitoring of subsurface structures such as water flow. However, conventional borehole radar systems are operated in the frequency range lower than 100 MHz and the resolution is poor to measure a surface roughness and an inner structure of subsurface fractures directly. In order to monitor the water flow, these characteristics of subsurface fractures are important. We developed a polarimetric borehole radar system using dipole antennas and axial slot antennas and have found that this system can provide more information than conventional borehole radar. However, the relationship between the characteristic of subsurface fracture and the measured polarimetric radar information has not been clear. In this paper, we simulate electromagnetic wave scattering from subsurface fractures having a rough surface by Finite-Difference Time-Domain (FDTD) technique and discuss the relationship between a surface roughness of subsurface fracture and the polarimetric information. It is found that the subsurface fracture having strong cross-polarized components can be estimated to be rough surface fracture. The full polarimetric single-hole radar measurement was carried out at the Mirror Lake site, NH, USA. In this experiment, we found that subsurface fractures can be classified into some groups by an energy scattering matrix, and found that the subsurface fracture estimated to have a rough surface corresponds to that has higher water permeability.</t>
  </si>
  <si>
    <t>1881-1888</t>
  </si>
  <si>
    <t>7405726997;7202195076</t>
  </si>
  <si>
    <t>Sato, Motoyuki;Takeshita, Moriyasu</t>
  </si>
  <si>
    <t>Sato M.</t>
  </si>
  <si>
    <t>Estimation of subsurface fracture roughness by polarimetric borehole radar</t>
  </si>
  <si>
    <t>2-s2.0-0034498793</t>
  </si>
  <si>
    <t>['wireless overhead', 'wireless networks', 'sensor systems', 'robust equalization', 'new method', 'new approach', 'modulation yields', 'modulation scheme', 'expensive applications', 'essentially different', 'data transmission', 'also exploited']</t>
  </si>
  <si>
    <t>The problem of bandwidth efficient data transmission in multiple antenna orthogonal frequency division multiplex (OFDM) systems is considered. Contrary to the mono-sensor systems, the effects of frequency-selective fading may be compensated in the multiple antenna systems due to the space diversity without using a wireless overhead. A modulation scheme that improves the reliability of data transmission in fading multipath environments and performs an accurate channel equalization with no excess bandwidth neither substantial training is proposed. The new scheme exploits a frequency domain spreading along with the standard OFDM modulation. This modulation yields an improved error rate; its structure is also exploited to estimate the equalizer. The problem of reliable channel equalization in such systems is shown to be essentially different in single and multiple antenna scenarios. For the multiple antenna scenario, a new approach to robust equalization is proposed, and its performance is analyzed. The numerical study confirms the efficiency of the new method in such bandwidth-expensive applications as wireless networks.</t>
  </si>
  <si>
    <t>3536-3549</t>
  </si>
  <si>
    <t>Gorokhov, Alexei</t>
  </si>
  <si>
    <t>Philips Research</t>
  </si>
  <si>
    <t>Gorokhov A.</t>
  </si>
  <si>
    <t>Blind equalization in SIMO OFDM systems with frequency domain spreading</t>
  </si>
  <si>
    <t>10.1109/78.887046</t>
  </si>
  <si>
    <t>2-s2.0-0034499786</t>
  </si>
  <si>
    <t>['specimens decreases', 'real part', 'rapid increase', 'loss factor', 'grain size', 'field coefficient', 'dielectric loss', 'data obtained', 'curve fitting', 'cm compare', 'al2o3 contents', 'al2o3 content', '10 wt', '1 wt', '1 kv', '0 kv']</t>
  </si>
  <si>
    <t>DC electric field effects on the real part of the relative dielectric constant and the loss factor of barium strontium titanate for application in phased array antennas have been studied. The real part of the relative dielectric constant of the specimens decreases with increasing applied DC field. The loss factor under bias DC electric field is slighter than the real part of the relative dielectric constant does. The tunability is about 24% for barium strontium titanate doped with 1 wt% Al2O3 content. Variation of fitted phenomenological coefficients with Al2O3 contents below 10 wt% is small and a rapid increase of the fitted phenomenological coefficient occurs above 10 wt%. Variation of field coefficient A and tunability with Al2O3 contents has the same trend as that of the grain size. The real part of the relative dielectric constant of Al2O3 doped barium strontium titanate decreases rapidly before 1.0 KV/cm and slowly after 1 KV/cm compare to the data obtained by the curve fitting. There is a conduction loss mechanism other than the intrinsic dielectric loss for the dielectric loss under bias electric field.</t>
  </si>
  <si>
    <t>5945-5950</t>
  </si>
  <si>
    <t>Journal of Materials Science</t>
  </si>
  <si>
    <t>7404904031;18539085200;57211726879;55492339100;56404823300</t>
  </si>
  <si>
    <t>Wu, Long;Wu, Sean;Chang, Feng Chih;Shen, Yu Tang;Chen, Yih Chien</t>
  </si>
  <si>
    <t>Wu L.</t>
  </si>
  <si>
    <t>DC field dependence of dielectric constant and loss factor of Al&lt;inf&gt;2&lt;/inf&gt;O&lt;inf&gt;3&lt;/inf&gt;-doped barium strontium titanate for application in phased array antennas</t>
  </si>
  <si>
    <t>10.1023/A:1026722206381</t>
  </si>
  <si>
    <t>2-s2.0-0034500188</t>
  </si>
  <si>
    <t>['studied theoretically', 'spatial averaging', 'simultaneous transmission', 'residual interference', 'reception system', 'receiver near', 'proposed system', 'phase adjustment', 'nonlinear circuit', 'interference wave', 'interference suppression', 'interference elimination', 'improvement characteristics', 'extremely effective', 'desired wave', 'described qualitatively', 'array antenna', 'accomplished instantaneously']</t>
  </si>
  <si>
    <t>A simultaneous transmission and reception system is studied in which transmission and reception are always possible without preventing the functions of the receiver near the transmitter, and a method is proposed for eliminating the interference wave as an important technical challenge in this system. The proposed system is an interference suppression method using a nonlinear circuit. Interference suppression by a nonlinear circuit is assigned to each element of the array antenna. After the interference wave is eliminated in the nonlinear circuit, the intermodulation components due to nonlinearity and the residual interference are suppressed by spatial averaging so that only the desired wave is extracted. In this method, no correlation is used for discrimination of the interference and the desired wave, nor are complex calculations required. Therefore, interference elimination is accomplished instantaneously. Also, in principle no phase adjustment is needed in the interference elimination. Therefore, the method is extremely effective for a broadband FM noise interference wave. The improvement characteristics of the interference elimination in this system are studied theoretically. Experiments are carried out for the conventional echo canceller system and the proposed system. The superiority of the interference elimination characteristics of the proposed system is described qualitatively.</t>
  </si>
  <si>
    <t>13-24</t>
  </si>
  <si>
    <t>60006299;60006299;60006299</t>
  </si>
  <si>
    <t>6603740696;7404939323;6507539024</t>
  </si>
  <si>
    <t>Shinriki, Masanori;Abe, Kiyonobu;Shimano, Fujio</t>
  </si>
  <si>
    <t>Japan Ministry of Defense</t>
  </si>
  <si>
    <t>Shinriki M.</t>
  </si>
  <si>
    <t>Simultaneous transmission and reception system by nonlinear signal process</t>
  </si>
  <si>
    <t>10.1002/(SICI)1520-6424(200003)83:3&lt;13::AID-ECJA2&gt;3.0.CO;2-L</t>
  </si>
  <si>
    <t>2-s2.0-0034501035</t>
  </si>
  <si>
    <t>['presented pictorially', 'millimeter wavelengths', 'incident normally', 'good agreement', 'focusing property', 'focusing process', 'focal plane', 'focal length', 'fdtd method', 'different moment', 'also simulated']</t>
  </si>
  <si>
    <t>The focusing property of extended hemispherical lens, on which a linearly polarized plane wave is incident normally, is simulated by FDTD method. The focusing process is presented pictorially at different moment. Focal length is obtained and compared with that computed by other method. Good agreement has been found. The coupling between the focused incident wave and a waveguide in the focal plane of the lens is also simulated. The lens is used as antenna at millimeter wavelengths.</t>
  </si>
  <si>
    <t>2077-2086</t>
  </si>
  <si>
    <t>FDTD simulation for the focusing property of extended hemispherical lens as receiving antenna</t>
  </si>
  <si>
    <t>10.1023/A:1006744822972</t>
  </si>
  <si>
    <t>2-s2.0-0034503718</t>
  </si>
  <si>
    <t>['various parameters', 'second kind', 'radiation phenomenon', 'plate waveguide', 'numerical treatment', 'infinite system', 'hybrid method', 'hopf equation', 'dominant tem', 'also presented']</t>
  </si>
  <si>
    <t>A hybrid method consisting of employing the mode matching method in conjunction with the Fourier transform technique is used to analyze the radiation of the dominant TEM-wave from an impedance loaded parallel-plate waveguide. The hybrid method that we adopt here reduces the related boundary value problem to a scalar modified Wiener-Hopf equation of the second kind. The solution involves infinitely many unknown constants satisfying an infinite system of linear algebraic equations susceptible to a numerical treatment. Some computational results illustrating the effects of various parameters on the radiation phenomenon are also presented.</t>
  </si>
  <si>
    <t>81-91</t>
  </si>
  <si>
    <t>Turkish Journal of Electrical Engineering and Computer Sciences</t>
  </si>
  <si>
    <t>60013071;60013071</t>
  </si>
  <si>
    <t>6603570060;7006099581</t>
  </si>
  <si>
    <t>Birbir, Filiz;Buyukaksoy, Alinur</t>
  </si>
  <si>
    <t>Kocaeli</t>
  </si>
  <si>
    <t>Gebze Teknik √úniversitesi</t>
  </si>
  <si>
    <t>Birbir F.</t>
  </si>
  <si>
    <t>Radiation from an impedance loaded parallel-plate waveguide</t>
  </si>
  <si>
    <t>2-s2.0-0034505287</t>
  </si>
  <si>
    <t>['well suited', 'temperature values', 'simple solution', 'require passive', 'relative distances', 'reflector pair', 'reflector distances', 'phase response', 'phase differences', 'paper presents', 'mode theory', 'interdigital transducer', 'different idt', 'conformal sensors', 'also discussed']</t>
  </si>
  <si>
    <t>This paper presents the prediction and measurement of the phase response from a wireless surface acoustic wave (SAW) device for temperature sensing applications. This wireless sensor consists of two or more arrays of an interdigital transducer (IDT) and reflector pair with different IDT-reflector distances. Pulse modulated signals are transmitted from a remote reader system and their echoes are returned with different time delays due to the different IDT-reflector distances. Corresponding intermediate frequency signals are generated in a mixer and their phase differences are calibrated to temperature values. Using the coupled-mode theory of SAWs, the phase characteristic relative to temperature was examined. The effect of the relative distances between the two reflector arrays is demonstrated. The influence of the phase reversal location, which produces multiple temperature values for a given phase difference, is also discussed and a simple solution is illustrated. This sensor is coupled with a small planar antenna, which will be well suited for applications that require passive and conformal sensors.</t>
  </si>
  <si>
    <t>890-897</t>
  </si>
  <si>
    <t>60001439;60001439;60001439;60001439;60001439</t>
  </si>
  <si>
    <t>7003760140;7005956560;57196847604;7202350150;36039583900</t>
  </si>
  <si>
    <t>Suh, William D.;Jose, K. A.;Xavier, Pascal B.;Varadan, V. V.;Varadan, V. K.</t>
  </si>
  <si>
    <t>Suh W.</t>
  </si>
  <si>
    <t>Design optimization and experimental verification of wireless IDT based micro temperature sensor</t>
  </si>
  <si>
    <t>10.1088/0964-1726/9/6/321</t>
  </si>
  <si>
    <t>2-s2.0-0034505788</t>
  </si>
  <si>
    <t>['stimulus exposure', 'spontaneous activity', 'signal analyzer', 'sensitive orn', 'seen predominantly', 'odour caused', 'later analysis', 'instrumentation amplifier', 'hx odour', 'hx ),', 'corresponding orn', 'calliphora vicina', 'butanoic acid', 'ba odour', 'audio amplifier', 'action potentials', '8 ppm', '500 ppm', '300 pps', '275 pps', '25 pps', '20 ppm', '165 pps', '14dab odour', '100 ppm']</t>
  </si>
  <si>
    <t>Action potentials of insect olfactory receptor neurons (ORN) were picked up with microelectrodes and amplified by a high-impedance amplifier connected to an oscilloscope, an audio amplifier, and an instrumentation amplifier. The amplified action potentials and odour exposure times were recorded on a DAT (digital audio tape) recorder for later analysis. This measurement of the stimulated action potential rates of the ORN of a blowfly (Calliphora vicina) made it possible to estimate odour concentrations to which the ORNs of the antenna were exposed. Odours of 1,4-diaminobutane (14DAB), 1-hexanol (HX), and butanoic acid (BA) were used in the experiments to stimulate various ORNs, which discharged action potentials. Spontaneous and stimulated action potential rates were analyzed by means of a time-to-voltage converter connected to a signal analyzer. The estimated exposure concentrations of the 14DAB odour were between a few ppb (parts per billion) and about 100 ppm (parts per million) in air, those of BA odour between 20 ppm and almost 200 ppm, and those of HX odour about 8 ppm and 500 ppm. The 14DAB-sensitive ORN generated action potentials between 100 and 275 pps (pulses per second), the BA-sensitive ORN between 70 and 165 pps, and the HX-sensitive ORN between 115 and 300 pps. Higher exposure concentrations of each odour caused the cessation of action potential production because of adaptation and overloading of the sensor. This could be seen predominantly as a saturation of the corresponding ORN. The spontaneous action potential rate before, and after, each stimulus exposure was between 20 and 25 pps. Clean-air exposures typically sent action potentials at the same rate as the spontaneous activity of the ORN.</t>
  </si>
  <si>
    <t>212-222</t>
  </si>
  <si>
    <t>Huotari, Matti J.</t>
  </si>
  <si>
    <t>Huotari M.</t>
  </si>
  <si>
    <t>Biosensing by insect olfactory receptor neurons</t>
  </si>
  <si>
    <t>S0925400500006195</t>
  </si>
  <si>
    <t>10.1016/S0925-4005(00)00619-5</t>
  </si>
  <si>
    <t>2-s2.0-0034508866</t>
  </si>
  <si>
    <t>['triton x', 'rights reserved', 'results suggest', 'native state', 'monomeric state', 'light sensitivity', 'interactions among', 'induced destruction', 'induced denaturation', 'extrinsic part', 'excitonic interactions', 'different extents', 'considerable dissolution', 'apparent dissolution']</t>
  </si>
  <si>
    <t>CP43 | Heat | PS II | Triton X-100 | Trypsin</t>
  </si>
  <si>
    <t>Trypsin-, heat- and Triton X-100-induced denaturation of CP43, the core antenna complex of photosystem II purified from spinach, has been investigated using absorption, fluorescence and circular dichroism spectroscopy. Triton X-100 was found to bring about considerable dissolution of pigments from the protein to the monomeric state in solution and destruction of the interactions among the chlorophyll, carotene and protein. Heat induced significant unfolding of the protein secondary structure and loss of excitonic interactions of the pigments, but no apparent dissolution of the pigments from CP43. Trypsin caused structural changes in the extrinsic part of the protein but no change of the native state of the pigments. Trypsin, heat and Triton X-100 treatments increased the light sensitivity of chlorophyll in CP43 to different extents. The results suggest that the protein and Œ≤-carotene can protect the chlorophyll from light-induced destruction in CP43. ¬© 2000 Elsevier Science B.V. All rights reserved.</t>
  </si>
  <si>
    <t>136-142</t>
  </si>
  <si>
    <t>60025278;60014773;60025278;60025278;60025278;60014773;60025278</t>
  </si>
  <si>
    <t>7701310823;7103076008;57199199798;56269545400;7402475226;7004899916;55484680200</t>
  </si>
  <si>
    <t>Wang, Jushuo;Shan, Jixiu;Xu, Qiang;Ruan, Xiang;Gong, Yandao;Kuang, Tingyun;Zhao, Nanming</t>
  </si>
  <si>
    <t>Spectroscopic study of trypsin, heat and Triton X-100-induced denaturation of the chlorophyll-binding protein CP43</t>
  </si>
  <si>
    <t>S1011134400001184</t>
  </si>
  <si>
    <t>10.1016/S1011-1344(00)00118-4</t>
  </si>
  <si>
    <t>2-s2.0-0034510569</t>
  </si>
  <si>
    <t>['whiteness constraints', 'transmitted simultaneously', 'transmitted signals', 'training sequences', 'sufficient conditions', 'signals exists', 'recovering blindly', 'received signals', 'performance analysis', 'output signals', 'mutually independent', 'multiuser kurtosis', 'muk algorithm', 'memoryless system', 'linear multiple', 'iui ),', 'interuser interference', 'globally convergent', 'gaussian distribution', 'algorithm combines', 'adaptive algorithm']</t>
  </si>
  <si>
    <t>We consider the problem of recovering blindly (i.e., without the use of training sequences) a number of independent and identically distributed source (user) signals that are transmitted simultaneously through a linear instantaneous mixing channel. The received signals are, hence, corrupted by interuser interference (IUI), and we can model them as the outputs of a linear multiple-input-multiple-output (MIMO) memoryless system. Assuming the transmitted signals to be mutually independent, i.i.d., and to share the same non-Gaussian distribution, a set of necessary and sufficient conditions for the perfect blind recovery (up to scalar phase ambiguities) of all the signals exists and involves the kurtosis as well as the covariance of the output signals. We focus on a straightforward blind constrained criterion stemming from these conditions. From this criterion, we derive an adaptive algorithm for blind source separation, which we call the multiuser kurtosis (MUK) algorithm. At each iteration, the algorithm combines a stochastic gradient update and a Gram-Schmidt orthogonalization procedure in order to satisfy the criterion's whiteness constraints. A performance analysis of its stationary points reveals that the MUK algorithm is free of any stable undesired local stationary points for any number of sources; hence, it is globally convergent to a setting that recovers them all.</t>
  </si>
  <si>
    <t>3508-3519</t>
  </si>
  <si>
    <t>Papadias, Constantinos B.</t>
  </si>
  <si>
    <t>Papadias C.</t>
  </si>
  <si>
    <t>Globally convergent blind source separation based on a multiuser kurtosis maximization criterion</t>
  </si>
  <si>
    <t>10.1109/78.887044</t>
  </si>
  <si>
    <t>2-s2.0-0034510827</t>
  </si>
  <si>
    <t>N-00014-89-J-1512P-5</t>
  </si>
  <si>
    <t>['time aperture', 'steering vector', 'reduction methods', 'negligible loss', 'multiplicative improvement', 'major issue', 'invariably suboptimal', 'dofs ).', 'data samples']</t>
  </si>
  <si>
    <t>A major issue in space-time adaptive processing (STAP) for moving target indicator (MTI) radar is the so-called sample support problem. Often, the available sample support for estimating the requisite interference covariance matrix is inadequate, thereby precluding STAP beamforming utilizing many adaptive degrees-of-freedom (DOFs). Although deterministic rank-reduction methods can reduce sample support requirements, they are invariably suboptimal from a signal-to-interference-plus-noise-ratio (SINR) standpoint. In this paper, a new generalized subspatial and subtemporal aperture smoothing method employing forward and backward data vectors is introduced to overcome the data deficiency problem. It is shown that multiplicative improvement in data samples can be obtained at the expense of negligible loss in space-time aperture of the steering vector.</t>
  </si>
  <si>
    <t>3569-3574</t>
  </si>
  <si>
    <t>60108318;60108318;60108318</t>
  </si>
  <si>
    <t>7202816152;56066659300;7004153037</t>
  </si>
  <si>
    <t>Unnikrishna Pillai, S.;Kim, Younglok L.;Guerci, Joseph R.</t>
  </si>
  <si>
    <t>Unnikrishna Pillai S.</t>
  </si>
  <si>
    <t>Generalized forward/backward subaperture smoothing techniques for sample starved STAP</t>
  </si>
  <si>
    <t>10.1109/78.887049</t>
  </si>
  <si>
    <t>2-s2.0-0034511563</t>
  </si>
  <si>
    <t>['three species', 'terminal tooth', 'syllis cornuta', 'subdistal knobs', 'subdistal knob', 'species studied', 'short antennae', 'previously reported', 'posterior aciculae', 'pontxioi sp', 'oblique tip', 'midbody parapodia', 'long spines', 'jorgei sp', 'iberian fauna', 'genus syllis', 'family syllidae', 'falciger blades', 'dorsal cirri', 'cutting edge', 'complete study', 'authors conclude', 'acute tips']</t>
  </si>
  <si>
    <t>Iberian coasts | Polychaeta | Syllisae | Systematic</t>
  </si>
  <si>
    <t>During the project "Fauna Ib√©rica", established to develop a complete study of the Iberian fauna, several new polychaete species belonging to the family Syllidae were found and we describe here three new species included in the genus Syllis. Syllis parapari sp. nov. is characterized by the presence of both pseudospiniger and falciger compound chaetae, short and spindle-shaped dorsal cirri on midbody parapodia and posterior aciculae with an oblique tip and a subdistal knob. S. pontxioi sp. nov. is characterized by very short antennae, tentacular and dorsal cirri; by the shape of midbody and posterior chaetal blades, very short and with an enlarged distal tooth: by stout posterior aciculae, with a slightly curved tip. S. jorgei sp. nov. is characterized by very long spines on the cutting edge of falciger blades, the distal ones longer than the terminal tooth, by the shape of aciculae with subdistal knobs and acute tips. These three species have been previously reported for the Iberian fauna as Syllis cornuta. S. gerlachi, and S. lutea. However, after comparison with a recent re-description of these species, the authors conclude that the species studied here are three new species.</t>
  </si>
  <si>
    <t>425-433</t>
  </si>
  <si>
    <t>60026796;60026796</t>
  </si>
  <si>
    <t>7003654437;35445359800</t>
  </si>
  <si>
    <t>San Mart√≠n, G.;L√≥pez, E.</t>
  </si>
  <si>
    <t>San Mart√≠n G.</t>
  </si>
  <si>
    <t>Three new species of Syllis (Syllidae: Polychaeta) from Iberian coasts</t>
  </si>
  <si>
    <t>2-s2.0-0034512262</t>
  </si>
  <si>
    <t>['suppress sidelobes', 'sidelobe patterns', 'mode filtering', 'give low', 'gaussian flare', 'entrance apertures', 'back structure', '50 db', '40 db']</t>
  </si>
  <si>
    <t>Novel corrugated horn have been modelled, manufactured and measured which give low-sidelobe patterns required by CMB Anisotropy experiments. These horns have a Back-to-Back structure with mode filtering at their centres. They are corrugated to give axial symmetric low-sidelobe patterns, profiled to reduce their length, and have a Gaussian flare at their entrance apertures to further suppress sidelobes to -40 dB. Modelling and experimental results show excellent agreement to well below 50 dB.</t>
  </si>
  <si>
    <t>2023-2033</t>
  </si>
  <si>
    <t>60022109;60022109;60022109;60022109;60022109;60026281;60026281</t>
  </si>
  <si>
    <t>6603609024;7006368713;7201903009;6508209113;6701623000;55587645400;6701832445</t>
  </si>
  <si>
    <t>Maffei, B.;Ade, P. A.R.;Tucker, C. E.;Wakui, E.;Wylde, R. J.;Murphy, J. A.;Colgan, R. M.</t>
  </si>
  <si>
    <t>Ireland;United Kingdom</t>
  </si>
  <si>
    <t>Maynooth;London</t>
  </si>
  <si>
    <t>Maynooth University;Queen Mary University of London</t>
  </si>
  <si>
    <t>60026281;60022109</t>
  </si>
  <si>
    <t>Maffei B.</t>
  </si>
  <si>
    <t>Shaped corrugated horns for Cosmic Microwave Background anisotropy measurements</t>
  </si>
  <si>
    <t>10.1023/A:1006784404316</t>
  </si>
  <si>
    <t>2-s2.0-0034512562</t>
  </si>
  <si>
    <t>['xpr value', 'whip lengths', 'whip antenna', 'wavelength long', 'standard deviations', 'results indicate', 'radio body', 'meg degradation', 'inclination angle', 'incident waves', 'free space', 'diversity antenna', 'body shapes', 'analyses clarify', '900 mhz', '6 dbd', '57 œª', '5 db', '3 dbd', '1 db']</t>
  </si>
  <si>
    <t>In analysis of the mean effective gain (MEG) at 900 MHz of a diversity antenna for portable telephones comprising a whip antenna and a planar inverted F antenna (PIFA) has been done. The analysis was performed in free space, and no human body effects were taken into account. Wire-grid analyses yielded MEG characteristic results regarding whip lengths, body shapes, and inclinations of the radio from the vertical under various incident wave propagation environments. The results indicate that a whip antenna shows significant MEG changes with changing whip lengths, mean elevation angles, and standard deviations of incident waves. The results also demonstrate that a whip antenna shows maximum MEG values of -3 to -1.3 dBd for whip lengths of 0.5 to 0.57 Œª. When a whip antenna is less than a half-wavelength long, the MEG of the PIFA is greater than -6 dBd, with maximum values ranging from -3.5 to -3 dBd. With a cross-polarization power ratio (XPR) from -2 to -1 dB, the MEG becomes constant regardless of the inclination angle of the radio body. Furthermore, there are particular inclination angles at which the MEG remains constant regardless of the XPR value. The MEG degradation by 3 to 5 dB is observed when the body inclination changes from the vertical to the horizontal. The analyses clarify the relationship between the MEG in free space, antenna, and external environmental parameters.</t>
  </si>
  <si>
    <t>88-97</t>
  </si>
  <si>
    <t>60107350;60107350</t>
  </si>
  <si>
    <t>7404212156;57207902469</t>
  </si>
  <si>
    <t>Ogawa, Koichi;Uwano, Tomoki</t>
  </si>
  <si>
    <t>Mean effective gain analysis of a diversity antenna for portable telephones in mobile communication environments</t>
  </si>
  <si>
    <t>10.1002/(SICI)1520-6424(200003)83:3&lt;88::AID-ECJA8&gt;3.0.CO;2-E</t>
  </si>
  <si>
    <t>2-s2.0-0034513952</t>
  </si>
  <si>
    <t>['various machines', 'therefore difficult', 'small amplitude', 'several machines', 'remote sources', 'power source', 'numerous incidents', 'magnetic sensors', 'line disturbances', 'electromagnetic energy', 'drill press', 'disruption due', 'continued occurrence', 'belt sander', 'air compressor']</t>
  </si>
  <si>
    <t>This research paper deals with the detection of on/off events of the electric and magnetic field signatures of various machines. The electric and magnetic field measurements were obtained with electric and magnetic sensors and antennas situated approximately 10 m on the other side of a wall from various machines as these machines were activated and shut off. The resulting transient signals are of small amplitude and most of them are buried in the higher frequency noise of the power source and therefore difficult to be detected. For the detection of these transients, the time of their occurrence, their duration and their total numbers multiresolution analysis (MRA) with Daubechies D4 wavelet techniques were used. In this study, several machines were tested (i.e., welding machine, drill press, belt sander, bandsaw and air compressor) with perfect transient degree of delectability. It is important to emphasize here that numerous incidents of disruption (about sixty) in the performance of electronic medical devices by both local and remote sources of electromagnetic energy have been reported. Many of these incidents has or could have had life threatening consequences. The continued occurrence of disruption due to conducted and radiated electromagnetic interference, power-line disturbances, and electrostatic discharge underscores the need for applying electromagnetic compatibility design techniques, standards, and testing to electronic medical devices.</t>
  </si>
  <si>
    <t>187-201</t>
  </si>
  <si>
    <t>Systems Analysis Modelling Simulation</t>
  </si>
  <si>
    <t>60029378;60029378</t>
  </si>
  <si>
    <t>6603574517;6505846069</t>
  </si>
  <si>
    <t>Panagiotacopulos, Nick D.;Savidge, Lee Ann</t>
  </si>
  <si>
    <t>Long Beach</t>
  </si>
  <si>
    <t>California State University Long Beach</t>
  </si>
  <si>
    <t>Panagiotacopulos N.</t>
  </si>
  <si>
    <t>Application of wavelet analysis for the detection of electromagnetic field transients obtained from machines</t>
  </si>
  <si>
    <t>2-s2.0-0034516476</t>
  </si>
  <si>
    <t>['voice traffic', 'voice terminal', 'traffic load', 'random access', 'proposed model', 'prma protocol', 'performance degradation', 'packet even', 'integrated transmission', 'degraded due', 'data traffic', 'conventional prma', 'contention mechanism', 'computer simulation', 'collision occurs', 'base station', 'adaptive array']</t>
  </si>
  <si>
    <t>For local wireless communications, the packet reservation multiple access (PRMA) protocol, which combines random access with time division access, is known as an efficient access method to use silence periods of voice traffic. However, the performance of PRMA at the base station is degraded under heavy load conditions where many mobile stations transmit packets at the same time, because of the contention mechanism of random access. Also, for integrated transmission of voice and data, the performance of the voice terminal is degraded due to the data traffic. In this paper, we propose the use of the adaptive array antenna with PRMA protocol to improve the performance. In the proposed model, the adaptive array can acquire a packet by pointing the peak antenna pattern toward that packet even when a collision occurs. First, we evaluate the throughput and the packet dropping probability for voice-only traffic by theoretical Markov analysis and computer simulation, and show that the proposed model attains higher throughput and lower packet dropping probability than the conventional PRMA when the traffic load is high. Next, we evaluate the throughput and the packet dropping probability for integration of voice and data traffic by computer simulation, and show that the proposed model reduces the performance degradation of the voice terminal due to the addition of data traffic, compared to the conventional PRMA.</t>
  </si>
  <si>
    <t>36-48</t>
  </si>
  <si>
    <t>60025997;60025997</t>
  </si>
  <si>
    <t>7406708177;7103030811</t>
  </si>
  <si>
    <t>Kobayashi, Tsugunao;Sasase, Iwao</t>
  </si>
  <si>
    <t>Kobayashi T.</t>
  </si>
  <si>
    <t>Performance evaluation of packet reservation multiple access with an adaptive array</t>
  </si>
  <si>
    <t>10.1002/(SICI)1520-6424(200003)83:3&lt;36::AID-ECJA4&gt;3.0.CO;2-6</t>
  </si>
  <si>
    <t>2-s2.0-0034517118</t>
  </si>
  <si>
    <t>['typical type', 'silkworm moth', 'results show', 'quantitative measurement', 'never identical', 'model odorant', 'every pair', 'eag technique', 'eag parameters', 'bombyx mori', 'antennae originating', 'ammonia concentration', 'also investigated']</t>
  </si>
  <si>
    <t>Bombyx mori | EAG parameter | Electroantennogram | Olfactory receptor | Stability</t>
  </si>
  <si>
    <t>Electroantexmogram (EAG) can be applied to detect odorants since insects have highly specialized olfactory receptors inside their antennae. The characteristics of EAG parameters were investigated for the quantitative measurement of a general odorant using ammonia as a model odorant. The antennae of male silkworm moth, Bombyx mori, were used for the EAG. The electrical signal curves generated from a pair of antennae originating from the same silkworm moth were never identical; however, they exhibited a typical type I or type II characteristic curve pattern for every pair of antennae. The correlation between the EAG parameters and the ammonia concentration was analyzed for the type I and type II antennae. The stability of each parameter was also investigated for each type of antenna. The results show the possibility of the quantitative measurement of general odorants using the EAG technique.</t>
  </si>
  <si>
    <t>885-888</t>
  </si>
  <si>
    <t>Journal of Microbiology and Biotechnology</t>
  </si>
  <si>
    <t>60013682;60013682;60013682;60013682</t>
  </si>
  <si>
    <t>6504480436;7409931832;7409592623;34969448600</t>
  </si>
  <si>
    <t xml:space="preserve">Eung Sik, Y.;Hwi Jin Ko, ;Jong Hwan Sung, ;Tai Hyun Park, </t>
  </si>
  <si>
    <t>Eung Sik Y.</t>
  </si>
  <si>
    <t>Characteristics of electroantennogram parameters for the detection of odorants</t>
  </si>
  <si>
    <t>2-s2.0-0034519489</t>
  </si>
  <si>
    <t>['vertebrate homologues', 'tm4sf superfamily', 'superfamily revealed', 'seven members', 'sensillar epithelium', 'probably involved', 'phylogenetic analysis', 'much like', 'melanogaster genome', 'male antennae', 'known tetraspanins', 'including thirty', 'female antennae', 'embryonic tissues', 'eighteen genes', 'contiguous array']</t>
  </si>
  <si>
    <t>Drosophila melanogaster | Intron evolution | Manduca sexta | Tetraspanin | TM4SF</t>
  </si>
  <si>
    <t>We describe four members of the tetraspanin/TM4SF superfamily of proteins that were identified in expressed sequence tag projects on the antennae of Manduca sexta moths and Apis mellifera honey bees. The three moth genes are expressed in the sensillar epithelium of male antennae, and some are expressed in female antennae, haemocytes, wing scale cell primordia and/or embryonic tissues. These proteins are probably involved in diverse cellular processes, much like their vertebrate homologues. A phylogenetic analysis of all known tetraspanins, including thirty-seven members of the superfamily revealed by the Drosophila melanogaster genome and twenty in the nematode Caenorhabditis elegans genome, reveals some phylum-specific gene amplification, in particular a contiguous array of eighteen genes in the D. melanogaster genome.</t>
  </si>
  <si>
    <t>581-590</t>
  </si>
  <si>
    <t>Insect Molecular Biology</t>
  </si>
  <si>
    <t>55274962800;7003362584;7203066280</t>
  </si>
  <si>
    <t>Todres, E.;Nardi, J. B.;Robertson, H. M.</t>
  </si>
  <si>
    <t>Todres E.</t>
  </si>
  <si>
    <t>The tetraspanin superfamily in insects</t>
  </si>
  <si>
    <t>10.1046/j.1365-2583.2000.00222.x</t>
  </si>
  <si>
    <t>2-s2.0-0034523455</t>
  </si>
  <si>
    <t>['vitro experiments', 'toxicity conditions', 'toxic cu', 'results indicated', 'reaction centre', 'provide data', 'protein composition', 'polypeptide composition', 'low cu', 'initial inhibition', 'inhibition could', 'extrinsic proteins', 'evolving complex', 'd1 protein', 'concentrations occurred', 'apparently preserved', 'affected even', '17 kda', '1400 ).']</t>
  </si>
  <si>
    <t>We provide data from in vitro experiments on the polypeptide composition, photosynthetic electron transport and oxygen evolution activity of intact photosystem II (PSII) preparations under Cu(II) toxicity conditions. Low Cu(II) concentrations (Cu(II) per PSII reaction centre unit ‚â§ 230) that caused around 50% inhibition of variable chlorophyll Œ± fluorescence and oxygen evolution activity did not affect the polypeptide composition of PSII. However, the extrinsic proteins of 33, 24 and 17 kDa of the oxygen-evolving complex of PSII were removed when samples were treated with 300 ŒºM CuCI2 (Cu(II) per PSII reaction centre unit = 1400). The LHCII antenna complex and D1 protein of the reaction centre of PSII were not affected even at these Cu(II) concentrations. The results indicated that the initial inhibition of the PSII electron transport and oxygen-evolving activity induced by the presence of toxic Cu(II) concentrations occurred before the damage of the oxygen-evolving complex. Indeed, more than 50% inhibition could be achieved in conditions where its protein composition and integrity was apparently preserved.</t>
  </si>
  <si>
    <t>551-557</t>
  </si>
  <si>
    <t>Physiologia Plantarum</t>
  </si>
  <si>
    <t>60010939;60010939;60009708;60010939</t>
  </si>
  <si>
    <t>6701737135;57196790195;56238166500;56259745200</t>
  </si>
  <si>
    <t>Yruela, Inmaculada;Alfonso, Miguel;Bar√≥n, Matilde;Picorel, Rafael</t>
  </si>
  <si>
    <t>Zaragoza;Granada</t>
  </si>
  <si>
    <t>CSIC - Estacion Experimental de Aula Dei EEAD;CSIC - Estaci√≥n Experimental del Zaid√≠n (EEZ)</t>
  </si>
  <si>
    <t>60010939;60009708</t>
  </si>
  <si>
    <t>Yruela I.</t>
  </si>
  <si>
    <t>Copper effect on the protein composition of photosystem II</t>
  </si>
  <si>
    <t>10.1034/j.1399-3054.2000.1100419.x</t>
  </si>
  <si>
    <t>2-s2.0-0034525180</t>
  </si>
  <si>
    <t>['unsaturated oligomers', 'sodium polygalacturonate', 'saturated oligomers', 'performance anion', 'method resulted', 'good separation', 'generate unsaturated', 'follow polygalacturonase', 'exchange chromatography', 'dp 13', 'allowed us']</t>
  </si>
  <si>
    <t>Diode array detector | HPAEC | Oligogalacturonic acids | Pectin | Pectolytic enzymes | Polygalacturonate</t>
  </si>
  <si>
    <t>High-performance anion-exchange chromatography (HPAEC) coupled with a diode array detector (DAD) was used to identify and quantify oligogalacturonic acid components in pectins. Purified pectin lyase and polygalacturonase were used to generate unsaturated and saturated oligomers from pectins and sodium polygalacturonate, respectively. This method resulted in a good separation of saturated and unsaturated oligomers up to DP 13. It allowed us to follow polygalacturonase and pectate lyase depolymerisation pathways simultaneously. ¬© 2000 Elsevier Science Ltd.</t>
  </si>
  <si>
    <t>907-911</t>
  </si>
  <si>
    <t>Carbohydrate Research</t>
  </si>
  <si>
    <t>60001365;60000964;60001365;60001365;60000964</t>
  </si>
  <si>
    <t>57224374030;15739294300;6603115482;6506712661;7005633345</t>
  </si>
  <si>
    <t>Deconinck, Thomas J.M.;Ciza, Antoine;Sinnaeve, Georges M.;Laloux, Jean T.;Thonart, Philippe</t>
  </si>
  <si>
    <t>Gembloux;Liege</t>
  </si>
  <si>
    <t>Wallon Agricultural Research Centre;Universit√© de Li√®ge</t>
  </si>
  <si>
    <t>60001365;60000964</t>
  </si>
  <si>
    <t>Deconinck T.J.M.</t>
  </si>
  <si>
    <t>High-performance anion-exchange chromatography - DAD as a tool for the identification and quantification of oligogalacturonic acids in pectin depolymerisation</t>
  </si>
  <si>
    <t>S0008621500002536</t>
  </si>
  <si>
    <t>10.1016/S0008-6215(00)00253-6</t>
  </si>
  <si>
    <t>2-s2.0-0034531196</t>
  </si>
  <si>
    <t>Council for Scientific and Industrial Research, South Africa</t>
  </si>
  <si>
    <t>9/256(12)/92-EMR-I</t>
  </si>
  <si>
    <t>['unique markers', 'three antibodies', 'sensilla especially', 'olfactory system', 'observations suggest', 'mushroom bodies', 'increased intensity', 'glomeruli shows', 'glomerular staining', 'flies even', 'first day', 'drosophila melanogaster', 'different antibodies', 'better understand', 'antigen recognized', 'antibodies could', 'antennal lobe', '3d10 stains', '2d6 stains', '12e8 stains', '11 glomeruli']</t>
  </si>
  <si>
    <t>Antennal lobe | Drosophila melanogaster | Monoclonal antibodies | Mushroom bodies | Olfactory development</t>
  </si>
  <si>
    <t>As a tool to better understand the organization of the olfactory pathway three monoclonal antibodies have been isolated and characterized each having a unique staining pattern in the antenna and antennal lobe of Drosophila melanogaster. Monoclonal antibody F14-2D6 stains sensilla coeloconica and thick sensilla basiconica in the funiculus, Y1-3D10 stains only a few sensilla especially in and around the sacculus, while F15-12E8 stains all the sensilla. All three antibodies stain a subset of the glomeruli in the antennal lobe, of which 11 glomeruli are stained in common by all three antibodies. These antibodies could be used to study projection patterns of the sensilla into the antennal lobe. Glomerular staining was observed at different developmental times with the different antibodies. F15-12E8 stains all the glomeruli at eclosion, Y1-3D10 stains only a few glomeruli at eclosion but most glomeruli are stained by the first day after eclosion. F14-2D6 stains all glomeruli only after eclosion. F15-12E8 also stains the mushroom bodies. The antigen recognized by F14-2D6 in the glomeruli shows an increase with age of the flies, measured as increased intensity of staining. These observations suggest that age-related changes continue in the antennal lobe of the flies even after eclosion. These antibodies could therefore serve as unique markers for other studies on the development of the olfactory system. ¬© 2000 Elsevier Science Ltd.</t>
  </si>
  <si>
    <t>101-110</t>
  </si>
  <si>
    <t>60031855;;60005502</t>
  </si>
  <si>
    <t>6602590555;6507914403;6603823600</t>
  </si>
  <si>
    <t>Mistry, Y.;Mistri, R.;Siddiqi, O.</t>
  </si>
  <si>
    <t>Mistry Y.</t>
  </si>
  <si>
    <t>Evidence of age-related changes in the antennal glomeruli of Drosophila melanogaster using monoclonal antibodies</t>
  </si>
  <si>
    <t>S1467803900000177</t>
  </si>
  <si>
    <t>10.1016/S1467-8039(00)00017-7</t>
  </si>
  <si>
    <t>2-s2.0-0034531672</t>
  </si>
  <si>
    <t>['vivo metabolite', 'sulfate conjugates', 'remainder going', 'previously unreported', 'metabolites detected', 'metabolic fate', 'icpms source', 'free diclofenac', 'first application', 'chlorinated xenobiotics', 'also characterised', 'acetylcysteinyl conjugate']</t>
  </si>
  <si>
    <t>We report the application of high-performance liquid chromatography (HPLC) linked to inductively coupled plasma mass spectrometry (ICPMS) and orthogonal acceleration time-of-flight mass spectrometry (oa-TOFMS) for the identification of phase I and II urinary metabolites of diclofenac. The metabolites were separated by reversed-phase HPLC monitored with a UV diode array detector (UV-DAD) after which 90% of the eluent was directed to an ICPMS source, with the remainder going to an oa-TOF mass spectrometer. Compounds containing 35Cl, 37Cl and 32S were detected specifically using ICPMS and identified by oa-TOFMS. The metabolites detected and identified in this way included glucuronic acid and sulfate conjugates, mono- and dihydroxylated and free diclofenac. In addition a previously unreported in vivo metabolite, an N-acetylcysteinyl conjugate of diclofenac, was also characterised. This is the first application of the combination of HPLC/UV-DAD/ICPMS/oa-TOFMS for the investigation of the metabolic fate of chlorinated xenobiotics by direct biofluid analysis. Copyright (C) 2001 John Wiley and Sons, Ltd.</t>
  </si>
  <si>
    <t>2377-2384</t>
  </si>
  <si>
    <t>Rapid Communications in Mass Spectrometry</t>
  </si>
  <si>
    <t>60015150;60015150;60004219;60010098;60010098;60010098;60004219</t>
  </si>
  <si>
    <t>55877297269;36037157800;7101974993;6603892430;55952196500;7102551981;57153268700</t>
  </si>
  <si>
    <t>Corcoran, Olivia;Nicholson, Jeremy K.;Lenz, Eva M.;Abou-Shakra, Fadi;Castro-Perez, Jose;Sage, Ashley B.;Wilson, Ian D.</t>
  </si>
  <si>
    <t>London;Manchester;Cambridge</t>
  </si>
  <si>
    <t>Imperial College London;GV Instruments Ltd;AstraZeneca</t>
  </si>
  <si>
    <t>60015150;60010098;60004219</t>
  </si>
  <si>
    <t>Corcoran O.</t>
  </si>
  <si>
    <t>Directly coupled liquid chromatography with inductively coupled plasma mass spectrometry and orthogonal acceleration time-of-flight mass spectrometry for the identification of drug metabolites in urine: Application to diclofenac using chlorine and sulfur detection</t>
  </si>
  <si>
    <t>10.1002/1097-0231(20001230)14:24&lt;2377::AID-RCM176&gt;3.0.CO;2-5</t>
  </si>
  <si>
    <t>2-s2.0-0034532968</t>
  </si>
  <si>
    <t>['substantially reduced', 'significantly reduces', 'significantly enhanced', 'rugged package', 'results indicate', 'remote installations', 'prototype time', 'previous designs', 'new method', 'miniature time', 'mass producing', 'innovative design', 'improved center', 'free design', 'flight instrument', 'data acquired', 'coaxial design', 'background noise']</t>
  </si>
  <si>
    <t>An innovative design for a miniature time-of-flight mass spectrometer has been developed employing several newly designed components. These include: (1) a gridless, focusing ion source allowing for the use of very high extraction energies in a maintenance-free design, (2) a new method of construction for an ion reflector using rolled flexible circuitboard material, and (3) an improved center-hole microchannel plate detector assembly that significantly reduces the noise (or 'ringing') inherent in the coaxial design. A prototype time-of-flight instrument was constructed and used to evaluate the performance of these components. Compared to previous designs, results indicate that background noise for data acquired on this instrument is substantially reduced, resolution is improved, and the potential for mass producing this instrument in an inexpensive and rugged package for field-portable and remote installations is significantly enhanced. Copyright (C) 2000 John Wiley and Sons, Ltd.</t>
  </si>
  <si>
    <t>2408-2411</t>
  </si>
  <si>
    <t>60005248;60005248;60005248</t>
  </si>
  <si>
    <t>7003573767;6603186701;57202923176</t>
  </si>
  <si>
    <t>Cornish, Timothy J.;Ecelberger, Scott;Brinckerhoff, Will</t>
  </si>
  <si>
    <t>Cornish T.J.</t>
  </si>
  <si>
    <t>Miniature time-of-flight mass spectrometer using a flexible circuitboard reflector</t>
  </si>
  <si>
    <t>10.1002/1097-0231(20001230)14:24&lt;2408::AID-RCM181&gt;3.0.CO;2-K</t>
  </si>
  <si>
    <t>2-s2.0-0034533509</t>
  </si>
  <si>
    <t>['tortoise shell', 'terminal branches', 'sensory structures', 'scarabaeidae ).', 'popillia japonica', 'outer cuticle', 'nearly twice', 'narrow ridges', 'japanese beetle', 'conspicuous difference']</t>
  </si>
  <si>
    <t>Bipolar neurons | Ruteline beetle | Sexual dimorphism</t>
  </si>
  <si>
    <t>The pheromone-detecting sensilla placodea are significantly more numerous than other sensory structures in the antennae of the Japanese beetle, Popillia japonica (Coleoptera: Scarabaeidae). Their abundance in males is nearly twice of that in females, showing a clear sexual dimorphism. Externally, they have a tortoise shell-like round cuticular plate containing a few polygonal plates separated by narrow ridges. Internally, they house two long dendrites that branch and terminate near fine cuticular pores. They have a system of two bipolar neurons accompanied by three enveloping cells, resembling sensilla trichodea in moths. The conspicuous difference with the latter is that the sensillum-lymph cavity near the outer cuticle is funnel-shaped, into which the tormogen cell projects numerous microvilli whose tips approach the terminal branches of the dendrites. ¬© 2000 Elsevier Science Ltd.</t>
  </si>
  <si>
    <t>121-128</t>
  </si>
  <si>
    <t>60010674;60010674-60014439</t>
  </si>
  <si>
    <t>55862625600;35569644800</t>
  </si>
  <si>
    <t>Kim, J. Y.;Leal, W. S.</t>
  </si>
  <si>
    <t>Davis;Tsukuba</t>
  </si>
  <si>
    <t>University of California, Davis;National Institute Sericultural Entomological Sciences Tsukuba</t>
  </si>
  <si>
    <t>60014439;60010674</t>
  </si>
  <si>
    <t>Kim J.Y.</t>
  </si>
  <si>
    <t>Ultrastructure of pheromone-detecting sensillum placodeum of the Japanese beetle, Popillia japonica Newmann (Coleoptera: Scarabaeidae)</t>
  </si>
  <si>
    <t>S1467803900000220</t>
  </si>
  <si>
    <t>10.1016/S1467-8039(00)00022-0</t>
  </si>
  <si>
    <t>2-s2.0-0034534152</t>
  </si>
  <si>
    <t>['weighted spin', 'useful method', 'tissue location', 'time monitoring', 'time method', 'time calculations', 'thermal therapy', 'thermal damage', 'temperatures lower', 'temperature maps', 'temperature history', 'surrounding tissues', 'shift method', 'results showed', 'protein coagulation', 'produced using', 'mr thermometry', 'mr temperature', 'mr scanning', 'mr imaging', 'measure temperature', 'magnetic resonance', 'lesions seen', 'imaging methods', 'histopathological examination', 'histological methods', 'heating correspond', 'echo images', 'data suggest', 'conventional t2', 'conventional t1', 'clinical application', 'cell death', 'calculated zones', 'calculated using', 'body scanner', 'arrhenius analysis', 'alternative approach', 'almost real', '915 mhz', '8 h']</t>
  </si>
  <si>
    <t>Clinical application of high-temperature thermal therapy as a treatment for solid tumours requires an accurate and close to real-time method for assessing tissue damage. Imaging methods that detect structural changes during heating may underestimate the extent of thermal damage. This is due to the occurrence of delayed damage manifested at tissue locations exposed to temperatures lower than those required to cause immediate structural changes. An alternative approach is to measure temperature and then calculate the expected damage based on the temperature history at each tissue location. Magnetic resonance (MR) imaging methods now allow temperature maps of the target and surrounding tissues to be generated in almost real-time. The aim of this work was to evaluate whether thermal damage zones calculated on the basis of MR thermometry maps measured during heating correspond to actual tissue damage as measured after treatment by histological methods and MR imaging. Four male rabbits were treated with high-temperature thermal therapy delivered in the brain by a single microwave antenna operating at 915 MHz. MR scanning was performed before, during and after treatment in a 1.5 T whole-body scanner. Temperature maps were produced using the proton resonance frequency (PRF) shift method of MR thermometry. In addition, conventional T1-weighted and T2-weighted spin-echo images were acquired after treatment. Thermal damage zones corresponding to cell death, microvascular blood flow stasis and protein coagulation were calculated using an Arrhenius analysis of the MR temperature/time course data. The calculated zones were compared with the lesions seen on histopathological examination of the brains which were removed within 6-8 h of treatment. The results showed that calculated damage zones based on MR thermometry agreed well with areas of damage as assessed using histology after heating was completed. The data suggest that real-time calculations of final expected thermal damage based on an Arrhenius analysis of MR temperature data may provide a useful method of real-time monitoring of thermal therapy when combined with conventional T2-weighted images taken after treatment.</t>
  </si>
  <si>
    <t>3563-3576</t>
  </si>
  <si>
    <t>60016849;60016849;60016849;60016849;60016849;60016849;60016849;60016849;60016849;60016849</t>
  </si>
  <si>
    <t>7004850171;35967276500;7004146000;7501884750;56049143600;7102098922;18535760200;7006051336;7005573670;18536324300</t>
  </si>
  <si>
    <t>Sherar, M. D.;Moriarty, J. A.;Kolios, M. C.;Chen, J. C.;Peters, R. D.;Ang, L. C.;Hiks, R. S.;Henkelman, R. M.;Bronskill, M. J.;Kucharcyk, W.</t>
  </si>
  <si>
    <t>Sherar M.D.</t>
  </si>
  <si>
    <t>Comparison of thermal damage calculated using magnetic resonance thermometry, with magnetic resonance imaging post-treatment and histology, after interstitial microwave thermal therapy of rabbit brain</t>
  </si>
  <si>
    <t>S0031915500104828</t>
  </si>
  <si>
    <t>10.1088/0031-9155/45/12/304</t>
  </si>
  <si>
    <t>2-s2.0-0034534760</t>
  </si>
  <si>
    <t>['two degrees', 'thylakoid membranes', 'thermalis geitl', 'relative rates', 'phycobilin antenna', 'photosynthetic apparatus', 'photochemical activity', 'opposite tendency', 'nutrient stress', 'low iron', 'li cultures', 'li cells', 'iron deprivation', 'iron deficient', 'iron availability', 'id cultures', 'id culture', 'high iron', 'functional changes', 'fm ratio', 'extensive morphological', 'elongatus responds', 'cellular content', 'carotenoid concentration', 'binding complexes', 'approximately 1', 'activity despite']</t>
  </si>
  <si>
    <t>Thermophilic unicellular cyanobacterium Synechococcus elongatus N√§g. var. thermalis Geitl. strain Kovrov 1972/8 was cultivated in continuous flow reactor to simulate conditions occurring in nature in regions with low iron concentration. Two degrees of iron deprivation were established: (a) low iron (LI) conditions (9.0 ŒºM Fe) when cells still maintained maximal growth rate but already exhibited changes in photosynthetic apparatus, and (b) iron deficient (ID) conditions (0.9 ŒºM Fe) when cell growth rate decreased and extensive morphological and functional changes were observed. A decrease in the cellular content of phycobilin antenna was observed in both ID and LI cells and an increase of carotenoid concentration only in the ID culture. Morphologically, ID cells showed a decrease in the amount of phycobilins and in the number of thylakoid membranes. This suggests that S. elongatus responds to decrease in iron availability by substitution of the phycobilisomes by antennae containing chlorophyll (Chl) and carotenoids. Photochemical activity of photosystem (PS) 2, determined as Fv/Fm ratio was similar in high iron (HI) and LI cultures and approximately five times lower in ID culture. On the other hand, the activity of the whole electron transport chain showed the opposite tendency: the relative rates of the CO2-dependent oxygen evolution in HI: LI: ID cultures were approximately 1: 2: 4. Thus in nutrient stress the photosynthetic apparatus preserved its activity despite the decrease in the amount of both Chl-binding complexes and thylakoid membranes.</t>
  </si>
  <si>
    <t>60009424;60009424;60027611;60027611</t>
  </si>
  <si>
    <t>6603546496;6507817730;6506299057;6701484056</t>
  </si>
  <si>
    <t>Bene≈°ov√°, J.;Niƒçkov√°, K.;Ferimazova, N.;≈†tys, D.</t>
  </si>
  <si>
    <t>Prague;Ceske Budejovice</t>
  </si>
  <si>
    <t>Institute of Microbiology of the Academy of Sciences of the Czech Republic;Jihoƒçesk√° Univerzita v ƒåesk√Ωch Budƒõjovic√≠ch</t>
  </si>
  <si>
    <t>60027611;60009424</t>
  </si>
  <si>
    <t>Bene≈°ov√° J.</t>
  </si>
  <si>
    <t>Morphological and physiological differences in Synechococcus elongatus during continuous cultivation at high iron, low iron, and iron deficient medium</t>
  </si>
  <si>
    <t>10.1023/A:1007274000087</t>
  </si>
  <si>
    <t>2-s2.0-0034536752</t>
  </si>
  <si>
    <t>['wideband signals', 'system used', 'sar system', 'jammer suppression']</t>
  </si>
  <si>
    <t>The paper present results from an experiment with jammer suppression in an Ultra-Wideband and Widebeam (UWB-WB) SAR system. The system used in the experiment is the VHF-band CARABAS II SAR. The jammer suppression is performed using narrow-band methods extended to wideband signals. The wide band SAR signal is transformed to narrow frequency band signals, each of which is used for jammer suppression.</t>
  </si>
  <si>
    <t>57204162884;7005480938</t>
  </si>
  <si>
    <t>Pettersson, M. I.;Ulander, L. M.H.</t>
  </si>
  <si>
    <t>Pettersson M.</t>
  </si>
  <si>
    <t>Jammer suppression in an Ultra-Wideband and Widebeam SAR system</t>
  </si>
  <si>
    <t>2-s2.0-0034538641</t>
  </si>
  <si>
    <t>['various parts', 'simulated results', 'modeled results', 'electromagnetic significance', 'computational efficiency', 'car structure']</t>
  </si>
  <si>
    <t>Modeled results are presented for an on-glass car antenna designed primarily for reception at VHF. A discussion is given as to the electromagnetic significance of various parts of the car structure with respect to the received pattern shape and computational efficiency. The simulated results are verified by comparison with measurement.</t>
  </si>
  <si>
    <t>404-407</t>
  </si>
  <si>
    <t>60010818;60010818;60010818;60010818</t>
  </si>
  <si>
    <t>7102439597;56020461500;57206295463;56322811600</t>
  </si>
  <si>
    <t>Batchelor, J. C.;Langley, R. J.;Endo, H.;Saito, M.</t>
  </si>
  <si>
    <t>Batchelor J.</t>
  </si>
  <si>
    <t>Modeling of vehicles with integrated antennas</t>
  </si>
  <si>
    <t>10.1002/1098-2760(20001220)27:6&lt;404::AID-MOP11&gt;3.0.CO;2-2</t>
  </si>
  <si>
    <t>2-s2.0-0034539452</t>
  </si>
  <si>
    <t>['two configurations', 'element configuration', 'element case', 'dra elements', 'circularly polarized', 'also compared']</t>
  </si>
  <si>
    <t>The sequential rotation technique is used for the design of circularly polarized (CP) dielectric resonator antenna (DRA) subarrays. Two configurations are considered. The first one employs linearly polarized (LP) DRA elements, whereas the other one uses CP DRA elements. The characteristics of the two configurations are compared and discussed. In the CP-element case, the performance of the subarray is also compared with that of the single-element configuration.</t>
  </si>
  <si>
    <t>7101856064;7202085510;56415172000;55510527400;7101878862</t>
  </si>
  <si>
    <t>Pang, K. K.;Lo, H. Y.;Leung, K. W.;Luk, K. M.;Yung, E. K.N.</t>
  </si>
  <si>
    <t>Pang K.</t>
  </si>
  <si>
    <t>Circularly polarized dielectric resonator antenna subarrays</t>
  </si>
  <si>
    <t>10.1002/1098-2760(20001220)27:6&lt;377::AID-MOP1&gt;3.0.CO;2-0</t>
  </si>
  <si>
    <t>2-s2.0-0034540196</t>
  </si>
  <si>
    <t>['various dimensions', 'return loss', 'possible use', 'paper presents', 'optimal performance', 'horizontal plane', 'hiperlan applications', 'design parameters', 'depth investigation', 'base station']</t>
  </si>
  <si>
    <t>This paper presents an in-depth investigation into the design parameters of a microstrip Yagi antenna for possible use in HIPERLAN applications. The investigated antenna uses an aperture coupling feeding mechanism and can be placed in a horizontal plane to communicate with the base station. Changes of return loss and gain as a function of various dimensions of this antenna are studied with the aid of a full-wave electromagnetic field analysis tool to obtain an optimal performance.</t>
  </si>
  <si>
    <t>307-311</t>
  </si>
  <si>
    <t>AEU-Archiv fur Elektronik und Ubertragungstechnik</t>
  </si>
  <si>
    <t>60005510;60031004</t>
  </si>
  <si>
    <t>7003839738;35570164700</t>
  </si>
  <si>
    <t>Padhi, S. K.;Bialkowski, M. E.</t>
  </si>
  <si>
    <t>Australia;Singapore</t>
  </si>
  <si>
    <t>Brisbane;Singapore City</t>
  </si>
  <si>
    <t>The University of Queensland;Nanyang Technological University</t>
  </si>
  <si>
    <t>60031004;60005510</t>
  </si>
  <si>
    <t>Padhi S.</t>
  </si>
  <si>
    <t>Characteristics of aperture coupled microstrip Yagi antenna for HIPERLAN applications: A parametric study</t>
  </si>
  <si>
    <t>2-s2.0-0034540293</t>
  </si>
  <si>
    <t>['simultaneous measure', 'radio astronomy', 'individual detectors', 'emission form', 'angular extent']</t>
  </si>
  <si>
    <t>The multi-feed systems used for radio astronomy are described. These systems will increase the data acquisition rate during the mapping of radio astronomical sources of angular extent. Multiple telescope beams are coupled to individual detectors to simultaneous measure the emission form a number of closely spaced positions in the source.</t>
  </si>
  <si>
    <t>117-125</t>
  </si>
  <si>
    <t>Whyborn, N. D.</t>
  </si>
  <si>
    <t>Whyborn N.</t>
  </si>
  <si>
    <t>Complete multi-feed systems for radio astronomy</t>
  </si>
  <si>
    <t>2-s2.0-0034541417</t>
  </si>
  <si>
    <t>['ground speed', 'fast method', 'fast backprojection']</t>
  </si>
  <si>
    <t>This paper provides simulation results of ground moving target indication in an ultra wide band and wide beam synthetic aperture radar system. The time domain fast backprojection technique is combined with moving target indication. Simulations shows different phenomena introduced by bistatic antenna configurations and the fast backprojection. A fast method to focus moving targets for different relative speeds is proposed. This fast focusing method uses local beams formed at ground speed during fast backprojection.</t>
  </si>
  <si>
    <t>837-840</t>
  </si>
  <si>
    <t>Pettersson, Mats</t>
  </si>
  <si>
    <t>Focusing of moving targets in an ultra-wide band SAR GMTI system</t>
  </si>
  <si>
    <t>2-s2.0-0034542537</t>
  </si>
  <si>
    <t>['theoretical e', 'resonator antenna', 'mom ).', 'integral equations', 'deriving volume', 'coupled dielectric', 'analyzed using']</t>
  </si>
  <si>
    <t>A low-profile, rectangular, aperture-coupled dielectric-resonator antenna is analyzed using the method of moments (MoM). The analysis is formulated by deriving volume-integral equations for the resonator and the substrate. Theoretical E- and H-plane patterns obtained from the MoM compare well with measurements and previously published FDTD results.</t>
  </si>
  <si>
    <t>382-384</t>
  </si>
  <si>
    <t>7201735378;35586058800</t>
  </si>
  <si>
    <t>Ge, Yuehe;Esselle, Karu P.</t>
  </si>
  <si>
    <t>Ge Y.</t>
  </si>
  <si>
    <t>Computation of the radiation patterns of a rectangular dielectric-resonator antenna using the method of moments</t>
  </si>
  <si>
    <t>10.1002/1098-2760(20001220)27:6&lt;382::AID-MOP3&gt;3.0.CO;2-8</t>
  </si>
  <si>
    <t>2-s2.0-0034542712</t>
  </si>
  <si>
    <t>['utilizing multi', 'uplink performance', 'transmission model', 'special attention', 'simulation results', 'mature algorithms', 'many investigations', 'extensively studied', 'energy criterion', 'considerably enhanced', 'cdma downlink', 'antenna weights', 'adaptive multi']</t>
  </si>
  <si>
    <t>Time Division CDMA (TD-CDMA) is one of the air interfaces selected in the 3rd Generation Partnership Project (3GPP) for 3rd generation mobile radio systems (3G systems). In many investigations it has been shown that the uplink performance of TD-CDMA, or, more generally, of time slotted CDMA air interfaces, can be considerably enhanced by utilizing multi-element adaptive receiving antennas, for which mature algorithms of spatial-temporal signal processing are available. However, the application of adaptive multi-element transmit antennas in the downlink of such systems has not yet been extensively studied. In this paper, first a transmission model which allows the inclusion and consideration of adaptive transmit antennas in the TD-CDMA downlink is developed. Then, based on this model, an algorithm for implementing transmit antenna adaptivity is proposed; the crux of this algorithm is the determination of the antenna weights of the array feeding network based on an energy criterion. Finally, the efficiency of this algorithm is illustrated by simulation results. Special attention is paid to the support of higher data rates by CDMA code pooling.</t>
  </si>
  <si>
    <t>249-258</t>
  </si>
  <si>
    <t>60009941;60009941</t>
  </si>
  <si>
    <t>55506582000;7005997210</t>
  </si>
  <si>
    <t>Lu, Yang;Baier, Paul Walter</t>
  </si>
  <si>
    <t>Kaiserslautern</t>
  </si>
  <si>
    <t>Technische Universit√§t Kaiserslautern</t>
  </si>
  <si>
    <t>Lu Y.</t>
  </si>
  <si>
    <t>Performance of adaptive antennas for the TD-CDMA downlink under special consideration of multi-directional channels and CDMA code pooling</t>
  </si>
  <si>
    <t>2-s2.0-0034543002</t>
  </si>
  <si>
    <t>['tested showing', 'space science', 'scale models', 'probe antenna', 'design works', 'chalmers university', 'actual circuits']</t>
  </si>
  <si>
    <t>For the SIS Imaging System for Onsala Space Observatory (SISYFOS) being designed at Chalmers University of Technology, Department of Radio and Space Science, we have developed a tunerless SIS waveguide mixer using a junction with integrated microstrip matching circuit and probe antenna. The design has been done using numerical techniques extensively with specialized software packages for high frequency simulation. The results have been validated through measurements on actual circuits or scale models. Finally, a mixer for the 100 GHz band has been built and tested showing that the design works as predicted.</t>
  </si>
  <si>
    <t>60000990;60000990;60000990</t>
  </si>
  <si>
    <t>7102251768;6701472118;7006142165</t>
  </si>
  <si>
    <t>Delgado, G. F.;Whyborn, N. D.;Lindstrom, C. O.</t>
  </si>
  <si>
    <t>Delgado G.</t>
  </si>
  <si>
    <t>Fixed-tuned 3 mm SIS mixer for the SISYFOS Imaging System</t>
  </si>
  <si>
    <t>2-s2.0-0034543329</t>
  </si>
  <si>
    <t>['studied experimentally', 'result shows', 'radiation patterns', 'impedance bandwidth', 'also investigated', '05 ghz']</t>
  </si>
  <si>
    <t>A stacked patch antenna printed on substrates of very high-permittivity ceramic material is studied experimentally at 2.05 GHz. The result shows that an impedance bandwidth of 5.3% can be achieved. The radiation patterns and efficiency of the stacked patch antenna are also investigated.</t>
  </si>
  <si>
    <t>395-396</t>
  </si>
  <si>
    <t>60005510;60005510;60005510;60005510</t>
  </si>
  <si>
    <t>33167854700;57220487379;57196254143;35091107300</t>
  </si>
  <si>
    <t>Zhang, Y. P.;Ang, C. W.Y.;Lee, C. S.C.;Do, M. A.</t>
  </si>
  <si>
    <t>Zhang Y.P.</t>
  </si>
  <si>
    <t>Stacked patch antenna of very high-permittivity material</t>
  </si>
  <si>
    <t>10.1002/1098-2760(20001220)27:6&lt;395::AID-MOP8&gt;3.0.CO;2-K</t>
  </si>
  <si>
    <t>2-s2.0-0034544182</t>
  </si>
  <si>
    <t>['wide band', 'wb sar', 'using space', 'time processing', 'target detection', 'suppress clutter', 'situ measurements', 'second part', 'sea ice', 'scattering models', 'sar systems', 'sar onboard', 'sar instruments', 'radar senses', 'operating wavelength', 'one example', 'moving targets', 'military applications', 'microwave frequencies', 'lora system', 'lora project', 'l -,', 'jammer suppression', 'jammer noise', 'higher frequencies', 'high resolution', 'great efforts', 'focused using', 'foa ).', 'first part', 'develop space', 'concealed targets', 'clutter suppression', 'classifications made', 'carabas radar', 'band ).', 'array antennas', '1 satellite', '-, c']</t>
  </si>
  <si>
    <t>Synthetic Aperture Radar (SAR) has the capability to map the Earth with high resolution and is used in both civilian and military applications. The development of SAR systems is going towards higher resolution. Today there are Wide Band (WB) SAR instruments that have a resolution actually smaller than the operating wavelength. One example is the CARABAS sensor developed by the Swedish Defence Research Establishment (FOA). It operates at VHF and has shown many unique capabilities such as the detection of concealed targets. Great efforts are being made to build WB SAR systems at higher frequencies. One of these projects is the LORA project at FOA. The LORA system will operate on UHF and it will have several antenna channels which can be used for space-time processing, e.g. to suppress clutter and jammers, and to detect ground moving targets. In this thesis we have considered two different areas connected with SAR. In the first part we develop space-time adaptive algorithms for WB SAR systems with array antennas. The aim of the work is to detect ground moving targets and to suppress strong clutter and jammer noise. A likelihood ratio test is proposed for detection. The method combines fast backprojection algorithms with target detection. Moving targets are focused using their proper relative speed. The methodology has been tested on narrow band data. Bistatic antenna effects on WB SAR systems for moving target indication are discussed. Simulations of WB SAR using combined fast backprojection and clutter suppression are presented. Jammer suppression is tested for WB SAR, using space-time adaptive processing. The results are from an experiment with the CARABAS radar. In the second part we examine what a microwave radar sensor actually senses in sea ice and we investigate the capability of the SAR onboard the ERS-1 satellite to classify Arctic sea ice. Polarimetric scatterometer measurements have been carried out at microwave frequencies (L-, S-, C- and X-band). The measurements are compared with scattering models. Conclusions are made of what the radar senses in sea ice, for the different ice types. Sea ice classification methods are tested on ERS-1 SAR images and compared with classifications made by the NASA team algorithm on data from the DMSP satellites Special Scanning Microwave Imager (SSM/I). The results are compared with in situ measurements.</t>
  </si>
  <si>
    <t>Pettersson, Mats I.</t>
  </si>
  <si>
    <t>Contribution to wideband SAR space-time processing, and radar remote sensing of sea ice</t>
  </si>
  <si>
    <t>2-s2.0-0034545759</t>
  </si>
  <si>
    <t>['surface profile', 'surface errors', 'surface accuracy', 'signal transmitted', 'sest ).', 'performed using', 'millimetre telescope', 'geosynchronous les', 'eso sub', 'elevation angles', '8 satellite', '250 ghz']</t>
  </si>
  <si>
    <t>Phase retrieval holography has been used to determine the surface profile of the Swedish-ESO Sub-millimetre Telescope (SEST). The measurement was performed using a signal transmitted from the geosynchronous LES-8 satellite over a range of elevation angles. The results of the measurements have been used to reset the reflector thus reducing the surface errors from the initial 80 Œºm r.m.s, to 51 Œºm r.m.s. The improvement in the surface accuracy has been confirmed by telescope efficiency measurements at 232-250 GHz.</t>
  </si>
  <si>
    <t>43-57</t>
  </si>
  <si>
    <t>6701472118;57213959193</t>
  </si>
  <si>
    <t>Whyborn, N. D.;Morris, D.</t>
  </si>
  <si>
    <t>Whyborn N.D.</t>
  </si>
  <si>
    <t>Phase retrieval holography and surface adjustment of SEST using the LES-8 satellite</t>
  </si>
  <si>
    <t>2-s2.0-0034545814</t>
  </si>
  <si>
    <t>['radiating branches', 'paper describes', 'measured results', 'input power', 'frequency analysis', 'feed network', 'feed consists', 'entire array', 'branch centerlines', 'arbitrary ratios', 'analysis procedures', 'alternating phase']</t>
  </si>
  <si>
    <t>This paper describes the design and off-center-frequency analysis of a planar slot array which uses a single-layer feeding mechanism. The feed consists of a series of cascaded T-junctions, which distribute the input power in alternating phase and in arbitrary ratios to the radiating branches. The design approach affords good control over the radiating slot offsets from branch centerlines. The analysis procedures for the feed network and the radiating branches are integrated to facilitate the prediction of the frequency-dependent performance parameters of the entire array. Measured results for a prototype array confirm the theory.</t>
  </si>
  <si>
    <t>Design and analysis of a single-layer slotted waveguide array</t>
  </si>
  <si>
    <t>10.1002/1098-2760(20001220)27:6&lt;379::AID-MOP2&gt;3.0.CO;2-S</t>
  </si>
  <si>
    <t>2-s2.0-0034546420</t>
  </si>
  <si>
    <t>['suspended probe', 'radiator surface', 'radiation characteristics', 'investigation shows', 'impedance bandwidth', 'fed l', 'experimental studies', 'achieved gains']</t>
  </si>
  <si>
    <t>A suspended probe-fed L-shaped plate antenna typically with 24% impedance bandwidth is presented. Based on investigations on its input impedance characteristics, experimental studies on the radiation characteristics of the L-shaped plate antenna are further conducted. Far-field radiation patterns at five typical frequencies with the passband are measured at four typical planes. Achieved gains are also tested across the passband. In order to understand the radiation characteristics well, induced electric currents at the radiator surface are illustrated. The investigation shows that a suspended probe-fed L-shaped plate antenna not only offers enhanced impedance bandwidth, but also possesses dual linear polarization characteristics, useful for applications in random electromagnetic wave environments.</t>
  </si>
  <si>
    <t>410-413</t>
  </si>
  <si>
    <t>Radiation pattern of a probe-fed L-shaped plate antenna</t>
  </si>
  <si>
    <t>10.1002/1098-2760(20001220)27:6&lt;410::AID-MOP13&gt;3.0.CO;2-Y</t>
  </si>
  <si>
    <t>2-s2.0-0034546587</t>
  </si>
  <si>
    <t>['therefore attempt', 'strict requirement', 'radar channels', 'paper discuss', 'frequency domains', 'frequency domain', 'clutter scattering', 'bistatic system', 'bistatic effects', 'bistatic configuration']</t>
  </si>
  <si>
    <t>This paper discuss the use of a bistatic antenna configuration for ground moving target indication in an ultra-wideband and widebeam synthetic aperture radar system. To suppress the strong clutter signal the radar channels have a strict requirement on equality. In a bistatic system they are not equal, and in this paper we investigate how to compensate for the bistatic configuration. Bistatic effects on clutter scattering can not be compensated, and we therefore attempt to estimate the bistatic scattering influence of the ground moving target indication. The bistatic to monostatic synthetic aperture inversion in a wide antenna beam is derived both in the time and frequency domain. The mismatch between the radar channels will cause clutter leakage. The pulse compressed impulse response leakage are determined both for the time and frequency domains.</t>
  </si>
  <si>
    <t>Extraction of moving ground targets by a bistatic ultra-wideband SAR</t>
  </si>
  <si>
    <t>2-s2.0-0034546765</t>
  </si>
  <si>
    <t>['two parts', 'transmitting antenna', 'statistical variation', 'statistical behaviour', 'received signal', 'rayleigh distribution', 'random movement', 'radiated signal', 'proximity ).', 'present near', 'new model', 'left alone', 'first part', 'fast fading', 'derived based', 'antenna near']</t>
  </si>
  <si>
    <t>The study of the statistical behaviour of the received signal when a user is present near the transmitting handset antenna is presented in this paper. The probability distribution function (pdf) is analyzed in two parts, with the first one examining the random movement of the antenna near the user's head and the second one examining the fast fading of the radiated signal. Different probability distribution functions are considered for the first part. Measurements of the statistical variation of the distance between the user's head and the antenna are presented and they are compared with the pdf's considered. A new model is derived based on the combination of two known pdf's and it is given the name `VeCa distribution'. Measurements of the statistical behaviour of the received signal from a distantly located antenna, when a user is present near the transmitting antenna, are presented and the comparison with the VeCa distribution proves the superiority of the latter against the Rayleigh distribution which is only successful when the antenna is left alone (with no scatterers in its proximity).</t>
  </si>
  <si>
    <t>6507710639;7003690777</t>
  </si>
  <si>
    <t>Vellis, F. E.;Capsalis, C. N.</t>
  </si>
  <si>
    <t>Vellis F.</t>
  </si>
  <si>
    <t>Model for the statistical characterization of fast fading in the presence of a user</t>
  </si>
  <si>
    <t>10.1023/A:1008978603714</t>
  </si>
  <si>
    <t>2-s2.0-0034547022</t>
  </si>
  <si>
    <t>['wide band', 'tested using', 'sar systems', 'relative speeds', 'proposed method', 'likelihood ratio', 'aperture beams']</t>
  </si>
  <si>
    <t>A likelihood ratio is proposed for moving target detection in a ultra wide frequency band and wide antenna beam (wide band) SAR systems. The developed method combines time domain fast backprojection SAR processing methods with moving target detection. It saves computational load when all relative speeds can be tested using the same clutter suppressed sub-aperture beams. The proposed method is tested on narrow band radar data.</t>
  </si>
  <si>
    <t>Detection of moving targets in wide band SAR</t>
  </si>
  <si>
    <t>2-s2.0-0034547230</t>
  </si>
  <si>
    <t>['wavelength phase', 'systematic comparisons', 'internal loss', 'injection current', 'emission wavelength', 'confinement factor', 'cavity length']</t>
  </si>
  <si>
    <t>Systematic comparisons of the effects of the linewidth enhancement factor, confinement factor, internal loss, and cavity length on the variations of the single-mode gain difference and the emission wavelength in quarter-wavelength phase-shifted DFB lasers as a function of injection current are presented. Several design guidelines are presented to reduce the variations of the single-mode gain difference and the emission wavelength.</t>
  </si>
  <si>
    <t>396-400</t>
  </si>
  <si>
    <t>60013682;60014156;60014156;60013682</t>
  </si>
  <si>
    <t>17137243800;57191718613;14031780900;8114205400</t>
  </si>
  <si>
    <t>Lee, Hong Seok;Kim, Hong Kuk;Kim, Boo Gyoun;Lee, Byoungho</t>
  </si>
  <si>
    <t>Seoul;Seoul</t>
  </si>
  <si>
    <t>Soongsil University;Seoul National University</t>
  </si>
  <si>
    <t>60014156;60013682</t>
  </si>
  <si>
    <t>Lee H.</t>
  </si>
  <si>
    <t>Systematic comparisons of the effects of the linewidth enhancement factor, confinement factor, internal loss, and cavity length on the above-threshold characteristics of quarter-wavelength-shifted DFB lasers</t>
  </si>
  <si>
    <t>10.1002/1098-2760(20001220)27:6&lt;396::AID-MOP9&gt;3.0.CO;2-E</t>
  </si>
  <si>
    <t>2-s2.0-0034547677</t>
  </si>
  <si>
    <t>['wave applications', 'sis mixers', 'investigated carefully', 'heterodyne receivers', 'also investigated']</t>
  </si>
  <si>
    <t>Millimeter and submillimeter wave radio astronomy instrumentation were developed. The instrumentation of heterodyne receivers and SIS mixers were investigated carefully. The suitability of diagonal horn antenna for submm-wave applications was also investigated.</t>
  </si>
  <si>
    <t>Whyborn, Nicholas D.</t>
  </si>
  <si>
    <t>Mm-wave radio astronomy instrumentation for the Onsala Space Observatory and SEST</t>
  </si>
  <si>
    <t>2-s2.0-0034547999</t>
  </si>
  <si>
    <t>['studied comprehensively', 'sensitive parameter', 'rights reserved', 'pmos devices', 'plasma damage', 'permanent damages', 'nordheim stress', 'nmos devices', 'much lower', 'line processes', 'latent damages', 'considered carefully', 'conductor etch']</t>
  </si>
  <si>
    <t>Plasma process induced damage from high-density plasma dielectric etcher was studied comprehensively. It was observed that PMOS devices were damaged more readily than NMOS devices. Low field gate current is the most sensitive parameter to reflect the permanent damages. Some permanent damages become hidden defects after backend of line processes. These latent damages in the form of gate oxide traps result in poor oxide integrity during Fowler-Nordheim stress or hot carrier stress. The damage shows good correlation with the total exposed contact area. The safe antenna ratio is much lower than that at the conductor etch, although no electron shading effect was observed. Thus, plasma damage during contact or via hole etch in high-density plasma system must be considered carefully. ¬© 2000 Elsevier Science Ltd. All rights reserved.</t>
  </si>
  <si>
    <t>2039-2046</t>
  </si>
  <si>
    <t>60012370;60022847;60018771;60022847</t>
  </si>
  <si>
    <t>55618049700;56911267000;7404968412;36838502800</t>
  </si>
  <si>
    <t>Tsui, Bing Yue;Lin, Shyue Shyh;Tsai, Chia Shone;Hsia, Chin C.</t>
  </si>
  <si>
    <t>Industrial Technology Research Institute of Taiwan;Taiwan Semiconductor Manufacturing Company;National Chiao Tung University</t>
  </si>
  <si>
    <t>60022847;60018771;60012370</t>
  </si>
  <si>
    <t>Tsui B.Y.</t>
  </si>
  <si>
    <t>Plasma charging damage during contact hole etch in high-density plasma etcher</t>
  </si>
  <si>
    <t>S0026271400000238</t>
  </si>
  <si>
    <t>10.1016/s0026-2714(00)00023-8</t>
  </si>
  <si>
    <t>2-s2.0-0034559439</t>
  </si>
  <si>
    <t>98 04 48707</t>
  </si>
  <si>
    <t>['work within', 'well known', 'virtually symmetric', 'two electron', 'transfer complexes', 'transfer branches', 'strong ctc', 'specific features', 'significant increase', 'reaction centers', 'purple bacteria', 'photosynthesizing bacteria', 'one branch', 'main function', 'hypothetical stages', 'functionally active', 'functional asymmetry', 'electron transfer', 'ctc theory', 'ctc state', 'ctc formation', 'ctc ).', 'branch ).', 'bimolecular charge', 'bacteriochlorophyll molecules', 'antenna chlorophyll']</t>
  </si>
  <si>
    <t>Charge-transfer complexes | Excitation energy trapping | Purple bacteria | Reaction center | Unidirectional electron transport</t>
  </si>
  <si>
    <t>Although the two electron-transfer branches in the reaction centers (RC) of purple bacteria are virtually symmetric, it is well known that only one of them is functionally active (the A-branch). The mechanisms of functional asymmetry of structurally symmetric branches of the electron transport system are analyzed in this work within the framework of the theory of bimolecular charge-transfer complexes (CTC). CTC theory is shown to provide an explanation of this phenomenon. According to the CTC theory, the dominance of one branch is required to implement the CTC state in special bacteriochlorophyll pairs of RC, in which more than 30% of the excited electron density in the CTC is shifted toward one of the bacteriochlorophyll molecules. This causes a significant increase in the efficiency of further electron transfer to the primary quinone acceptor as compared to a system with two absolutely symmetric electron transfer branches. Specific features of dielectric asymmetry near the RC special pair are discussed. It is emphasized that a strong CTC is able to provide effective trapping of electronic excitation energy from antenna chlorophyll, which is a main function of the RC. Hypothetical stages of CTC formation in other classes of photosynthesizing bacteria during evolution are discussed.</t>
  </si>
  <si>
    <t>1429-1434</t>
  </si>
  <si>
    <t>Biochemistry (Moscow)</t>
  </si>
  <si>
    <t>Borisov, A. Yu</t>
  </si>
  <si>
    <t>Why Is Electron Transport in the Reaction Centers of Purple Bacteria Unidirectional?</t>
  </si>
  <si>
    <t>10.1023/A:1002865109271</t>
  </si>
  <si>
    <t>2-s2.0-0034567947</t>
  </si>
  <si>
    <t>['various phycocyanobilin', 'upon exposure', 'synechococcus pbsomes', 'significant loss', 'short duration', 'sharp decrease', 'sah et', 'rotational strength', 'results demonstrate', 'prolonged exposure', 'present study', 'marked decrease', 'low dose', 'longer duration', 'isolated pbsome', 'helical content', 'following alterations', 'fluorescence excitation', 'energy transfer', 'emission characteristics', 'closely associated', 'close monitoring', 'chromophore conformation', 'cd spectra', 'b radiation', 'apc ).', '620 nm', '247 ).']</t>
  </si>
  <si>
    <t>Phycobilisomes (Pbsomes) are the supra macromolecular pigment protein complexes of cyanobacteria. Synechococcus Pbsomes are comprised of phycocyanins (PC) and allophycocyanins (APC). Pbsomes are major light harvesting antennae and also absorb ultraviolet-B (UV-B) radiation (280-320 nm). Synechococcus Pbsomes, upon exposure to low dose of UV-B (0.28 mW cm-2) for different time intervals showed profound alteration in their steady state absorption, fluorescence excitation and emission characteristics (Sah et. al. Biochem. Mol. Biol.Int., Vol. 44, No. 2, 245-247). In the present study, we investigated the effect of low dose of UV-B on isolated Pbsome of Synechococcus. Our results demonstrate the following alterations. Absorbance at 623 nm initially showed a sharp decrease with increasing exposure time to UV-B radiation. The changes in the visible to near ultraviolet absorption and excitation ratio indicated a change in chromophore conformation, upon prolonged exposure of Pbsomes to UV-B radiation. This modification of chromophore conformation appeared to be associated with the loss of energy transfer from PC to APC. Circular dichroism spectra in the amide region showed a significant loss of the a helical content of Pbsomes when exposed for longer duration to UV-B. CD spectra in the visible region revealed a marked decrease in the rotational strength at 620 nm. Close monitoring of CD signals emanating in the 500 to 700 nm range further revealed that the decrease in the rotational strength was closely associated with an initial red shift in the positive CD band of Pbsomes when exposed to UV-B for short duration. However, the peak became constant over prolonged exposure to UV-B radiation and accompanied a prominent blue shoulder in the positive CD band which suggests the modification and uncoupling of the various phycocyanobilin (PCB) chromophores of the Synechococcus Pbsomes.</t>
  </si>
  <si>
    <t>486-490</t>
  </si>
  <si>
    <t>Indian Journal of Biochemistry and Biophysics</t>
  </si>
  <si>
    <t>60030622;60030622;60030622;60026434;60030622</t>
  </si>
  <si>
    <t>6603053026;6602526444;6604000284;35468058100;7101652469</t>
  </si>
  <si>
    <t>Jha, Indra Brata;Kolli, Bala K.;Sah, Jerome F.;Garab, Gyozo;Mohanty, Prasanna</t>
  </si>
  <si>
    <t>India;Hungary</t>
  </si>
  <si>
    <t>New Delhi;Szeged</t>
  </si>
  <si>
    <t>Jawaharlal Nehru University;Szegedi Biol√≥giai Kutat√≥k√∂zpontj√°nak</t>
  </si>
  <si>
    <t>60030622;60026434</t>
  </si>
  <si>
    <t>Jha I.B.</t>
  </si>
  <si>
    <t>Low dose UV-B induced modification of chromophore conformation and it's interaction with microenvironment in cyanobacterial phycobilisomes</t>
  </si>
  <si>
    <t>2-s2.0-0034570191</t>
  </si>
  <si>
    <t>['windsor longpod', 'well correlated', 'two photosystems', 'snap bean', 'results suggest', 'relatively constant', 'quantum yield', 'protein complexes', 'presumably adequate', 'phaseolus vulgaris', 'oxygen evolution', 'leaf area', 'intermittent light', 'increased number', 'increased markedly', 'ii increased', 'harvesting chlorophyll', 'harmless dissipation', 'grana formation', 'fresh weight', 'fast rise', 'excitation energy', 'epoxidation state', 'continuous light', 'chlorophyll b', 'balanced distribution', '68 hr', '30 hr']</t>
  </si>
  <si>
    <t>Phaseolus vulgaris (cvv. Windsor longpod and snap bean) plants, etiolated during germination, were exposed to intermittent light (2 min light every 2 hr) for up to 68 hr and then transferred to continuous white light. On transfer of the plants to continuous light (100 photons Œºmol m-2 s-1, 24¬∞C), the quantum yield of oxygen evolution increased two-fold in about 30 hr. The chlorophyll content per unit leaf area or unit fresh weight increased dramatically, but the fresh weight per unit leaf area was relatively constant. The changes were expressed on the basis of fresh weight or leaf area. On this basis, the contents of photosystem (PS) I and II increased in continuous light, by a factor of 3 and 8, respectively. While the chlorophyll b content and the contents of apoproteins of light-harvesting chlorophyll-protein complexes (LHCIIb, CP29, CP26 and CP24) increased markedly, neither the total carotenoid content nor the de-epoxidation state of the xanthophylls [ratio of zeaxanthin(Z) + antheraxanthin(A) to ( Z+ A + violaxanthin) was about 0.4)] responded significantly on transfer to continuous light. The fast rise of the flash-induced electrochromic signal (ŒîA518) was well correlated with the increases in PS I and PS II reaction centres, and with chlorophyll b and total carotenoid contents. The increase in the quantum yield of oxygen evolution during greening in continuous light is attributed to a more balanced distribution of excitation energy between the two photosystems, facilitated by the increased number of PS II units, the increased antenna size of each unit and the enhancement of grana formation. The chloroplast in intermittent light was found to contain abundant xanthophyll cycle pigments and the psbS gene product, presumably adequate for photoprotection in continuous light as soon as chlorophyll a/b-protein complexes are synthesized. The results suggest that greening in continuous light is accompanied by adjustments that include enhanced quantum efficiency of photosynthesis and development of a capacity for harmless dissipation of excess excitation energy.</t>
  </si>
  <si>
    <t>395-404</t>
  </si>
  <si>
    <t>60159889;60159889-60028378;60020828;60159889-60000745</t>
  </si>
  <si>
    <t>7402281007;7102175069;57196774864;16541793700</t>
  </si>
  <si>
    <t xml:space="preserve">Chow, W. S.;Funk, C.;Hope, A. B.;Govindjee, </t>
  </si>
  <si>
    <t>Australia;Sweden;Australia;United States</t>
  </si>
  <si>
    <t>Canberra;Stockholm;Adelaide;Urbana</t>
  </si>
  <si>
    <t>ANU Research School of Biology;Stockholms universitet;Flinders University;University of Illinois Urbana-Champaign</t>
  </si>
  <si>
    <t>60159889;60028378;60020828;60000745</t>
  </si>
  <si>
    <t>Chow W.S.</t>
  </si>
  <si>
    <t>Greening of intermittent-light-grown bean plants in continuous light: Thylakoid components in relation to photosynthetic performance and capacity for photoprotection</t>
  </si>
  <si>
    <t>2-s2.0-0034570392</t>
  </si>
  <si>
    <t>['two fascicles', 'short stalk', 'shaped lorica', 'nov .,', 'new species', 'new registration', 'irregular nucleus', 'endogenous budding', 'developed actinophores', 'capitate tentacles']</t>
  </si>
  <si>
    <t>Acineta | Copepods | Epibiosis | Pelagacineta | Suctorian ciliates</t>
  </si>
  <si>
    <t>Acineta arcachoniensis sp. nov., a new species of protist suctorian epibiont on the copepod Chiridius gracilis is described. The individuals show two well-developed actinophores, with two fascicles of capitate tentacles, an irregular nucleus, a cup-shaped lorica and a short stalk. Reproduction of A. arcachoniensis is by endogenous budding. The suctorians are located on the base of the antennae, the final abdominal segments or on the last pereiopod pair of the copepod. In addition, a new registration of the suctorian Pelagacineta euchaetae on the copepod Calanus helgolandicus is recorded.</t>
  </si>
  <si>
    <t>139-148</t>
  </si>
  <si>
    <t>Cytobios</t>
  </si>
  <si>
    <t>60027282;60027282</t>
  </si>
  <si>
    <t>7004274208;6506854360</t>
  </si>
  <si>
    <t>Fernandez-Leborans, Gregorio;Tato-Porto, Maria Luisa</t>
  </si>
  <si>
    <t>Universidad Complutense de Madrid</t>
  </si>
  <si>
    <t>Fernandez-Leborans G.</t>
  </si>
  <si>
    <t>Presence of two suctorian ciliate species of the genera Acineta and Pelagacineta, epibionts on marine copepod crustaceans</t>
  </si>
  <si>
    <t>2-s2.0-0034571538</t>
  </si>
  <si>
    <t>['simulated data', 'ie3d code', 'equal number', 'design approach', 'array antenna', 'approach ensures', 'accomplished using', '413 ghz']</t>
  </si>
  <si>
    <t>Microstrip arrays | Spacecraft antennas</t>
  </si>
  <si>
    <t>The design and analysis of a series- fed, low-loss, inverted microstrip array antenna, operating at 1.413 GHz is presented. The array antenna is composed of two subarrays consisting of an equal number of microstrip patches connected together through a series microstrip line. The subarrays are coaxially fed 180¬∞ out of phase. This approach ensures a symmetric radiation pattern. The design approach for obtaining a low sidelobe ratio and a low loss microstrip array is accomplished using the IE3D code. Experimental and simulated data are presented and discussed. ¬© 2000 IEEE.</t>
  </si>
  <si>
    <t>1264-1267</t>
  </si>
  <si>
    <t>60033021;60022144;100407932;60000854</t>
  </si>
  <si>
    <t>35465847700;7004705420;54781796600;7401639390</t>
  </si>
  <si>
    <t>Christodoulou, C. G.;Wahid, P. F.;Riad Mahbub, M.;Bailey, M. C.</t>
  </si>
  <si>
    <t>Albuquerque;Orlando;Hampton;Quincy</t>
  </si>
  <si>
    <t>The University of New Mexico;University of Central Florida;NASA Langley Research Center;Harris Corporation</t>
  </si>
  <si>
    <t>60033021;60022144;60000854;100407932</t>
  </si>
  <si>
    <t>Christodoulou C.</t>
  </si>
  <si>
    <t>Design of a minimum-loss series-fed foldable microstrip</t>
  </si>
  <si>
    <t>S0018926X00076997</t>
  </si>
  <si>
    <t>10.1109/8.884499</t>
  </si>
  <si>
    <t>2-s2.0-0037485118</t>
  </si>
  <si>
    <t>['significant intensity', 'particularly interested', 'lisa ).', 'cvs ).', 'binary systems', '3 hz']</t>
  </si>
  <si>
    <t>Gravitational waves | Stars: novae, cataclysmic variables</t>
  </si>
  <si>
    <t>General relativity predicts that binary systems of stars produce gravitational waves of significant intensity. Here we are particularly interested in the cataclysmic variable binaries (CVs). These systems emit low frequency gravitational waves, f &lt; 10-3 Hz. We present here a catalog of CVs and argue that part of them are capable of being detected by the Laser Interferometer Space Antenna (LISA).</t>
  </si>
  <si>
    <t>417-424</t>
  </si>
  <si>
    <t>60012729;60012729;60012729</t>
  </si>
  <si>
    <t>6506154512;7005001350;7003898360</t>
  </si>
  <si>
    <t>Meliani, M. T.;De Araujo, J. C.N.;Aguiar, O. D.</t>
  </si>
  <si>
    <t>Sao Jose dos Campos</t>
  </si>
  <si>
    <t>Instituto Nacional de Pesquisas Espaciais</t>
  </si>
  <si>
    <t>Meliani M.</t>
  </si>
  <si>
    <t>Cataclysmic variables as sources of gravitational waves</t>
  </si>
  <si>
    <t>2-s2.0-0037733542</t>
  </si>
  <si>
    <t>['zhenhui 249', 'wild type', 'recently discovered', 'rather stable', 'photosynthetic apparatus', 'o2 -..', 'moderate amount', 'meanwhile reduce', 'mainly characterized']</t>
  </si>
  <si>
    <t>Chlorophyll b | Mutant | Rice | Senescence</t>
  </si>
  <si>
    <t>A high yielding rice mutant (Oryza sativa L. cv. Zhenhui 249) with low chlorophyll b was recently discovered in the field. The mutant was mainly characterized by the decrease of the content of extrinsic antennae complex. This variation was shown in the stage when the leaves were expanding. When the leaves are at the final developmental stage, the content would approach to that of the wild type. It was discovered that only moderate amount of chlorophyll b decreased in this mutant. The photosynthetic apparatus of the mutant was rather stable in the whole life span of the leaf. The extrinsic antennae complex of the mutant might make efficient use of light and meanwhile reduce the production of O2-..</t>
  </si>
  <si>
    <t>1289-1294</t>
  </si>
  <si>
    <t>60024045;60024045;60024045;60024045;60024045;60014773;60014773;60014773</t>
  </si>
  <si>
    <t>55427798800;56300598200;57196742414;57119163100;56163981900;57198225345;22956886700;7004899916</t>
  </si>
  <si>
    <t>Dai, Xin Bin;Cao, Shu Qing;Xu, Xiao Ming;Lu, Wei;Zhang, Rong Xian;Xu, Chang Cheng;Chen, Yao Dong;Kuang, Ting Yun</t>
  </si>
  <si>
    <t>Nanjing Agricultural University;Institute of Botany Chinese Academy of Sciences</t>
  </si>
  <si>
    <t>60024045;60014773</t>
  </si>
  <si>
    <t>Dai X.B.</t>
  </si>
  <si>
    <t>Study on a mutant with low content chlorophyll b in a high yielding rice and its photosynthesis properties</t>
  </si>
  <si>
    <t>2-s2.0-0040524608</t>
  </si>
  <si>
    <t>['two forms', 'tentatively attributed', 'roughly parallel', 'quite complicated', 'ps ii', 'perpendicular orientation', 'membrane plane', 'linear dichroism', 'ld spectroscopy', 'important technique', 'ii ),', 'easily photodamaged', 'different orientations', 'cyt b', 'cp47 isolated', 'core cp47', 'also showed', '680 nm', '559 complex', '505 nm']</t>
  </si>
  <si>
    <t>Linear dichroism spectroscopy | Orientation of pigments | Photoinhibition | Photosystem II</t>
  </si>
  <si>
    <t>Linear dichroism (LD) spectroscopy is an important technique in the study of the orientation and organization of pigments in the photosynthetic membrane complexes in vivo and in vitro. In this work, the orientation of the pigments in the isolated photosystem II (PS II) sub-core reaction center complexes was analyzed and characterized by means of low temperature absorption and LD spectroscopy. The preparations containing different amounts of CP47 isolated from spinach (Spinacia oleracea L.) chloroplast were used in order to investigate the orientation of pigments in the PS II sub-core CP47/D1/D2/Cyt b-559 (CP47/D1/D2) complexes. Chlorophyll a (Chl a) absorbing at 680 nm in CP47/D1/D2/Cyt b-559 complex showed an orientation of the Qy transition parallel to the membrane plane. It is proposed that there are two forms of Œ≤-carotene (Œ≤-Car) in CP47/D1/D2/Cyt b-559 complex, denoted as Œ≤-Car (I) and Œ≤-Car (II), with different orientations, Œ≤-Car (I) at 470 and 505 nm is roughly parallel to the membrane plane, and Œ≤-Car (II) at 460 and 490 nm seems to be perpendicular orientation. Upon the photoinhibitory experiment Œ≤-Car (II) was found to be photosensitive and easily photodamaged. It also showed that the positive LD signal observed at 680 nm was quite complicated. This signal is tentatively attributed to P680 and some Chl a of antenna in CP47 protein based upon our measurements.</t>
  </si>
  <si>
    <t>1211-1214</t>
  </si>
  <si>
    <t>60014773-60019615;60019615;60014773;60014773;60014773</t>
  </si>
  <si>
    <t>7401966095;6507045354;7103076008;7501449770;7004899916</t>
  </si>
  <si>
    <t>Hou, Jian Min;Dejonghe, Dominique;Shan, Ji Xiu;Li, Liang Bi;Kuang, Ting Yun</t>
  </si>
  <si>
    <t>France;China</t>
  </si>
  <si>
    <t>Gif-sur-Yvette;Beijing</t>
  </si>
  <si>
    <t>CEA Saclay;Institute of Botany Chinese Academy of Sciences</t>
  </si>
  <si>
    <t>60019615;60014773</t>
  </si>
  <si>
    <t>Hou J.</t>
  </si>
  <si>
    <t>Orientation of pigments in the isolated photosystem II sub-core reaction center CP47/D1/D2/Cyt b-559 complexes: A linear dichroism study</t>
  </si>
  <si>
    <t>2-s2.0-0041118748</t>
  </si>
  <si>
    <t>['slot antennas', 'second resonance', 'loaded slots', 'length equal', 'h configuration', 'h antenna', 'end loaded', 'cross polarization', 'active devices', '20 db']</t>
  </si>
  <si>
    <t>Impedance matching | Loaded antennas | Polarization | Slot antennas | Spectral domain analysis</t>
  </si>
  <si>
    <t>Slot antennas can be end loaded to tune input impedance for use with active devices and to decrease overall slot length at a given resonant frequency. Cross polarization and impedance of end-loaded slots in an H configuration are analyzed in this letter. For an H antenna of approximately equal height and width, D-plane cross polarization was found to be -20 dB, and the resonant frequency decreased by 34% over a slot with a length equal to the width of the H. The cross polarization can be reduced with our new IHI configuration, which is introduced in this letter. Impedance at the second resonance can be tuned over a range of 26-82 Œ©. ¬© 2000 IEEE.</t>
  </si>
  <si>
    <t>1272-1274</t>
  </si>
  <si>
    <t>60032179;60005304</t>
  </si>
  <si>
    <t>7201565355;7004646209</t>
  </si>
  <si>
    <t>Porter, Bradley G.;Gearhart, Steven S.</t>
  </si>
  <si>
    <t>Madison;Waltham</t>
  </si>
  <si>
    <t>University of Wisconsin-Madison;Raytheon</t>
  </si>
  <si>
    <t>Porter B.</t>
  </si>
  <si>
    <t>Impedance and polarization characteristics of h and ihi slot antennas</t>
  </si>
  <si>
    <t>S0018926X00077024</t>
  </si>
  <si>
    <t>10.1109/8.884502</t>
  </si>
  <si>
    <t>2-s2.0-0042092370</t>
  </si>
  <si>
    <t>['two pairs', 'three pairs', 'three designs', 'slits studied', 'single slit', 'proposed design', 'proposed antennas', 'inset microstripline', 'fixed frequency', 'experimentally studied', 'circular polarization', 'also seen']</t>
  </si>
  <si>
    <t>Circular polarization (cp) | Inset microstripline-fed | Microstrip antenna</t>
  </si>
  <si>
    <t>Circular polarization (CP) designs of inset microstripline-fed microstrip antennas are proposed. Three designs with a single slit, two pairs of slits, and three pairs of slits are experimentally studied. Good CP performances of the proposed antennas are achieved. For the design with three pairs of slits studied here, the center CP frequency is also seen to be lowered by about 33% compared to the case without slits, which suggests that an antenna size reduction as large as 55% can be obtained if the proposed design is used in place of a conventional CP design at a fixed frequency. ¬© 2000 IEEE.</t>
  </si>
  <si>
    <t>1253-1254</t>
  </si>
  <si>
    <t>60019330;60011357;60019330</t>
  </si>
  <si>
    <t>54781887100;35460663000;7501662373</t>
  </si>
  <si>
    <t>Wen-Shyang, ;Wong, Chen Kin Lu;Wu, Chun Kun</t>
  </si>
  <si>
    <t>Cheng Shiu University Taiwan;National Sun Yat-Sen University</t>
  </si>
  <si>
    <t>60019330;60011357</t>
  </si>
  <si>
    <t>Wen-Shyang</t>
  </si>
  <si>
    <t>Inset microstripline-fed circularly polarized microstrip antennas</t>
  </si>
  <si>
    <t>S0018926X0007695X</t>
  </si>
  <si>
    <t>10.1109/8.884494</t>
  </si>
  <si>
    <t>2-s2.0-0141567207</t>
  </si>
  <si>
    <t>['various models', 'underlying theory', 'respective effects', 'recent publication', 'phase variation', 'modifications made', 'gain horns', 'gain calculations', 'flare angles', 'also illustrated', 'actual measurements']</t>
  </si>
  <si>
    <t>Antenna gain | Horn antenna | Primary incident wave</t>
  </si>
  <si>
    <t>A few widely used primary incident wave models for pyramidal horn antenna analysis are compared on the basis of gain calculations. The analysis is based on edge-wave diffraction theory, as presented in a recent publication, with some modifications made to the underlying theory. It is shown that these models agree well for high-gain horns with small flare angles, but that the differences are more profound for lower gain horns, where the flare angles are larger. The accuracy of the various models are studied by comparing the results to actual measurements. The respective effects of amplitude and phase variation in the primary incident wave are also illustrated. ¬© 2000 IEEE.</t>
  </si>
  <si>
    <t>1246-1252</t>
  </si>
  <si>
    <t>On primary incident wave models for pyramidal horn gain calculations</t>
  </si>
  <si>
    <t>S0018926X00077085</t>
  </si>
  <si>
    <t>10.1109/8.884493</t>
  </si>
  <si>
    <t>2-s2.0-0142094304</t>
  </si>
  <si>
    <t>['rf ).', 'increase bandwidth', 'common problems', 'coding gain']</t>
  </si>
  <si>
    <t>The 802.11 wireless LAN standard has provided product opportunities for the builders of wireless LAN systems using radio frequency (RF). Any type of wireless RF communications system must deal with and correct signal corruption. Here, some common problems are discussed and the superior solution offered based on iterative forward error correction codes, or Turbo Product Codes (TPCs) is presented. For a designer, the benefits of coding gain can be used to increase bandwidth, decrease antenna size, or decrease power requirements.</t>
  </si>
  <si>
    <t>Electronic Engineering (London)</t>
  </si>
  <si>
    <t>Summers, Tony</t>
  </si>
  <si>
    <t>Summers T.</t>
  </si>
  <si>
    <t>Turbo product codes in wireless LANs</t>
  </si>
  <si>
    <t>2-s2.0-0342855368</t>
  </si>
  <si>
    <t>['thick substrates', 'synthesis procedure', 'synthesis approach', 'power beamwidths', 'h planes', 'given half', 'genetic algorithm', 'different examples']</t>
  </si>
  <si>
    <t>In this work, an optimization approach based on genetic algorithm (GA) to the synthesis of rectangular microstrip antenna elements with thick substrates for a given resonance frequency and given half-power beamwidths in the E and H planes is presented. In order to avoid high computational cost, simple closed form equations for the synthesis procedure have been used. This synthesis approach is tested for different examples.</t>
  </si>
  <si>
    <t>303-306</t>
  </si>
  <si>
    <t>Optimization approach to the synthesis of rectangular microstrip antenna elements with thick substrates for the specified far-field radiation pattern</t>
  </si>
  <si>
    <t>2-s2.0-0343773952</t>
  </si>
  <si>
    <t>['small dimensions', 'narrow due', 'multiband operation', 'incorporating traps', 'antennas presented']</t>
  </si>
  <si>
    <t>A dual-frequency printed conformable antenna with a single access port was realized and measured. It's design was based on the principle that incorporating traps at adequate locations provides a multiband operation of the antenna. Despite its small dimensions in terms of wavelength, its performance was good. The only drawback was its bandwidth, which is clearly too narrow due to the very small dimensions of the antenna. The antennas presented in the study were designed for the 900/1800 MHz bands.</t>
  </si>
  <si>
    <t>386-390</t>
  </si>
  <si>
    <t>60028186;101380539;60028186;60028186</t>
  </si>
  <si>
    <t>7004724089;6503980835;35838201000;6701417455</t>
  </si>
  <si>
    <t>Z√ºrcher, J. F.;Giangrandi, I.;Staub, O.;Skrivervik, A. K.</t>
  </si>
  <si>
    <t>Swiss Federal Institute of Technology Lausanne;Orange Communications SA</t>
  </si>
  <si>
    <t>60028186;101380539</t>
  </si>
  <si>
    <t>Z√ºrcher J.</t>
  </si>
  <si>
    <t>Dual-frequency printed conformable antenna for mobile communications</t>
  </si>
  <si>
    <t>10.1002/1098-2760(20001220)27:6&lt;386::AID-MOP5&gt;3.0.CO;2-R</t>
  </si>
  <si>
    <t>2-s2.0-0343774048</t>
  </si>
  <si>
    <t>['transmission lines', 'starting operation', 'paper deals', 'mirror lines', 'microwave power', 'ii plasmas', 'gyrotron output', 'final design', 'experimental results', 'beam along', 'also shown']</t>
  </si>
  <si>
    <t>Two mirror lines have been used to transmit the microwave power from the powerful microwave generators to the TJ-II plasmas. Both lines have been tested at nominal power level and they are in operation now. This paper deals with the final design of the transmission lines and their testing. Before starting operation at high power level, measurements of the wave beam parameters at low power level were performed. Two horn antennas were designed to simulate the gyrotron output. The results are presented in this paper. A computer code based on Huygens diffraction theory was developed to simulate the propagation of the beam along the mirror lines. A comparison of the theoretical and the experimental results is also shown here.</t>
  </si>
  <si>
    <t>1945-1957</t>
  </si>
  <si>
    <t>60109752;60109752;60033019;60033019-60031159;60033019;60033019;60031159;60033019;60033019</t>
  </si>
  <si>
    <t>57193818668;6601942043;6504184922;6602670718;7003903508;7101889305;55950302500;56273515600;8938510400</t>
  </si>
  <si>
    <t>Fern√°ndez, √Ångela;Likin, Konstantin M.;Turullols, Pedro;Teniente, Jorge;Gonzalo, Ram√≥n;Del R√≠o, Carlos;Mart√≠-Canales, Javier;Sorolla, Mario;Mart√≠n, Romualdo</t>
  </si>
  <si>
    <t>Spain;Spain;Netherlands</t>
  </si>
  <si>
    <t>Madrid;Pamplona;Noordwijk aan Zee</t>
  </si>
  <si>
    <t>Laboratorio Nacional de Fusi√≥n;Universidad P√∫blica de Navarra;ESTEC - European Space Research and Technology Centre</t>
  </si>
  <si>
    <t>60109752;60033019;60031159</t>
  </si>
  <si>
    <t>Fern√°ndez A.</t>
  </si>
  <si>
    <t>Quasioptical transmission lines for ECRH at TJ-II stellarator</t>
  </si>
  <si>
    <t>10.1023/A:1006720117520</t>
  </si>
  <si>
    <t>2-s2.0-0343832152</t>
  </si>
  <si>
    <t>['two objectives', 'synchronized cameras', 'structure taken', 'software combination', 'separate camera', 'paper covers', 'image came', 'gain experience', 'future tests', 'four images', 'eos systems', 'digital cameras', 'deploying ultra', 'approximately 0', 'approach simulated', 'antenna surface', '500 points', '1 megapixel', '050 inches', '020 inches']</t>
  </si>
  <si>
    <t>This paper discusses photogrammetric measurements of a 5m-diameter inflatable space antenna using four Kodak DC290 (2.1 megapixel) digital cameras. The study had two objectives: 1) Determine the photogrammetric measurement precision obtained using multiple consumer-grade digital cameras and 2) Gain experience with new commercial photogrammetry software packages, specifically PhotoModeler Pro from Eos Systems, Inc. The paper covers the eight steps required using this hardware/software combination. The baseline data set contained four images of the structure taken from various viewing directions. Each image came from a separate camera. This approach simulated the situation of using multiple time-synchronized cameras, which will be required in future tests of vibrating or deploying ultra-lightweight space structures. With four images, the average measurement precision for more than 500 points on the antenna surface was less than 0.020 inches in-plane and approximately 0.050 inches out-of-plane.</t>
  </si>
  <si>
    <t>NASA Technical Memorandum</t>
  </si>
  <si>
    <t>60000854;60003088;60022659</t>
  </si>
  <si>
    <t>7003828343;57204229862;6506104410</t>
  </si>
  <si>
    <t>Pappa, Richard S.;Giersch, Louis R.;Quagliaroli, Jessica M.</t>
  </si>
  <si>
    <t>Storrs;Washington, D.C.;Hampton</t>
  </si>
  <si>
    <t>University of Connecticut;The George Washington University;NASA Langley Research Center</t>
  </si>
  <si>
    <t>60022659;60003088;60000854</t>
  </si>
  <si>
    <t>Pappa R.S.</t>
  </si>
  <si>
    <t>Photogrammetry of a 5M inflatable space antenna with consumer digital cameras</t>
  </si>
  <si>
    <t>2-s2.0-13344275194</t>
  </si>
  <si>
    <t>['optimum 34', 'gain averaging', 'expected sensitivity', 'benchtop radiometer', 'band showed', 'applied simultaneously', 'absolute accuracy']</t>
  </si>
  <si>
    <t>As new radiometer technologies provide the possibility of greatly improved spatial resolution, their performance must also be evaluated in terms of expected sensitivity and absolute accuracy. As aperture size increases, the sensitivity of a Dicke mode radiometer can be maintained or improved by application of any or all of three digital averaging techniques: antenna data averaging with a greater than 50% antenna duty cycle, reference data averaging, and gain averaging. An experimental, noise-injection, benchtop radiometer at C-band showed a 68.5% reduction in ŒîT after all three averaging methods had been applied simultaneously. For any one antenna integration time, the optimum 34.8% reduction in ŒîT was realized by using an 83.3% antenna/reference duty cycle.</t>
  </si>
  <si>
    <t>60000854;60000854</t>
  </si>
  <si>
    <t>9270762100;7201490869</t>
  </si>
  <si>
    <t>Mackenzie, Anne I.;Lawrence, Roland W.</t>
  </si>
  <si>
    <t>Hampton</t>
  </si>
  <si>
    <t>NASA Langley Research Center</t>
  </si>
  <si>
    <t>Mackenzie A.</t>
  </si>
  <si>
    <t>Three averaging techniques for reduction of antenna temperature variance measured by a dicke mode, C-band radiometer</t>
  </si>
  <si>
    <t>2-s2.0-13344287072</t>
  </si>
  <si>
    <t>['using fractography', 'treatment conditions', 'toughness data', 'testing procedure', 'similar 7xxx', 'rolled condition', 'proper geometry', 'particle fracture', 'part ii', 'pa condition', 'overaged microstructures', 'mechanical tests', 'matrix characteristics', 'low toughness', 'interface debonds', 'immediate vicinity', 'hardening exponent', 'free zone', 'fracture toughness', 'dominated damage', 'different heat', 'damage mode', 'damage consisted', 'composite response', '400 mpa']</t>
  </si>
  <si>
    <t>Mechanical tests were performed on a powder-metallurgically processed 7093/SiC/15p discontinuously reinforced aluminum (DRA) composite in different heat-treatment conditions, to determine the influence of matrix characteristics on the composite response. The work-hardening exponent and the strain to failure varied inversely to the strength, similar to monolithic Al alloys, and this dependence was independent of the dominant damage mode. The damage consisted of SiC particle cracks, interface and near-interface debonds, and matrix rupture inside intense slip bands. Fracture surfaces revealed particle fracture-dominated damage for most of the heat-treatment conditions, including an overaged (OA) condition that exhibited a combination of precipitates at the interface and a precipitate-free zone (PFZ) in the immediate vicinity. In the highly OA conditions and in a 450 ¬∞C as-rolled condition, when the composite strength became less than 400 MPa, near-interface matrix rupture became dominant. A combination of a relatively weak matrix and a weak zone around the particle likely contributed to this damage mode over that of particle fracture. Fracture-toughness tests show that it is important to maintain a proper geometry and testing procedure to obtain valid fracture-toughness data. Overaged microstructures did reveal a recovery of fracture toughness as compared to the peak-aged (PA) condition, unlike the lack of toughness recovery reported earlier for a similar 7XXX (Al-Zn-Cu-Mg)-based DRA. The PA material exhibited extensive localization of damage and plasticity. The low toughness of the DRA in this PA condition is explored in detail, using fractography and metallography. The damage and fracture micromechanisms formed the basis for modeling the strength, elongation, toughness, and damage, which are described in Part II of this work.</t>
  </si>
  <si>
    <t>921-936</t>
  </si>
  <si>
    <t>Metallurgical and Materials Transactions A: Physical Metallurgy and Materials Science</t>
  </si>
  <si>
    <t>60025429;60025429;60019228</t>
  </si>
  <si>
    <t>7201770780;35565767800;7005898680</t>
  </si>
  <si>
    <t>Pandey, A. B.;Majumdar, B. S.;Miracle, D. B.</t>
  </si>
  <si>
    <t>UES Inc.;Air Force Research Laboratory</t>
  </si>
  <si>
    <t>60025429;60019228</t>
  </si>
  <si>
    <t>Pandey A.B.</t>
  </si>
  <si>
    <t>Deformation and fracture of a particle-reinforced aluminum alloy composite: Part I. Experiments</t>
  </si>
  <si>
    <t>10.1007/s11661-000-1011-4</t>
  </si>
  <si>
    <t>2-s2.0-1542340243</t>
  </si>
  <si>
    <t>['tm modes', 'tie structure', 'tie antenna', 'structures belong', 'slot aperture', 'schelkunoff functions', 'results obtained', 'radiation patterns', 'radiation pattern', 'order modes', 'modal fields', 'lam √©', 'image method', 'helmholtz equation', 'function weighted', 'form expression', 'first two', 'dyadic green', 'conical coordinates', 'complete set']</t>
  </si>
  <si>
    <t>Conical transmission lines | Slot antennas</t>
  </si>
  <si>
    <t>A transmission line analysis of bow-tie antenna and linearly tapered slot antenna (LTSA) is presented. These structures belong to the class of conical transmission lines defined here in terms of conical coordinates. A complete set of solutions of Helmholtz equation is obtained exhibiting TE and TM modes. Modal fields are expressed by Lam√© and Bessel-Schelkunoff functions. TE and TM eigenmode analysis is particularized to the bow-tie structure. Bow-tie antenna and LTSA are shown to be dual conical transmission lines by the image method and Babinet's principle. The modes of LTSA are calculated on the basis of the results obtained for the bow-tie structure. The radiation pattern of LTSA is computed as the integral of a closed-form expression of the dyadic Green's function weighted by the modal electric field distribution over the slot aperture. The obtained dominant mode radiation patterns are validated by measurements from the literature. The radiation patterns of the first two-order modes are calculated and compared. ¬© 2000 IEEE.</t>
  </si>
  <si>
    <t>447-455</t>
  </si>
  <si>
    <t>Stockbroeckx, Beno√Æt</t>
  </si>
  <si>
    <t>Electromagnetic modes in conical transmission lines with application to the linearly tapered slot antenna</t>
  </si>
  <si>
    <t>S0018926X00024571</t>
  </si>
  <si>
    <t>10.1109/8.841906</t>
  </si>
  <si>
    <t>2-s2.0-15844365744</t>
  </si>
  <si>
    <t>['two days', 'therefore likely', 'successive markings', 'similar effect', 'short distance', 'papers left', 'papers impregnated', 'papers acquire', 'new nest', 'never attacks', 'nest odour', 'nest moving', 'nearby area', 'less sinuously', 'latter tends', 'ethological effect', 'essential source', 'dyadic encounters', 'dissuasive behaviour', 'different manner', 'cuticular lipids', 'congeners occurs', 'alien presenting', 'alien conspecific', 'agonistic behaviour', '60 min', '3 h']</t>
  </si>
  <si>
    <t>Ant | Metapleural glands | Myrmica rubra | Nest moving | Nest odour | Postpharyngeal gland</t>
  </si>
  <si>
    <t>A Myrmica rubra nest has its own odour since ants inhabiting that nest and alien conspecifics react differently to papers left for two days in the nest. Resident ants move slowly, sinuously, essentially very near the papers and aggregate themselves in their vicinity; alien conspecifics walk rapidly, less sinuously and do not stay very near the papers. Odourless (neutral) papers acquire such an ethological effect after a stay of 30 to 60 min in a nest. Papers impregnated with nest odour lose this effect in 2 to 3 h. As shown by dyadic encounters, the nest odour influences the resident and the alien conspecific's agonistic behaviour in a different manner. A resident never escapes from its nest odour, but opens its mandibles (a possible threatening behaviour) and tries to seize the alien. The latter tends to avoid the foreign nest odour and the resident; it never attacks and presents a particular "dissuasive behaviour" during which it moves very little, but succeeds in stopping from a short distance the resident in its readiness to attack. When seized by the resident, the alien may also momentarily inhibit the opponent's aggressiveness by opening the mandibles and/or boxing its head with the antennae. Workers' postpharyngeal gland extract allows to reproduce the nest odour effect: it is therefore likely that this gland is the essential source of that odour. A fragment of cuticle has a slight but similar effect: the nest odour may thus also be caused by a deposit of cuticular lipids. On the other hand, experimental data allow to postulate that an alien presenting its dissuasive behaviour emits some of its metapleural glands contents. The sequence of a nest moving is ordered by the successive markings of the nest, its entrance, then its nearby area. After the establishment of the nest odour, a recruitment of congeners occurs; after the marking of the new nest entrance, the queens and many workers enter that nest; after the marking of the vicinity of the new nest, brood is transported into that nest. The old nest loses its odour after the moving.</t>
  </si>
  <si>
    <t>509-523</t>
  </si>
  <si>
    <t>Biologia</t>
  </si>
  <si>
    <t>60000145;60000145</t>
  </si>
  <si>
    <t>6603558331;6602512778</t>
  </si>
  <si>
    <t>Cammaerts, Marie Claire;Cammaerts, Roger</t>
  </si>
  <si>
    <t>Cammaerts M.</t>
  </si>
  <si>
    <t>Nest odour in the ant Myrmica rubra</t>
  </si>
  <si>
    <t>2-s2.0-17544376385</t>
  </si>
  <si>
    <t>['two orders', 'rf antenna', 'relative density', 'radical species', 'power supply', 'plasma chamber', 'oxygen radical', 'oxygen radiation', 'magnitude higher', 'ion density', 'beam source', 'ag oxidization', 'absolute density', '845 nm', '56 mhz', '100 mm']</t>
  </si>
  <si>
    <t>We developed radical beam sources with beam diameters larger than 100 mm intending to increase the productivity for thin film processes. Radical species were generated by using inductively coupled plasma generators driven by a RF (13.56 MHz) power supply. The relative density of oxygen radical was evaluated by OES (optical emission spectroscopy) peak at 845 nm, which is related to oxygen radiation from 3p3P to 3s3S, and the absolute density by Ag oxidization. The properties of the radical source depend strongly on the shape and volume of the plasma chamber and the configuration of the RF antenna. The maximum oxygen radical density is 1.24√ó1015 atoms/cm2 s at 100 mm from the end of beam source. It is two orders of magnitude higher than the ion density.</t>
  </si>
  <si>
    <t>134-137</t>
  </si>
  <si>
    <t>377-378</t>
  </si>
  <si>
    <t>Thin Solid Films</t>
  </si>
  <si>
    <t>100542569;100542569;100542569;60033105;60025528</t>
  </si>
  <si>
    <t>7402737273;57206588204;7404919956;7407163816;56216982900</t>
  </si>
  <si>
    <t>Murata, T.;Matsumoto, S.;Song, Y.;Yamada, Y.;Nozoye, H.</t>
  </si>
  <si>
    <t>Kitakatsushika District;Tsukuba;Tokyo</t>
  </si>
  <si>
    <t>Toppan Printing Co., Ltd.;National Institute of Materials and Chemical Research;Shincron Co., Ltd.</t>
  </si>
  <si>
    <t>60033105;60025528;100542569</t>
  </si>
  <si>
    <t>Murata T.</t>
  </si>
  <si>
    <t>Development of large diameter radical beam sources</t>
  </si>
  <si>
    <t>S0040609000014255</t>
  </si>
  <si>
    <t>10.1016/S0040-6090(00)01425-5</t>
  </si>
  <si>
    <t>2-s2.0-18844469799</t>
  </si>
  <si>
    <t>['¬© j', 'well posed', 'thin wire', 'science publishers', 'pocklington integro', 'galerkin method', 'differential equation', 'current induced', 'coercive inequality', 'baltzer ag', 'associated operator']</t>
  </si>
  <si>
    <t>Convergence rates | Electromagnetic scattering | Galerkin methods</t>
  </si>
  <si>
    <t>In this paper we consider the Pocklington integro-differential equation for the current induced on a straight, thin wire by an incident harmonic electromagnetic field. We show that this problem is well posed in suitable fractional order Sobolev spaces and obtain a coercive or Carding type inequality for the associated operator. Combining this coercive inequality with a standard abstract formulation of the Galerkin method we obtain rigorous convergence results for Galerkin type numerical solutions of Pocklington's equation, and we demonstrate that certain convergence rates hold for these methods. ¬© J.C. Baltzer AG, Science Publishers.</t>
  </si>
  <si>
    <t>251-259</t>
  </si>
  <si>
    <t>Advances in Computational Mathematics</t>
  </si>
  <si>
    <t>Rynne, Bryan P.</t>
  </si>
  <si>
    <t>Convergence of Galerkin method solutions of the integral equation for thin wire antennas</t>
  </si>
  <si>
    <t>2-s2.0-22844454713</t>
  </si>
  <si>
    <t>['terahertz frequencies', 'scanner precision', 'recovering phase', 'planar near', 'interesting advantages', 'field measurements', 'direct method']</t>
  </si>
  <si>
    <t>Antenna measurements | Antenna radiation pattern | Gabor holography | Holographic interferometry | Terahertz | Terahertz radiation</t>
  </si>
  <si>
    <t>In the light of future applications involving Terahertz antenna measurements, this paper revisits Gabor holography as a direct method for recovering phase, offering some interesting advantages for near-field measurements. In particular, we examine the theory and parameterization of planar near-field Gabor holography and comment on the requirements for scanner precision at Terahertz frequencies. ¬© 2000 IEEE.</t>
  </si>
  <si>
    <t>409-417</t>
  </si>
  <si>
    <t>Junkin, Gary</t>
  </si>
  <si>
    <t>Junkin G.</t>
  </si>
  <si>
    <t>Holographie testing of terahertz antennas</t>
  </si>
  <si>
    <t>S0018926X00024637</t>
  </si>
  <si>
    <t>10.1109/8.841902</t>
  </si>
  <si>
    <t>2-s2.0-26844521917</t>
  </si>
  <si>
    <t>['wave radiation', 'surface waves', 'spectral domain', 'resonant frequency', 'principals radiation', 'orthogonal direction', 'numerically solving', 'normal incidence', 'moment method', 'model accurately', 'matrix equation', 'linearly e', 'h planes', 'finite order', 'experimental data', 'excitation direction', 'exact green', 'dominant mode', 'current distribution', 'copyright sbmo']</t>
  </si>
  <si>
    <t>An accurate integral equation approach of an equilateral triangular microstrip antenna using the moment method (MoM) in the spectral domain is presented. The excitation of the antenna is achieved by means of a linearly E-polarised plane wave with normal incidence. The exact Green's function of the grounded dielectric slab is used to derive an electric field integral equation (EFIE) for the unknown induced current distribution upon the antenna. Thus, surface waves as well as space-wave radiation are included in the formulation. The current distribution is expanded in terms of a number of overcoming triangles according to the excitation direction and a number of flat pulses according to the orthogonal direction in order to model accurately the antenna's edges current singularities and to improve the convergence. The unknown current distribution expansion coefficients are determined by numerically solving the matrix equation, of finite order, obtained from the application of the moment method in the spectral domain to the electric field integral equation. The current distribution behaviour is then used to compute some of the principals radiation, characteristics of the antenna. Numerical results concerning the resonant frequency, the bandwidth and the far field radiation patterns in the E and H planes are presented and discrepancies with experimental data (resonant frequency) reported in the literature and numerical results available from the coaxial feed cavity model (dominant mode) are noted. Copyright SBMO.</t>
  </si>
  <si>
    <t>Journal of Microwaves and Optoelectronics</t>
  </si>
  <si>
    <t>60019715;60019715</t>
  </si>
  <si>
    <t>55843653600;25030303600</t>
  </si>
  <si>
    <t>Nachit, Aziz;Foshi, Jaouad</t>
  </si>
  <si>
    <t>Morocco</t>
  </si>
  <si>
    <t>Meknes</t>
  </si>
  <si>
    <t>Facult√© des Sciences de Mekn√®s</t>
  </si>
  <si>
    <t>Nachit A.</t>
  </si>
  <si>
    <t>Spectral domain integral equation approach of an equilateral triangular microstrip antenna using the moment method</t>
  </si>
  <si>
    <t>2-s2.0-30544450698</t>
  </si>
  <si>
    <t>['‚ ààr', 'volumetric devices', 'unwanted signals', 'two beams', 'tag tracking', 'square root', 'relative permittivity', 'range communications', 'radio source', 'optimal beam', 'may give', 'limited adaptive', 'high frequencies', 'griffith universities', 'easily recovered', 'conventional antennas', 'conductive structures', 'communications circuits', 'close proximity', 'biotelemetry applications', 'appropriately designed', 'antennas lend', 'also help', '32mm across']</t>
  </si>
  <si>
    <t>Dielectric resonator antennas (DRAs) are volumetric devices that can be more efficient than conventional antennas at high frequencies and smaller by approximately the square root of the relative permittivity of the material. Research at Sheffield and Griffith universities has shown that by using several feeds they can be designed to be directional with electronic beam steering. DRAs can also have radio direction finding capabilities by comparing the same signal in two beams or by using monopulse processing. The ability to locate a radio source and form an optimal beam in that direction, combined with nulls that can sometimes be used to cancel out unwanted signals, may give these antennas a limited adaptive or 'smart' capability. Optimal beam configuration can also help to extend battery life, which may be important when the asset is not easily recovered, as is the case in some biotelemetry applications. The presentation will describe a number of multi-probe, multi-beam DRAs designed for use on both tags and short-range communications, such as Bluetooth, and for radio direction finding applications such as tag tracking and microbase-stations. A typical 870 MHz multi-beam 360¬∞ direction finding DRA system is 32mm across and 13mm high using an ‚ààr of 80 and smaller for higher ‚ààr materials. The construction of these antennas lend themselves to integration into the manufacture of the communications circuits, thus reducing cost When appropriately designed these antennas are considered to provide better performance than conventional antennas when operating in close proximity to conductive structures.</t>
  </si>
  <si>
    <t>IEE Colloquium (Digest)</t>
  </si>
  <si>
    <t>100894976;100894976;60032987;60001881;60001881</t>
  </si>
  <si>
    <t>7007084505;11539682100;55670447300;11539106900;11540045800</t>
  </si>
  <si>
    <t>Kingsley, S. P.;Beart, P.;O'Keefe, S. G.;Palmer, T. J.;Lim, K. M.</t>
  </si>
  <si>
    <t>Australia;United Kingdom;United Kingdom</t>
  </si>
  <si>
    <t>Brisbane;Sheffield;Cambridge (ex Galt)</t>
  </si>
  <si>
    <t>Griffith University;The University of Sheffield;Antenova Ltd.</t>
  </si>
  <si>
    <t>60032987;60001881;100894976</t>
  </si>
  <si>
    <t>Kingsley S.</t>
  </si>
  <si>
    <t>Multiple-probe Dielectric Resonator Antennas for asset tracking applications</t>
  </si>
  <si>
    <t>2-s2.0-30844432184</t>
  </si>
  <si>
    <t>Wu, Z.</t>
  </si>
  <si>
    <t>Dielectric Resonator Antennas and applications</t>
  </si>
  <si>
    <t>2-s2.0-30844433302</t>
  </si>
  <si>
    <t>['transition used', 'soft board', 'insertion loss', 'frequencies chosen', 'discussed also', 'designed fabricated', 'also given', '5 ghz', '1 ].']</t>
  </si>
  <si>
    <t>A soft board-board millimetre wave subarrayed Van Atta antenna has been designed fabricated and measured for asset tracking applications at 62GHz. Soft-board, 254 Œºm thickness and 2.19 relative permittivity, single and array patch antennas were designed and characterised. The elements and arrays are designed to be connected via microstrip to WR-15 waveguide transitions. Measurements of insertion loss for the transition have been performed and the transition used to allow patch array and subarray absolute gain values to be computed. The performance of the Van Atta Array is also given and peculiarities of its performance at mm-wave frequencies described. The characteristics of a millimetre wave integrated Silicon antenna are discussed also. The frequencies chosen for this work are 62.5 and 65.5 GHz. These are transmit and receive frequencies allocated for broadband Mobile wireless applications [1].</t>
  </si>
  <si>
    <t>7102894931;6505818897;6603145091</t>
  </si>
  <si>
    <t>Fusco, V. F.;Salameh, D.;Brabetz, T.</t>
  </si>
  <si>
    <t>Integrated antennas for millimetre-wave asset tracking</t>
  </si>
  <si>
    <t>2-s2.0-30844445387</t>
  </si>
  <si>
    <t>['three direct', 'schottky diodes', 'patch antennas', 'implemented based', 'direction finding', 'different applications', 'conversion receivers', 'conversion demodulation', 'compactly integrated', 'active devices', 'active antennas']</t>
  </si>
  <si>
    <t>Three direct-conversion receivers are implemented based on the active antenna concept. The active devices, Schottky diodes, are compactly integrated with patch antennas to act as the mixer. These active antennas can be used for different applications, such as direct-conversion demodulation, Doppler frequency detection and direction finding.</t>
  </si>
  <si>
    <t>60019702;60019702;60019702;60006288</t>
  </si>
  <si>
    <t>7202153323;57213425197;7201658579;32867606300</t>
  </si>
  <si>
    <t>Ma, G.;Hall, P. S.;Gardner, P.;Hajian, M.</t>
  </si>
  <si>
    <t>Birmingham;Delft</t>
  </si>
  <si>
    <t>University of Birmingham;Delft University of Technology</t>
  </si>
  <si>
    <t>60019702;60006288</t>
  </si>
  <si>
    <t>Ma G.</t>
  </si>
  <si>
    <t>Direct-conversion active integrated antennas</t>
  </si>
  <si>
    <t>2-s2.0-30844446700</t>
  </si>
  <si>
    <t>7403252663;57213425197;56250080900;7006153735</t>
  </si>
  <si>
    <t>Song, C. T.P.;Hall, P. S.;Ghafouri-Shiraz, H.;Henning, I.</t>
  </si>
  <si>
    <t>Antenna design for packaged integrated RF front ends</t>
  </si>
  <si>
    <t>2-s2.0-30844446701</t>
  </si>
  <si>
    <t>['paper discusses', 'operates efficiently', 'insufficient space', 'emergency services']</t>
  </si>
  <si>
    <t>Cellular wireless handset manufactures are integrating GPS technology into their devices to comply with the needs of emergency services. With insufficient space for conventional right hand circularly polarised antennas, there is a need for a miniature antenna designed to operate on the handset. This paper discusses the dielectric-loaded quadrifilar helix antenna, which has an optimum cardioid radiation pattern and operates efficiently on the handset.</t>
  </si>
  <si>
    <t>60000891;60000891;60000891;60000891;60000891;101622658;60000891</t>
  </si>
  <si>
    <t>12759242900;6506670748;7003531756;7004806358;35562114200;35554783100;6701760387</t>
  </si>
  <si>
    <t>McEvoy, P.;Jayawardene, M.;Seager, R. D.;Wingfield, A.;Vardaxoglou, J. C.;Dowsett, M.;Leisten, O.</t>
  </si>
  <si>
    <t>Loughborough;Northampton</t>
  </si>
  <si>
    <t>Loughborough University;Sarantel Ltd.</t>
  </si>
  <si>
    <t>60000891;101622658</t>
  </si>
  <si>
    <t>McEvoy P.</t>
  </si>
  <si>
    <t>Miniaturised dielectric-loaded quadrifilar helix antennas for the integration of cellular wireless and global positioning systems</t>
  </si>
  <si>
    <t>2-s2.0-30844457063</t>
  </si>
  <si>
    <t>Scanlon, William G.</t>
  </si>
  <si>
    <t>Coleraine</t>
  </si>
  <si>
    <t>Ulster University</t>
  </si>
  <si>
    <t>Scanlon W.G.</t>
  </si>
  <si>
    <t>Body-worn antennas for ISM-band applications including bluetooth‚Ñ¢</t>
  </si>
  <si>
    <t>2-s2.0-30844462549</t>
  </si>
  <si>
    <t>['wide range', 'single antenna', 'radiation pattern', 'physical size', 'omnidirectional within', 'impedance bandwidth', 'geometrical theory', 'emerging self', 'desirable feature', 'antenna parameters', '6 ghz']</t>
  </si>
  <si>
    <t>The use of a single antenna,which can cover a wide range of frequencies is a desirable feature for future wireless communications systems. The emerging self-organising and ad-hoc networks require more than an octave of bandwidth to facilitate multiband operation. The planar monopole family is proposed for use on digital mobile terminals. The simple square element with 2.25:1 impedance bandwidth ratio is described. The radiation pattern is shown to be quasi-omnidirectional within the impedance bandwidth. Attempts, which have been made to control the impedance bandwidth and minimise the physical size of the antenna are described. An antenna which has been optimised for future wireless networking bands and shown to operate from 1.6 GHz to 6 GHz is presented. Antenna parameters are compared for these elements and a method of moments code combined-with the geometrical theory of diffraction is employed for modelling.</t>
  </si>
  <si>
    <t>60012873;60011149</t>
  </si>
  <si>
    <t>7005794256;7102219771</t>
  </si>
  <si>
    <t>Ammann, M. J.;Doyle, L. E.</t>
  </si>
  <si>
    <t>Ireland;Ireland</t>
  </si>
  <si>
    <t>Dublin;Dublin</t>
  </si>
  <si>
    <t>Technological University Dublin;Trinity College Dublin</t>
  </si>
  <si>
    <t>Ammann M.J.</t>
  </si>
  <si>
    <t>Planar monopole family proposed for digital portable terminals</t>
  </si>
  <si>
    <t>2-s2.0-30844466861</t>
  </si>
  <si>
    <t>Antennas | Etymology | Terminology</t>
  </si>
  <si>
    <t>61-63</t>
  </si>
  <si>
    <t>60021859;60021859;100581964</t>
  </si>
  <si>
    <t>7102464308;36554911300;16647624800</t>
  </si>
  <si>
    <t>Pelosi, Giuseppe;Selleri, Stefano;Valotti, Barbara</t>
  </si>
  <si>
    <t>Florence;Pontecchio Marconi</t>
  </si>
  <si>
    <t>Universit√† degli Studi di Firenze;Guglielmo Marconi Foundation</t>
  </si>
  <si>
    <t>60021859;100581964</t>
  </si>
  <si>
    <t>Pelosi G.</t>
  </si>
  <si>
    <t>Antennae</t>
  </si>
  <si>
    <t>10.1109/74.826349</t>
  </si>
  <si>
    <t>2-s2.0-33644907992</t>
  </si>
  <si>
    <t>['procedure starts', 'primary radiator', 'parasitic element', 'electrical characteristics', 'antenna geometry', 'antenna design', 'annealing technique']</t>
  </si>
  <si>
    <t>Antenna feeds | Dipole arrays | Land mobile radio cellular systems | Land mobile radio equipment | Multifrequency antennas | Parasitic antennas | Wire antennas</t>
  </si>
  <si>
    <t>A dual-band base station wire-antenna design is presented. The MoM and the simulated-annealing technique, for optimizing the antenna geometry, are used. The procedure starts from the design of a primary radiator, consisting from a dielectric-covered driven dipole and a parasitic element. A Chebyshev antenna array is checked in both the 900 and 1800 MHz frequency bands, with and without the appropriate feed network. All the electrical characteristics, as well as the patterns of the antenna, are presented.</t>
  </si>
  <si>
    <t>100444001;60033021;60015331;60015331;60015331</t>
  </si>
  <si>
    <t>56039602600;35465847700;6507187899;22995779600;7005683394</t>
  </si>
  <si>
    <t>Herscovici, Naftali;Christodoulou, Christos;Zaharis, Z.;Vafiadis, E.;Sahalos, J. N.</t>
  </si>
  <si>
    <t>United States;Greece;United States</t>
  </si>
  <si>
    <t>Albuquerque;Thessaloniki;Nashua</t>
  </si>
  <si>
    <t>The University of New Mexico;Aristotle University of Thessaloniki;Spike Technologies, Inc.</t>
  </si>
  <si>
    <t>60033021;60015331;100444001</t>
  </si>
  <si>
    <t>Herscovici N.</t>
  </si>
  <si>
    <t>On the design of a dual-band base station wire antenna</t>
  </si>
  <si>
    <t>10.1109/74.894189</t>
  </si>
  <si>
    <t>2-s2.0-33646881735</t>
  </si>
  <si>
    <t>The 802.11 wireless LAN standard has provided product opportunities for the builders of wireless LAN systems using radio frequency (RF). Any type of wireless RF communications system must deal with and and correct signal corruption. Here, some common problems are discussed and the superior solution offered based on iterative forward error correction codes, or Turbo Product Codes (TPCs) is presented. For a designer, the benefits of coding gain can be used to increase bandwidth, decrease antenna size, or decrease power requirements.</t>
  </si>
  <si>
    <t>AHA (Advanced Hardware Architectures, Inc.</t>
  </si>
  <si>
    <t>2-s2.0-33745284003</t>
  </si>
  <si>
    <t>TIC97-1129-C04-03</t>
  </si>
  <si>
    <t>['frequency band', 'coherence bandwidth', 'antennas separation']</t>
  </si>
  <si>
    <t>Coherence bandwidth | DVB-T | Frequency diversity | Indoor propagation | Rms delay</t>
  </si>
  <si>
    <t>A wide band measurement campaign has been carried out in the DVB-T frequency band. The coherence bandwidth has been measured and its variation with the antennas separation is studied. Also, the relation between the coherence bandwidth and the rms delay spread is investigated. ¬© 2000 IEEE.</t>
  </si>
  <si>
    <t>165-170</t>
  </si>
  <si>
    <t>7101656057;7401473966</t>
  </si>
  <si>
    <t>Varela, Mercedes S√¢nchez;S√¢nchez, Manuel Garcia</t>
  </si>
  <si>
    <t>Varela M.S.</t>
  </si>
  <si>
    <t>Study of a frequency diversity system for indoor digital TV</t>
  </si>
  <si>
    <t>S0018931600067093</t>
  </si>
  <si>
    <t>10.1109/11.868933</t>
  </si>
  <si>
    <t>2-s2.0-33747169395</t>
  </si>
  <si>
    <t>Reflector antenna | Short pulse | UWB</t>
  </si>
  <si>
    <t>Previously, the design, fabrication, and testing of a pulser with a parabolic reflector antenna, known as a prototype impulse-radiating antenna (IRA), had been presented in the IEEE TRANSACTIONS ON PLASMA SCIENCE in 1997. The radiating system has now been more fully characterized with additional measurements and computations of near-field, intermediate, and far fields on bore sight. ¬© 2000 IEEE.</t>
  </si>
  <si>
    <t>60015710;60015710;60015710;60015710;60015710</t>
  </si>
  <si>
    <t>57202638730;7102825596;7003360912;7201780943;7203008725</t>
  </si>
  <si>
    <t>Kirtland</t>
  </si>
  <si>
    <t>Kirtland Air Force Base</t>
  </si>
  <si>
    <t>Giri D.</t>
  </si>
  <si>
    <t>S0093381300112792</t>
  </si>
  <si>
    <t>2-s2.0-33747212055</t>
  </si>
  <si>
    <t>['zuuu ic', 'varying levels', 'time minimum', 'system control', 'suffer less', 'square error', 'spreading gain', 'significantly larger', 'shift keying', 'sector users', 'rate samples', 'quadrature phase', 'onnn iccc', 'nonlinear space', 'nonlinear filtering', 'nonlinear feedforward', 'multiuser detectors', 'ms frame', 'matched filters', 'less complexity', 'investigate linear', 'individual adaptation', 'imperfect coefficients', 'ideal detection', 'feedback detector', 'feedback detection', 'fading channel', 'error propagation', 'division multiple', 'combined effects', 'code assignment', 'centralized reverse', 'cdma systems', 'cdma system', 'c /.', 'baseband outputs', 'antenna feedforward']</t>
  </si>
  <si>
    <t>We investigate linear and nonlinear space-time minimum-mean-square error (MMSE) multiuser detectors for high data rate wireless code-division multiple-access (CDMA) networks. The centralized reverse-link detectors comprise a space-time feedforward filter and a multiuser feedback filter which processes the previously detected symbols of all in-sector users. The feedforward filter processes chip-rate samples from a bank of chip-matched filters which operate on the baseband outputs from an array of antennas. We present an adaptive multiuser recursive least-squares (RLS) algorithm which determines the MMSE adjusted filter coefficients with less complexity than individual adaptation for each user. We calculate outage probabilities and isolate the effects of antenna, diversity, and interference suppression gains for linear and nonlinear filtering and for CDMA systems with varying levels of system control (e.g., timing control, code assignment, cell layout). For eight users transmitting uncoded 2 Mb/s quadrature phase-shift keying with a spreading gain of eight chips per symbol over a fading channel with a multipath delay spread of 1.25 /-4s, the performance of a three-antenna feedforward/feedback detector was within l dB in signal-to-noise ratio per antenna) of ideal detection in the absence of interference. By training for 10% of a 5-ms frame, RLS adaptation enabled the same detector to suffer less than a 0.5-dB penalty due to the combined effects of imperfect coefficients and error propagation. The advantage of nonlinear feedforward/feedback detection over linear feedforward detection was shown to be significantly larger for a CDMA system with enhanced system control. onnn iccc (y zUUU Ic/c/c/.</t>
  </si>
  <si>
    <t>6701712415;35565197900</t>
  </si>
  <si>
    <t>Smee, John E.;Schwartz, Stuart C.</t>
  </si>
  <si>
    <t>Smee J.</t>
  </si>
  <si>
    <t>Adaptive space-time feedforward/feedback detection for high data rate CDMA in frequency-selective fading</t>
  </si>
  <si>
    <t>S0090677800109158</t>
  </si>
  <si>
    <t>2-s2.0-33747265757</t>
  </si>
  <si>
    <t>High power microwave | Impulse-radiating antenna | Oil switch | Photoconductive solid-state switch | Spark gap switch | Transient antenna | Ultra-wideband</t>
  </si>
  <si>
    <t>Ultra-wideband (UWB) microwave sources and antennas are of interest for a variety of applications, such as transient radar, mine detection, and unexploded ordnance (UXO) location and identification. Much of the current research is being performed at the Air Force Research Laboratory (AFRL) at Kirtland AFB, NM. The approach to high power source development has included high pressure gas switching, oil switching, and solid-state-switched arrays. Recent advances in triggered gas switch technology and solid-state-switched shockline technology have opened up new possibilities for the development of much higher power systems and have thus opened the door to many new applications. The research into UWB transient antennas has also made significant contributions to the development and improvement of wideband continuous wave (CW) antenna designs and has brought new knowledge about the complex behavior of ferrites, dielectrics, and resistive materials in short pulse, very high voltage environments. This has in turn led to advances in the technology of transformers, transmission lines, insulators, and UWB optics. This paper reviews the progress to date along these lines and discusses new areas of research into UWB technology development. ¬© 2000 IEEE.</t>
  </si>
  <si>
    <t>1620-1623</t>
  </si>
  <si>
    <t>60019228;60019228;60019228;60019228;60019228;60019228;60019228;60019228;60019228;60019228;60019228</t>
  </si>
  <si>
    <t>Dayton</t>
  </si>
  <si>
    <t>Air Force Research Laboratory</t>
  </si>
  <si>
    <t>S0093381300114328</t>
  </si>
  <si>
    <t>10.1109/27.901244</t>
  </si>
  <si>
    <t>2-s2.0-33747281754</t>
  </si>
  <si>
    <t>['special case', 'signals may', 'receiver knows', 'one antenna', 'natural extension', 'low probability', 'fading coefficients', 'differential modulation', 'diagonals signals', 'channel systems', 'channel system', 'antenna unknown']</t>
  </si>
  <si>
    <t>We present a framework for differential modulation with multiple antennas across a continuously fading channel, where neither the transmitter nor the receiver knows the fading coefficients. The framework can be seen as a natural extension of standard differential phase-shift keying commonly used in single-antenna unknown-channel systems. We show how our differential framework links the unknown-channel system with a known-channel system, and we develop performance design criteria. As a special case, we introduce a class of diagonals signals where only one antenna is active at any time, and demonstrate how these signals may be used to achieve full transmitter diversity and low probability of error. ¬©2000 IEEE.</t>
  </si>
  <si>
    <t>14067388900;7003890464</t>
  </si>
  <si>
    <t>Hockwald, Bertrand M.;Sweldens, Wim</t>
  </si>
  <si>
    <t>Hockwald B.</t>
  </si>
  <si>
    <t>S0090677800098718</t>
  </si>
  <si>
    <t>2-s2.0-33747281757</t>
  </si>
  <si>
    <t>['zuuu ic', 'user receiver', 'synchronous direct', 'station antennas', 'sequence code', 'performance close', 'new formulation', 'likelihood criteria', 'innn iccc', 'far resistant', 'conventional single', 'c /.', 'adding base']</t>
  </si>
  <si>
    <t>We investigate multiuser signal detection with a base-station antenna array for a synchronous direct-sequence code-division multipleaccess uplink using nonorthogonal codes in Rayleigh fading channels. We have developed a new formulation for a spatial-temporal decorrelating detector using the maximum-likelihood criteria. The detector is shown to be near-far resistant. We propose to implement the spatial-temporal decorrelating receiver iteratively by applying the space alternating generalized expectation-maximization (SAGE) algorithm. Simulation results show that the SAGE-based decorrelating receiver significantly outperforms the conventional single-user receiver and with performance close to that of a spatial-temporal decorrelating receiver with known channel parameters. We have observed that adding base-station antennas can actually improve convergence of the proposed iterative receiver. innn iccc (y zUUU Ic/c/c/.</t>
  </si>
  <si>
    <t>60016005;60016005</t>
  </si>
  <si>
    <t>56128415400;7003837470</t>
  </si>
  <si>
    <t>Wang, Ruifeng;Blostein, Steven D.</t>
  </si>
  <si>
    <t>Kingston</t>
  </si>
  <si>
    <t>Queen‚Äôs University</t>
  </si>
  <si>
    <t>Wang R.</t>
  </si>
  <si>
    <t>A spatial-temporal decorrelating receiver for CDMA systems with base-station antenna arrays</t>
  </si>
  <si>
    <t>2-s2.0-33747319813</t>
  </si>
  <si>
    <t>['waveguide lines', 'return loss', 'results include', 'radiation patterns', 'proposed arrays', 'impedance bandwidth', 'high gain', 'enjoying high', 'antenna gain', 'also presented', '4x4 arrays']</t>
  </si>
  <si>
    <t>Coplanar cpw networks | Mcm-d technology | Planar antenna arrays</t>
  </si>
  <si>
    <t>In this paper, the design, fabrication, and characterization of planar antenna arrays in the MCM-D technology are presented. The arrays are fed by coplanar feeding networks built using coplanar-waveguide lines. 2X2 and 4X4 arrays of slot dipoles designed to work in JC-band, around 25 GHz, are also presented. The analysis was carried out both theoretically and experimentally. The results include the return loss, radiation patterns, and antenna gain. The proposed arrays are compatible with the driving electronics technology, enjoying high-impedance bandwidth, low cross polarization, high gain, and high radiation efficiency. ¬© 2000 IEEE.</t>
  </si>
  <si>
    <t>1057-1064</t>
  </si>
  <si>
    <t>60070034-60025063;60070034-60025063;60025063-60070034;60070034-60025063</t>
  </si>
  <si>
    <t>7006317749;6701507381;7005545716;54781660500</t>
  </si>
  <si>
    <t>Soliman, Ezzeldin A.;Brebels, Steven;Vandenbosch, Guy A.E.;Ne, Eric Bey</t>
  </si>
  <si>
    <t>Antenna arrays in MCM-D technology fed by coplanar cpw networks</t>
  </si>
  <si>
    <t>S0018948000046731</t>
  </si>
  <si>
    <t>10.1109/22.904745</t>
  </si>
  <si>
    <t>2-s2.0-33747347612</t>
  </si>
  <si>
    <t>Direction-of-arrivals | Line-of-sight | Narrow-band channel | Nonline-of-sight | Probability distribution | Propagation modeling | Smart antennas | Space diversity | Spatial signature | Vector channels</t>
  </si>
  <si>
    <t>In wireless communications, smart antenna systems that employ antenna arrays coupled with adaptive signal-processing techniques at the basestation improve capacity, coverage, and trunking efficiency. However, design and performance analysis of smart antenna systems strongly depend on channel propagation characteristics of signals present at the antenna array, the so-called vector channels. Here, variation of narrow-band vector channels (spatial signatures) due to a moving terminal is studied in typical suburban settings. Vector channel measurements are taken using a real-time smart antenna system with a uniform circular array at the basestation and a mobile transmitter at several locations. Two different wireless scenarios, namely, pedestrian and car mobile, are implemented to emulate the random movement of the mobile user. In each scenario, the mobile transmitter locations are chosen so that there exists line-of-sight (LOS), nonline-of-sight (NOLOS), or both LOS and NOLOS (mixed) propagation to the basestation. We find that in all cases, the Beta distribution can be used to empirically represent the spatial signature correlations and that large spatial diversity exists in NOLOS cases compared to LOS cases. Also, direction-of-arrivals mostly do not change much with movement in a suburban environment. ¬© 2000 IEEE.</t>
  </si>
  <si>
    <t>60013372;60009415;60009415;60013372</t>
  </si>
  <si>
    <t>Austin;Richardson</t>
  </si>
  <si>
    <t>The University of Texas at Austin;The University of Texas at Dallas</t>
  </si>
  <si>
    <t>60013372;60009415</t>
  </si>
  <si>
    <t>Vector channels for smart antennas-measurements, statistical modeling, and directional properties in outdoor environments</t>
  </si>
  <si>
    <t>S0018948000050316</t>
  </si>
  <si>
    <t>2-s2.0-33747361394</t>
  </si>
  <si>
    <t>Active antennas | Diplexers | Fdtd methods | Microstrip antennas | Microwave circulators</t>
  </si>
  <si>
    <t>A study on the analysis and design of active integrated antennas based on active quasi-circulators is reported in this paper. The antenna consists of a novel hybrid active circulator and a short-circuited quarter-wavelength microstrip antenna, which combine to form an active antenna with transmit and receive action at the same frequency. A full-wave model of the configuration using the extended finite-difference time-domain method is devised to analyze its operation, to study parasitic electromagnetic coupling effects, and to derive design guidelines. Experimental results for a hybrid model are also presented. ¬© 2000 IEEE.</t>
  </si>
  <si>
    <t>1007-1016</t>
  </si>
  <si>
    <t>60019702;60003003;60003003;60003003</t>
  </si>
  <si>
    <t>United Kingdom;Italy</t>
  </si>
  <si>
    <t>Birmingham;Perugia</t>
  </si>
  <si>
    <t>University of Birmingham;Universit√† degli Studi di Perugia</t>
  </si>
  <si>
    <t>60019702;60003003</t>
  </si>
  <si>
    <t>S0018948000046664</t>
  </si>
  <si>
    <t>10.1109/22.904738</t>
  </si>
  <si>
    <t>2-s2.0-33747364805</t>
  </si>
  <si>
    <t>Antenna radiation patterns | Multi-beam antennas | Mutual coupling | Phased arrays | Wire antennas</t>
  </si>
  <si>
    <t>75-79</t>
  </si>
  <si>
    <t>Christman, Al</t>
  </si>
  <si>
    <t>Grove City</t>
  </si>
  <si>
    <t>Grove City College</t>
  </si>
  <si>
    <t>Christman A.</t>
  </si>
  <si>
    <t>A very large antenna for the 1.8 MHz band</t>
  </si>
  <si>
    <t>10.1109/74.868054</t>
  </si>
  <si>
    <t>2-s2.0-33747365909</t>
  </si>
  <si>
    <t>['thz antenna', 'silicon lens', 'propagation characteristics', 'much larger', 'field dispersion', 'fdtd technique', 'diffraction theory', 'also utilized', 'also characterized']</t>
  </si>
  <si>
    <t>Diffraction theory | FDTD | Terahertz antenna with si lens</t>
  </si>
  <si>
    <t>A three dimensional finite difference time domain (FDTD) technique is applied to analyze the propagation characteristics of terahertz (THz) antenna whose dimension is smaller than the wavelength. A diffraction theory is also utilized with the FDTD technique for observing the far-field dispersion and attenuation of radiation from the THz antenna with a hyper-hemispherical silicon lens which is much larger than the wavelength. The signal degradation effects due to misalignment between the antenna and silicon lens are also characterized. ¬© 2000 IEEE.</t>
  </si>
  <si>
    <t>946-950</t>
  </si>
  <si>
    <t>60013682-60027652;60013682-60027652;60013682-60027652;60013682-60027652</t>
  </si>
  <si>
    <t>34879664800;7005482442;56044432200;7401984658</t>
  </si>
  <si>
    <t>Chung, Young Seek;Cheon, Changyul;Son, Joo Hiuk;Hahn, Song Yop</t>
  </si>
  <si>
    <t>University of Seoul;Seoul National University</t>
  </si>
  <si>
    <t>60027652;60013682</t>
  </si>
  <si>
    <t>Chung Y.</t>
  </si>
  <si>
    <t>FDTD analysis of propagation characteristics of tera-hertz electromagnetic pulses</t>
  </si>
  <si>
    <t>S0018946400056478</t>
  </si>
  <si>
    <t>10.1109/20.877598</t>
  </si>
  <si>
    <t>2-s2.0-33747898245</t>
  </si>
  <si>
    <t>This paper deals with the modeling of the susceptibility of electric circuits. A thin-wire time-domain integral formulation based on the antenna theory is used to calculate both conducted current due to a voltage generator and induced current due to an electromagnetic perturbation. Special numerical treatment is used for angular points and multiple junctions in the electric circuit. Voltage source can be inserted in the model. Non linear components, such as diodes or transistors, are described under their high frequency behavior. ¬© 2000 IEEE.</t>
  </si>
  <si>
    <t>956-959</t>
  </si>
  <si>
    <t>60030981;60030981;60030981</t>
  </si>
  <si>
    <t>Ecully</t>
  </si>
  <si>
    <t>√âcole Centrale de Lyon</t>
  </si>
  <si>
    <t>S0018946400056454</t>
  </si>
  <si>
    <t>10.1109/20.877600</t>
  </si>
  <si>
    <t>2-s2.0-33747915328</t>
  </si>
  <si>
    <t>Biom√©dical applications of electromagnetic radiation | Hyperthermia | Microwave antennas | Moment methods</t>
  </si>
  <si>
    <t>In the present work the synthesis of an array antenna for hyperthermia treatment is developed. The selected antenna is an array antenna surrounded by a semicircular reflector which has shown to ease the penetration and focalization in malignant biological tissues. A bolus is introduced as a protection in order to avoid an increasing heat hazard of superficial healthy tissues. The electric field within the biological medium will be modeled by means of the well known method of moments. The electromagnetic coupling problem is expressed in a closed form, enabling both a synthesis and an optimization procedure to be performed. Numerical results are included, illustrating the capabilities of the array antenna. ¬© 2000 IEEE.</t>
  </si>
  <si>
    <t>1692-1695</t>
  </si>
  <si>
    <t>Sabariego R.</t>
  </si>
  <si>
    <t>S0018946400049669</t>
  </si>
  <si>
    <t>10.1109/20.877768</t>
  </si>
  <si>
    <t>2-s2.0-33747947033</t>
  </si>
  <si>
    <t>Finite element methods | Log periodic antennas | Modeling | Time domain analysis</t>
  </si>
  <si>
    <t>In this paper an implicit Finite Element Time Domain (FETD) method is applied to the computation of the electromagnetic fields emitted by a commercial broadband log periodic antenna. The method is based on a Whitney edge finite element scheme for the space discretization together with a Newmark algorithm and a Krylov solver for the time integration. Global antenna performances are deduced thanks to a discrete Fourier Transform and a boundary element extrapolation, and are compared with experimental data. ¬© 2000 IEEE.</t>
  </si>
  <si>
    <t>888-891</t>
  </si>
  <si>
    <t>60000251-60000964;60000251;60000251;60000251</t>
  </si>
  <si>
    <t>A FETD approach for the modeling of antennas</t>
  </si>
  <si>
    <t>S0018946400069739</t>
  </si>
  <si>
    <t>10.1109/20.877586</t>
  </si>
  <si>
    <t>2-s2.0-33747953750</t>
  </si>
  <si>
    <t>Corrugated rod antennas | Dielectric antennas | Endfire antennas | Polyrod antennas | Slow wave structures</t>
  </si>
  <si>
    <t>88-91</t>
  </si>
  <si>
    <t>Littleton</t>
  </si>
  <si>
    <t>Milligan and Associates</t>
  </si>
  <si>
    <t>Design of polyrod and corrugated-rod antennas</t>
  </si>
  <si>
    <t>10.1109/74.826350</t>
  </si>
  <si>
    <t>2-s2.0-33748250674</t>
  </si>
  <si>
    <t>['various parameters', 'tuning range', 'radiated power', 'millimetre range', 'marked improvement', 'circuit concept', 'bias voltage', '614 mhz', '1 vswr']</t>
  </si>
  <si>
    <t>An IMPATT diode integrated rectangular patch is theoretically investigated based on the circuit concept in the millimetre range. The various parameters of the antenna are found to depend on the bias voltage and there is marked improvement in the tuning range, radiated power and bandwidth. The antenna exhibits bandwidths of 20% for 1.5:1 VSWR and 35% for 2:1 VSWR. The antenna shows frequency agility for a band of 614 MHz, i.e. 1.7837 % band.</t>
  </si>
  <si>
    <t>357-362</t>
  </si>
  <si>
    <t>Indian Journal of Radio and Space Physics</t>
  </si>
  <si>
    <t>36841913800;7003714798</t>
  </si>
  <si>
    <t>Nayak, Anjali;Vishvakarma, Babau R.</t>
  </si>
  <si>
    <t>Nayak A.</t>
  </si>
  <si>
    <t>IMPATT integrated active microstrip antenna</t>
  </si>
  <si>
    <t>2-s2.0-33748722251</t>
  </si>
  <si>
    <t>['theoretical investigations', 'patches typically', 'mutual coupling', 'loaded patch', 'ge tunnel', 'gaas tunnel', 'bias voltage', 'also observed', '9975 ghz', '95 db', '729 ghz', '694 ghz', '0002 ghz']</t>
  </si>
  <si>
    <t>Theoretical investigations were carried out on the GaAs and Ge tunnel-diode-loaded patch with one parasitic element. It has been found that the radiated power increases due to mutual coupling between the patches typically by 1.95 dB in case of GaAs tunnel-diode-loaded patch and 5.95 dB in case of Ge tunnel-diode-loaded patch. It is also observed that the antenna can be operated over a range of frequency from 0.9975 GHz to 1.0002 GHz for GaAs tunnel-diode-loaded patch and from 56.694 GHz to 64.729 GHz for Ge tunnel-diode-loaded patch just by varying the bias voltage.</t>
  </si>
  <si>
    <t>349-356</t>
  </si>
  <si>
    <t>57213822533;7003714798</t>
  </si>
  <si>
    <t>Srivastava, Shweta;Vishvakarma, Babau R.</t>
  </si>
  <si>
    <t>Srivastava S.</t>
  </si>
  <si>
    <t>Tunnel diode integrated two-layer microstrip patch antenna</t>
  </si>
  <si>
    <t>2-s2.0-33748725689</t>
  </si>
  <si>
    <t>['walled pegs', 'three segments', 'intersegmental sensilla', 'hair plates', 'either reduction', 'draw conclusions', 'cupolae occurring', 'coeloconic pegs']</t>
  </si>
  <si>
    <t>Antenna | Coccoidea | Coeloconic pegs | Cupolae | Intersegmental sensilla | Markers | Sensilla</t>
  </si>
  <si>
    <t>Hair plates, thin-walled pegs, coeloconic pegs, intersegmental sensilla and cupolae occurring on well developed antennae (of more than three segments) of the Coccoidea (Homoptera: Coccinea) have been regarded as markers indicating individual segments. The pattern of markers was used to draw conclusions about either reduction or fusion of the segments. ¬© Polish Acadcmv of Science Cracow 2000.</t>
  </si>
  <si>
    <t>33-37</t>
  </si>
  <si>
    <t>0001530X</t>
  </si>
  <si>
    <t>Acta Biologica Cracoviensia Series Zoologia</t>
  </si>
  <si>
    <t>Ro≈õciszewska, Maria</t>
  </si>
  <si>
    <t>Krakow</t>
  </si>
  <si>
    <t>Uniwersytet Rolniczy im. Hugona Kollataja w Krakowie</t>
  </si>
  <si>
    <t>Ro≈õciszewska M.</t>
  </si>
  <si>
    <t>Sensory organs on the antennae of females of the superfamily coccoidea (Homoptera: Coccinea) as indicators of morphological changes of these appendages</t>
  </si>
  <si>
    <t>2-s2.0-33749274036</t>
  </si>
  <si>
    <t>29-42</t>
  </si>
  <si>
    <t>Progress in Electromagnetics Research</t>
  </si>
  <si>
    <t>Werner, D. H.</t>
  </si>
  <si>
    <t>Near-field and far-field expansions for traveling-wave circular loop antennas</t>
  </si>
  <si>
    <t>10.2528/PIER99100103</t>
  </si>
  <si>
    <t>2-s2.0-34147188286</t>
  </si>
  <si>
    <t>['velocity fluctuations', 'velocities parallel', 'theoretical estimates', 'temporal cross', 'sufficiently higher', 'spaced antennas', 'skewness theoretically', 'skewness parameter', 'regular drift', 'random motions', 'observed skewness', 'observational data', 'measured skewness', 'like irregularities', 'latitude observations', 'enhanced skewness', 'correlation function', 'copyright 2000', 'caused mainly', 'additional effects', '932 mhz', '327 mhz', '3 au', '2 au', '1996 ].']</t>
  </si>
  <si>
    <t>The skewness of the temporal cross-correlation function of radio scintillation observed simultaneously at spaced antennas is considered as characteristic of random motions in the turbulent solar wind. The results of the skewness measurements using radio telescopes of Solar-Terrestrial Environment Laboratory at 327 MHZ and European Incoherent Scatter facilities at 932 MHZ in the range of heliocentric distances 0.1-0.3 AU were presented by Misawa and Kojima [1996]. The measured skewness was sufficiently higher for the fast solar wind than for the slow wind inside 0.2 AU. We considered the skewness theoretically, taking into account the possible physical reasons of velocity fluctuations in drifting scintillation patterns. It is shown that the skewness is proportional to typical relative variance of velocities parallel to regular drift as in the case of frozen-in irregularities and in the case of wave-like irregularities. The skewness parameter is not sensitive to the random velocities transversal to the average pattern velocity. The theoretical estimates are compared to the observational data. It is shown that the observed skewness is caused mainly by the bulk velocity spread in the region outside heliocentric distance 0.2 AU. The enhanced skewness between 0.1 and 0.2 AU can be explained by the additional effects of fast magnetosonic waves. The attributes of the assumed fast magnetosonic waves are pronounced more strongly in the high-latitude observations of the fast solar wind streams than in low-latitude observations of the slow solar wind. Copyright 2000 by the American Geophysical Union.</t>
  </si>
  <si>
    <t>27409-27417</t>
  </si>
  <si>
    <t>2000JA900107</t>
  </si>
  <si>
    <t>A12</t>
  </si>
  <si>
    <t>60009114;60009114;60000264;60008435</t>
  </si>
  <si>
    <t>7003857647;7005097259;7402179755;55372825900</t>
  </si>
  <si>
    <t>Chashei, I. V.;Shishov, V. I.;Kojima, M.;Misawa, H.</t>
  </si>
  <si>
    <t>Russian Federation;Japan;Japan</t>
  </si>
  <si>
    <t>Moscow;Sendai;Nagoya</t>
  </si>
  <si>
    <t>P.N. Lebedev Physical Institute of the Russian Academy of Sciences;Tohoku University;Nagoya University</t>
  </si>
  <si>
    <t>60009114;60008435;60000264</t>
  </si>
  <si>
    <t>Chashei I.V.</t>
  </si>
  <si>
    <t>Velocity fluctuations in the interplanetary scintillation pattern</t>
  </si>
  <si>
    <t>10.1029/2000ja900107</t>
  </si>
  <si>
    <t>2-s2.0-39449113546</t>
  </si>
  <si>
    <t>['x per', 'synchrotron losses', 'ss 433', 'ryle telescope', 'report millimetre', 'millimetre measurements', 'march 20', 'iram 30', 'inverse compton', 'grs 1915', 'flare decay', 'cygnus x', 'centimetre observations', 'adiabatic expansion', '3 ghz', '250 ghz', '25 mm', '15 ghz']</t>
  </si>
  <si>
    <t>Radio continuum: stars | Stars: individual: Cygnus X-1 | Stars: individual: Cygnus X-3 | Stars: individual: GRS 1915+105 | Stars: individual: LSI+61¬∞303 | Stars: individual: SS 433</t>
  </si>
  <si>
    <t>We report millimetre-wave continuum observations of the X-ray binaries Cygnus X-3, SS 433, LSI+61¬∞303, Cygnus X-1 and GRS 1915+105. The observations were carried out with the IRAM 30 m-antenna at 250 GHz (1.25 mm) from 1998 March 14 to March 20. These millimetre measurements are complemented with centimetre observations from the Ryle Telescope, at 15 GHz (2.0 cm), and from the Green Bank Interferometer at 2.25 and 8.3 GHz (13 and 3.6 cm). Both Cygnus X-3 and SS 433 underwent moderate flaring events during our observations, whose main spectral evolution properties are described and interpreted. A significant spectral steepening was observed in both sources during the flare decay, that is likely to be caused by adiabatic expansion, inverse Compton and synchrotron losses. Finally, we also report 250 GHz upper limits for three additional undetected X-ray binary stars: LSI+65¬∞010, LSI+61¬∞235 and X Per.</t>
  </si>
  <si>
    <t>60001576;60014586;60001576-60002306;60101780;60121493-60020179</t>
  </si>
  <si>
    <t>7004818506;7202923600;6603699672;7005752307;7005150281</t>
  </si>
  <si>
    <t>Paredes, J. M.;Mart√≠, J.;Peracaula, M.;Pooley, G.;Mirabel, I. F.</t>
  </si>
  <si>
    <t>France;United Kingdom;Argentina;Spain;Canada;Spain</t>
  </si>
  <si>
    <t>Gif-sur-Yvette;Cambridge;Buenos Aires;Jaen;Calgary;Barcelona</t>
  </si>
  <si>
    <t>D√©partement d‚ÄòAstrophysique;Mullard Radio Astronomy Observatory;Instituto de Astronom√≠a y F√≠sica del Espacio;Universidad de Ja√©n;University of Calgary;Universitat de Barcelona</t>
  </si>
  <si>
    <t>60121493;60101780;60020179;60014586;60002306;60001576</t>
  </si>
  <si>
    <t>Paredes J.M.</t>
  </si>
  <si>
    <t>Exploring the high frequency emission of radio loud X-ray binaries</t>
  </si>
  <si>
    <t>2-s2.0-4043081842</t>
  </si>
  <si>
    <t>['two detections', 'therefore capable', 'simulations suggest', 'rotation periods', 'periods equal', 'mean ellipticity', 'gaussian distribution', 'expected number', '3 yr', '290 ms']</t>
  </si>
  <si>
    <t>Gravitational waves | Stars: pulsars: general</t>
  </si>
  <si>
    <t>We report a new pulsar population synthesis based on Monte Carlo techniques, aiming to estimate the contribution of galactic radio pulsars to the continuous gravitational wave emission. Assuming that the rotation periods of pulsars at birth have a Gaussian distribution, we find that the average initial period is 290 ms. The number of objects with periods equal to or less than 0.4 s, and therefore capable of being detected by an interferometric gravitational antenna like VIRGO, is of the order of 5100-7800. With integration times lasting between 2 and 3 yr, our simulations suggest that about two detections should be possible, if the mean equatorial ellipticity of the pulsars is Œµ = 10-6. A mean ellipticity an order of magnitude higher increases the expected number of detections to 12-18, whereas for Œµ &lt; 10-6, no detections are expected.</t>
  </si>
  <si>
    <t>242-250</t>
  </si>
  <si>
    <t>60010513;60010513</t>
  </si>
  <si>
    <t>10640119500;7003474431</t>
  </si>
  <si>
    <t>Regimbau, T.;De Freitas Pacheco, J. A.</t>
  </si>
  <si>
    <t>Observatoire de la C√¥te d'Azur</t>
  </si>
  <si>
    <t>Regimbau T.</t>
  </si>
  <si>
    <t>Gravitation wave emission from radio pulsars revisited</t>
  </si>
  <si>
    <t>2-s2.0-4243569641</t>
  </si>
  <si>
    <t>Antenna arrays | Formal languages | Genetic algorithms | Linear arrays | Optimization methods | Topology</t>
  </si>
  <si>
    <t>92-100</t>
  </si>
  <si>
    <t>60008724;60008724</t>
  </si>
  <si>
    <t>7404231822;7004721662</t>
  </si>
  <si>
    <t>Jones, Eric A.;Joines, William T.</t>
  </si>
  <si>
    <t>Durham</t>
  </si>
  <si>
    <t>Duke University</t>
  </si>
  <si>
    <t>Jones E.</t>
  </si>
  <si>
    <t>Genetic design of linear antenna arrays</t>
  </si>
  <si>
    <t>10.1109/74.848962</t>
  </si>
  <si>
    <t>2-s2.0-4544328626</t>
  </si>
  <si>
    <t>['tangential components', 'surrounding area', 'radiation pattern', 'principal problems', 'outside sources', 'far zone', 'electromagnetic field', 'copyright smbo', 'boundary conditions', 'atomic functions', 'applied problems', 'antennas theory', 'antenna theory', 'analysis follows']</t>
  </si>
  <si>
    <t>Antenna analysis and synthesis | Antenna theory | Approximation | Atomic functions | Boundary value problem | Computational electromagnetic | Current distribution | Numerical method | Radiation pattern</t>
  </si>
  <si>
    <t>The work is devoted to analysis of Atomic Functions (AF) applications to principal problems of antennas theory. The analysis follows the result of the solution of some applied problems, such as is to determine the field of antenna in the far zone when the distribution of the current or the tangential components of the electromagnetic field on the surface of antenna is known, and of synthesis is to determine a current (or a field) in the antenna by means of radiation pattern in the zone, and boundary value problems of the antenna theory is to determine the field in antenna and surrounding area when excitation by outside sources and boundary conditions are known. Copyright SMBO.</t>
  </si>
  <si>
    <t>60023857;60029225-60000308</t>
  </si>
  <si>
    <t>55664817500;55943071100</t>
  </si>
  <si>
    <t>Fernandes, Humberto C√©sar C.;Kravchenko, Victor F.</t>
  </si>
  <si>
    <t>Russian Federation;Brazil;Russian Federation</t>
  </si>
  <si>
    <t>Moscow;Natal;Dolgoprudny</t>
  </si>
  <si>
    <t>Kotelnikov Institute of Radioengineering and Electronics (IRE) of Russian Academy of Sciences;Universidade Federal do Rio Grande do Norte;Moscow Institute of Physics and Technology</t>
  </si>
  <si>
    <t>60029225;60023857;60000308</t>
  </si>
  <si>
    <t>Applications of the atomic functions in the antennas theory</t>
  </si>
  <si>
    <t>2-s2.0-52849138482</t>
  </si>
  <si>
    <t>['well suited', 'wavelength spacing', 'trivial task', 'process involves', 'optimization procedures', 'optimization problems', 'latter stage', 'isotropic elements', 'fundamental limitation', 'finite number', 'examples given', 'direct synthesis', 'desired patterns', 'continually updated', 'array patterns', 'array pattern']</t>
  </si>
  <si>
    <t>Antenna arrays | Antenna radiation patterns | Circuit simulation | Optimization methods</t>
  </si>
  <si>
    <t>The shaping of complex-antenna array patterns is not a trivial task. If direct synthesis is not possible, the process involves an appropriate mathematical formulation, followed by a suitable optimization routine. The purpose of this note has been to point out that the latter stage is well suited to the optimization procedures that exist in modem circuit simulators. Of course, not all desired patterns can be achieved with a finite number of elements. As the optimization process proceeds, the array pattern is continually updated on the display, and the goals can be modified, if desired. Although the examples given have been for isotropic elements at half-wavelength spacing, neither of those conditions is a fundamental limitation. The subject of this note has been antenna-array patterns. However, the circuit-simulator technique could probably be applied to many other optimization problems.</t>
  </si>
  <si>
    <t>62-65</t>
  </si>
  <si>
    <t>McDonald, Noel</t>
  </si>
  <si>
    <t>Radio Frequency Systems Pty. Ltd.</t>
  </si>
  <si>
    <t>McDonald N.</t>
  </si>
  <si>
    <t>The use of circuit simulators for array-pattern modeling and optimization</t>
  </si>
  <si>
    <t>10.1109/74.842125</t>
  </si>
  <si>
    <t>2-s2.0-7244249961</t>
  </si>
  <si>
    <t>['wave antenna', 'ultrasound systems', 'nondestructive testing', 'field structure', 'experimental studies', 'distributed flexural', 'acoustical transformation']</t>
  </si>
  <si>
    <t>We present the results of theoretical and experimental studies of the field structure of a distributed flexural-wave antenna. The efficiency of mechanical-acoustical transformation in such an antenna and the prospects for its applications in ultrasound systems of nondestructive testing are estimated.</t>
  </si>
  <si>
    <t>1100-1108</t>
  </si>
  <si>
    <t>60011774;60008673;60008673</t>
  </si>
  <si>
    <t>8210578600;6507591103;7005593532</t>
  </si>
  <si>
    <t>Muyakshin, S. I.;Odnosevtsev, V. A.;Orlov, I. Ya</t>
  </si>
  <si>
    <t>Nizhny Novgorod;Nizhny Novgorod</t>
  </si>
  <si>
    <t>Institute of Applied Physics of the Russian Academy of Sciences;Lobachevsky State University of Nizhni Novgorod</t>
  </si>
  <si>
    <t>60011774;60008673</t>
  </si>
  <si>
    <t>Muyakshin S.I.</t>
  </si>
  <si>
    <t>Using flexural waves to create acoustic transducers for nondestructive-test systems</t>
  </si>
  <si>
    <t>10.1023/A:1010428824574</t>
  </si>
  <si>
    <t>2-s2.0-85050189075</t>
  </si>
  <si>
    <t>00‚Äì02‚Äì17655</t>
  </si>
  <si>
    <t>['type iiid', 'transient response', 'time splitting', 'time profile', 'time delay', 'term flare', 'summer 1992', 'subluminal velocity', 'strong influence', 'solar corona', 'solar atmosphere', 'second peak', 'scale trajectory', 'rather long', 'radio burst', 'radically change', 'prove experimentally', 'pronounced echo', 'probably motionless', 'peak profile', 'peak bursts', 'one location', 'middle corona', 'large number', 'july 6', 'indirect rays', 'front precursor', 'first time', 'events appeared', 'direct observations', 'corona near', 'considerable extent', 'complex double', 'central region', 'celestial sphere', 'bimodal burst', 'active region', '25 mhz']</t>
  </si>
  <si>
    <t>We prove experimentally the possibility of direct observations of natural radio echoes on the Sun. The generally simple echo hypothesis on the origin of the time splitting in solar type IIId radio bursts sustained the crucial experimental test. These conclusions are based on both the new positional data and previous information obtained using the UTR-2 antenna system in different years since 1973. In summer 1992, we were able to register for the first time a large number of decameter type IIId bursts with pronounced echo-like components using a radioheliograph at frequencies of 20 and 25 MHz. Elementary (quasi-monochromatic) sources of the short-lived bimodal type IIId bursts were observed especially often on July 6. In this case, the time delay of the second peak, which depends on the heliolongitude of the active region, reached a maximum of about 7 s. All these double-peak bursts were localized in the central region of the solar corona, and, similar to the case of single-pulse ‚Äúlimb‚Äù type IIId bursts at a given radio frequency f, the observed elementary sources of these events appeared to be nonstationary. Such a dynamic pulsating source can radically change, at least once, its location in the celestial sphere in the field of view of a two-dimensional radio heliograph during the burst lifetime œÑŒ£. While decaying, an echo-like burst formed rather slowly may abruptly jump from one location to another. As far as its short (3-to 4-s) steep-front precursor is concerned, its visible source behaved usually as an ephemeral subor ultrarelativistic object moving at a subluminal velocity over a global-scale trajectory. To all appearances, a twice-pulsing, narrow-band (‚àÜf/f ‚àº0.01) radio burst with an intensity-time profile of type IIId is generally a rather long-term (œÑŒ£ ‚âà 10 ‚àí 20 s) transient response of the solar atmosphere to the short-term flare of harmonic radio emission generated in the real (probably motionless and compact) source. This complex double-peak profile is due not only to the existence of a reflecting surface deep in the corona near the corresponding plasma level but also, to a considerable extent, to some opaque or semi-transparent structures located at heights of the middle corona. In particular, due to the strong influence of such structures, a coronal primary source of a bimodal burst can be seen on the Earth in some indirect rays before the solar radio echo and has the form of an additional delayed pulse.</t>
  </si>
  <si>
    <t>923-937</t>
  </si>
  <si>
    <t>100475270;100475270;60008673</t>
  </si>
  <si>
    <t>6602712774;6506613157;6507347221</t>
  </si>
  <si>
    <t>Abranin, P.;Bazelyan, L. L.;Tsybko, Ya G.</t>
  </si>
  <si>
    <t>Russian Federation;Ukraine</t>
  </si>
  <si>
    <t>Nizhny Novgorod;Kharkov</t>
  </si>
  <si>
    <t>Lobachevsky State University of Nizhni Novgorod;Radioastronomical Institute</t>
  </si>
  <si>
    <t>60008673;100475270</t>
  </si>
  <si>
    <t>Abranin P.</t>
  </si>
  <si>
    <t>Amplitude profiles of solar type IIID radio bursts with echo components and the global dislocation of their elementary quasi-monochromatic sources</t>
  </si>
  <si>
    <t>10.1023/A:1010419105010</t>
  </si>
  <si>
    <t>2-s2.0-85050223178</t>
  </si>
  <si>
    <t>['simulations validation', 'significant role', 'shaped slot', 'results measured', 'plate geometry', 'paper describes', 'novel top', 'novel dual', 'frequency bands', 'f antenna', '2 ghz']</t>
  </si>
  <si>
    <t>Antennas | Dual-band antennas | Handset antennas | Printed antennas | Slot antennas | Wireless communications</t>
  </si>
  <si>
    <t>The development of small integrated antennas plays a significant role in the progress of rapidly expanding wireless communication applications. This paper describes a novel dual-band planar inverted-F antenna (PIFA) for wireless local area network applications. The proposed PIFA uses single feed only. A novel top-plate geometry, a U-shaped slot, is discussed. An example is given for this novel slot shape for frequency bands of 2.4 and 5.2 GHz. Simulation based upon method of moments (MoM) is used to model the performance of the antenna. Comparisons with results measured on fabricated antenna structures are provided for simulations validation. ¬© 2000 IEEE.</t>
  </si>
  <si>
    <t>1262-1264</t>
  </si>
  <si>
    <t>60011170;60011170;60011170</t>
  </si>
  <si>
    <t>7003765787;6603393776;6604053043</t>
  </si>
  <si>
    <t>Salonen, Pekka;Keskilammi, Mikko;Kivikoski, Markku</t>
  </si>
  <si>
    <t>Tampere</t>
  </si>
  <si>
    <t>Tampereen Yliopisto</t>
  </si>
  <si>
    <t>Salonen P.</t>
  </si>
  <si>
    <t>Single-feed dual-band planar inverted-f antenna with u-shaped slot</t>
  </si>
  <si>
    <t>S0018926X00076985</t>
  </si>
  <si>
    <t>10.1109/8.884498</t>
  </si>
  <si>
    <t>2-s2.0-9744270838</t>
  </si>
  <si>
    <t>Human Frontier Science Program</t>
  </si>
  <si>
    <t>HFSP</t>
  </si>
  <si>
    <t>['three subsets', 'specific domains', 'sensory precursors', 'patterning genes', 'drosophila antenna', 'coeloconic sensilla', 'basic helix', 'antennal disc']</t>
  </si>
  <si>
    <t>Antennal disc | Atonal | Coeloconic sensilla | Cubitus interruptus | Drosophila | Epidermal growth factor receptor | Hedgehog | Olfactory sense organs | Proneural genes | Wingless</t>
  </si>
  <si>
    <t>We have shown that the basic helix-loop-helix transcription factor Atonal is sufficient for specification of one of the three subsets of olfactory sense organs on the Drosophila antenna. Misexpression of Atonal in all sensory precursors in the antennal disc results in their conversion to coeloconic sensilla. The mechanism by which specific sense organ fate is triggered remains unclear. We have shown that the homeodomain transcription factor Cut which acts in the chordotonal-external sense organ choice does not play a role in olfactory sense organ development. The expression of atonal in specific domains of the antennal disc is regulated by an interplay of the patterning genes, Hedgehog and Wingless, and Drosophila epidermal growth factor receptor pathway. (C) 2000 Elsevier Science Ireland Ltd.</t>
  </si>
  <si>
    <t>60031855;60031855;60031855;60031855-60005502</t>
  </si>
  <si>
    <t>6603169112;36931150500;57197497276;7101600442</t>
  </si>
  <si>
    <t>Jhaveri, Dhanisha;Sen, Anindya;Reddy, G. Venugopala;Rodrigues, Veronica</t>
  </si>
  <si>
    <t>Jhaveri D.</t>
  </si>
  <si>
    <t>Sense organ identity in the Drosophila antenna is specified by the expression of the proneural gene atonal</t>
  </si>
  <si>
    <t>S0925477300004871</t>
  </si>
  <si>
    <t>10.1016/S0925-4773(00)00487-1</t>
  </si>
  <si>
    <t>2-s2.0-0033738258</t>
  </si>
  <si>
    <t>['successive pairs', 'standard techniques', 'smirnov test', 'signal subspace', 'sequential comparison', 'rank estimation', 'rank detection', 'ordered eigenvalues', 'noise parameters', 'effective rank', 'e .,', 'dimensional signal', 'crucial step', 'array covariance', 'alternative scheme', 'actual distributions']</t>
  </si>
  <si>
    <t>A crucial step in many signal processing applications is the determination of the effective rank of a noise corrupted multi-dimensional signal, i.e., the dimension of the signal subspace. Standard techniques for rank estimation, such as the minimum description length, often have shortcomings in practice, an example being when noise parameters are unknown. An alternative scheme is proposed for rank detection. From successive pairs of the ordered eigenvalues of the array covariance, a series of statistics is formed. The statistics are chosen such that their distributions for noise eigenvalue pairs are close. The actual distributions are unknown and are estimated with the Bootstrap. The rank is then found by a sequential comparison of the estimated distributions using a Kolmogorov-Smirnov test.</t>
  </si>
  <si>
    <t>94-98</t>
  </si>
  <si>
    <t>60031226;60031226;60031226</t>
  </si>
  <si>
    <t>6603066853;6603064674;35584414100</t>
  </si>
  <si>
    <t>Pelin, Per;Brcich, Ramon;Zoubir, Abdelhak</t>
  </si>
  <si>
    <t>Pelin P.</t>
  </si>
  <si>
    <t>Bootstrap technique for rank estimation</t>
  </si>
  <si>
    <t>2-s2.0-0033665624</t>
  </si>
  <si>
    <t>['œ ±', 'virtual arrays', 'sources œº', 'smallest eigenvalues', 'noninteger values', 'new approach', 'models describe', 'missing elements', 'likelihood ratio', 'initialised doa', 'etc .)', 'estimation problem', 'completion philosophy', 'candidate number', 'candidate model', 'approach considers', 'allow us', 'actual number']</t>
  </si>
  <si>
    <t>We introduce a new approach for the detection-estimation problem for sparse linear antenna arrays comprising M identical sensors whose positions may be noninteger values (expressed in half-wavelength units). This approach considers the (noninteger) M Œ±-element co-array as the most appropriate virtual array to be used in connection with the augmented covariance matrix. Since the covariance matrix derived from such virtual arrays are usually very underspecified, we discuss a maximum-likelihood (ML) completion philosophy to fill in the missing elements of the partially specified Hermitian covariance matrix. Next, a transformation of the resulting unstructured ML matrix results in a sequence of properly structured positive-definite Hermitian matrices, each with their (M Œ± - Œº) smallest eigenvalues being equal, appropriate for the candidate number of sources Œº. For each candidate model (Œº = 1, ..., M Œ±-1), we then find the set of directions-of-arrival (DOA's) and powers that yield the minimum fitting error for the specified covariance lags in the neighbourhood of the MUSIC-initialised DOA's. Finally, these models describe a hypothesis with respect to the actual number of sources, and allow us to select the 'best' hypothesis using traditional information criteria (AIC, MDL, MAP, etc.) that are based on likelihood ratio.</t>
  </si>
  <si>
    <t>99-103</t>
  </si>
  <si>
    <t>100323413;100323413</t>
  </si>
  <si>
    <t>Cooperative Research Cent for Sensor</t>
  </si>
  <si>
    <t>Detection-estimation of more uncorrelated sources than sensors in noninteger sparse linear antenna arrays</t>
  </si>
  <si>
    <t>2-s2.0-0033666578</t>
  </si>
  <si>
    <t>['various modes', 'obtained results', 'good agreement', 'gap widths', 'air gap']</t>
  </si>
  <si>
    <t>In this study, a new and simple effective permittivity expression for a microstrip ring antenna including an air gap is presented and used to produce new resonant frequency results. It is shown that the obtained results are in good agreement with the experiments for various modes and gap widths.</t>
  </si>
  <si>
    <t>238-240</t>
  </si>
  <si>
    <t>Gurel, Cigdem S.;Yazgan, Erdem</t>
  </si>
  <si>
    <t>Gurel C.</t>
  </si>
  <si>
    <t>Simple determination of effective permittivity and resonant frequency of a microstrip ring antenna including air gap</t>
  </si>
  <si>
    <t>2-s2.0-0033682357</t>
  </si>
  <si>
    <t>['urban microcell', 'simple technique', 'resulting signal', 'radio communications', 'radio channel', 'phase properties', 'one possibility', 'multipath propagation', 'mobile communications', 'free space', 'element array', 'diversity techniques', 'different directions', 'complicated due', 'coherent sum', 'binomial arrays', 'beams could']</t>
  </si>
  <si>
    <t>If two in-phase plane waves arrive at an antenna from different directions, the resulting signal is not necessarily the coherent sum of the two incoming signals. This is due to the fact that the antenna radiation pattern is actually a complex quantity containing amplitude and phase properties. Thus, it can be stated that antenna phase characteristics may vary as a function of direction. In free space, the antenna phase pattern does not have any role in radio communications in contrast to mobile communications in an urban microcell where the radio channel is very complicated due to multipath propagation. Array antennas offer possibilities to control its phase properties in transmission and reception, which offer a simple technique to improve the combination of received multipath signal components. Binomial arrays are one possibility to implement similar directive beams which, however, have different phase patterns compared to each other. A set of these beams could be used in a discretely optimizing receiver system much in the same way as other diversity techniques are used. A four-element array and results from a microcell radio channel environment simulation are presented as a demonstration of this technique.</t>
  </si>
  <si>
    <t>698-705</t>
  </si>
  <si>
    <t>60103653;60098468;60103653</t>
  </si>
  <si>
    <t>7006057892;7003588789;6701665490</t>
  </si>
  <si>
    <t>Juntunen, Juha O.;Nikoskinen, Keijo I.;Heiska, Kari J.M.</t>
  </si>
  <si>
    <t>Binomial array as a multistate phase diversity antenna</t>
  </si>
  <si>
    <t>10.1109/25.845088</t>
  </si>
  <si>
    <t>2-s2.0-0033685801</t>
  </si>
  <si>
    <t>TES</t>
  </si>
  <si>
    <t>['time characterization', 'test measurements', 'spatial properties', 'spatial domain', 'paper describes', 'mobile terminals', 'mobile terminal', 'measurement system', 'makes real', 'including polarization', 'highly valuable', 'dynamic range', 'designing antennas', 'complete real', 'anechoic chamber', '12 db']</t>
  </si>
  <si>
    <t>This paper describes a measurement system enabling the complete real-time characterization of the wideband radio channel. The system is based on a wideband radio channel sounder and a spherical antenna array, and it aims to describe the three-dimensional (3-D) spatial radio channel seen by the mobile terminal, including polarization. This information is highly valuable in designing antennas for mobile terminals. The spatial properties of the measurement system are analyzed through test measurements in an anechoic chamber. The system has a 40¬∞ spatial resolution and a 17 dB cross polarization discrimination. The values are well above those of a small mobile terminal antenna. The dynamic range in the spatial domain is 12 dB. The measurement is very fast, which makes real-time channel acquisition practical at normal mobile speeds.</t>
  </si>
  <si>
    <t>439-448</t>
  </si>
  <si>
    <t>60103653-60026638;60033191;60033191;60000251-60103653</t>
  </si>
  <si>
    <t>6603078359;57197443598;6602972521;7005441452</t>
  </si>
  <si>
    <t>Kalliola, Kimmo;Laitinen, Heikki;Vaskelainen, Leo I.;Vainikainen, Pertti</t>
  </si>
  <si>
    <t>Finland;Finland;Finland;United States</t>
  </si>
  <si>
    <t>Espoo;Espoo;Espoo;New York</t>
  </si>
  <si>
    <t>Aalto University;VTT Technical Research Centre of Finland;Nokia Corporation;IEEE</t>
  </si>
  <si>
    <t>60103653;60033191;60026638;60000251</t>
  </si>
  <si>
    <t>Kalliola K.</t>
  </si>
  <si>
    <t>Real-time 3-D spatial-temporal dual-polarized measurement of wideband radio channel at mobile station</t>
  </si>
  <si>
    <t>10.1109/19.843093</t>
  </si>
  <si>
    <t>2-s2.0-0033685906</t>
  </si>
  <si>
    <t>['whole bandwidth', 'two loss', 'tie elements', 'remarkable features', 'orientation across', 'low reverberation', 'low cross', 'loaded bow', 'input impedance', 'high bandwidth', 'ground surface', 'experimental results', 'antenna pair', '40 ¬∞', '100 ¬∞', '0 dbi']</t>
  </si>
  <si>
    <t>Experimental results from a novel compact transmit/receive antenna pair consisting of two loss-loaded bow-tie monopole antennas are described. Instead of using a distributed resistive loading of the antenna, a broadband microwave absorber is applied as a lossy dielectric loading of the bow-tie elements. The antenna pair has a number of remarkable features. It is characterized by a high bandwidth (400-6000 MHz), a low cross-coupling, and a sharp impulse response with low reverberation. The radiation pattern maintains the same shape and orientation across the whole bandwidth, with an E-plane beamwidth ranging from 100¬∞ to 40¬∞ and a maximum antenna gain of -3.0 dBi. The input impedance is resistive, and has a value of 75 Œ© over a wide frequency range. Furthermore, the input impedance is not affected by the presence of the soil when the antenna is placed on the ground surface.</t>
  </si>
  <si>
    <t>231-235</t>
  </si>
  <si>
    <t>Eide, E. S.</t>
  </si>
  <si>
    <t>Trondheim</t>
  </si>
  <si>
    <t>Norges Teknisk-Naturvitenskapelige Universitet</t>
  </si>
  <si>
    <t>Eide E.</t>
  </si>
  <si>
    <t>Ultra-wideband transmit/receive antenna pair for ground penetrating radar</t>
  </si>
  <si>
    <t>10.1049/ip-map:20000403</t>
  </si>
  <si>
    <t>2-s2.0-0033686395</t>
  </si>
  <si>
    <t>['novel technique', 'cost effective', '10 ghz']</t>
  </si>
  <si>
    <t>A novel technique for measuring integrated circuit (IC) package shielding effectiveness is presented. The technique is based on radiated field measurements performed with an integrated circuit antenna in a Gigahertz transverse electromagnetic (GTEM) cell. A thorough test procedure which takes into account all possible field contributions is proposed. The technique is simple to implement, cost effective, and suitable for characterizing IC package shielding effectiveness up to 10 GHz.</t>
  </si>
  <si>
    <t>409-412</t>
  </si>
  <si>
    <t>60028897;60030813;60030813</t>
  </si>
  <si>
    <t>7101953917;7004440714;6602096001</t>
  </si>
  <si>
    <t>Roy, Langis;Rollin, Jacques J.;Arcari, Gianluca</t>
  </si>
  <si>
    <t>Nortel Networks;University of Ottawa</t>
  </si>
  <si>
    <t>60030813;60028897</t>
  </si>
  <si>
    <t>Roy L.</t>
  </si>
  <si>
    <t>Measurement of IC package shielding effectiveness using an integrated antenna</t>
  </si>
  <si>
    <t>10.1109/19.843087</t>
  </si>
  <si>
    <t>2-s2.0-0033687506</t>
  </si>
  <si>
    <t>['viewing angles', 'viewing angle', 'techniques reported', 'suggested corrections', 'simulation approach', 'minor importance', 'method couples', 'method calibrates', 'largely reduced', 'influential factors', 'horizontal inhomogeneity', 'experimental data', 'error sources', 'effective techniques', 'calibration uncertainties', 'calibration process', 'atmospheric opacity', 'atmospheric conditions', '5 k']</t>
  </si>
  <si>
    <t>The tipping-curve calibration method has been an important calibration technique for ground-based microwave radiometers that measure atmospheric emission at low optical depth. The method calibrates a radiometer system using data taken by the radiometer at two or more viewing angles in the atmosphere. In this method, the relationship between atmospheric opacity and viewing angle is used as a constraint for deriving the system calibration response. Because this method couples the system with radiative transfer theory and atmospheric conditions, evaluations of its performance have been difficult. In this paper, first a data-simulation approach is taken to isolate and analyze those influential factors in the calibration process and effective techniques are developed to reduce calibration uncertainties. Then, these techniques are applied to experimental data. The influential factors include radiometer antenna beam width, radiometer pointing error, mean radiating temperature error, and horizontal inhomogeneity in the atmosphere, as well as some other factors of minor importance. It is demonstrated that calibration uncertainties from these error sources can be large and unacceptable. Fortunately, it was found that by using the techniques reported here, the calibration uncertainties can be largely reduced or avoided. With the suggested corrections, the tipping calibration method can provide absolute accuracy of about or better than 0.5 K.</t>
  </si>
  <si>
    <t>1260-1276</t>
  </si>
  <si>
    <t>Han, Yong</t>
  </si>
  <si>
    <t>Han Y.</t>
  </si>
  <si>
    <t>Analysis and improvement of tipping calibration for ground-based microwave radiometers</t>
  </si>
  <si>
    <t>10.1109/36.843018</t>
  </si>
  <si>
    <t>2-s2.0-0033687691</t>
  </si>
  <si>
    <t>['spatial null', 'overall efficiency', 'investigated using', 'human head', 'directional antenna', 'azimuth coverage']</t>
  </si>
  <si>
    <t>A two-element phased antenna array mobile handset is investigated using the MoM/FDTD hybrid method. The array is designed to provide a spatial null in the near field zone in the direction of the human head. Two different phased antenna array geometries are investigated and discussed. Compared with an omni-directional antenna, the overall efficiency and azimuth coverage are improved and the peak specific absorption rate in the head can be reduced by at least 10 dB.</t>
  </si>
  <si>
    <t>147-154</t>
  </si>
  <si>
    <t>7003902501;6602536151;7006824457</t>
  </si>
  <si>
    <t>Abd-Alhameed, Raed A.;Mangoud, Mohab A.;Excell, Peter S.</t>
  </si>
  <si>
    <t>Abd-Alhameed R.</t>
  </si>
  <si>
    <t>Investigations of reduced SAR personal communications handset using hybrid MoM/FDTD technique</t>
  </si>
  <si>
    <t>2-s2.0-0033688214</t>
  </si>
  <si>
    <t>['various kinds', 'reflector composition', 'radiation efficiency', 'magnetic reflector', 'magnetic material', 'human head', 'difference time', 'dielectric material', 'conductive material', '900 mhz']</t>
  </si>
  <si>
    <t>A reflector placed near a cellular telephone antenna is proposed to increase its radiation efficiency. In this study, a half wavelength dipole antenna at 900 MHz is treated as a cellular telephone model and a small plate reflector is placed between the antenna and a human head-sized phantom model. By using the finite-difference time-domain (FDTD) method, various kinds of materials, such as a dielectric material, a magnetic material, and a conductive material, are investigated for the reflector composition. Among them, a magnetic reflector having high Œº‚Ä≤ r and low Œº‚Ä≥ r (complex relative permeability: Œº‚Ä≤ r-jŒº‚Ä≥ r) is shown to be effective for increasing the radiation efficiency.</t>
  </si>
  <si>
    <t>253-263</t>
  </si>
  <si>
    <t>60031293-60009885-113103657;60012461-60032315-60018735-101872012-60031126;60012461</t>
  </si>
  <si>
    <t>6602151132;57080436000;7102587941</t>
  </si>
  <si>
    <t>Hankui, Eiji;Hashimoto, Osamu;Nishizawa, Shinichiro</t>
  </si>
  <si>
    <t>Japan;Japan;Japan;Japan;Japan;Japan;;Japan</t>
  </si>
  <si>
    <t>Chofu;Tokyo;Tokyo;Tokyo;Tokyo;Tokyo;;Yokosuka</t>
  </si>
  <si>
    <t>The University of Electro-Communications;NEC Corporation;Tokyo Institute of Technology;Toshiba Corporation;Aoyama Gakuin University;Tokai University;EMC Engineering Center;Defense Agency</t>
  </si>
  <si>
    <t>60032315;60031293;60031126;60018735;60012461;60009885;113103657;101872012</t>
  </si>
  <si>
    <t>Hankui E.</t>
  </si>
  <si>
    <t>Application of a reflector for increase of the radiation efficiency of cellular telephone antennas</t>
  </si>
  <si>
    <t>10.1002/1099-047X(200007)10:4&lt;253::AID-MMCE6&gt;3.0.CO;2-A</t>
  </si>
  <si>
    <t>2-s2.0-0033688822</t>
  </si>
  <si>
    <t>['target methods', 'successfully applied', 'radiation patterns', 'programme nec2', 'investigations presented', 'improved successfully', 'energy flow', 'array patterns', 'antenna optimization', 'actual problems']</t>
  </si>
  <si>
    <t>The concept of varying the shape of antennas is applied in order to obtain desired radiation characteristics. The investigations presented in the paper are in several aspects based on Landstorfer's early research work on energy flow and antenna optimization. Dipole-fed reflector antennas of moderate electrical size are optimized applying multi-target methods. Known optimization techniques are further developed and applied to the actual problems. Energy flow lines are successfully applied for the analysis of the suitability of the used computation models. Radiation patterns are formed, the bandwidth is increased and array patterns are improved successfully. For the computation of near- and far-fields the programme NEC2 is used.</t>
  </si>
  <si>
    <t>139-145</t>
  </si>
  <si>
    <t>Stocker, Klaus E.</t>
  </si>
  <si>
    <t>Stocker K.</t>
  </si>
  <si>
    <t>Various optimizations of reflector antennas</t>
  </si>
  <si>
    <t>2-s2.0-0033689791</t>
  </si>
  <si>
    <t>MIP 9424305</t>
  </si>
  <si>
    <t>['time variation', 'single antenna', 'simulations illustrate', 'selective fading', 'selective channels', 'modeled deterministically', 'mobile communications', 'joint mitigation', 'induced redundancy', 'high snr', 'existing approaches', 'data points', 'challenging problem', 'blind identification', 'basis expansion', 'approaches developed']</t>
  </si>
  <si>
    <t>Joint mitigation of time- and frequency-selective fading is an important and challenging problem in mobile communications. Relying on transmitter-induced redundancy, we propose novel channel estimation and symbol recovery approaches for blind identification and equalization of time- and frequency-selective channels, where the time variation is modeled deterministically by a basis expansion. The resulting statistical algorithm enables the usage of a single antenna, dispenses with channel disparity conditions of existing approaches, and allows channel order overestimation. In addition, new deterministic algorithms for generalized OFDM systems are introduced that produce reliable estimates with few data points at high SNR's Simulations illustrate the approaches developed.</t>
  </si>
  <si>
    <t>2029-2043</t>
  </si>
  <si>
    <t>6701659788;36049280600</t>
  </si>
  <si>
    <t>Tepedelenlioglu, Cihan;Giannakis, Georgios B.</t>
  </si>
  <si>
    <t>Tepedelenlioglu C.</t>
  </si>
  <si>
    <t>Transmitter redundancy for blind estimation and equalization of time- and frequency-selective channels</t>
  </si>
  <si>
    <t>10.1109/78.847788</t>
  </si>
  <si>
    <t>2-s2.0-0033690695</t>
  </si>
  <si>
    <t>['triggering circuit', 'time sequence', 'threshold level', 'summer 1997', 'spatial dimension', 'sources emitted', 'retrace fast', 'moving electromagnetic', 'memory due', 'lightning discharges', 'large bandwidth', 'get ready', 'field experiment', 'electromagnetic pulse', 'amplitude exceeds', '250 mhz']</t>
  </si>
  <si>
    <t>A broadband radio interferometer to investigate the location of fast-moving electromagnetic (EM) sources emitted from lightning discharges has been designed. A sequential triggering technique was applied to the system for recording the data of broadband electromagnetic pulses from 25 to 250 MHz. Once the electromagnetic pulse is detected and its amplitude exceeds a threshold level, the triggering circuit is turned on to record the waveform and get ready to acquire another pulse afterwards. This technique can overcome the limitation of the digitizer's memory due to such high digitization rate and very large bandwidth. We have implemented our system to locate and retrace fast-moving electromagnetic sources emitted from lightning discharges during a field experiment in Australia in summer 1997. As one of the results, a cloud-to-ground lightning discharge has been reconstructed in the two-spatial dimension and in time sequence.</t>
  </si>
  <si>
    <t>376-381</t>
  </si>
  <si>
    <t>60000251-60024322;60000251-60024322</t>
  </si>
  <si>
    <t>6603350821;36916954400</t>
  </si>
  <si>
    <t>Mardiana, Redy;Kawasaki, Zen</t>
  </si>
  <si>
    <t>Suita;New York</t>
  </si>
  <si>
    <t>Osaka University;IEEE</t>
  </si>
  <si>
    <t>60024322;60000251</t>
  </si>
  <si>
    <t>Broadband radio interferometer utilizing a sequential triggering technique for locating fast-moving electromagnetic sources emitted from lightning</t>
  </si>
  <si>
    <t>10.1109/19.843081</t>
  </si>
  <si>
    <t>2-s2.0-0033691001</t>
  </si>
  <si>
    <t>['radiation performance', 'radiating mode', 'radiating elements', 'principle operation', 'powerful electromagnetic', 'new antenna', 'large values', 'integrated antennae', 'input impedances', 'electromagnetic radiation', 'double bend', 'current density', 'cad tool', 'antenna elements', '1800 systems']</t>
  </si>
  <si>
    <t>The radiation performance and input impedances of integrated antennae for handheld mobile telephones are calculated and examined by MAFIA, a powerful electromagnetic-CAD tool. A new antenna is presented for DCS-1800 systems which is integrated in the handset. This antenna, the Dual Meandering Antenna (DMA) is originated from the Radiation Coupled Dual L Antenna (RCDLA) by a double bend of the radiating elements. The principle operation of electromagnetic radiation is explained by means of the surface current density on the radiating elements of the antennae. It is shown that the antennae have radiating and non-radiating modes resulting from the direction of current density on the antenna elements. The non-radiating mode is characterized by very large values of the antenna radiation resistance.</t>
  </si>
  <si>
    <t>93-100</t>
  </si>
  <si>
    <t>100653036;60018123;60018123</t>
  </si>
  <si>
    <t>57197609110;6603261026;6603478015</t>
  </si>
  <si>
    <t>Henze, Norbert;Shtrikman, Ilan;Fr√ºchting, Henning</t>
  </si>
  <si>
    <t>Kassel;Kassel</t>
  </si>
  <si>
    <t>Universit√§t Kassel;Institute for Solar Energy Supply Technology (ISET)</t>
  </si>
  <si>
    <t>60018123;100653036</t>
  </si>
  <si>
    <t>Henze N.</t>
  </si>
  <si>
    <t>Study of the performance of antennae for handheld mobile telephones by means of current distribution</t>
  </si>
  <si>
    <t>2-s2.0-0033691303</t>
  </si>
  <si>
    <t>['take account', 'several cases', 'pencil beams', 'mutual coupling', 'microstrip arrays', 'largely compensates', 'exact fashion', 'common approaches', 'array synthesis']</t>
  </si>
  <si>
    <t>In several array synthesis problems the lack of a common element pattern among different antennas makes the use of classical synthesis methods based on the array factor questionable. A recently introduced approach to array synthesis is exploited to take account in an exact fashion of the mutual coupling between patches for the synthesis of pencil beams by microstrip arrays. Optimality of the approach allows quantifying the advantages of the method with respect to common approaches, which largely compensates in several cases for its additional computational burden.</t>
  </si>
  <si>
    <t>6507007735;7003402426;6603673875</t>
  </si>
  <si>
    <t>Caccavale, L.;Isernia, T.;Soldovieri, F.</t>
  </si>
  <si>
    <t>Caccavale L.</t>
  </si>
  <si>
    <t>Methods for optimal focusing of microstrip array antennas including mutual coupling</t>
  </si>
  <si>
    <t>10.1049/ip-map:20000356</t>
  </si>
  <si>
    <t>2-s2.0-0033700454</t>
  </si>
  <si>
    <t>['tremendous potential', 'scattering problems', 'previously developed', 'numerical results', 'nsa approach', 'nonperiodic structures', 'difficult task', 'current limitations', 'computational complexity']</t>
  </si>
  <si>
    <t>The analysis of large array problems has been a very difficult task because of the limitations of currently available numerical methods such as method of moments (MoM), especially in the situation where nonperiodic structures are present. The recently available approach of the forward-backward method using the novel spectral acceleration (FBM/NSA) algorithm, previously developed for the modelling of scattering problems from large rough surfaces, has tremendous potential to overcome the current limitations in exact numerical studies. The extension of this FBM/NSA approach with O(N) in computational complexity is presented for treating large array problems. Similarly to its applications in rough surface problems, the efficiency and accuracy of this approach are validated and demonstrated by numerical results in comparison with rigorous MoM solutions.</t>
  </si>
  <si>
    <t>167-172</t>
  </si>
  <si>
    <t>Chou, H. T.</t>
  </si>
  <si>
    <t>Yuan Ze University</t>
  </si>
  <si>
    <t>Chou H.</t>
  </si>
  <si>
    <t>Extension of the forward-backward method using spectral acceleration for the fast analysis of large array problems</t>
  </si>
  <si>
    <t>10.1049/ip-map:20000263</t>
  </si>
  <si>
    <t>2-s2.0-0033700455</t>
  </si>
  <si>
    <t>['signal strengths', 'real time', 'one provides', 'novel approach', 'neural network', 'mobile station', 'mobile phone', 'inherent feature', 'genetic algorithm', 'experimental results', 'current values', 'computer attached', 'antennas ))']</t>
  </si>
  <si>
    <t>In this paper, we describe a novel approach to mobile station positioning using a GSM mobile phone. The approach is based on the use of an inherent feature of the GSM cellular system (the mobile phone continuously measures radio signal strengths from a number of the nearest base stations (antennas)) and on the use of this information to estimate the phone's location. The current values of the signal strengths are processed by a trained artificial neural network executed at the computer attached to the mobile phone to estimate the position of the mobile station in real time. The neural network configuration is obtained by using a genetic algorithm that searches the space of specific neural network types and determines which one provides the best location estimation results. Two general methods are explored: the first is based on using a neural network for classification and the second uses function approximation. The experimental results are reported and discussed.</t>
  </si>
  <si>
    <t>235-254</t>
  </si>
  <si>
    <t>60005686;60005686-102051941</t>
  </si>
  <si>
    <t>7003306034;7401993863</t>
  </si>
  <si>
    <t>Salcic, Zoran;Chan, Edwin</t>
  </si>
  <si>
    <t>New Zealand;Hong Kong</t>
  </si>
  <si>
    <t>Auckland;Hong Kong</t>
  </si>
  <si>
    <t>The University of Auckland;Hong Kong Telecom</t>
  </si>
  <si>
    <t>60005686;102051941</t>
  </si>
  <si>
    <t>Salcic Z.</t>
  </si>
  <si>
    <t>Mobile station positioning using GSM cellular phone and artificial neural networks</t>
  </si>
  <si>
    <t>10.1023/A:1008917401129</t>
  </si>
  <si>
    <t>2-s2.0-0033700599</t>
  </si>
  <si>
    <t>['theoretical predictions', 'paper shows', 'loaded cavity', 'experimental results', 'dielectric material', 'dielectric body']</t>
  </si>
  <si>
    <t>A dielectric-loaded cavity-backed slot antenna is analyzed by the method of moments. Owing to the geometry, the dielectric material can contact the metal walls hence the problem is formulated to include polarization currents on the dielectric body. In this way an analysis of the structure can be obtained in a single pass computation. The paper shows the far-field radiation pattern, theoretical predictions and experimental results for various dielectric material positions within the cavity.</t>
  </si>
  <si>
    <t>57199936161;7102894931</t>
  </si>
  <si>
    <t>Roy, R.;Fusco, V. F.</t>
  </si>
  <si>
    <t>Roy R.</t>
  </si>
  <si>
    <t>Dielectric-loaded cavity-backed slot radiator analysis</t>
  </si>
  <si>
    <t>10.1049/ip-map:20000262</t>
  </si>
  <si>
    <t>2-s2.0-0033700994</t>
  </si>
  <si>
    <t>['urban environment', 'urban areas', 'two components', 'system density', 'standard antenna', 'solution requires', 'resolution procedure', 'requires considerably', 'receiver terminal', 'receiver incrementally', 'presented solution', 'phase information', 'paper presents', 'multipath field', 'measured data', 'individual amplitudes', 'growing use', 'generally concentrate', 'evaluated using', 'constituent components', 'abundant presence']</t>
  </si>
  <si>
    <t>The growing use and demand for microwave communication systems has led to an increase in system density, especially in urban areas where the abundant presence of potential obstacles increases the risk of propagation. For efficient frequency planning, knowledge of the multipath geometries involved is required. This can be obtained by resolving the multipath field into its constituent components, yielding their amplitudes and angles of arrivals at a receiver terminal. Investigations into the resolution of multipath height gain curves are documented in the literature. These generally concentrate on resolving the two predominant signal components. In an urban environment, the number of distinct signal paths generally exceeds two. Resolution of more than two components is more complex and requires considerably more effort. The paper presents a component resolution procedure which determines the individual amplitudes and angles of arrival of the constituent signal paths. The procedure is applied to the spatial amplitude envelope observed when displacing a receiver incrementally over a distance of a few wavelengths through a multipath field. The presented solution has the advantages of relatively simple measurements and post-processing of measured data. In stationary measurement environments and discrete ray distributions, the solution requires only the recording of envelope amplitude values and no phase information. The performance of the resolution procedure was evaluated using a receiver with a standard antenna. Examples including simulated and experimental radio paths supported by measurements are presented.</t>
  </si>
  <si>
    <t>224-230</t>
  </si>
  <si>
    <t>60017826;60017826</t>
  </si>
  <si>
    <t>55422412400;7003347612</t>
  </si>
  <si>
    <t>Richter, J.;Al-Nuaimi, M. O.</t>
  </si>
  <si>
    <t>Pontypridd</t>
  </si>
  <si>
    <t>University of South Wales</t>
  </si>
  <si>
    <t>Richter J.</t>
  </si>
  <si>
    <t>Procedure for the spatial resolution of multipath signals in urban radio links</t>
  </si>
  <si>
    <t>10.1049/ip-map:20000434</t>
  </si>
  <si>
    <t>2-s2.0-0033702978</t>
  </si>
  <si>
    <t>['studied theoretically', 'spectral green', 'resonant frequency', 'plane thickness', 'narrow slot', 'modal green', 'microstrip feedline', 'input resistance', 'input characteristics', 'impedance bandwidth']</t>
  </si>
  <si>
    <t>A hemispherical dielectric resonator antenna excited by a microstrip feedline through a narrow slot in a thick ground plane is studied theoretically and experimentally. A numerical method based on a combination of the spectral Green's function, modal Green's function, and the method of moment is used to investigate the input characteristics of the dielectric resonator antenna system. The effects of ground-plane thickness on input resistance, resonant frequency, and impedance bandwidth of the dielectric resonator antenna are discussed.</t>
  </si>
  <si>
    <t>271-277</t>
  </si>
  <si>
    <t>60017161-60073604-60005244-60013983-60014256;60014256-60030551-100619986</t>
  </si>
  <si>
    <t>7409485017;7102376306</t>
  </si>
  <si>
    <t>Chen, Zhi Ning;Hirasawa, Kazuhiro</t>
  </si>
  <si>
    <t>China;United States;Singapore;Japan;Hong Kong;China;Japan</t>
  </si>
  <si>
    <t>Nanjing;Syracuse;Singapore City;Tsukuba;Kowloon;Nanjing;Tsukuba</t>
  </si>
  <si>
    <t>Nanjing Institute of Communication Engineering;Syracuse University;National University of Singapore;University of Tsukuba;City University of Hong Kong;Southeast University;Inst. of Info. Sci. and Electronics</t>
  </si>
  <si>
    <t>60073604;60030551;60017161;60014256;60013983;60005244;100619986</t>
  </si>
  <si>
    <t>On the effect of ground-plane thickness on an aperture-coupled dielectric resonator antenna</t>
  </si>
  <si>
    <t>10.1002/1099-047X(200007)10:4&lt;271::AID-MMCE8&gt;3.0.CO;2-0</t>
  </si>
  <si>
    <t>2-s2.0-0033703066</t>
  </si>
  <si>
    <t>['thin elliptic', 'radiated field', 'mathieu functions', 'elliptical harmonics', 'elliptic support', 'elliptic cylinder', 'electrical parameters', 'cylindrical substrate', 'complex order']</t>
  </si>
  <si>
    <t>Cavity model analysis is presented of a rectangular patch antenna printed on a thin elliptic-cylindrical substrate. The field under the patch is expanded in terms of Mathieu functions of real and complex order. The radiated field is computed by considering equivalent current distributions on the surface of the elliptic cylinder and is expressed in terms of elliptical harmonics. The electrical parameters of the antenna are analyzed as functions of the eccentricity of the elliptic support.</t>
  </si>
  <si>
    <t>187-193</t>
  </si>
  <si>
    <t>Amendola, G.</t>
  </si>
  <si>
    <t>Rende</t>
  </si>
  <si>
    <t>Universit√† della Calabria</t>
  </si>
  <si>
    <t>Amendola G.</t>
  </si>
  <si>
    <t>Analysis of the rectangular patch antenna printed on elliptic-cylindrical substrates</t>
  </si>
  <si>
    <t>10.1049/ip-map:20000432</t>
  </si>
  <si>
    <t>2-s2.0-0033703549</t>
  </si>
  <si>
    <t>['scan performance', 'numerical results', 'harmonic expansion', 'electromagnetic field', 'conventional method', 'allow us']</t>
  </si>
  <si>
    <t>In this paper, two different methods based on the Floquet's harmonic expansion of the electromagnetic field in half-space are proposed to determine the active element pattern of infinite planar arrays. They allow us to obtain the radiating characteristics without the limitations of the conventional method from the active reflection coefficient. Both are applied to analyze the scan performance in the case of probe-fed and cavity-backed microstrip arrays from its generalized scattering matrix (GSM), computed previously with a full wave numerical procedure. Numerical results are presented and compared with other techniques.</t>
  </si>
  <si>
    <t>502-509</t>
  </si>
  <si>
    <t>60028442;60000251-60028442;60000251-60028442</t>
  </si>
  <si>
    <t>6506362194;7005853672;35614881800</t>
  </si>
  <si>
    <t>Gonz√°lez de Aza, Miguel A.;Encinar, Jos√© A.;Zapata, Juan</t>
  </si>
  <si>
    <t>Universidad Polit√©cnica de Madrid;IEEE</t>
  </si>
  <si>
    <t>60028442;60000251</t>
  </si>
  <si>
    <t>Radiation pattern computation of cavity-backed and probe-fed stacked microstrip patch arrays</t>
  </si>
  <si>
    <t>10.1109/8.843663</t>
  </si>
  <si>
    <t>2-s2.0-0033703861</t>
  </si>
  <si>
    <t>['tower cranes', 'thick layers', 'system simulations', 'system problems', 'snow layers', 'snow cover', 'reflection planes', 'radio navigation', 'propagation section', 'parabolic equation', 'method techniques', 'large extent', 'humped runways', 'humped runway', 'glidepath angle', 'excellent agreement', 'environmental objects', 'dry snow', 'dangerous reduction', 'crossing height']</t>
  </si>
  <si>
    <t>The procedure of system simulations is described for some type of radio navigation and aeronautical surveillance radar systems. The decisive system components are the antennas and the wave-propagation section. The radio navigation systems considered are the worldwide used ILS (Instrument Landing System). Its performance is determined to a large extent by the multipath or environmental objects, e.g. buildings, cranes, aircraft, humped runways, snow cover on the reflection planes. These system problems are discussed and the related adapted numerical methods for its solution are outlined. The parabolic equation has been applied for a humped runway and an excellent agreement between calculations and measurements is achieved. An extended improved physical optics solution has been applied for the scattering distorting effects of aircraft on airports. The effect of arrays of tower cranes is analyzed by integral-equation/moment-method techniques. Snow layers on top of reflection planes are analyzed by an approximate multilayer technique showing a dangerous reduction of the glidepath angle and crossing height in case of thick layers of dry snow.</t>
  </si>
  <si>
    <t>183-189</t>
  </si>
  <si>
    <t>Greving, Gerhard</t>
  </si>
  <si>
    <t>Marbach</t>
  </si>
  <si>
    <t>NAVCOM Consult</t>
  </si>
  <si>
    <t>Greving G.</t>
  </si>
  <si>
    <t>Numerical system-simulations including antennas and propagation exemplified for a radio navigation system</t>
  </si>
  <si>
    <t>2-s2.0-0033704102</t>
  </si>
  <si>
    <t>['simple closed', 'rank processing', 'increase capacity', 'form bounds', 'error rate', 'division multiple', 'cochannel interference', 'binary phase', 'adaptive antennas', 'access system', '136 standard']</t>
  </si>
  <si>
    <t>We study the application of the eigencanceler, a reduced rank method based on the eigendecomposition of the estimated covariance matrix, to the wireless communication problem. Simple closed-form bounds are obtained for the bit-error rate of binary phase-shift keying modulation in the presence of cochannel interference in systems using sample matrix inversion (SMI) and the eigencanceler. The application of SMI and the eigencanceler to a flat fading time-division multiple-access system is studied in the context of the IS-54/IS-136 standard. It is shown that adaptive antennas in conjunction with reduced-rank processing can be used to increase capacity of such systems by reducing the frequency reuse factor from 7 to 1.</t>
  </si>
  <si>
    <t>743-747</t>
  </si>
  <si>
    <t>60022904;60022904;60022904</t>
  </si>
  <si>
    <t>7005000103;7403209551;57198469455</t>
  </si>
  <si>
    <t>Haimovich, A. M.;Shah, A.;Wu, X.</t>
  </si>
  <si>
    <t>Haimovich A.</t>
  </si>
  <si>
    <t>Reduced-rank array processing for wireless communications with applications to IS-54/IS-136</t>
  </si>
  <si>
    <t>10.1109/26.843183</t>
  </si>
  <si>
    <t>2-s2.0-0033704182</t>
  </si>
  <si>
    <t>['qha may', 'potential advantages', 'multimode antenna', '14 db']</t>
  </si>
  <si>
    <t>The concept of the intelligent quadrifilar helix antenna (I-QHA) as an antenna for handheld mobile terminals is detailed. The potential advantages of using the I-QHA in both terrestrial and satellite mobile communications are presented. The I-QHA may be used as a multiband or multimode antenna, allowing a handset to operate in different frequency bands and in both terrestrial and satellite communications environments. The adaptive matching component of the I-QHA not only matches the antenna for different frequency bands, but counters the detuning effects caused by the user. Finally, diversity gain improvements of up to 14 dB in heavily shadowed environments, achieved by implementing diversity techniques on the elements of the I-QHA, are demonstrated.</t>
  </si>
  <si>
    <t>219-223</t>
  </si>
  <si>
    <t>7103073614;6603994383;7202876045</t>
  </si>
  <si>
    <t>Leach, S. M.;Agius, A. A.;Saunders, S. R.</t>
  </si>
  <si>
    <t>Intelligent quadrifilar helix antenna</t>
  </si>
  <si>
    <t>10.1049/ip-map:20000402</t>
  </si>
  <si>
    <t>2-s2.0-0033704275</t>
  </si>
  <si>
    <t>['spatial domain', 'resolution based', 'joint delay', 'industrial environment', 'imperfect receiver', 'directional structure', 'corresponding doppler', 'correlation processing', 'correlation analysis', 'cir ),', 'azimuth super', 'antenna performance', 'angular domain']</t>
  </si>
  <si>
    <t>For the identification of the time-variant, directional structure of the mobile radio channel impulse response (CIR), a broadband vector channel sounder is described. The measurement procedure relies on periodic multifrequency excitation signals, correlation processing, and joint delay-azimuth super-resolution based on the two-dimensional (2-D) unitary ESPRIT algorithm. Problems of imperfect receiver and antenna performance as well as antenna array calibration methods are discussed. Correlation analysis of the directional impulse response records is performed in the time-frequency-spatial domain and the corresponding Doppler-delay-angular domain. Results from measurements in the 5.2 GHz frequency range in an industrial environment are presented.</t>
  </si>
  <si>
    <t>60000251-60030040;60030040;60030040;60030040;60030040;60030040;100847374</t>
  </si>
  <si>
    <t>7006664708;6602170616;56785154500;6602948048;36807632500;6701777247;6505581748</t>
  </si>
  <si>
    <t>Thom√§, Reiner S.;Hampicke, Dirk;Richter, Andreas;Sommerkorn, Gerd;Schneider, Axel;Trautwein, Uwe;Wirnitzer, Walter</t>
  </si>
  <si>
    <t>Ilmenau;New York;</t>
  </si>
  <si>
    <t>Technischen Universit√§t Ilmenau;IEEE;MEDAV Digitale Signalverarbeitung GmbH</t>
  </si>
  <si>
    <t>60030040;60000251;100847374</t>
  </si>
  <si>
    <t>Thom√§ R.</t>
  </si>
  <si>
    <t>Identification of time-variant directional mobile radio channels</t>
  </si>
  <si>
    <t>10.1109/19.843078</t>
  </si>
  <si>
    <t>2-s2.0-0033704308</t>
  </si>
  <si>
    <t>['image quality', 'excess ripple', 'data collected']</t>
  </si>
  <si>
    <t>Ripple in excess of that attributable to Gibb's phenomenon has been identified in brightness temperature images created from data collected by synthetic aperture radiometers used for Earth remote sensing. The cause of the excess ripple is identified, and methods for reducing its effect on image quality are proposed.</t>
  </si>
  <si>
    <t>1362-1366</t>
  </si>
  <si>
    <t>Goodberlet, Mark A.</t>
  </si>
  <si>
    <t>Amherst</t>
  </si>
  <si>
    <t>Quadrant Engineering Inc</t>
  </si>
  <si>
    <t>Goodberlet M.</t>
  </si>
  <si>
    <t>Improved image reconstruction techniques for synthetic aperture radiometers</t>
  </si>
  <si>
    <t>10.1109/36.843030</t>
  </si>
  <si>
    <t>2-s2.0-0033705523</t>
  </si>
  <si>
    <t>['test structure', 'technique employs', 'real ic', 'paper reports', 'paper discusses', 'often inadequate', 'new plasma', 'new definition', 'ic layout', 'cmos technology', 'charging conditions', 'capture plasma', 'antenna ratio', 'antenna configurations']</t>
  </si>
  <si>
    <t>Typically, the plasma charging effect is investigated by using antenna test structures that do not replicate well enough conditions occurring in real VLSI integrated circuits (IC's). Consequently, understanding, modeling, and detection of plasma-charging-induced gate oxide damage in real IC's is often inadequate. This paper discusses a new plasma-charging monitoring technique that assesses the extent of the above problem. This technique employs a multiplexed antenna monitoring (MAM) test structure with 400+ antenna configurations to determine the dependency between IC layout and the extent of gate oxide damage. The paper reports the results of application of this technique to a 0.35-Œºm, 75-angstrom gate oxide, CMOS technology. The obtained results lead to a new definition of 'antenna ratio' that is supposed to capture plasma-charging conditions in real VLSI circuits.</t>
  </si>
  <si>
    <t>136-144</t>
  </si>
  <si>
    <t>IEEE Transactions on Semiconductor Manufacturing</t>
  </si>
  <si>
    <t>60027905;60027905;60000251-60027950</t>
  </si>
  <si>
    <t>7402477346;6602392936;57204252667</t>
  </si>
  <si>
    <t>Simon, Paul;Luchies, Jan Marc;Maly, Wojciech</t>
  </si>
  <si>
    <t>United States;Netherlands;United States</t>
  </si>
  <si>
    <t>Pittsburgh;Eindhoven;New York</t>
  </si>
  <si>
    <t>Carnegie Mellon University;NXP Semiconductors;IEEE</t>
  </si>
  <si>
    <t>60027950;60027905;60000251</t>
  </si>
  <si>
    <t>Simon P.</t>
  </si>
  <si>
    <t>Identification of plasma-induced damage conditions in VLSI designs</t>
  </si>
  <si>
    <t>10.1109/66.843628</t>
  </si>
  <si>
    <t>2-s2.0-0033705573</t>
  </si>
  <si>
    <t>['waveguide simulator', 'solves maxwell', 'simulator port', 'reflection coefficient', 'real space', 'radiating element', 'published work', 'propagating mode', 'main lobe', 'grating lobes', 'grating lobe', 'enabled phase', 'element software', 'either mode', 'coupled together', 'array performance', 'arbitrary three']</t>
  </si>
  <si>
    <t>Commercially available finite-element software that solves Maxwell's equations for arbitrary three-dimensional bounded structures has enabled phase-array radiator designers to perform waveguide simulator modeling of phased-array radiating elements on the computer very efficiently. Published work on waveguide simulator design has concentrated on array performance in the absence of grating lobes, a requirement for many radar applications. For such simulators, the reflection coefficient of each propagating mode at the waveguide simulator port gives the radiator reflection coefficient at a discrete scan angle. However, the design of limited scan arrays can lead to selection of an array element spacing that allows grating lobes in real space. When a waveguide simulator is modeled on the computer, and a grating lobe is present, the two waveguide modes representing the main lobe and the grating lobe will propagate in the waveguide simulator and they will be coupled together. The simulator port-reflection coefficient of either mode is not the true reflection coefficient seen by the radiating element. We describe a method for extracting the reflection coefficient of the radiating element from the waveguide simulator data when one or more grating lobes are present.</t>
  </si>
  <si>
    <t>633-635</t>
  </si>
  <si>
    <t>60002959-100381599</t>
  </si>
  <si>
    <t>Holzman, Eric L.</t>
  </si>
  <si>
    <t>Bethesda;</t>
  </si>
  <si>
    <t>Lockheed Martin Corporation;Telaxis Communications Corporation</t>
  </si>
  <si>
    <t>60002959;100381599</t>
  </si>
  <si>
    <t>Holzman E.</t>
  </si>
  <si>
    <t>Phased-array radiator reflection coefficient extraction from computer waveguide simulator data when grating lobes are present</t>
  </si>
  <si>
    <t>10.1109/8.843680</t>
  </si>
  <si>
    <t>2-s2.0-0033705583</t>
  </si>
  <si>
    <t>['two baffles', 'significantly reduce', 'respective plane', 'plane baffle', 'numerical calculations', 'measurements show', 'implemented together', 'horn near', 'gain enhancement', 'first analyzed', 'experimental x', 'band horn', 'baffles inside', 'baffle enhances']</t>
  </si>
  <si>
    <t>A technique for enhancing the gain of a wide-flare angle pyramidal horn is described. The gain of the antenna is increased by placing simple metal strips or baffles inside the horn near its throat. Two baffles, an E- and an H-plane baffle, are described and analyzed. The baffles are first analyzed through two-dimensional (2-D) numerical calculations and then through measurements in an experimental X-band horn. Each baffle enhances the antenna's gain in the respective plane. When the baffles are implemented together the gain enhancement is additive in decibels. The numerical calculations and measurements show that baffles can be used to significantly reduce the size of pyramidal horn antennas.</t>
  </si>
  <si>
    <t>529-538</t>
  </si>
  <si>
    <t>60000251-60013372;60000251-60013372</t>
  </si>
  <si>
    <t>7004938881;16454983700</t>
  </si>
  <si>
    <t>Koerner, Matthew A.;Rogers, Robert L.</t>
  </si>
  <si>
    <t>Austin;New York</t>
  </si>
  <si>
    <t>The University of Texas at Austin;IEEE</t>
  </si>
  <si>
    <t>60013372;60000251</t>
  </si>
  <si>
    <t>Koerner M.</t>
  </si>
  <si>
    <t>Gain enhancement of a pyramidal horn using E- and H-plane metal baffles</t>
  </si>
  <si>
    <t>10.1109/8.843666</t>
  </si>
  <si>
    <t>2-s2.0-0033705774</t>
  </si>
  <si>
    <t>['subspace tracking', 'spatial diversity', 'signal subspaces', 'proposed spatio', 'multichannel extension', 'minimum mean', 'latter results', 'integrated jointly', 'far effects', 'error detectors', 'computational complexity', 'blind spatio', 'blind estimation', 'better performance', 'antenna arrays']</t>
  </si>
  <si>
    <t>We propose blind multiuser detection schemes with antenna arrays, which is based on signal subspace estimation. They are a multichannel extension of the decorrelating and minimum mean-square-error detectors, and therefore they share their immunity to near-far effects. The blind scheme may be seen as an extension of the results in of Wang and Poor. However, it is seen that compared with the latter results when spatial diversity is considered, the proposed spatio-temporal detectors offer, with little attendant increase in computational complexity, a better performance. A blind adaptive implementation based on a new orthogonal PAST (projection approximation subspace tracking) algorithm, which is shown to be efficient for subspace tracking, is proposed. Also, we develop a blind estimation of spatial signature based on the orthogonality between noise and signal subspaces. It is seen that the blind adaptive multiuser detection and blind spatio-temporal signature estimation can be integrated jointly.</t>
  </si>
  <si>
    <t>729-732</t>
  </si>
  <si>
    <t>60029116-60026553;60029116-60026553;60029116-60026553;60029116-60026553</t>
  </si>
  <si>
    <t>6603278399;7005264063;6602298561;7203055132</t>
  </si>
  <si>
    <t>Chkeif, A.;Abed-Meraim, K.;Kawas-Kaleh, G.;Hua, Y.</t>
  </si>
  <si>
    <t>France;Australia</t>
  </si>
  <si>
    <t>Palaiseau;Parkville</t>
  </si>
  <si>
    <t>T√©l√©com Paris;University of Melbourne</t>
  </si>
  <si>
    <t>60029116;60026553</t>
  </si>
  <si>
    <t>Chkeif A.</t>
  </si>
  <si>
    <t>Spatio-temporal blind adaptive multiuser detection</t>
  </si>
  <si>
    <t>10.1109/26.843180</t>
  </si>
  <si>
    <t>2-s2.0-0033705997</t>
  </si>
  <si>
    <t>['published theoretical', 'line matrix', 'good agreements', 'experimental results', 'difference time', 'dielectric layer', 'computational space']</t>
  </si>
  <si>
    <t>The transmission-line matrix (TLM) method is used to simulate the mutual coupling effect between two rectangular microstrip patch antennas, which are covered with a dielectric layer. A novel graded Heaviside absorbing layer (HAL) is used as the absorbing boundary condition to truncate the computational space. The numerical results obtained are compared with those of the finite-difference time-domain (FDTD) method as well as the published theoretical and experimental results of other authors, and good agreements are obtained.</t>
  </si>
  <si>
    <t>207-210</t>
  </si>
  <si>
    <t>10339818700;6701798943;7403366748;7801557889</t>
  </si>
  <si>
    <t>Yang, S.;Gosling, I. G.;Tan, S. H.;Sorwar, M. G.</t>
  </si>
  <si>
    <t>TLM analysis of the mutual coupling of microstrip patch antenna arrays</t>
  </si>
  <si>
    <t>10.1049/ip-map:20000433</t>
  </si>
  <si>
    <t>2-s2.0-0033706092</t>
  </si>
  <si>
    <t>['wire antennas', 'two examples', 'transient response', 'time procedure', 'thin wires', 'obtained using', 'nec code', 'efficient way', 'domain electric']</t>
  </si>
  <si>
    <t>A simple and efficient way of analyzing the transient response of thin-wire antennas with connected passive linear elements is described. The method can easily be implemented in any existing code based on the solution, using a marching-on-in-time procedure, of the time-domain electric-field integral equation for thin wires. Two examples of antennas designed using reactive loads are analyzed and the results are compared with those obtained using the NEC code.</t>
  </si>
  <si>
    <t>203-206</t>
  </si>
  <si>
    <t>60014586;60014655;60014655</t>
  </si>
  <si>
    <t>6602185693;6701414738;7003589064</t>
  </si>
  <si>
    <t>Fern√°ndez Pantoja, M.;Rubio Bretones, A.;G√≥mez Mart√≠n, R.</t>
  </si>
  <si>
    <t>Granada;Jaen</t>
  </si>
  <si>
    <t>Universidad de Granada, Facultad de Ciencias;Universidad de Ja√©n</t>
  </si>
  <si>
    <t>60014655;60014586</t>
  </si>
  <si>
    <t>Fern√°ndez Pantoja M.</t>
  </si>
  <si>
    <t>Time-domain analysis of thin-wire loaded antennas using integral equations</t>
  </si>
  <si>
    <t>10.1049/ip-map:20000424</t>
  </si>
  <si>
    <t>2-s2.0-0033706093</t>
  </si>
  <si>
    <t>['stabilized antennas', 'site measurements', 'receiving equipment', 'one day', 'noise experienced', 'hundred picoseconds', 'first attempt', 'evaluate performance', 'averaging time']</t>
  </si>
  <si>
    <t>In a first attempt to evaluate performance of the Global Navigation Satellite System (GLONASS) precise-code time transfer, one-site measurements are used to show that single-channel GLONASS P-code, combined with temperature-stabilized antennas, reduces the noise experienced by time-receiving equipment to a few hundred picoseconds over an averaging time of one day, thus allowing frequency comparison at a level of a few parts in 1015.</t>
  </si>
  <si>
    <t>55-59</t>
  </si>
  <si>
    <t>Metrologia</t>
  </si>
  <si>
    <t>60028899;60028899</t>
  </si>
  <si>
    <t>56624880100;55904017700</t>
  </si>
  <si>
    <t>Azoubib, J.;Lewandowski, W.</t>
  </si>
  <si>
    <t>Sevres</t>
  </si>
  <si>
    <t>BIPM Bureau International des Poids et Mesures</t>
  </si>
  <si>
    <t>Azoubib J.</t>
  </si>
  <si>
    <t>Test of GLONASS precise-code time transfer</t>
  </si>
  <si>
    <t>10.1088/0026-1394/37/1/7</t>
  </si>
  <si>
    <t>2-s2.0-0033706612</t>
  </si>
  <si>
    <t>['unstructured model', 'ula ).', 'statistical analysis', 'spatial distribution', 'mobile results', 'mobile communications', 'method combines', 'local scattering', 'invoking exip', 'exip ).', 'doa estimate', 'covariance matrix', 'asymptotic variance', 'angular spreading', 'angular spread']</t>
  </si>
  <si>
    <t>In mobile communications, local scattering in the vicinity of the mobile results in angular spreading as seen from a base station antenna array. In this paper, we consider the problem of estimating the parameters [direction-of-arrival (DOA) and angular spread] of a spatially distributed source, using a uniform linear array (ULA). A two-step procedure enabling decoupling the estimation of DOA from that of the angular spread is proposed. This method combines a covariance matching algorithm with the use of the extended invariance principle (EXIP). More exactly, the first step makes use of an unstructured model for the part of the covariance matrix that depends on the angular spread. Then, the solution is refined by invoking EXIP. Instead of a 2-D search, the proposed scheme requires two successive 1-D searches. Additionally, the DOA estimate is robust to mismodeling the spatial distribution of the scatterers. A statistical analysis is carried out, and a formula for the asymptotic variance of the estimates is derived. Numerical examples illustrate the performance of the method.</t>
  </si>
  <si>
    <t>1872-1882</t>
  </si>
  <si>
    <t>60000251-60016234-60003858;60000251-60016234-60003858</t>
  </si>
  <si>
    <t>15820250300;36040796700</t>
  </si>
  <si>
    <t>Besson, Olivier;Stoica, Petre</t>
  </si>
  <si>
    <t>France;Sweden;United States</t>
  </si>
  <si>
    <t>Toulouse;Uppsala;New York</t>
  </si>
  <si>
    <t>ISAE - SUPAERO;Uppsala Universitet;IEEE</t>
  </si>
  <si>
    <t>60016234;60003858;60000251</t>
  </si>
  <si>
    <t>Besson O.</t>
  </si>
  <si>
    <t>Decoupled estimation of DOA and angular spread for a spatially distributed source</t>
  </si>
  <si>
    <t>10.1109/78.847774</t>
  </si>
  <si>
    <t>2-s2.0-0033707238</t>
  </si>
  <si>
    <t>['reflector geometry', 'equivalent reflector', 'equivalent paraboloid', 'equivalent hyperboloid', 'center fed', 'also derived']</t>
  </si>
  <si>
    <t>Analogous to the equivalent paraboloid, the equivalent hyperboloid (ellipsoid) for dual quadratic surface reflector antennas is derived. The condition that the equivalent reflector is center fed is also derived. The numerical example shows that a reflector geometry that satisfies this center fed condition is a good initial antenna geometry to design a shaped dual reflector antenna.</t>
  </si>
  <si>
    <t>581-584</t>
  </si>
  <si>
    <t>60000251-60011688</t>
  </si>
  <si>
    <t>Luh, Howard H.S.</t>
  </si>
  <si>
    <t>Palo Alto;New York</t>
  </si>
  <si>
    <t>Space Systems Loral;IEEE</t>
  </si>
  <si>
    <t>60011688;60000251</t>
  </si>
  <si>
    <t>Luh H.</t>
  </si>
  <si>
    <t>Equivalent hyperboloid (ellipsoid) and its application</t>
  </si>
  <si>
    <t>10.1109/8.843672</t>
  </si>
  <si>
    <t>2-s2.0-0033707822</t>
  </si>
  <si>
    <t>NSF ECE 96-14469</t>
  </si>
  <si>
    <t>['strip gratings', 'strip grating', 'source radiation', 'periodic structures', 'paper describes', 'numerical problems', 'may also', 'gain antennas', 'fundamental theory', 'dielectric substrate', 'continuous phased', 'antenna interaction']</t>
  </si>
  <si>
    <t>This paper describes the fundamental theory of line-source radiation from a source on a dielectric slab backed by a metal-strip grating. A continuous phased-array (CPA) method is applied to treat the analytic and numerical problems of antenna interaction with periodic structures. Both TE and TM mode cases for a one-dimensional strip grating are investigated. It is found that the strip grating on the dielectric surface may result in surface wave elimination and may also be used to support leaky waves. It is shown that high-efficiency and high-gain antennas on a dielectric substrate are possible with such metal-strip gratings.</t>
  </si>
  <si>
    <t>556-564</t>
  </si>
  <si>
    <t>60000251-60027561;60000251-60005837</t>
  </si>
  <si>
    <t>7406565241;7404289310</t>
  </si>
  <si>
    <t>Yang, Hung Yu David;Jackson, David R.</t>
  </si>
  <si>
    <t>Chicago;Houston;New York</t>
  </si>
  <si>
    <t>University of Illinois at Chicago;University of Houston;IEEE</t>
  </si>
  <si>
    <t>60027561;60005837;60000251</t>
  </si>
  <si>
    <t>Yang H.</t>
  </si>
  <si>
    <t>Theory of line-source radiation from a metal-strip grating dielectric-slab structure</t>
  </si>
  <si>
    <t>10.1109/8.843669</t>
  </si>
  <si>
    <t>2-s2.0-0033707824</t>
  </si>
  <si>
    <t>['wave arrival', 'transmitting point', 'statistical features', 'receiving point', 'received power', 'radiation pattern', 'path model', 'model consists', 'mers aims', 'measured ones', 'fading spectrum', 'estimated results', 'environment model', 'closely estimated']</t>
  </si>
  <si>
    <t>A method for estimating the received signal characteristics (MERS) is developed. The MERS aims at estimating the received power and the fading spectrum at the mobile in mobile communication environments. In the MERS, these characteristics are estimated on the basis of both an angular probability density distribution (APD) of wave arrival and a radiation pattern. The APD can also be estimated under arbitrary environmental conditions in the MERS. For the estimation of the APD of wave arrival, a novel propagation model is proposed in this paper. The model consists of an environment model that represents the statistical features of the configuration of buildings along streets and a path model that represents geometrical propagation paths from a transmitting point to a receiving point on the streets. The estimated results of the received signal characteristics are compared with the measured ones. It is proved that the received power and the fading spectrum can be closely estimated.</t>
  </si>
  <si>
    <t>539-546</t>
  </si>
  <si>
    <t>Asano, Yoshikazu</t>
  </si>
  <si>
    <t>Aichi District</t>
  </si>
  <si>
    <t>Toyota Central Research Development Laboratory Inc</t>
  </si>
  <si>
    <t>Asano Y.</t>
  </si>
  <si>
    <t>Proposal of method for estimating received signal characteristics in mobile communication environments</t>
  </si>
  <si>
    <t>10.1109/8.843667</t>
  </si>
  <si>
    <t>2-s2.0-0033707826</t>
  </si>
  <si>
    <t>['used instead', 'two versions', 'rings rather', 'primary feeds', 'phase centers', 'paper presents', 'optimum ring', 'optimum reflector', 'hat feed', 'focus paraboloids', 'focus paraboloid', 'feed waveguide', 'feed antennas', 'aperture efficiencies', 'also acts', '5 db']</t>
  </si>
  <si>
    <t>Some primary feeds such as the hat feed radiate around the feed waveguide, which also acts as an axial support tube. Such feed antennas have phase centers in the form of rings rather than points. This paper presents a formula to calculate the location of the ring-shaped phase center. The optimum reflector is a ring-focus paraboloid with the ring focus coinciding with the ring-shaped phase center. The phase center formula is applied to two versions of the hat feed and it is shown that the aperture efficiencies can be improved by up to 0.5 dB when optimum ring-focus paraboloids are used instead of point-focus paraboloids.</t>
  </si>
  <si>
    <t>60000990;60000251-60000990</t>
  </si>
  <si>
    <t>56962924200;7101988263</t>
  </si>
  <si>
    <t>Yang, Jian;Kildal, Per Simon</t>
  </si>
  <si>
    <t>Sweden;United States</t>
  </si>
  <si>
    <t>Gothenburg;New York</t>
  </si>
  <si>
    <t>Chalmers University of Technology;IEEE</t>
  </si>
  <si>
    <t>60000990;60000251</t>
  </si>
  <si>
    <t>Calculation of ring-shaped phase centers of feeds for ring-focus paraboloids</t>
  </si>
  <si>
    <t>10.1109/8.843665</t>
  </si>
  <si>
    <t>2-s2.0-0033707827</t>
  </si>
  <si>
    <t>['√ ó3', 'urban macro', 'theoretical value', 'small degradation', 'simulated c', 'reduced significantly', 'performance gain', 'performance evaluation', 'paper presents', 'measured time', 'mainly focuses', 'large values', 'improvement shows', 'gsm network', 'desired user', 'channel interference', 'cellular environments', 'capacity enhancement', 'azimuth spread', 'array size', 'almost 10', 'adaptive antennas', '9 db', '8 db', '5 db']</t>
  </si>
  <si>
    <t>This paper presents the performance of adaptive antennas in a 1/3 reuse frequency hopping GSM network using conventional beamforming. It mainly focuses on C/I improvement for the purpose of capacity enhancement. The performance evaluation has been conducted by means of network computer simulations, where measured time-space radio channel impulse responses are applied for the desired user in the network. Measurements with an M = 8 element uniform linear array were conducted in the cities of Aarhus, Denmark, and Stockholm, Sweden. The simulated C/I improvement shows an almost 10 * log10(M) behavior for low azimuth spread values. For large values of azimuth spread (relative to the antenna beamwidth), the performance gain is reduced significantly. For an azimuth spread of 10¬∞-12¬∞, which has been measured in urban macro-cellular environments, the C/I gain for M = 8 is reduced to approx. 5.5-7.5 dB (which should be compared to the theoretical value of 9 dB for a point source). The designed DoA algorithm is very robust to co-channel interference and only a small degradation in performance is observed for single element C/I down to approx. -8 dB. We conclude that the designed beamforming implementation facilitates a potential capacity gain of √ó3 in a 1/3 reuse FH-GSM network for an array size of M = 4-6.</t>
  </si>
  <si>
    <t>255-274</t>
  </si>
  <si>
    <t>60022134-101862256;60022134-60083611;60022134;60022134;60022134</t>
  </si>
  <si>
    <t>35584209600;6506383551;6602083541;7201733345;6602475405</t>
  </si>
  <si>
    <t>Mogensen, Preben E.;Espensen, Poul Leth;Zetterberg, Per;Pedersen, Klaus I.;Frederiksen, Frank</t>
  </si>
  <si>
    <t>Denmark;Denmark;Denmark</t>
  </si>
  <si>
    <t>Lystrup;Aalborg;</t>
  </si>
  <si>
    <t>Terma AS;Aalborg University;Center for Personkommunication (CPK</t>
  </si>
  <si>
    <t>60083611;60022134;101862256</t>
  </si>
  <si>
    <t>Mogensen P.</t>
  </si>
  <si>
    <t>Performance of adaptive antennas in FH-GSM using conventional beamforming</t>
  </si>
  <si>
    <t>10.1023/A:1008975420402</t>
  </si>
  <si>
    <t>2-s2.0-0033714524</t>
  </si>
  <si>
    <t>['urban area', 'substantial effect', 'received power', 'published measurement', 'proposed model', 'prediction results', 'predicted accuracy', 'path loss', 'paper presents', 'narrow half', 'launching model', 'hpbw ),', 'good agreement', 'existing ray', 'efficient manner', 'effectively confine', 'computation speed', 'computation efficiency', 'beam downtilting', 'analyzed using']</t>
  </si>
  <si>
    <t>This paper presents an effective propagation area method that enhances the computation efficiency of the existing ray-launching model. Using the effective propagation area method, the effective propagation region to be considered can be constructed from a given geographical database, and buildings that have a substantial effect on the total received power can be considered in a very efficient manner. In order to verify the predicted accuracy of the proposed model, the received power has been predicted for the real microcellular environment and compared with the published measurement. It is observed from the prediction results that the proposed model shows considerable improvement in computation speed and good agreement with the measurements. In addition, the effect of beamtilting on the path loss in an urban area is analyzed using the proposed model. It has been observed that beam downtilting can effectively confine the signal to the desirable home cell with reduced transmitting power, narrow half-power beam width (HPBW), and suitable fixed antenna height.</t>
  </si>
  <si>
    <t>734-743</t>
  </si>
  <si>
    <t>60026790;60032330</t>
  </si>
  <si>
    <t>56310544300;57188926977</t>
  </si>
  <si>
    <t>Chang, Kwang Rok;Kim, Hyo Tae</t>
  </si>
  <si>
    <t>Pohang;Youngdungpo-gu</t>
  </si>
  <si>
    <t>Pohang University of Science and Technology;LG Corporation</t>
  </si>
  <si>
    <t>60032330;60026790</t>
  </si>
  <si>
    <t>Chang K.R.</t>
  </si>
  <si>
    <t>Prediction of beam tilting effects using an enhanced ray launching model in the urban area</t>
  </si>
  <si>
    <t>10.1109/25.845093</t>
  </si>
  <si>
    <t>2-s2.0-0033715309</t>
  </si>
  <si>
    <t>['white noise', 'theoretical result', 'shown explicitly', 'noise correlation', 'interesting findings', 'general form', 'exact bit', 'error probability', 'coloured noise', 'bep expressions', 'bep expression']</t>
  </si>
  <si>
    <t>Exact bit-error probability (BEP) expressions are derived for 2- and 4-ary differential phase shift keying (2- and 4-DPSK) with post-detection equal gain combining (EGC) in arbitrarily correlated slow Nakagami fading channels. Unlike previous work, the effect of noise correlation between adjacent symbol intervals is considered and shown explicitly in the BEP expressions. The characteristic function method is used to give a BEP expression in a general form for 2- and 4-DPSK. Furthermore, closed-form BEP expressions are derived for 2-DPSK with coloured noise, and for 4-DPSK with white noise and integer fading parameter m. The theoretical result is demonstrated by analysing two antenna configurations, giving some interesting findings</t>
  </si>
  <si>
    <t>155-162</t>
  </si>
  <si>
    <t>10.1049/ip-com:20000372</t>
  </si>
  <si>
    <t>2-s2.0-0033716844</t>
  </si>
  <si>
    <t>Pohang University of Science and Technology</t>
  </si>
  <si>
    <t>POSTECH</t>
  </si>
  <si>
    <t>['whole period', 'rice growth', 'rice crops', 'radar backscatter', 'incidence angles', 'hv ),', 'based scatterometer', '9 ghz', '70 ¬∞.']</t>
  </si>
  <si>
    <t>This paper describes measurements of the radar backscatter from rice crops at 9 GHz with a ground-based scatterometer. The measurements were conducted over the whole period of rice growth from transplanting to ripening, at three polarization combinations (HH, VV, and HV), and at incidence angles of 0-70¬∞.</t>
  </si>
  <si>
    <t>1467-1471</t>
  </si>
  <si>
    <t>Kim, Soobum</t>
  </si>
  <si>
    <t>Pohang</t>
  </si>
  <si>
    <t>Radar backscattering measurements of rice crop using x-band scatterometer</t>
  </si>
  <si>
    <t>10.1109/36.843044</t>
  </si>
  <si>
    <t>2-s2.0-0033717282</t>
  </si>
  <si>
    <t>['phase shifters', 'hybrid dielectric', 'ferrite substrate', 'biased ferrite', '100 oe']</t>
  </si>
  <si>
    <t>A phase-steered microstrip antenna array is presented, suitable for application as a mobile vehicle satellite terminal. Phase shifters are implemented on a hybrid dielectric-ferrite substrate, and use is made of the phase transition near the cut-off region of the biased ferrite. Small permanent magnets and carefully biased ferrites remove the need for large applied electromagnetic fields. 2-, 3- and 4-element demonstrator arrays have been constructed, and up to 30¬∞ beam squint has been achieved for applied magnetic biases of about 100 Oe.</t>
  </si>
  <si>
    <t>237-241</t>
  </si>
  <si>
    <t>7102439597;55692163400;56020461500</t>
  </si>
  <si>
    <t>Batchelor, J. C.;Economou, L.;Langley, R. J.</t>
  </si>
  <si>
    <t>Scanned microstrip arrays using simple integrated ferrite phase shifters</t>
  </si>
  <si>
    <t>10.1049/ip-map:20000428</t>
  </si>
  <si>
    <t>2-s2.0-0033718633</t>
  </si>
  <si>
    <t>['waveguide height', 'slot arrays', 'slot array', 'series elements', 'scattering parameters', 'paper presents', 'network representation', 'network model', 'increasing degree', 'halfheight waveguide', 'equivalent single']</t>
  </si>
  <si>
    <t>An array of longitudinal slot doublets in a rectangular waveguide may be modelled by an equivalent single-slot array in a halfheight waveguide. The slot electric fields display an increasing degree of asymmetry with large slot offsets and a reduction in waveguide height. In such cases, the values of the series elements in the equivalent T-network representation of radiators become significant. Existing analysis techniques ignore their effects and use a simple shunt element equivalent circuit model. The paper presents an offcentre-frequency analysis procedure for slot arrays which is based on the full T-network model for individual radiating elements. Calculations display excellent agreement with measured and fullwave analysis results for the scattering parameters of a slot doublet array.</t>
  </si>
  <si>
    <t>60017161;60021902</t>
  </si>
  <si>
    <t>7102043788;35561582300</t>
  </si>
  <si>
    <t>Coetzee, J. C.;Joubert, J.</t>
  </si>
  <si>
    <t>South Africa;Singapore</t>
  </si>
  <si>
    <t>Pretoria;Singapore City</t>
  </si>
  <si>
    <t>University of Pretoria;National University of Singapore</t>
  </si>
  <si>
    <t>60021902;60017161</t>
  </si>
  <si>
    <t>Analysis procedure for arrays of waveguide slot doublets based on the full T-network equivalent circuit representation of radiators</t>
  </si>
  <si>
    <t>10.1049/ip-map:20000362</t>
  </si>
  <si>
    <t>2-s2.0-0033718634</t>
  </si>
  <si>
    <t>['vector potential', 'saturation effect', 'results show', 'optimal topology', 'magnetic fields', 'magnetic energy', 'given region', 'dimensional case']</t>
  </si>
  <si>
    <t>The homogenization design method (HDM) is extended to obtain an optimal topology of magnetic fields. This is accomplished by maximizing the magnetic mean compliance in a given region of the device. HDM is applied to a three-dimensional case, taking into account the saturation effect of the material. Results show that HDM is valid to maximize the vector potential and the magnetic energy. This method can also be applied to increase the performance of motors and antennas.</t>
  </si>
  <si>
    <t>574-580</t>
  </si>
  <si>
    <t>7402295886;35599974800;7102576479</t>
  </si>
  <si>
    <t>Yoo, Jeonghoon;Kikuchi, Noboru;Volakis, John L.</t>
  </si>
  <si>
    <t>Yoo J.</t>
  </si>
  <si>
    <t>Structural optimization in magnetic devices by the homogenization design method</t>
  </si>
  <si>
    <t>10.1109/20.846220</t>
  </si>
  <si>
    <t>2-s2.0-0033720072</t>
  </si>
  <si>
    <t>['used extensively', 'three shadowing', 'three orientations', 'propagation impairments', 'multimedia applications', 'measurements correspond', 'italsat satellite', 'good knowledge', 'ghz beacon', 'frequency range', 'elevation angle', 'different environments', 'blockage margins', 'blockage events', 'band using', '36 ¬∞.', '30 ghz', '28 ¬∞', '15 db']</t>
  </si>
  <si>
    <t>Ka-band (20/30 GHz) will be used extensively for fixed and mobile satellite communications in the next few years, especially for wide-band and multimedia applications. For this reason, a good knowledge of the propagation impairments and adequate propagation models for that frequency range are needed. In this paper, cumulative distribution functions (CDF's) of the received signal variations due to shadowing/blockage events at Ka-band using the 18.7-GHz beacon of the Italsat satellite for a number of representative environment types are presented. Approximate availability levels for three shadowing/blockage margins (5, 10, and 15 dB) are provided for three orientations of the road with respect to the satellite and for different environments: urban, suburban, and tree-shadowed. All measurements correspond to an elevation angle between 28¬∞ and 36¬∞.</t>
  </si>
  <si>
    <t>973-983</t>
  </si>
  <si>
    <t>60027742;60027742;60026134;126530477;60026134;109339673</t>
  </si>
  <si>
    <t>7102273394;55952855700;14833633400;6701317517;6701899411;15018935500</t>
  </si>
  <si>
    <t>Kubista, Erwin;Fontan, Fernando Ferez;Angeles Vazquez Castro, M.;Buonomo, Sergio;Arbesser-Rastburg, Bertram R.;Polares Baptista, Jose Pedro V.</t>
  </si>
  <si>
    <t>Austria;Spain;Spain;Netherlands</t>
  </si>
  <si>
    <t>Graz;Vigo;Leganes;Noordwijk</t>
  </si>
  <si>
    <t>Joanneum Research Forschungsgesellschaft mbH;Universidade de Vigo;U. Carlos III;ESTEC-ESA/XEP</t>
  </si>
  <si>
    <t>60027742;60026134;126530477;109339673</t>
  </si>
  <si>
    <t>Kubista E.</t>
  </si>
  <si>
    <t>Ka-band propagation measurements and statistics for land mobile satellite applications</t>
  </si>
  <si>
    <t>10.1109/25.845114</t>
  </si>
  <si>
    <t>2-s2.0-0033720325</t>
  </si>
  <si>
    <t>Telecommunications Advancement Foundation</t>
  </si>
  <si>
    <t>TAF</t>
  </si>
  <si>
    <t>['tracing simulation', 'reflector size', 'passive reflectors', 'outage probability', 'base stations']</t>
  </si>
  <si>
    <t>Circular polarization diversity with passive reflectors is investigated in an indoor radio channel, and its performance is evaluated with a three-dimensional (3-D) ray-tracing simulation in conjunction with a geometric-optics-based facet approximation. The simulation results show that the use of passive reflectors improves the outage probability of an indoor radio channel for base stations which exploit circular polarization diversity and the diversity gain increases with the reflector size.</t>
  </si>
  <si>
    <t>778-782</t>
  </si>
  <si>
    <t>Kajiwara, Akihiro</t>
  </si>
  <si>
    <t>Mito</t>
  </si>
  <si>
    <t>Ibaraki University</t>
  </si>
  <si>
    <t>Kajiwara A.</t>
  </si>
  <si>
    <t>Circular polarization diversity with passive reflectors in indoor radio channels</t>
  </si>
  <si>
    <t>10.1109/25.845097</t>
  </si>
  <si>
    <t>2-s2.0-0033722048</t>
  </si>
  <si>
    <t>F49620-98-0352</t>
  </si>
  <si>
    <t>['wireless systems', 'undersampled systems', 'transmitted signal', 'sufficient conditions', 'possibly multiuser', 'plurality receivers', 'main contribution', 'generic framework', 'finite number', 'extensive studies', 'equally rich', 'completely identifiable', 'block precoders', 'blind recovery', 'bandwidth expansion', 'arbitrary amount', 'ambiguity resistant']</t>
  </si>
  <si>
    <t>Although there have been extensive studies on the blind equalization problem for temporally or/and spatially oversampled communication signals, the literature is not equally rich for undersampled, and possibly multiuser, wireless systems. In this paper, we investigate the feasibility of blind signal recovery from undersampled data collected from plurality receivers. We show that although an undersampled communication system is not completely identifiable in general, such an obstacle can be overcome by employing proper precoding with an arbitrary amount of bandwidth expansion in the transmitter. The main contribution of this paper is the formulation of a generic framework for all undersampled systems and the derivation of necessary and sufficient conditions for a class of filters (which we term ambiguity resistant pre-coders) that allow the blind recovery of the transmitted signal. A family of such precoders is given. We discuss various related issues and show, for example, that block precoders, i.e., memoryless precoders, are not ambiguity resistant. In addition, we derive an algorithm that can accomplish blind equalization with a finite number of observations.</t>
  </si>
  <si>
    <t>1853-1863</t>
  </si>
  <si>
    <t>60000251-60015481-60023004;60000251-60015481-60023004;60000251-60015481-60023004</t>
  </si>
  <si>
    <t>36100496000;7402179288;7409746319</t>
  </si>
  <si>
    <t>Liu, Hui;Xia, Xiang Gen;Liu, H.</t>
  </si>
  <si>
    <t>Newark;Seattle;New York</t>
  </si>
  <si>
    <t>University of Delaware;University of Washington;IEEE</t>
  </si>
  <si>
    <t>60023004;60015481;60000251</t>
  </si>
  <si>
    <t>Precoding techniques for undersampled multireceiver communication systems</t>
  </si>
  <si>
    <t>10.1109/78.847772</t>
  </si>
  <si>
    <t>2-s2.0-0033722690</t>
  </si>
  <si>
    <t>['transmission coefficient', 'rigorously incorporated', 'rectangular waveguide', 'present method', 'numerical results', 'nonresonant narrow', 'internal higher', 'good agreement', 'experimental results', 'entire array', 'earlier designs', 'deals directly', 'approach works']</t>
  </si>
  <si>
    <t>The method-of-moments has been used for the analysis of the nonresonant narrow-wall slot array in a rectangular waveguide. As this approach works with the fundamental integral equations that describe the entire array, no assumptions about the aperture electric fields are required. Also, the equivalent circuit representation for the individual radiating slots used in earlier designs is not required in the present method, as it deals directly with slot aperture voltages. The effects of internal higher-order and external mutual couplings, and finite wall thickness are rigorously incorporated in the design. Expressions are presented for the input reflection coefficient, transmission coefficient, and the far-field radiation pattern of the array. Numerical results are compared with the experimental results of a 78 element narrow-wall slot array. Good agreement has been observed between theory and experiment.</t>
  </si>
  <si>
    <t>242-246</t>
  </si>
  <si>
    <t>Method-of-moments analysis of the narrow-wall slot array in a rectangular waveguide</t>
  </si>
  <si>
    <t>10.1049/ip-map:20000261</t>
  </si>
  <si>
    <t>2-s2.0-0033722838</t>
  </si>
  <si>
    <t>N00014-95-1-0872</t>
  </si>
  <si>
    <t>['wire antennas', 'weighting functions', 'variational formulation', 'triangle function', 'traditional delta', 'source vector', 'reciprocity theorem', 'rapidly computed', 'measured data', 'input impedance', 'input admittance', 'impedance matrix', 'gap source', 'gap model', 'free space', 'current distribution', 'closed forms', 'also performed', 'accurate model']</t>
  </si>
  <si>
    <t>An accurate model of wire antennas in free space, above or inside lossy ground is presented in which the current is assumed to flow on the surface of the wire and the testing is also performed on the surface. To replace the traditional delta-gap source, a more accurate source model is developed by using the Huygens' principle. From this principle and reciprocity theorem, a variational formulation of the input admittance is derived. When the triangle function is chosen as both basis and weighting functions, all the elements of impedance matrix and source vector are formulated in closed forms, which can be rapidly computed. Several numerical results are given. Comparing with measured data, both the current distribution and input impedance by this model are more accurate than those of delta-gap model.</t>
  </si>
  <si>
    <t>482-493</t>
  </si>
  <si>
    <t>60000251-60000745;60000251-60000745</t>
  </si>
  <si>
    <t>Urbana;New York</t>
  </si>
  <si>
    <t>University of Illinois Urbana-Champaign;IEEE</t>
  </si>
  <si>
    <t>60000745;60000251</t>
  </si>
  <si>
    <t>Accurate model of arbitrary wire antennas in free space, above or inside ground</t>
  </si>
  <si>
    <t>10.1109/8.843661</t>
  </si>
  <si>
    <t>2-s2.0-0033727038</t>
  </si>
  <si>
    <t>['two planes', 'results confirm', 'numerically processed', 'near field', 'measured intensity', 'field pattern', 'cost amplitude']</t>
  </si>
  <si>
    <t>In this paper we report some results on the estimation of the far-field of an antenna by using a low-cost amplitude-only near-field measurement setup. A simple experimental setup is used to measure the intensity of the near-field of the antenna under test (AUT) on two planes. The measured intensity of the near field is then numerically processed to determine the far-field pattern. The results confirm the validity of the approach.</t>
  </si>
  <si>
    <t>60017293;60017293;60026777</t>
  </si>
  <si>
    <t>55934942300;6603673875;7005281565</t>
  </si>
  <si>
    <t>Migliore, Marco Donald;Soldovieri, Francesco;Pierri, Rocco</t>
  </si>
  <si>
    <t>Naples;Naples</t>
  </si>
  <si>
    <t>Universit√† degli Studi della Campania Luigi Vanvitelli;Universit√† degli Studi di Napoli Federico II</t>
  </si>
  <si>
    <t>60026777;60017293</t>
  </si>
  <si>
    <t>Migliore M.</t>
  </si>
  <si>
    <t>Far-field antenna pattern estimation from near-field data using a low-cost amplitude-only measurement setup</t>
  </si>
  <si>
    <t>10.1109/19.836312</t>
  </si>
  <si>
    <t>2-s2.0-0033727925</t>
  </si>
  <si>
    <t>['ulas ).', 'temporal coverage', 'target returns', 'stap perform', 'stap algorithm', 'small loss', 'relatively strong', 'paper shows', 'paper answers', 'mechanical simplicity', 'existing algorithms', 'continual angular', 'close ranges', 'circular arrays', 'better combination', 'barely affected', 'aew mission']</t>
  </si>
  <si>
    <t>Traditionally, space-time adaptive processing (STAP) for airborne early warning (AEW) radar has been applied to uniform linear arrays (ULAs). However, when considering the overall radar system, electronically scanned circular arrays have advantages: a better combination of even and continual angular and temporal coverage, and mechanical simplicity because it does not need to rotate. This paper answers the question `How well does STAP perform when applied to a circular array?' This paper shows that for the AEW mission, circular arrays are indeed STAP compatible. However, when conventional STAP algorithms are used there may be a small loss in performance when compared with a ULA. With some care in the choice and implementation of the STAP algorithm, the majority of the degradation is at close ranges, where the target returns are relatively strong. At long ranges performance is barely affected. A STAP algorithm which compensates for the circular array environment and provides better performance than existing algorithms is presented.</t>
  </si>
  <si>
    <t>510-517</t>
  </si>
  <si>
    <t>Zatman, Michael</t>
  </si>
  <si>
    <t>Zatman M.</t>
  </si>
  <si>
    <t>Circular array STAP</t>
  </si>
  <si>
    <t>10.1109/7.845235</t>
  </si>
  <si>
    <t>2-s2.0-0033728231</t>
  </si>
  <si>
    <t>['use space', 'unique characteristics', 'straight lines', 'stap processors', 'stap processor', 'requires adaptation', 'range independent', 'planar earth', 'normalized doppler', 'known properties', 'general ellipses', 'following properties', 'cos œü', 'clutter trajectories', 'clutter doppler', 'bistatic configuration']</t>
  </si>
  <si>
    <t>The unique characteristics of bistatic radar operation on the performance of air-/spaceborne moving target indicator (MTI) radars that use space-time adaptive processing (STAP) are discussed. It has been shown that monostatic STAP radar has the following properties. 1) For a horizontal flight path and a planar earth the curves of constant clutter Doppler (isodops) are hyperbolas. 2) For a sidelooking antenna geometry the clutter Doppler is range independent. 3) Clutter trajectories in the cos œÜ-F: plane (F = normalized Doppler) are in general ellipses (or straight lines for a sidelooking army). We demonstrate that these well-known properties are distorted by the displacement between transmitter and receiver in a bistatic configuration. It is shown that even for the sidelooking array geometry the clutter Doppler is range-dependent which requires adaptation of the STAP processor for each individual range gate. Conclusions for the design of STAP processors are drawn.</t>
  </si>
  <si>
    <t>596-608</t>
  </si>
  <si>
    <t>Klemm, Richard</t>
  </si>
  <si>
    <t>Fraunhofer-Gesellschaft</t>
  </si>
  <si>
    <t>Klemm R.</t>
  </si>
  <si>
    <t>Comparison between monostatic and bistatic antenna configurations for STAP</t>
  </si>
  <si>
    <t>10.1109/7.845248</t>
  </si>
  <si>
    <t>2-s2.0-0033728232</t>
  </si>
  <si>
    <t>['widened resulting', 'stap algorithms', 'sinr ).', 'simulations indicate', 'significant degradation', 'signal model', 'properly accounted', 'optimum solution', 'noise ratio', 'mutual coupling', 'ideal level', 'good performance', 'fully adaptive', 'complete knowledge', 'clutter notch', 'antenna arrays', 'algorithms considered']</t>
  </si>
  <si>
    <t>The effect of mutual coupling on the performance of space-time adaptive processing (STAP) antenna arrays is investigated. A signal model that includes the effects of mutual coupling is derived and used to compute the optimum solution for the fully adaptive and a variety of partially adaptive algorithms. The simulations indicate that if the mutual coupling is not properly accounted for there is significant degradation of the signal-to-interference-plus-noise ratio (SINR). In addition, the clutter notch is widened resulting in a larger minimum detectable velocity (MDV) of the target. When the mutual coupling is properly accounted for, the performance can be restored to the ideal level. However, STAP algorithms, in general, are very sensitive to errors in the mutual coupling matrix, requiring a very complete knowledge of this matrix for good performance. Of all the algorithms considered here, beam space algorithms appear to be the most robust with respect to uncertainties in the mutual coupling matrix.</t>
  </si>
  <si>
    <t>518-527</t>
  </si>
  <si>
    <t>60008609-101691253;60008609</t>
  </si>
  <si>
    <t>7004685208;6701869025</t>
  </si>
  <si>
    <t>Friel, Edward M.;Pasala, Krishna M.</t>
  </si>
  <si>
    <t>University of Dayton;Sverdurp Corporation</t>
  </si>
  <si>
    <t>60008609;101691253</t>
  </si>
  <si>
    <t>Friel E.</t>
  </si>
  <si>
    <t>Effects of mutual coupling on the performance of STAP antenna arrays</t>
  </si>
  <si>
    <t>10.1109/7.845236</t>
  </si>
  <si>
    <t>2-s2.0-0033728824</t>
  </si>
  <si>
    <t>Swedish National Board for Industrial and Technical Development</t>
  </si>
  <si>
    <t>P9302916-6</t>
  </si>
  <si>
    <t>['temperature drift', 'simulations show', 'proposed algorithms', 'normal operation', 'methods uses', 'major concern', 'hardware parameters', 'hardware beamformer', 'dsp ),', 'computationally simple', 'calibration methods', 'beamformer output', 'analog beamformer', 'adaptive antennas', 'adaptive antenna', 'active components', 'abf ),']</t>
  </si>
  <si>
    <t>A major concern for adaptive antennas is the calibration of hardware. Here we consider the calibration of an analog beamformer (ABF), which calculates the weights in a digital signal processor (DSP), but weights the RF signals using a hardware beamformer. Two novel methods are presented of performing a calibration of this adaptive antenna during normal operation. This will mitigate temperature drift and aging of active components. Both methods uses a feedback of the beamformer output signal, to calculate the error in the beamformer output, or to identify the parameters in the temperature drift. The algorithms are transparent to normal antenna operation and are computationally simple. Simulations show that when using these auto-calibration methods, the performance is independent of variation in hardware parameters when a realistic temperature drift is introduced. The proposed algorithms are intended for use in a time-division multiple access (TDMA) mobile telephone system, but the methods are applicable in radar systems also.</t>
  </si>
  <si>
    <t>729-736</t>
  </si>
  <si>
    <t>60003858;60003858;60003858;60003858;60003858</t>
  </si>
  <si>
    <t>6603551661;6508256200;57198187385;56673011000;7004485449</t>
  </si>
  <si>
    <t>Wennstr√∂m, Mattias;Strandell, Jonas;√ñberg, Tommy;Lindskog, Erik;Rydberg, Anders</t>
  </si>
  <si>
    <t>Uppsala Universitet</t>
  </si>
  <si>
    <t>Wennstr√∂m M.</t>
  </si>
  <si>
    <t>Auto-calibrating adaptive array for mobile telecommunications</t>
  </si>
  <si>
    <t>10.1109/7.845275</t>
  </si>
  <si>
    <t>2-s2.0-0033728937</t>
  </si>
  <si>
    <t>CCR 99-96206</t>
  </si>
  <si>
    <t>['widely studied', 'single source', 'separate signals', 'recent years', 'positive kurtoses', 'noiseless systems', 'negative kurtosis', 'negative kurtoses', 'communication systems', 'combat co', 'channel interference', 'capture signals', 'additive noise']</t>
  </si>
  <si>
    <t>Blind source separation has been the subject of extensive research activities in recent years. In particular, blind antenna beamforming is an effective signal separation technique for communication systems to combat co-channel interference. Among many potential candidate approaches, the simple constant modulus algorithm (CMA) has been widely studied and used in practice. CMA is designed to capture and separate signals with negative kurtosis. However, when some signals have positive kurtoses, CMA is unable to capture and separate these sources. In this paper, we will show that the kurtosis maximum algorithm (KMA) can capture signals with both the positive and negative kurtoses. Its global convergence proof is presented for noiseless systems with multiple signals sources and for systems with a single source and zero-kurtosis (such as Gaussian) additive noise.</t>
  </si>
  <si>
    <t>1587-1596</t>
  </si>
  <si>
    <t>Ding, Zhi</t>
  </si>
  <si>
    <t>Iowa City</t>
  </si>
  <si>
    <t>University of Iowa</t>
  </si>
  <si>
    <t>Ding Z.</t>
  </si>
  <si>
    <t>Stationary points of a kurtosis maximization algorithm for blind signal separation and antenna beamforming</t>
  </si>
  <si>
    <t>10.1109/78.845917</t>
  </si>
  <si>
    <t>2-s2.0-0033728973</t>
  </si>
  <si>
    <t>['thus resulting', 'study shows', 'mismatch losses', 'method consists', 'matching network', 'investigations realized', 'inserting disc', 'impedance match', 'horn design', 'experimental data', 'enhance gain', 'discs influences', 'directivity enhancement']</t>
  </si>
  <si>
    <t>A simple and low cost method to enhance gain of wide angle conical horns is described. The method consists of inserting disc(s) inside the horn at particular axial locations. Investigations realized by simulation and measurements are reported for different flare angle horns as a function of different geometrical parameters and frequency. The study shows that aperture efficiency enhancement can be achieved for large flare angle horns using this concept, thus resulting in an increase of the directivity. The insertion of discs influences the impedance match. However, since the objective is to study the directivity enhancement, the mismatch losses are removed from experimental data. In practice, the horn design can incorporate a matching network to eliminate the problem.</t>
  </si>
  <si>
    <t>60009697-60017597;60017597</t>
  </si>
  <si>
    <t>55667295400;8092251400</t>
  </si>
  <si>
    <t>Ci√©net, M.;Shafai, L.</t>
  </si>
  <si>
    <t>Ci√©net M.</t>
  </si>
  <si>
    <t>Investigations on directivity improvement of wide flare angle conical horns using inserted metallic discs</t>
  </si>
  <si>
    <t>10.1049/ip-map:20000037</t>
  </si>
  <si>
    <t>2-s2.0-0033732766</t>
  </si>
  <si>
    <t>['studied experimentally', 'second identical', 'reduced substantially', 'patch antenna', 'original probe', 'observed across', 'impedance bandwidth', 'average gain', '7 dbi', '5 dbi']</t>
  </si>
  <si>
    <t>A single-layered broadband patch antenna with a T-shaped feeding probe is studied experimentally. With a supporting foam substrate of thickness around 0.1Œª0, a rectangular patch antenna with bandwidth (SWR‚â§2) of 40% and average gain of 7 dBi is designed. Such wideband and high gain performance is confirmed by simulation using Ensemble. Furthermore, by introducing a second identical T-probe, which is fed out of phase with the original probe, the cross-polarization of the H-plane is reduced substantially. The patch antenna with 2 T-shaped probes also maintains an impedance bandwidth (SWR‚â§2) of 41% and average gain of 6.5 dBi. Stable radiation patterns are observed across the passbands.</t>
  </si>
  <si>
    <t>73-76</t>
  </si>
  <si>
    <t>60013983;60006173;60013983</t>
  </si>
  <si>
    <t>7102876278;7501501369;55510527400</t>
  </si>
  <si>
    <t>Mak, C. L.;Lee, K. F.;Luk, K. M.</t>
  </si>
  <si>
    <t>Broadband patch antenna with a T-shaped probe</t>
  </si>
  <si>
    <t>10.1049/ip-map:20000264</t>
  </si>
  <si>
    <t>2-s2.0-0033734118</t>
  </si>
  <si>
    <t>['tunable radiations', 'switchable antenna', 'radiation characteristics', 'microstrip antenna', 'magnetostatic waves', 'little radiates', 'freedom offered', 'ferrite substrate', 'extra degree', 'effectively absent', 'biased ferrite', 'antenna radiation', '3 ghz']</t>
  </si>
  <si>
    <t>Radiation characteristics of a switchable microstrip planar array of circular patch antennas printed on ferrite substrate with a normal magnetic bias field are described. The extra degree-of-freedom offered by the biased ferrite can be used to obtain a number of novel characteristics including switchable and tunable radiations from a microstrip antenna with a single feed point. In such a case for antenna radiation, most of the power will be converted into magnetostatic waves and little radiates into the air. Under such circumstances the antennas are off, in the sense that they are effectively absent as radiators. Properties of a switchable antenna in an S band (3 GHz) are investigated.</t>
  </si>
  <si>
    <t>151-155</t>
  </si>
  <si>
    <t>60070212;60070212</t>
  </si>
  <si>
    <t>6603730792;6507847292</t>
  </si>
  <si>
    <t>Dixit, L.;Pourush, P. K.S.</t>
  </si>
  <si>
    <t>Agra</t>
  </si>
  <si>
    <t>Institute of Basic Sciences Agra</t>
  </si>
  <si>
    <t>Dixit L.</t>
  </si>
  <si>
    <t>Radiation characteristics of switchable ferrite microstrip array antenna</t>
  </si>
  <si>
    <t>10.1049/ip-map:20000038</t>
  </si>
  <si>
    <t>2-s2.0-0033734205</t>
  </si>
  <si>
    <t>['two types', 'ptfe substrate', 'mass production', 'excellent efficiency', 'antenna characteristics', '33 dbi']</t>
  </si>
  <si>
    <t>Radial line slot antennas (RLSAs) are designed for high gain millimetre wave systems. Two types of RLSA are tested in the 60 GHz band: one is the conventional structure consisting of three separate parts, two conducting disks and a foaming dielectric material, while the other is a PTFE substrate which seems to be more suitable for mass production. The antenna characteristics are measured in the 60 GHz band and an excellent efficiency of 50% at 33 dBi is obtained.</t>
  </si>
  <si>
    <t>134-138</t>
  </si>
  <si>
    <t>60031126;60016074;60003381;101847648;60031126;60016074</t>
  </si>
  <si>
    <t>7005139430;56380745400;7006899159;35495699200;23017011800;7402893507</t>
  </si>
  <si>
    <t>Akiyama, A.;Yamamoto, T.;Hirokawa, J.;Ando, M.;Takeda, E.;Arai, Y.</t>
  </si>
  <si>
    <t>Tokyo;Yamagata;Tokyo;</t>
  </si>
  <si>
    <t>Tokyo Institute of Technology;Yamagata University;Hitachi, Ltd.;Taisci Co. Ltd.</t>
  </si>
  <si>
    <t>60031126;60016074;60003381;101847648</t>
  </si>
  <si>
    <t>Akiyama A.</t>
  </si>
  <si>
    <t>High gain radial line slot antennas for millimetre wave applications</t>
  </si>
  <si>
    <t>10.1049/ip-map:20000165</t>
  </si>
  <si>
    <t>2-s2.0-0033734498</t>
  </si>
  <si>
    <t>['time processing', 'time array', 'suboptimum space', 'gps signal', 'frequency processing', 'design criteria', 'adaptive space']</t>
  </si>
  <si>
    <t>We have demonstrated that by using an adaptive space-time array the interference from multiple, strong interferers plus multipath can be canceled down close to the noise floor without producing serious loss or distortion of a GPS signal. Design criteria are presented and limitations are examined. We also compare space-time processing with suboptimum space-frequency processing, and demonstrate by simulation that for equal computational complexity space-time processing slightly outperforms suboptimum space-frequency processing.</t>
  </si>
  <si>
    <t>549-564</t>
  </si>
  <si>
    <t>60000251-60012564;60012564</t>
  </si>
  <si>
    <t>7006009447;7005943371</t>
  </si>
  <si>
    <t>Fante, R. L.;Vaccaro, J. J.</t>
  </si>
  <si>
    <t>McLean;New York</t>
  </si>
  <si>
    <t>MITRE Corporation;IEEE</t>
  </si>
  <si>
    <t>60012564;60000251</t>
  </si>
  <si>
    <t>Fante R.</t>
  </si>
  <si>
    <t>Wideband cancellation of interference in a GPS receive array</t>
  </si>
  <si>
    <t>10.1109/7.845241</t>
  </si>
  <si>
    <t>2-s2.0-0033737710</t>
  </si>
  <si>
    <t>['training set', 'targets present', 'matched filter', 'introduced via', 'cfar ).']</t>
  </si>
  <si>
    <t>The parametric adaptive matched filter (PAMF) for space-time adaptive processing (STAP) is introduced via the matched filter (MF), multichannel linear prediction, and the multichannel LDU decomposition. Two alternative algorithmic implementations of the PAMF are discussed. Issues considered include sample training data size and constant false alarm rate (CFAR). Detection test statistics are estimated for airborne phased array radar measurements, and probability of detection is estimated using simulated phased array radar data for airborne surveillance radar scenarios. For large sample sizes, the PAMF performs close to the MF; performance degrades slightly for small sample sizes. In both sample size ranges, the PAMF is tolerant to targets present in the training set.</t>
  </si>
  <si>
    <t>677-692</t>
  </si>
  <si>
    <t>60000251-100413798;60077755;60000251-100413798;60000251-100386741;60000251-60019228;60000251-60019228</t>
  </si>
  <si>
    <t>57202643897;7004719509;55197521000;55699330500;7003536584;7006841267</t>
  </si>
  <si>
    <t>Rom√°n, Jaime R.;Rangaswamy, Muralidhar;Davis, Dennis W.;Zhang, Qingwen;Himed, Braham;Michels, James H.</t>
  </si>
  <si>
    <t>Waltham;Dayton;New York;;Los Angeles</t>
  </si>
  <si>
    <t>Arcon Corporation;Air Force Research Laboratory;IEEE;Scientific Studies Corp;SiRF Technology, Inc.</t>
  </si>
  <si>
    <t>60077755;60019228;60000251;100413798;100386741</t>
  </si>
  <si>
    <t>Rom√°n J.R.</t>
  </si>
  <si>
    <t>Parametric adaptive matched filter for airborne radar applications</t>
  </si>
  <si>
    <t>10.1109/7.845259</t>
  </si>
  <si>
    <t>2-s2.0-0033737769</t>
  </si>
  <si>
    <t>['wave sources', 'two circuits', 'starting voltage', 'plasma resistance', 'ohmic discharges', 'initial phase', 'different frequencies', '6b tokamak']</t>
  </si>
  <si>
    <t>The electron cyclotron wave current startup as a scheme to initiate ohmic discharges has been investigated with two circuits of open and shorted primary winding of transformer in the CT-6B tokamak. A diode shorted circuit is proposed for connection with ohmic discharges. Two gyrotron systems operated at different frequencies were used as the wave sources. The experimental results indicate that approximately equivalent transformer flux saving and reduction of starting voltage are achieved in the initial phase of the ohmic discharges for both circuits. An estimation of plasma resistance for the open circuit shows that no obvious anomalous resistance of the wave started plasma is observed.</t>
  </si>
  <si>
    <t>323-330</t>
  </si>
  <si>
    <t>60012820;60012820;60012820;60012820;60012820;60012820;60012820;60012820;60012820;60012820</t>
  </si>
  <si>
    <t>7402530357;7401574491;7402911426;7406499244;7409201879;7202430379;7401574498;7409085801;57101369200;7403146931</t>
  </si>
  <si>
    <t>Yao, Xinzi;Jiang, Diming;Feng, Chunhua;Yang, Xuanzong;Zhang, Houxian;Qi, Xiazhi;Jiang, Deyi;Li, Zanliang;Wang, Long;Zheng, Shaobai</t>
  </si>
  <si>
    <t>Institute of Physics Chinese Academy of Sciences</t>
  </si>
  <si>
    <t>Electron cyclotron wave current startup for ohmic discharges on the CT-6B tokamak</t>
  </si>
  <si>
    <t>10.1109/27.842928</t>
  </si>
  <si>
    <t>2-s2.0-0033740107</t>
  </si>
  <si>
    <t>['wide slits', 'new design', 'impedance matching', 'ground plane', 'experimental results', 'conducting post', 'circular patch', 'antenna design', 'also connected', '3 dbi']</t>
  </si>
  <si>
    <t>A new design of a circular patch antenna with an impedance bandwidth greater than 25% and a peak antenna gain about 8.3 dBi is presented. The circular patch antenna has a thick air substrate, and a pair of wide slits are cut in the circular patch to facilitate the antenna's impedance matching. The circular patch is supported by a conducting post, which is also connected to a 50 Œ© microstrip feed line. The ground plane of the microstrip line also serves as the ground plane of the circular patch antenna, and the substrate of the microstrip feed line and the circular patch are on the same side of the ground plane. Details of the antenna design and experimental results are described.</t>
  </si>
  <si>
    <t>327-328</t>
  </si>
  <si>
    <t>Wideband circular patch antenna</t>
  </si>
  <si>
    <t>10.1002/(SICI)1098-2760(20000605)25:5&lt;327::AID-MOP10&gt;3.0.CO;2-D</t>
  </si>
  <si>
    <t>2-s2.0-0033740309</t>
  </si>
  <si>
    <t>['simple expression', 'resonant frequency', 'microstrip antennas', 'good agreement', 'genetic algorithm', 'electrically thin', 'aided design']</t>
  </si>
  <si>
    <t>A simple expression for the effective patch radius is presented for the resonant frequency of the electrically thin and thick circular microstrip patch antennas. It is obtained by using a genetic algorithm, and is useful for the computer-aided design (CAD) of microstrip antennas. The theoretical resonant frequency results obtained by using this new effective patch radius expression are in very good agreement with the experimental results available in the literature.</t>
  </si>
  <si>
    <t>156-159</t>
  </si>
  <si>
    <t>60003217;60003217</t>
  </si>
  <si>
    <t>35581650500;7005087231</t>
  </si>
  <si>
    <t>Akdagli, A.;Guney, K.</t>
  </si>
  <si>
    <t>Akdagli A.</t>
  </si>
  <si>
    <t>Effective patch radius expression obtained using a genetic algorithm for the resonant frequency of electrically thin and thick circular microstrip antennas</t>
  </si>
  <si>
    <t>10.1049/ip-map:20000265</t>
  </si>
  <si>
    <t>2-s2.0-0033741869</t>
  </si>
  <si>
    <t>['unique approach', 'target gives', 'reliable detection', 'many sum', 'many radars', 'low gain', 'little change', 'injected target', 'factored approach', 'end electronics', 'difference beams', 'difference beam', 'conventional pulse', 'airborne systems']</t>
  </si>
  <si>
    <t>A unique approach for airborne radar clutter rejection is developed and evaluated. This spatial and temporal adaptive approach employs the sum and difference beams of an antenna, which has significant practical advantages because it can be implemented with no/little change to the front-end electronics of airborne systems where sum and difference beams already exist for other reasons. The low sidelobe implementation of many sum and difference beam systems and the low gain of the difference beam in the direction of the target gives this approach the potential in many radars for a more predictable response pattern. The impact of these factors is shown in an airborne clutter rejection demonstration where the performance of this approach is compared with that of the factored approach (FA) using additional spatial channels and that of conventional pulse-Doppler (PD) processing. Reliable detection of an injected target is only achieved by this approach.</t>
  </si>
  <si>
    <t>634-646</t>
  </si>
  <si>
    <t>60000251-60019228;60000251-112782183;60000251-100633902-60019228;60000251-60030551;60000251-60030551-100836920</t>
  </si>
  <si>
    <t>55568522726;6602599267;7005187912;7501735507;55739743900</t>
  </si>
  <si>
    <t>Brown, Russell D.;Schneible, Richard A.;Wicks, Michael C.;Wang, Hong;Zhang, Yuhong</t>
  </si>
  <si>
    <t>Syracuse;Dayton;New York;Rome;Rome;Albuquerque</t>
  </si>
  <si>
    <t>Syracuse University;Air Force Research Laboratory;IEEE;Research Associates for Defense Conversion;Stiefvater Consultants;USAF Research Lab</t>
  </si>
  <si>
    <t>60030551;60019228;60000251;112782183;100836920;100633902</t>
  </si>
  <si>
    <t>Brown R.D.</t>
  </si>
  <si>
    <t>STAP for clutter suppression with sum and difference beams</t>
  </si>
  <si>
    <t>10.1109/7.845254</t>
  </si>
  <si>
    <t>2-s2.0-0033746419</t>
  </si>
  <si>
    <t>['special attention', 'small array', 'sidelobe level', 'radiation characteristics', 'back radiation']</t>
  </si>
  <si>
    <t>The radiation characteristics of microstrip antennas consisting of two patch elements on small size substrates are studied by means of an approximate solution technique. Special attention is paid to the shielding effect due to finite ground plane diffraction. Experimental and theoretical results show that the back radiation is influenced by the sidelobe level and can further be reduced when the antenna is boxed. For a correct radiation pattern computation these diffraction effects need to be included in the design of small array as well as in that of single element antennas.</t>
  </si>
  <si>
    <t>100528978;100352745;60007902</t>
  </si>
  <si>
    <t>6505914327;7003387454;55645716800</t>
  </si>
  <si>
    <t>Marg, R.;Sch√∂n, I.;Jacob, A. F.</t>
  </si>
  <si>
    <t>Braunschweig;Bad Salzdetfurth;Hildesheim</t>
  </si>
  <si>
    <t>Technische Universit√§t Braunschweig;Fuba Automotive GmbH and Co. KG;Blaupunkt-Werke GmbH</t>
  </si>
  <si>
    <t>60007902;100528978;100352745</t>
  </si>
  <si>
    <t>Marg R.</t>
  </si>
  <si>
    <t>Finite ground plane effects on the radiation pattern of small microstrip arrays</t>
  </si>
  <si>
    <t>10.1049/ip-map:20000095</t>
  </si>
  <si>
    <t>2-s2.0-0033748959</t>
  </si>
  <si>
    <t>['thus demonstrating', 'target characterization', 'sufficiently diverse', 'substrate thickness', 'scatterer illuminated', 'residue information', 'pole locations', 'plane wave', 'microstrip dipole', 'matrix elements', 'layered media', 'identification purposes', 'gpof method', 'generalized pencil', 'finally obtained', 'fft ).', 'extracted via', 'evaluated using', 'electromagnetic pulse', 'domain response', 'domain method', 'dielectric loss', 'also investigated']</t>
  </si>
  <si>
    <t>The scattering of a plane wave from conducting planar objects in layered media has been analyzed by a frequency-domain method of moments (MoM) with rooftop basis functions and Galerkin's procedure. Green's functions for layered media involved in the computation of the matrix elements are evaluated using the closed-form expression obtained from the robust approach using the generalized pencil-of-function (GPOF) method. The time-domain scattered field from the scatterer illuminated by an electromagnetic pulse is obtained from its frequency domain data via the inverse fast Fourier transform (FFT). The poles and residues of the time-domain response are then extracted via the GPOF method. The singularity expansion method (SEM) representation of the time-domain response using the poles and residues is finally obtained. The pole locations in a complex frequency plane as a function of the substrate thickness, relative dielectric permittivity and dielectric loss are also investigated. Complex natural resonances for a microstrip dipole and patch are sufficiently diverse for identification purposes, thus demonstrating that only pole and residue information is required for target characterization.</t>
  </si>
  <si>
    <t>111-115</t>
  </si>
  <si>
    <t>60031004;60011362;60031004</t>
  </si>
  <si>
    <t>56050016100;6603921864;7004652272</t>
  </si>
  <si>
    <t>Wang, Y.;Shuley, N. V.;Yau, D.</t>
  </si>
  <si>
    <t>SEM representation of transient scattering from conducting planar objects in layered media</t>
  </si>
  <si>
    <t>10.1049/ip-map:20000267</t>
  </si>
  <si>
    <t>2-s2.0-0033749423</t>
  </si>
  <si>
    <t>['wave analysis', 'results obtained', 'reactional iteration', 'published elsewhere', 'outer far', 'novel full', 'literature shows', 'layered radome', 'inner near', 'image theory', 'ground plane', 'equivalence principle', 'dielectric radome', 'compact form', 'aperture flush', 'although applied', 'additional contributions']</t>
  </si>
  <si>
    <t>A novel full-wave analysis of the antenna radiation due to an aperture flush-mounted on a ground plane and excited by a circular waveguide TE11 wave is presented. The aperture is further covered by a dielectric hemispherical radome. Huygens' equivalence principle and image theory are utilized to simplify the problem, and magnetic dyadic Green's functions are employed to formulate both the reactional magnetic current distribution around the aperture and the inner near-zone and outer far-zone electromagnetic fields. The idea of reactional iteration is implemented in this work, and, hence, the final equivalent source is obtained in quite a compact form. Comparison between the results obtained and those published elsewhere in the literature shows the additional contributions to the equivalent magnetic source distribution and the near- and far-zone field patterns from the feedback of the electromagnetic fields reflected from the dielectric radome. Although applied only for a simple-layer dielectric radome, the method itself is not restricted by the number of layers and can easily be extended to a multi-layered radome or dielectric inhomogeneous radome.</t>
  </si>
  <si>
    <t>144-150</t>
  </si>
  <si>
    <t>7501449136;7102006113;57191034124;7102523120;35581072400</t>
  </si>
  <si>
    <t>Li, L. W.;Leong, M. S.;Zhou, L.;Yeo, T. S.;Kooi, P. S.</t>
  </si>
  <si>
    <t>Improved analysis of antenna radiation from a circular aperture covered by a dielectric hemispherical radome shell</t>
  </si>
  <si>
    <t>10.1049/ip-map:20000217</t>
  </si>
  <si>
    <t>2-s2.0-0033750935</t>
  </si>
  <si>
    <t>['trapping problem', 'synthesis procedure', 'squared amplitude', 'solution algorithm', 'power synthesis', 'planar arrays', 'objective functional', 'mutual coupling', 'local minimum', 'excitation voltages', 'excitation coefficients', 'difficulty related', 'choice makes', 'allows constraints']</t>
  </si>
  <si>
    <t>A technique for the power synthesis of planar arrays, taking into account the mutual coupling between the elements of the array, is presented. This technique, which accounts for the mutual coupling by introducing the port admittance matrix, is based on a generalized projection algorithm and allows constraints on the excitation coefficients to be considered. To alleviate the difficulty related to the trapping of the solution algorithm by a local minimum of the objective functional, the squared amplitude of the co-polar, cross-polar far field components and of the excitation voltages are exploited in defining the objective functional. This choice makes it possible to manage a projection algorithm handling sets whose geometrical properties result in being favourable with respect to the trapping problem. Numerical results show the effectiveness of the approach and the crucial role played by accounting for mutual coupling in order to ensure the reliability of the synthesis procedure.</t>
  </si>
  <si>
    <t>95-99</t>
  </si>
  <si>
    <t>101856172;101675362;101856172</t>
  </si>
  <si>
    <t>7103082097;6603673875;57201738411</t>
  </si>
  <si>
    <t>D'Elia, G.;Soldovieri, F.;Di Massa, G.</t>
  </si>
  <si>
    <t>Napoli;Rende</t>
  </si>
  <si>
    <t>Dipartimento di Ingcgneria Elettronica e D√©lie Telcomunicazioni;Dipartimento di Elettronica</t>
  </si>
  <si>
    <t>101856172;101675362</t>
  </si>
  <si>
    <t>D'Elia G.</t>
  </si>
  <si>
    <t>Mutual coupling compensation in a power synthesis technique of planar array antennas</t>
  </si>
  <si>
    <t>10.1049/ip-map:20000266</t>
  </si>
  <si>
    <t>2-s2.0-0033751844</t>
  </si>
  <si>
    <t>['signal downlead', 'sensor matrix', 'safety limits', 'random samples', 'probe array', 'parallel using', 'new technique', 'mounted directly', 'measurement examples', 'human tissue', 'homogeneous phantom', 'high accuracy', 'handset antennas', 'first time', 'first prototype', 'first assessment', 'field determination', 'electric properties', 'accurate determination']</t>
  </si>
  <si>
    <t>A new efficient technique for a fast (range of seconds) and accurate determination of the specific absorption rate (SAR) inside a homogeneous phantom is proposed. To simulate the electric properties of human tissue, a solid phantom material is used. In a fast scanning procedure, measurement of the electric field strength is carried out quasi-parallel using an array of electric field probes. This sensor matrix is mounted directly on the surface of the phantom. For a high accuracy of field determination, minimum field perturbation caused by the probe array has to be achieved. Therefore, high-resistive transmission lines are used for signal downlead. An efficient field transformation algorithm has been developed to determine the electric field strength inside the phantom. Applying the new technique for SAR-testing of hand-held mobile telephones, random samples during production or even full testing becomes possible for the first time. This leads to an enormous improvement towards more safety for the consumers. In this paper, the new technique is introduced and compared to the conventional testing procedure. The first prototype of a set-up is presented to be used for the design and optimization of handset antennas as well as to check cellular phones with regard to safety limits. First assessment of accuracy and measurement examples are given.</t>
  </si>
  <si>
    <t>;;60015815;</t>
  </si>
  <si>
    <t>6603678252;6701599068;6506401120;15823953000</t>
  </si>
  <si>
    <t>Ruo√ü, Hans Oliver;Klar, Michael;Spreitzer, Wolfgang;F√§ssler, Georg</t>
  </si>
  <si>
    <t>Ruo√ü H.</t>
  </si>
  <si>
    <t>Fast and accurate SAR-testing of hand-held mobile telephones: Measurement technique, set-up and first assessment of accuracy</t>
  </si>
  <si>
    <t>2-s2.0-0342955772</t>
  </si>
  <si>
    <t>['sensitized near', 'see scheme', 'ruthenium tris', 'functionalized light', 'first observation', 'energy tranfer']</t>
  </si>
  <si>
    <t>Energy transfer | Lanthanides | Luminescence | Sensitizers | Transition metals</t>
  </si>
  <si>
    <t>Energy tranfer (ET) from ferrocene or ruthenium tris(bipyridine) functionalized light-harvesting units allows the first observation of sensitized near-infrared (NIR) lanthanide (Ln) luminescence (Lum.; see scheme, Exc. = excitation. Since the donating triplet state of the ruthenium tris(bipyridine)antenna is luminescent, the sensitization process could be studied in detail.</t>
  </si>
  <si>
    <t>4319-4321</t>
  </si>
  <si>
    <t>60084325;60084325;60084325</t>
  </si>
  <si>
    <t>55897125000;7006208721;7005239265</t>
  </si>
  <si>
    <t>Klink, Stephen I.;Keizer, Henk;Van Veggel, Frank C.J.M.</t>
  </si>
  <si>
    <t>Enschede</t>
  </si>
  <si>
    <t>MESA+ Instituut</t>
  </si>
  <si>
    <t>Transition metal complexes as photosensitizers for near-infrared lanthanide luminescence</t>
  </si>
  <si>
    <t>10.1002/1521-3773(20001201)39:23&lt;4319::AID-ANIE4319&gt;3.0.CO;2-X</t>
  </si>
  <si>
    <t>2-s2.0-0034605924</t>
  </si>
  <si>
    <t>['results comparing', 'provide validation', 'genetic algorithm', 'designing single']</t>
  </si>
  <si>
    <t>A genetic algorithm (GA) has been developed for designing single-shaped reflector antennas for the synthesis of shaped contour beams. The graphical processing technique is used in order to obtain the antenna radiation patterns very efficiently. Results comparing with the classical conjugate gradient are included to provide validation.</t>
  </si>
  <si>
    <t>358-361</t>
  </si>
  <si>
    <t>6602926234;7006933058;6602569719;6701335577</t>
  </si>
  <si>
    <t>Vall-Ilossera, Merc√®;Rius, Juan M.;Duffo, Nuria;Cardama, Angel</t>
  </si>
  <si>
    <t>Vall-Ilossera M.</t>
  </si>
  <si>
    <t>Design of single-shaped reflector antennas for the synthesis of shaped contour beams using genetic algorithms</t>
  </si>
  <si>
    <t>10.1002/1098-2760(20001205)27:5&lt;358::AID-MOP19&gt;3.0.CO;2-M</t>
  </si>
  <si>
    <t>2-s2.0-0034541160</t>
  </si>
  <si>
    <t>['single feed', 'quadrature feed', 'linear polarization', 'excitation resulting', 'circular polarization']</t>
  </si>
  <si>
    <t>Integrated antennas usually have a single feed which has a return loss dependent on the amplifier. A quadrature-fed integrated antenna generally gives an excitation resulting in circular polarization. Linear polarization has been achieved with a quadrature feed and the use of a circular patch antenna.</t>
  </si>
  <si>
    <t>316-318</t>
  </si>
  <si>
    <t>56176069100;7403918312</t>
  </si>
  <si>
    <t>Yang, Chi Chung;Chan, Wing Shing</t>
  </si>
  <si>
    <t>Linearly polarized integrated antenna using quadrature feed</t>
  </si>
  <si>
    <t>10.1002/1098-2760(20001205)27:5&lt;316::AID-MOP9&gt;3.0.CO;2-Q</t>
  </si>
  <si>
    <t>2-s2.0-0034544428</t>
  </si>
  <si>
    <t>['thus obtained', 'slot antenna', 'proposed e', 'proposed antennas', 'proposed antenna', 'probe inductor', 'plane antenna', 'one incorporated', 'novel coaxial', 'impedance bandwidth', 'fed e', 'conventional u']</t>
  </si>
  <si>
    <t>A novel coaxial-fed E-shaped microstrip patch antenna is proposed in this paper. The proposed antenna is found to have a much broader impedance bandwidth as compared to the conventional U-slot antenna. An impedance bandwidth of about 33.8% is achieved for the proposed E-plane antenna. Through the use of a washer on the proposed antenna, the probe inductor is compensated, and an impedance bandwidth of 40% is thus obtained. The E-plane radiation pattern for both the proposed antenna and the one incorporated with the washer remains relatively constant through the band. A comparison between the U-slot antenna and our proposed antennas is made in the paper.</t>
  </si>
  <si>
    <t>348-352</t>
  </si>
  <si>
    <t>7202267270;7402931274</t>
  </si>
  <si>
    <t>Ooi, B. L.;Shen, Q.</t>
  </si>
  <si>
    <t>Novel E-shaped broadband microstrip patch antenna</t>
  </si>
  <si>
    <t>10.1002/1098-2760(20001205)27:5&lt;348::AID-MOP17&gt;3.0.CO;2-V</t>
  </si>
  <si>
    <t>2-s2.0-0034544578</t>
  </si>
  <si>
    <t>['two frequencies', 'range 1', 'obtained dual', 'novel design', 'microstrip antenna', 'line feed', 'inverted v', 'inset microstrip', 'frequency ratio', 'frequency performances', 'frequency operation', 'experimentally studied', 'embedded slot', 'achieved using']</t>
  </si>
  <si>
    <t>A novel design of a slotted triangular microstrip antenna for dual-frequency operation is proposed and experimentally studied. By embedding an inverted V-shaped slot close to the vertex of a triangular microstrip patch, dual-frequency operation of the microstrip antenna can be achieved using an inset microstrip-line feed. The two operating frequencies have parallel polarization planes and broadside radiation characteristics. Also, the frequency ratio, in the range 1.37-1.59, of the two frequencies can be controlled by the length of the embedded slot. Details of the obtained dual-frequency performances are presented and discussed.</t>
  </si>
  <si>
    <t>318-320</t>
  </si>
  <si>
    <t>60002069;60072417</t>
  </si>
  <si>
    <t>7006749889;7402713291</t>
  </si>
  <si>
    <t>Hsieh, Gui Bin;Pan, Shan Cheng</t>
  </si>
  <si>
    <t>Pingtung;Feng Shan</t>
  </si>
  <si>
    <t>Yung-Ta Institute of Technology and Commerce;Chinese Military Academy Taiwan</t>
  </si>
  <si>
    <t>60072417;60002069</t>
  </si>
  <si>
    <t>Hsieh G.</t>
  </si>
  <si>
    <t>Dual-frequency slotted triangular microstrip antenna with an inset microstrip-line feed</t>
  </si>
  <si>
    <t>10.1002/1098-2760(20001205)27:5&lt;318::AID-MOP10&gt;3.0.CO;2-O</t>
  </si>
  <si>
    <t>2-s2.0-0034547876</t>
  </si>
  <si>
    <t>['single probe', 'proposed designs', 'nonradiating edges', 'measurements show', 'experimental results', 'broadband operation', 'antenna bandwidth', '6 times']</t>
  </si>
  <si>
    <t>By embedding a pair of U-shaped narrow slots close to the nonradiating edges of a rectangular microstrip patch, a single probe-fed microstrip antenna for broadband operation is proposed. Measurements show that the antenna bandwidth can be as large as about 2.6 times that of a corresponding conventional rectangular microstrip antenna. Details of the proposed designs are described, and experimental results are presented and discussed.</t>
  </si>
  <si>
    <t>369-370</t>
  </si>
  <si>
    <t>60116768;60011357;60019330</t>
  </si>
  <si>
    <t>7501612962;35249332900;7406584064</t>
  </si>
  <si>
    <t>Chen, Hua Ming;Sze, Jia Yi;Lin, Yi Fang</t>
  </si>
  <si>
    <t>Kaohsiung;Kaohsiung;Kaohsiung</t>
  </si>
  <si>
    <t>National Kaohsiung University of Science and Technology;Cheng Shiu University Taiwan;National Sun Yat-Sen University</t>
  </si>
  <si>
    <t>60116768;60019330;60011357</t>
  </si>
  <si>
    <t>Broadband rectangular microstrip antenna with a pair of U-shaped slots</t>
  </si>
  <si>
    <t>10.1002/1098-2760(20001205)27:5&lt;369::AID-MOP22&gt;3.0.CO;2-1</t>
  </si>
  <si>
    <t>2-s2.0-0034547877</t>
  </si>
  <si>
    <t>['satellite communication', 'polarization levels', 'measured patterns', 'low sidelobe', 'low cross', 'design formulas', 'beam ptra']</t>
  </si>
  <si>
    <t>Design formulas, principles, and procedures for a multibeam parabolic torus reflector antenna (PTRA) are presented. A six-beam PTRA with 15¬∞ geostationary arc coverage for satellite communication is described. Experimental and theoretical radiation patterns are given. Six identical beams are obtained with low sidelobe and low cross-polarization levels. A comparison between the calculated and measured patterns of the central beam shows good agreement.</t>
  </si>
  <si>
    <t>343-347</t>
  </si>
  <si>
    <t>60013983-101029512;60013983;101029512;60023813</t>
  </si>
  <si>
    <t>7102831699;7101878862;55478588900;7202152603</t>
  </si>
  <si>
    <t>Du, Biao;Yung, Edward K.N.;Yang, Ke Zhong;Zhong, Shun Shi</t>
  </si>
  <si>
    <t>China;Hong Kong;China</t>
  </si>
  <si>
    <t>Shanghai;Kowloon;Shijiazhuang</t>
  </si>
  <si>
    <t>Shanghai University;City University of Hong Kong;Communication Telemetry and Telecontrol Research Institute</t>
  </si>
  <si>
    <t>60023813;60013983;101029512</t>
  </si>
  <si>
    <t>Design of multibeam parabolic torus reflector antennas</t>
  </si>
  <si>
    <t>10.1002/1098-2760(20001205)27:5&lt;343::AID-MOP16&gt;3.0.CO;2-2</t>
  </si>
  <si>
    <t>2-s2.0-0034547898</t>
  </si>
  <si>
    <t>['two chlorophyll', 'thermophilic cyanobacterium', 'synechococcus vulcanus', 'structure analysis', 'specific volume', 'space group', 'psii monomer', 'psii crystallized', 'psii complex', 'photosystem ii', 'oxygen evolution', 'orthorhombic system', 'native crystals', 'maximum resolution', 'high rate', 'gave rise', 'da based', 'cytochrome c', 'crystals diffracted', 'crystals contained', 'crystals belonged', '66 %.', '580 kda', '310 kda']</t>
  </si>
  <si>
    <t>A photosystem II (PSII) complex highly active in oxygen evolution was purified and crystallized from a thermophilic cyanobacterium, Synechococcus vulcanus. The PSII complex in the crystals contained the D1/D2 reaction center subunits, CP47 and CP43 (two chlorophyll-binding core antenna proteins of photosystem II), cytochrome b-559 Œ±- and Œ≤-subunits, several low molecular weight subunits, and three extrinsic proteins, that is, 33 and 12 kDa proteins and cytochrome c-550. The PSII complex also retained a high rate of oxygen evolution. The apparent molecular mass of the PSII in the crystals was determined to be 580 kDa by gel filtration chromatography, indicating that the PSII crystallized is a dimer. The crystals diffracted to a maximum resolution of 3.5 √Ö at a cryogenic temperature using X-rays from a synchrotron radiation source, SPring-8. The crystals belonged to an orthorhombic system, and the space group was P212121 with unit cell dimensions of a = 129.7 √Ö b = 226.5 √Ö and c = 307.8 √Ö. Each asymmetric unit contained one PSII dimer, which gave rise to a specific volume (V(M)) of 3.6 √Ö3/Da based on the calculated molecular mass of 310 kDa for a PSII monomer and an estimated solvent content of 66%. Multiple data sets of native crystals have been collected and processed to 4.0 √Ö, indicating that our crystals are suitable for structure analysis at this resolution.</t>
  </si>
  <si>
    <t>14739-14744</t>
  </si>
  <si>
    <t>60009730;60009730</t>
  </si>
  <si>
    <t>56374284200;7201711732</t>
  </si>
  <si>
    <t>Shen, J. R.;Kamiya, N.</t>
  </si>
  <si>
    <t>Sayo</t>
  </si>
  <si>
    <t>Riken Harima Institute</t>
  </si>
  <si>
    <t>Shen J.</t>
  </si>
  <si>
    <t>Crystallization and the crystal properties of the oxygen-evolving photosystem II from Synechococcus vulcanus</t>
  </si>
  <si>
    <t>10.1021/bi001402m</t>
  </si>
  <si>
    <t>2-s2.0-0034610351</t>
  </si>
  <si>
    <t>['vertical polarization', 'omnidirectional pattern', 'main beam']</t>
  </si>
  <si>
    <t>A dual-shaped reflector antenna with an omnidirectional pattern and vertical polarization is presented. A radial-mode conical feed illuminates a rotationally symmetric dual-shaped reflector system. The system is able to drive the main beam in a nearly horizontal direction and able to control both the main lobe direction and its pattern.</t>
  </si>
  <si>
    <t>371-374</t>
  </si>
  <si>
    <t>7006386299;7202940966;8677712100</t>
  </si>
  <si>
    <t>Pino, Antonio Garc√≠a;Arias Acu√±a, A. Marcos;Rubi√±os L√≥pez, J. Oscar</t>
  </si>
  <si>
    <t>Pino A.</t>
  </si>
  <si>
    <t>Omnidirectional dual-shaped reflector antenna</t>
  </si>
  <si>
    <t>10.1002/1098-2760(20001205)27:5&lt;371::AID-MOP23&gt;3.0.CO;2-3</t>
  </si>
  <si>
    <t>2-s2.0-0342955754</t>
  </si>
  <si>
    <t>['tilt angle', 'service zone', 'polarization level', 'main beam', 'element shaped', 'cosecant pattern', 'base station', 'array operates', '5 ghz', '20 ¬∞', '20 db', '10 db']</t>
  </si>
  <si>
    <t>In this paper, an eight-element shaped-beam-pattern microstrip antenna array for the base station in a mobile communication system has been designed. A cosecant pattern in the main beam which allows a constant power distribution in the service zone is achieved by feeding linearly varied amplitudes and phases into elements of the array. The array operates at 27.5 GHz, and a tilt angle of about 20¬∞ from the broadside is obtained. The sidelobes are on the order of -10 dB, and the cross-polarization level is about -20 dB.</t>
  </si>
  <si>
    <t>296-297</t>
  </si>
  <si>
    <t>60013983;60013983;60013983;60013983;60013983;60013983</t>
  </si>
  <si>
    <t>7201360552;7409654684;7406416354;7006926298;55511318500;55510527400</t>
  </si>
  <si>
    <t>Tong, H. Y.;Tong, ;Hu, J.;Pun, Y. B.;Chan, C. H.;Luk, K. M.</t>
  </si>
  <si>
    <t>Tong H.</t>
  </si>
  <si>
    <t>Design of linearly fed shaped-beam-pattern microstrip antenna array</t>
  </si>
  <si>
    <t>10.1002/1098-2760(20001205)27:5&lt;296::AID-MOP3&gt;3.0.CO;2-2</t>
  </si>
  <si>
    <t>2-s2.0-0343391185</t>
  </si>
  <si>
    <t>['two methods', 'photonic crystals', 'photonic bandgap', 'pc excited', 'pam ),', 'localized source', 'interesting insight', 'homogeneous medium', 'expansion method', 'excellent agreement', 'comparative study', 'array method']</t>
  </si>
  <si>
    <t>A comparative study of two methods, the eigenmode-expansion method (EEM) and the phased-array method (PAM), for the computation of Green's functions in photonic crystals (PCs) or photonic bandgap (PBG) materials is presented. The Green's functions computed show an excellent agreement between the two methods, and provide an interesting insight into the behavior of a PC excited by a localized source in comparison with the case of a homogeneous medium.</t>
  </si>
  <si>
    <t>60087352;60068739;60000874</t>
  </si>
  <si>
    <t>Algeria;Algeria;Belgium</t>
  </si>
  <si>
    <t>Boumerdes;Algiers;Louvain-la-Neuve</t>
  </si>
  <si>
    <t>Universit√© de Boumerdes;Ecole Nationale Polytechnique Alger;Universit√© Catholique de Louvain</t>
  </si>
  <si>
    <t>10.1002/1098-2760(20001205)27:5&lt;323::AID-MOP12&gt;3.0.CO;2-K</t>
  </si>
  <si>
    <t>2-s2.0-85047696610</t>
  </si>
  <si>
    <t>['system works', 'recovered thanks', 'rate constants', 'rate constant', 'primary rim', 'oxazine dye', 'ox725 );', 'mutual orientations', 'merocyanine dye', 'interchromophoric distances', 'forster radii', 'encased dye', 'dye ).', 'antenna since', 'antenna chromophores', '14 chromophores', '100 %.']</t>
  </si>
  <si>
    <t>The water-soluble Œ≤-cyclodextrin, CD-St, with seven steroidic naphthalene chromophores linked to the primary rim, can form inclusion complexes with a merocyanine dye (DCMOH) and an oxazine dye (Ox725); the stoichiometry is 2:1 (CD-St:dye). This system works as an antenna since the dye is surrounded by 14 chromophores. The efficiency of transfer from the antenna chromophores to the encased dye was found to be close to 100%. The dynamics of this heterotransfer and homotransfer (i.e., energy hopping among the antenna chromophores) was investigated by time-resolved fluorescence intensity and time-resolved fluorescence anisotropy experiments, respectively. The distribution of rate constants for homotransfer was recovered thanks to a previously described Monte Carlo simulation from which an average rate constant was calculated and found to be about 4 x 1011 s-1. This value is about 10 times faster than the rate constant for heterotransfer in the case of Ox725, and about three times faster than in the case of DCMOH. The results are discussed in terms of interchromophoric distances, mutual orientations and Forster radii.</t>
  </si>
  <si>
    <t>11876-11886</t>
  </si>
  <si>
    <t>60006217;60105998-60014541;60006217;60105780;60105998-60014541</t>
  </si>
  <si>
    <t>56254861800;6603403372;57203053069;7004097182;57204373650</t>
  </si>
  <si>
    <t>Berberan-Santos, M. N.;Choppinet, P.;Fedorov, A.;Jullien, L.;Valeur, B.</t>
  </si>
  <si>
    <t>France;France;France;Portugal</t>
  </si>
  <si>
    <t>Gif-sur-Yvette;Paris;Paris;Lisbon</t>
  </si>
  <si>
    <t>Laboratoire de Photophysique et Photochimie Supramol√©culaires et Maromol√©culaires;Processus d‚ÄôActivation S√©lectif par Transfert d‚ÄôEnergie Uni-√âlectronique ou Radiative;Conservatoire National des Arts et Metiers;Centro de Qu√≠mica-F√≠sica Molecular</t>
  </si>
  <si>
    <t>60105998;60105780;60014541;60006217</t>
  </si>
  <si>
    <t>Berberan-Santos M.N.</t>
  </si>
  <si>
    <t>Multichromophoric cyclodextrins. 8. Dynamics of homo- and heterotransfer of excitation energy in inclusion complexes with fluorescent dyes</t>
  </si>
  <si>
    <t>10.1021/ja000995l</t>
  </si>
  <si>
    <t>2-s2.0-0034614079</t>
  </si>
  <si>
    <t>['numerical prediction', 'microstrip antennas', 'measurement results', 'genetic algorithm', 'fourfold improvement', 'broadband applications', '4 substrate']</t>
  </si>
  <si>
    <t>The genetic algorithm (GA) is used to design patch shapes for microstrip antennas on FR-4 substrate for broadband applications. Measurement results of the GA-optimized designs show good agreement with numerical prediction. The optimized patch design achieves a fourfold improvement in bandwidth when contrasted with a standard square microstrip antenna.</t>
  </si>
  <si>
    <t>2057-2058</t>
  </si>
  <si>
    <t>60013372;60013372;60008088;60013372</t>
  </si>
  <si>
    <t>14009489300;6507335220;6701743519;7202062608</t>
  </si>
  <si>
    <t>Choo, H.;Hutani, A.;Trintinalia, L. C.;Ling, H.</t>
  </si>
  <si>
    <t>United States;Brazil</t>
  </si>
  <si>
    <t>Austin;Sao Paulo</t>
  </si>
  <si>
    <t>The University of Texas at Austin;Universidade de S√£o Paulo</t>
  </si>
  <si>
    <t>60013372;60008088</t>
  </si>
  <si>
    <t>Choo H.</t>
  </si>
  <si>
    <t>Shape optimization of broadband microstrip antennas using genetic algorithm</t>
  </si>
  <si>
    <t>10.1049/el:20001452</t>
  </si>
  <si>
    <t>2-s2.0-0034498666</t>
  </si>
  <si>
    <t>['shaped microstripline', 'radiation pattern', 'measured bandwidth', 'large bandwidth', 'antenna could']</t>
  </si>
  <si>
    <t>Cross-shaped microstripline-fed printed slot antenna with large bandwidth was discussed. The experiments were carried out to design the antenna and radiation pattern of the antenna was measured. The measured bandwidth of the antenna is 98.59% for S11‚â§-10 dB. The measured radiation patterns were presented. This antenna could be used to realize a powerful broadband array antenna.</t>
  </si>
  <si>
    <t>2056-2057</t>
  </si>
  <si>
    <t>Jang, Y. W.</t>
  </si>
  <si>
    <t>Eumseong-gun</t>
  </si>
  <si>
    <t>Keukdong College</t>
  </si>
  <si>
    <t>Jang Y.</t>
  </si>
  <si>
    <t>Broadband cross-shaped microstrip-fed slot antenna</t>
  </si>
  <si>
    <t>10.1049/el:20001477</t>
  </si>
  <si>
    <t>2-s2.0-0034514474</t>
  </si>
  <si>
    <t>['stainless steel', 'solar cells', 'slot antenna', 'new principle', 'ground plane', 'directly grown', 'also described']</t>
  </si>
  <si>
    <t>A new principle of a solar slot antenna is presented. The slot antenna integrates amorphous silicon solar cells which are directly grown on the ground plane where the slot antenna is cut. To facilitate the deposition of the solar cells, stainless steel was used for the ground plane. The effect on the efficiency of the antenna of this rather unusual choice for the conducting ground plane is also described.</t>
  </si>
  <si>
    <t>2059-2060</t>
  </si>
  <si>
    <t>60028186;60002128;60028186;60002128;60028186;60028186;60031159;60031159</t>
  </si>
  <si>
    <t>7003632399;42662868200;7006665188;7403209250;7004724089;6701417455;7003592642;7003966996</t>
  </si>
  <si>
    <t>Vaccaro, S.;Torres, P.;Mosig, J. R.;Shah, A.;Z√ºrcher, J. F.;Skrivervik, A. K.;De Maagt, P.;Gerlach, L.</t>
  </si>
  <si>
    <t>Stainless steel slot antenna with integrated solar cells</t>
  </si>
  <si>
    <t>10.1049/el:20001467</t>
  </si>
  <si>
    <t>2-s2.0-0034514475</t>
  </si>
  <si>
    <t>['wasp taps', 'vibrational sounding', 'two families', 'substrate relative', 'subgenual organ', 'produce vibrations', 'potential host', 'positively correlated', 'parasitoid wasps', 'nesting aculeates', 'host location', 'female tibia', 'ecological conditions', "echoes '.", 'data suggested', 'concealed hosts', 'cocooned hosts', 'associated modifications']</t>
  </si>
  <si>
    <t>Comparative method | Echolocation | Host shifts | Hymenoptera</t>
  </si>
  <si>
    <t>Vibrational sounding, which is a form of echolocation, is a means of host location by some parasitoid wasps. The wasp taps the substrate (wood, stem or soil) and detects the position of a potential host through the returning 'echoes'. The deployment of vibrational sounding is inferred through the form of the subgenual organ in the female tibia in combination with the presence of modifications to the female antenna used for tapping the substrate. Vibrational sounding and its associated modifications were found in two families. The use of vibrational sounding by parasitoid wasps was positively correlated with the depth of the host in the substrate relative to the size of the parasitoid. There were also significant correlations between the use of vibrational sounding and parasitism of immobile and concealed hosts and between vibrational sounding and idiobiosis. The data suggested that Vibrational sounding evolved under a variety of ecological conditions, being employed in the location of wood-boring, stem-boring, soildwelling and cocooned hosts and stem-nesting aculeates, often in situations in which the host does not produce vibrations itself.</t>
  </si>
  <si>
    <t>2403-2409</t>
  </si>
  <si>
    <t>6603201874;35578013000</t>
  </si>
  <si>
    <t>Broad, G. R.;Quicke, D. L.J.</t>
  </si>
  <si>
    <t>Broad G.</t>
  </si>
  <si>
    <t>The adaptive significance of host location by vibrational sounding in parasitoid wasps</t>
  </si>
  <si>
    <t>10.1098/rspb.2000.1298</t>
  </si>
  <si>
    <t>2-s2.0-0034619816</t>
  </si>
  <si>
    <t>['using immunocytochemistry', 'two siblings', 'specific nos', 'sgc inhibitors', 'sgc enzyme', 'schistocerca gregaria', 'results indicate', 'potential source', 'pioneer neurons', 'phenotype resulting', 'pharmacological inhibition', 'permeant cgmp', 'pathway formation', 'investigate mechanisms', 'growth cones', 'grasshopper embryo', 'embryonic antenna', 'embryo culture', 'direct activator', 'developing antenna', 'culture medium', 'convenient system', 'cgmp signaling', 'basal lamina', 'axonal navigation', 'axonal elongation', 'abnormal pattern']</t>
  </si>
  <si>
    <t>CGMP | Grasshopper | Growth cone | Nitric oxide | Pathfinding | Schistocerca gregaria</t>
  </si>
  <si>
    <t>The grasshopper embryo has been used as a convenient system with which to investigate mechanisms of axonal navigation and pathway formation at the level of individual nerve cells. Here, we focus on the developing antenna of the grasshopper embryo (Schistocerca gregaria) where two siblings of pioneer neurons establish the first two axonal pathways to the CNS. Using immunocytochemistry we detected nitric oxide (NO)-induced synthesis of cGMP in the pioneer neurons of the embryonic antenna. A potential source of NO are NADPH-diaphorase-stained epithelial cells close to the basal lamina. To investigate the role of the NO/cGMP signaling system during pathfinding, we examined the pattern of outgrowing pioneer neurons in embryo culture. Pharmacological inhibition of soluble guanylyl cyclase (sGC) and of NO synthase (NOS) resulted in an abnormal pattern of pathway formation in the antenna. Axonogenesis of both pairs of pioneers was inhibited when specific NOS or sGC inhibitors were added to the culture medium; the observed effects include the loss axon emergence as well as retardation of outgrowth, such that growth cones do not reach the CNS. The addition of membrane-permeant cGMP or a direct activator of the sGC enzyme to the culture medium completely rescued the phenotype resulting from the block of NO/cGMP signaling. These results indicate that NO/cGMP signaling is involved in axonal elongation of pioneer neurons in the antenna of the grasshopper.</t>
  </si>
  <si>
    <t>4541-4549</t>
  </si>
  <si>
    <t>60011610;60011610</t>
  </si>
  <si>
    <t>36640421300;7006119207</t>
  </si>
  <si>
    <t>Seidel, C.;Bicker, G.</t>
  </si>
  <si>
    <t>Hannover</t>
  </si>
  <si>
    <t>Tier√§rztliche Hochschule Hannover</t>
  </si>
  <si>
    <t>Seidel C.</t>
  </si>
  <si>
    <t>Nitric oxide and cGMP influence axonogenesis of antennal pioneer neurons</t>
  </si>
  <si>
    <t>2-s2.0-0033709834</t>
  </si>
  <si>
    <t>['thermal radiation', 'rf range', 'receiving anthenna', 'received radiation', 'medium surface', 'interperiodica ".', 'field effect', 'experimentally observed', 'effective thickness', 'effect manifests', 'absorbing medium']</t>
  </si>
  <si>
    <t>The near-field effect was experimentally observed in the thermal radiation of an absorbing medium in the rf range. The radiation from a temperature-stratified aqueous medium was measured at a wavelength of 31 cm using specially developed electrically small antennas. The effect manifests itself as a decrease in the effective thickness of a layer in which the received radiation is formed and in the dependence of this thickness on the receiving anthenna's size and its height above the medium surface. ¬© 2000 MAIK "Nauka/Interperiodica".</t>
  </si>
  <si>
    <t>546-549</t>
  </si>
  <si>
    <t>JETP Letters</t>
  </si>
  <si>
    <t>60115148;60115148</t>
  </si>
  <si>
    <t>7003967651;7004434939</t>
  </si>
  <si>
    <t>Ga«êkovich, K. P.;Reznik, A. N.</t>
  </si>
  <si>
    <t>Kstovo</t>
  </si>
  <si>
    <t>The Institute for Physics of Microstructures of the Russian Academy of Sciences</t>
  </si>
  <si>
    <t>Ga«êkovich K.</t>
  </si>
  <si>
    <t>Near-field effect in thermal radio-frequency radiation</t>
  </si>
  <si>
    <t>10.1134/1.1348477</t>
  </si>
  <si>
    <t>2-s2.0-0039257739</t>
  </si>
  <si>
    <t>['sensitive organs', 'sensing organs', 'possible applications', 'novel biofet', 'many years', 'intact chemoreceptors', 'insect antenna', 'great interest', 'effect transistor', 'eag techniques', 'biosensors based', 'article describes']</t>
  </si>
  <si>
    <t>Bioelectronics | BioFET | Biosensor | EAG | Field-effect transistor | Insect antenna</t>
  </si>
  <si>
    <t>The extraordinary sensing abilities of insects have been well-known for many years. The use of their sensitive organs in biosensors is of great interest. This article describes both the signal-generating process inside the sensing organs and how to measure these signals in terms of technical sensing principles. Especially, EAG techniques and a novel BioFET (coupling between an insect antenna and a field-effect transistor) set-up are covered in detail. Possible applications of biosensors based on intact chemoreceptors are given and possible future developments in this area are discussed.</t>
  </si>
  <si>
    <t>645-652</t>
  </si>
  <si>
    <t>Electroanalysis</t>
  </si>
  <si>
    <t>60007774-60033331;60007774;60017134</t>
  </si>
  <si>
    <t>16026461800;16026362200;7005940238</t>
  </si>
  <si>
    <t>Schwning, Michael J.;Schwth, Peter;Sch√ºtz, Stefan</t>
  </si>
  <si>
    <t>Aachen;Giessen;J√ºlich</t>
  </si>
  <si>
    <t>Fachhochschule Aachen;Justus-Liebig-Universit√§t Gie√üen;Forschungszentrum J√ºlich (FZJ)</t>
  </si>
  <si>
    <t>60033331;60017134;60007774</t>
  </si>
  <si>
    <t>Schwning M.</t>
  </si>
  <si>
    <t>The use of insect chemoreceptors for the assembly of biosensors based on semiconductor field-effect transistors</t>
  </si>
  <si>
    <t>10.1002/1521-4109(200005)12:9&lt;645::AID-ELAN645&gt;3.0.CO;2-O</t>
  </si>
  <si>
    <t>2-s2.0-0346624516</t>
  </si>
  <si>
    <t>['smaller dendrite', 'roughly half', 'medial part', 'larger one', 'electrophysiological recordings', 'cavity revealed', 'auricillica located', '(¬±)- linalool']</t>
  </si>
  <si>
    <t>Electrophysiology | Fine structure | Olfaction | Plant volatiles | Sensillum</t>
  </si>
  <si>
    <t>In the Herald moth Scoliopteryx libatrix there are single superficial auricillic sensilla, as well as groups of s. auricillica located in cavities on the antennae. Two sensory neurones, with different dendrite diameters innervate each of these sensilla. The diameter of the smaller dendritic segment is roughly half that of the larger one. The larger dendritic outer segment branches profusely in the lumen of the sensillum, whereas the smaller dendrite has few branches. Electrophysiological recordings from s. auricillica located in the medial part of the cavity revealed a receptor neurone responding to Œî-3-carene. In addition to these neurones, recordings made deeper and more laterally into the cavity showed neurones that responded to (¬±)-linalool, Œ±-pinene and green leaf volatiles. (C) 2000 Elsevier Science Ltd.</t>
  </si>
  <si>
    <t>60027152;;60113289</t>
  </si>
  <si>
    <t>16485957900;7006062747;6701443175</t>
  </si>
  <si>
    <t>Anderson, P.;Hallberg, E.;Subchev, M.</t>
  </si>
  <si>
    <t>Bulgaria;Sweden</t>
  </si>
  <si>
    <t>Sofia;Uppsala</t>
  </si>
  <si>
    <t>Institute of Biodiversity and Ecosystem Research at the Bulgarian Academy of Sciences;Sveriges lantbruksuniversitet</t>
  </si>
  <si>
    <t>60113289;60027152</t>
  </si>
  <si>
    <t>Anderson P.</t>
  </si>
  <si>
    <t>Morphology of antennal sensilla auricillica and their detection of plant volatiles in the Herald moth, Scoliopteryx libatrix L. (Lepidoptera: Noctuidae)</t>
  </si>
  <si>
    <t>S1467803900000116</t>
  </si>
  <si>
    <t>10.1016/S1467-8039(00)00011-6</t>
  </si>
  <si>
    <t>2-s2.0-0033668952</t>
  </si>
  <si>
    <t>['specific labelling', 'similar role', 'sensillum lymph', 'sensillum compartments', 'sensillum cells', 'sensilla present', 'secretory organelles', 'results suggest', 'prominent labelling', 'overall identity', 'moth larvae', 'many pores', 'localization pattern', 'individual sensilla', 'general odorant', 'endocytotic pathways', 'bombyx mori', 'binding protein', 'antisera raised', 'antheraea polyphemus', 'antennal sensilla', 'adult moths']</t>
  </si>
  <si>
    <t>Bombyx mori | Compound sensillum | Helicoverpa armigera | Larva | Lepidoptera | Olfaction</t>
  </si>
  <si>
    <t>Antennae of Bombyx mori and Helicoverpa armigera larvae were immunolabelled with antisera raised against the pheromone-binding protein or the general odorant-binding protein 2 of Antheraea polyphemus to assign the expression of these proteins to individual sensilla and to compare the localization pattern with that in sensilla of adult moths. Specific labelling of antennal sensilla was only obtained with the antiserum against general odorant-binding protein 2. Among the few sensilla present on the antenna the three large sensilla basiconica, which are suspected to be olfactory in function, were labelled. These sensilla are compound sensilla consisting of several sensillum units which form a common sensory hair. The hair is single-walled and pierced by many pores. Labelling of sensillum compartments was the same as in sensilla of adults. Prominent labelling of the sensillum lymph is accompanied by labelling of secretory organelles in the two outermost auxiliary cells and of endocytotic pathways in all sensillum cells. The results suggest that general odorant-binding protein is expressed in single-walled multiporous sensilla of presumed olfactory function on the antenna of moth larvae. The overall identity of the localization pattern for general odorant-binding protein between larval and adult sensilla implies a similar role of these proteins in olfactory stimulus transduction. (C) 2000 Elsevier Science Ltd.</t>
  </si>
  <si>
    <t>57-73</t>
  </si>
  <si>
    <t>60005460-60005322</t>
  </si>
  <si>
    <t>Laue, Michael</t>
  </si>
  <si>
    <t>Pocking;Bochum</t>
  </si>
  <si>
    <t>Max Planck Institute for Ornithology;Ruhr-Universitat Bochum</t>
  </si>
  <si>
    <t>60005460;60005322</t>
  </si>
  <si>
    <t>Laue M.</t>
  </si>
  <si>
    <t>Immunolocalization of general odorant-binding protein in antennal sensilla of moth caterpillars</t>
  </si>
  <si>
    <t>S146780390000013X</t>
  </si>
  <si>
    <t>10.1016/S1467-8039(00)00013-X</t>
  </si>
  <si>
    <t>2-s2.0-0033669438</t>
  </si>
  <si>
    <t>['‚ àº', 'weakly coupled', 'weak electron', 'two states', 'two quasi', 'single chi', 'several types', 'remarkable finding', 'reaction center', 'rc ).', 'primary trap', 'photosystem ii', 'photoregulatory processes', 'phonon hole', 'phonon coupling', 'opposite sides', 'molecules located', 'intriguing question', 'important role', 'highly localized', 'extremely slow', 'eet processes', 'different layers', 'cp43 chlorophyll', 'b state', 'absorption bands', '9 nm', '3 nm', '120 cm', '1 ).']</t>
  </si>
  <si>
    <t>The CP43 chlorophyll a-core protein complex plays an important role in funneling excitation energy absorbed by more peripheral antenna complexes of photosystem II (PSII) to the reaction center (RC). Identification and characterization of the lowest energy Qy-states of CP43 is important for understanding the kinetics of excitation energy transfer (EET) from CP43 to the RC. We report the results of several types of spectroscopic experiments performed at liquid He temperatures on the isolated CP43 complex from spinach. Nonphotochemical hole burning (NPHB) and triplet bottleneck hole burning spectroscopies as well as zero-phonon hole (ZPH) action and Stark hole burning spectroscopies were employed. Two quasi-degenerate trap states at 682.9 nm (B state) and 683.3 nm (A state) are identified. The widths of their mainly inhomogeneously broadened Qy-absorption bands are 45 and 120 cm-1, respectively. The uncorrelated site excitation distribution functions (SDF) of the two states are nearly the same as their absorption bands since the electron-phonon coupling is weak (optical reorganization energies of ‚àº6 cm-1). The NPHB spectra establish that the B state is the primary trap for EET from higher energy Qy-states. The permanent dipole moment change (ŒîŒº) of the S0 ‚Üí Qy transition for both the B and A states is small, f¬∑ŒîŒº = 0.25 ¬± 0.05 and 0.47 ¬± 0.05, respectively, where f is the local field correction factor. These values, together with the weak electron-phonon coupling and other results, indicate that both states are highly localized on a single ChI a molecule. Holewidth measurements led to the remarkable finding that the rates of A ‚Üí B and B ‚Üí A EET processes are extremely slow, ‚àº(6 ns)-1. This suggests that the Chl a molecules of the two states belong to different layers of Chl a molecules located at opposite sides of the membrane. The intriguing question of why CP43 possesses two quasi-degenerate trap states that are so weakly coupled is addressed. The possibility that they play a role in the photoinhibitory and photoregulatory processes is raised.</t>
  </si>
  <si>
    <t>11805-11815</t>
  </si>
  <si>
    <t>60008023;60008023;60008023;60008023;60010939;60010939-60030451;60030451;60008023</t>
  </si>
  <si>
    <t>7005215675;6701853229;6701692882;56214774400;57196790195;56259745200;7006117632;7202142626</t>
  </si>
  <si>
    <t>Jankowiak, R.;Zazubovich, V.;R√§tsep, M.;Matsuzaki, S.;Alfonso, M.;Picorel, R.;Seibert, M.;Small, G. J.</t>
  </si>
  <si>
    <t>Golden;Zaragoza;Ames</t>
  </si>
  <si>
    <t>National Renewable Energy Laboratory;CSIC - Estacion Experimental de Aula Dei EEAD;Ames Laboratory</t>
  </si>
  <si>
    <t>60030451;60010939;60008023</t>
  </si>
  <si>
    <t>Jankowiak R.</t>
  </si>
  <si>
    <t>The CP43 Core Antenna Complex of Photosystem II Possesses Two Quasi-Degenerate and Weakly Coupled Q&lt;inf&gt;y&lt;/inf&gt;-Trap States</t>
  </si>
  <si>
    <t>10.1021/jp0025431</t>
  </si>
  <si>
    <t>2-s2.0-0000479774</t>
  </si>
  <si>
    <t>['strong spines', 'proximal pair', 'present except', 'algoa bay']</t>
  </si>
  <si>
    <t>Gastrosaccus wittmanni | Mysid | South Africa | Surface water</t>
  </si>
  <si>
    <t>Gastrosaccus wittmanni sp. nov. was collected from surface-waters near Kings Beach in Algoa Bay (South Africa). Morphologically, it is characterised by having seven strong spines on each side of the telson. In between the strong spines, spinules are present except between the first most proximal pair. The endopod of the first female pleopod bears one terminal plumose seta. Most of the setae on antennules, antennae, thoracopods, pleopods and uropods are jointed.</t>
  </si>
  <si>
    <t>141-148</t>
  </si>
  <si>
    <t>60033316;60007279;60033316</t>
  </si>
  <si>
    <t>7801649323;7004329391;6603871307</t>
  </si>
  <si>
    <t>Deprez, Tim;Wooldridge, Tris;Mees, Jan</t>
  </si>
  <si>
    <t>Belgium;South Africa</t>
  </si>
  <si>
    <t>Ghent;Gqeberha</t>
  </si>
  <si>
    <t>Universiteit Gent;Nelson Mandela University</t>
  </si>
  <si>
    <t>60033316;60007279</t>
  </si>
  <si>
    <t>Deprez T.</t>
  </si>
  <si>
    <t>A new species of Gastrosaccus (Crustacea, Mysidacea) from Algoa Bay (South Africa)</t>
  </si>
  <si>
    <t>10.1023/A:1017518925619</t>
  </si>
  <si>
    <t>2-s2.0-0034670946</t>
  </si>
  <si>
    <t>['wavelengths spanning']</t>
  </si>
  <si>
    <t>We report on the ultrabroadband coherent detection of radiation in wavelengths spanning from far to midinfrared with a low-temperature-grown GaAs photoconductive dipole antenna gated with 15 fs light pulses. The detected spectral frequency exceeds 20 THz. ¬© 2000 American Institute of Physics.</t>
  </si>
  <si>
    <t>4104-4106</t>
  </si>
  <si>
    <t>7201774143;7202550229;35966990100;7404662230</t>
  </si>
  <si>
    <t>Kono, Shunsuke;Tani, Masahiko;Gu, Ping;Sakai, Kiyomi</t>
  </si>
  <si>
    <t>Kono S.</t>
  </si>
  <si>
    <t>Detection of up to 20 THz with a low-temperature-grown GaAs photoconductive antenna gated with 15 fs light pulses</t>
  </si>
  <si>
    <t>10.1063/1.1333403</t>
  </si>
  <si>
    <t>2-s2.0-0000631825</t>
  </si>
  <si>
    <t>Leopold Center for Sustainable Agriculture, Iowa State University</t>
  </si>
  <si>
    <t>J-18702</t>
  </si>
  <si>
    <t>LCSA, ISU</t>
  </si>
  <si>
    <t>['tube olfactometer', 'tridecene revealed', 'tentatively identified', 'synthetic compound', 'synthetic 4', 'solvent extract', 'responses showed', 'predatory ants', 'positions 4', 'mass spectrometry', 'green lacewing', 'gas chromatography', 'electroantennographic detection', 'eag dose', 'ead ),', 'e form', 'double bond', 'direct correlation', 'defensive secretion', 'defensive function', 'chrysoperla carnea', 'characteristic fragments', 'carbon chain', 'based upon', 'avoidance behavior', 'arrestment behavior', 'antennae suggested']</t>
  </si>
  <si>
    <t>(Z)-4-tridecene | Alarm pheromone | Chrysoperla carnea | Chrysopidae | Defensive secretion | Electroantennography | Green lacewing | Neuroptera | Single sensillum recording</t>
  </si>
  <si>
    <t>We report the identification of a defensive secretion from the green lacewing, Chrysoperla carnea. By using combined gas chromatography-electroantennographic detection (GC-EAD), we found one major compound in the solvent extract of this secretion that elicited a significant EAD response from the antenna. Based upon its characteristic fragments from gas chromatography-mass spectrometry (GC-MS) analysis, the compound was identified as a tridecene. Dimethyldisulfide derivatization suggested that a double bond was located between positions 4 and 5 in the carbon chain. Thus, the compound was tentatively identified as a 4-tridecene. Coinjection of the extract with a mixture of the Z or E form of the synthetic 4-tridecene revealed that the unknown was (Z)-4-tridecene. EAG dose-responses showed a direct correlation to dose. Single sensillum recordings from sensilla trichodea situated on the antennae suggested the presence of receptor neurons specifically responding to this compound. An arrestment behavior was observed when tested in the Y-tube olfactometer. Preliminary field trapping results indicate that the compound is an antagonist to attraction. The avoidance behavior of predatory ants, observed when tested with the synthetic compound of this secretion further suggested a defensive function.</t>
  </si>
  <si>
    <t>2421-2434</t>
  </si>
  <si>
    <t>60004354;60002014;60004354;60004354;60004354;60004354</t>
  </si>
  <si>
    <t>56136051000;6603774096;7408066828;6602663257;7003399463;7402604731</t>
  </si>
  <si>
    <t>Zhu, Junwei;Unelius, Rikard C.;Park, Kye Chung;Ochieng, Samuel A.;Obrycki, John J.;Baker, Thomas C.</t>
  </si>
  <si>
    <t>Ames;Stockholm</t>
  </si>
  <si>
    <t>Iowa State University;The Royal Institute of Technology (KTH)</t>
  </si>
  <si>
    <t>60004354;60002014</t>
  </si>
  <si>
    <t>Zhu J.</t>
  </si>
  <si>
    <t>Identification of (Z)-4-tridecene from defensive secretion of green lacewing, Chrysoperla carnea</t>
  </si>
  <si>
    <t>10.1023/A:1005587113469</t>
  </si>
  <si>
    <t>2-s2.0-0033674160</t>
  </si>
  <si>
    <t>['volcano dynamics', 'volcanic tremor', 'volcanic signals', 'two short', 'tracing procedure', 'teide volcano', 'teide area', 'selected 21', 'seismogram shape', 'seismicity could', 'seismic source', 'seismic antennas', 'rights reserved', 'recorded simultaneously', 'predominant peaks', 'possible presence', 'period small', 'p time', 'noise ratio', 'local seismicity', 'local earthquakes', 'inverse ray', 'good signal', 'frequencies lower', 'eastern border', 'difficult task', 'data analyzed', 'correlation technique', 'canary islands', 'caldera edifice', 'artificial explosions', 'analyzed also', 'also located', '76 events', '2 hz']</t>
  </si>
  <si>
    <t>Back-ground seismic noise | Seismic antennas | Teidi Volcano | Volcano-tectonic earthquakes</t>
  </si>
  <si>
    <t>Data analyzed in the present work correspond to a 40 days field experiment carried out in Teide Volcano (Canary Islands, Spain) with two short-period small-aperture dense seismic antennas in 1994. The objective of this experiment was to detect, analyze and locate the local seismicity. We analyzed also the background seismic noise to investigate the possible presence of volcanic tremor. From a set of 76 events, we selected 21 of them in base of their good signal-to-noise ratio and their possibility to locate their seismic source by using the seismic antennas. A visual classification based on the S-P time and seismogram shape has permitted to establish three groups of events: local seismicity (S-P time between 3 and 5 s), very local earthquakes (S-P time smaller than 3 s) and artificial explosions. These earthquakes have been located by applying the Zero Lag Cross-Correlation technique and the inverse ray-tracing procedure. Those earthquakes that were recorded simultaneously by both seismic antennas were also located by intersecting both back-azimuths. The analysis of the seismicity has revealed that the amount of seismicity in Teide Volcano is moderate. This seismicity could be distributed in three main areas: inside the Caldera Edifice (below the Teide-Pico Viejo complex), in the eastern border of the Caldera Edifice and offshore of the island. At present, this activity is the only indicator of the volcano dynamics. The analysis of the back-ground seismic noise has revealed that at frequencies lower than 2 Hz, the Oceanic Load signal is predominant over other signals, even over local earthquakes with a magnitude of 2.0. Due to this, although if in the Teide area were present a weak volcanic tremor, or other volcanic signals with predominant peaks below 2 Hz, to observe them would be a very difficult task. ¬© 2000 Elsevier Science B.V. All rights reserved.</t>
  </si>
  <si>
    <t>439-462</t>
  </si>
  <si>
    <t>60027844;60027844;60027844;60027844;60026718;60007061;60015098;60015098;60018052</t>
  </si>
  <si>
    <t>6701459071;7101992312;6603865592;7401857804;7003907590;57189052098;57200197398;6701498956;57198020069</t>
  </si>
  <si>
    <t>Almendros, J.;Ib√°√±ez, J. M.;Alguacil, G.;Morales, J.;Del Pezzo, E.;La Rocca, M.;Ortiz, R.;Ara√±a, V.;Blanco, M. J.</t>
  </si>
  <si>
    <t>Spain;Italy;Spain;Spain;Italy</t>
  </si>
  <si>
    <t>Granada;Naples;Madrid;Madrid;Salerno</t>
  </si>
  <si>
    <t>Universidad de Granada;Osservatorio Vesuviano;Instituto Geografico Nacional Espa√±a;CSIC - Museo Nacional de Ciencias Naturales (MNCN);Universit√† degli Studi di Salerno</t>
  </si>
  <si>
    <t>60027844;60026718;60018052;60015098;60007061</t>
  </si>
  <si>
    <t>Almendros J.</t>
  </si>
  <si>
    <t>A double seismic antenna experiment at teide volcano: Existence of local seismicity and lack of evidences of volcanic tremor</t>
  </si>
  <si>
    <t>S0377027300002365</t>
  </si>
  <si>
    <t>10.1016/S0377-0273(00)00236-5</t>
  </si>
  <si>
    <t>2-s2.0-0034694561</t>
  </si>
  <si>
    <t>['vlbi observations', 'vlb array', 'variations intrinsic', 'three objects', 'results suggest', 'provided measurements', 'polarization variability', 'large array', 'included among', 'global œª', '1992 march', '152 ),']</t>
  </si>
  <si>
    <t>BL Lacertae objects: individual: 1334-127 | BL Lacertae objects: individual: 2131-021 | BL Lacertae objects: individual: 2155-152 | Polarization</t>
  </si>
  <si>
    <t>Global Œª = 6 cm polarization very long baseline interferometry (VLBI) observations of 18 BL Lacertae objects were obtained in 1992 March. The phased Very Large Array (VLA) was included among the antennas in the VLB array, and provided measurements of the integrated total flux and polarization of each of the sources during each 6.5-min VLBI scan. For nearly all the sources, these measurements were consistent with the fluxes and polarizations being constant during the 24-h VLBI experiment. However, in three objects (1334-127, 2131-021, 2155-152), the VLA measurements indicated that the integrated polarizations varied during the course of the VLBI observations. Subsequent analysis demonstrated that the variations in all three sources occurred in the milliarcsecond-scale compact radio structure. In the case of 2155-152, only one of two polarized milliarcsecond-scale features varied, while the polarization of the other feature was constant. These results suggest that the observed 'intraday' polarization variability was dominated by variations intrinsic to the sources.</t>
  </si>
  <si>
    <t>1125-1135</t>
  </si>
  <si>
    <t>60002493-60009114;60009114;60031259</t>
  </si>
  <si>
    <t>7006349660;6506210086;7004084638</t>
  </si>
  <si>
    <t>Gabuzda, D. C.;Kochenov, P. Yu;Cawthorne, T. V.</t>
  </si>
  <si>
    <t>United Kingdom;Russian Federation;Netherlands</t>
  </si>
  <si>
    <t>Preston;Moscow;Dwingeloo</t>
  </si>
  <si>
    <t>University of Central Lancashire;P.N. Lebedev Physical Institute of the Russian Academy of Sciences;Joint Institute for VLBI in Europe</t>
  </si>
  <si>
    <t>60031259;60009114;60002493</t>
  </si>
  <si>
    <t>Gabuzda D.</t>
  </si>
  <si>
    <t>Serendipitous VLBI observations of polarization intraday variability in three BL lacertae objects</t>
  </si>
  <si>
    <t>10.1046/j.1365-8711.2000.03933.x</t>
  </si>
  <si>
    <t>2-s2.0-0012725906</t>
  </si>
  <si>
    <t>['wavelength dependence', 'vibrational sidebands', 'strong coupling', 'specific heterogeneity', 'sharp maxima', 'second derivative', 'ringlike antenna', 'rhodopseiidomonas viridis', 'quantitative fit', 'probe traces', 'probe kinetics', 'obtained using', 'lh2 complexes', 'lh1 antenna', 'gives rise', 'frequency modes', 'excitonic states', 'exciton splitting', 'doorwaywindow representation', 'delocalized exciton', 'containing species', 'combined effects', 'acta 1995', '5 ps', '4360 ).', '110 cm']</t>
  </si>
  <si>
    <t>In this paper we explain the wavelength-dependent oscillatory features in the pump-probe kinetics of the core LH1 antenna of Rhodopseiidomonas viridis (Monshouwer, R.; Baltu≈°ka, A.; van Mourik, F.; van Grondelle, R. J. Phys. Chem. A 1998, 702, 4360). A quantitative fit of the data was obtained using the doorwaywindow representation of the nonlinear optical response in the vibrational eigenstate basis. In contrast to LH1/LH2 complexes from the BChl a-containing species, the LH1 antenna of Rps. viridis is characterized by a strong coupling of the excitonic states with two underdamped low-frequency modes (58 and 110 cm"1 at 77 K). Following a short femtosecond excitation pulse, this gives rise to the intense oscillations observed in the pump-probe traces, including their time and excitation/detection wavelength dependence. Furthermore, it leads to a pronounced and specific heterogeneity of the major absorption band due to the combined effects of the exciton splitting, disorder, and the presence of vibrational sidebands. The sharp maxima in the second derivative of the low-temperature absorption spectrum (Monshouwer, R.; Visschers, R. W.; van Mourik, F.; Freiberg, A.; van Grondelle, R. Biocliim. Biophys. Acta 1995,1229, 373) were assigned to the lowest excitonvibrational transitions. The wavelength dependence of the experimentally observed oscillatory pattern suggests a different vibrational coherence decay for the ground- and excited-state wave packets. This can be explained by assuming the (incoherent) migration of the delocalized exciton (polaron) around the ringlike antenna with a characteristic time constant of 0.9-1.5 ps at 77K. ¬© 2000 American Chemical Society.</t>
  </si>
  <si>
    <t>12056-12071</t>
  </si>
  <si>
    <t>60007457;60007457;60008734</t>
  </si>
  <si>
    <t>7004238663;6602135863;35599806700</t>
  </si>
  <si>
    <t>Novoderezhkin, Vladimir;Monshouwer, Ren√©;Van Grondelle, Rienk</t>
  </si>
  <si>
    <t>Netherlands;Russian Federation</t>
  </si>
  <si>
    <t>Amsterdam;Moscow</t>
  </si>
  <si>
    <t>Vrije Universiteit Amsterdam;Lomonosov Moscow State University</t>
  </si>
  <si>
    <t>60008734;60007457</t>
  </si>
  <si>
    <t>Novoderezhkin V.</t>
  </si>
  <si>
    <t>Electronic and vibrational coherence in the core light-harvesting antenna of rhodopseudomonas viridis</t>
  </si>
  <si>
    <t>10.1021/jp001881z</t>
  </si>
  <si>
    <t>2-s2.0-0034513377</t>
  </si>
  <si>
    <t>['silica particles', 'sensitised luminescence', 'rights reserved', 'resolved images', 'phenanthridine antenna', 'generate time', 'gated imaging', 'fluorescent background', 'demonstrate time']</t>
  </si>
  <si>
    <t>Lanthanide complexes | Luminescence imaging microscopy | Time-resolved images</t>
  </si>
  <si>
    <t>The sensitised luminescence from stable lanthanide complexes (1 and 2) bearing a phenanthridine antenna has been used to generate time-resolved images of silica particles. The millisecond order luminescent lifetime of these complexes is utilised to demonstrate time-gated imaging of the sample from a fluorescent background and to facilitate lifetime mapping over the area of the sample. (C) 2000 Elsevier Science S.A. All rights reserved.</t>
  </si>
  <si>
    <t>83-89</t>
  </si>
  <si>
    <t>60022175;60023254;60022175;60021097;60023254;60022175;60022175</t>
  </si>
  <si>
    <t>7005739626;6602979966;6604049798;7006564794;7403267977;7403382198;55340152700</t>
  </si>
  <si>
    <t>Beeby, Andrew;Botchway, Stanley W.;Clarkson, Ian M.;Faulkner, Stephen;Parker, Anthony W.;Parker, David;Williams, J. A.Gareth</t>
  </si>
  <si>
    <t>Didcot;Durham;Guildford</t>
  </si>
  <si>
    <t>Rutherford Appleton Laboratory;Durham University;University of Surrey</t>
  </si>
  <si>
    <t>60023254;60022175;60021097</t>
  </si>
  <si>
    <t>Beeby A.</t>
  </si>
  <si>
    <t>Luminescence imaging microscopy and lifetime mapping using kinetically stable lanthanide (III) complexes</t>
  </si>
  <si>
    <t>S1011134400000701</t>
  </si>
  <si>
    <t>10.1016/S1011-1344(00)00070-1</t>
  </si>
  <si>
    <t>2-s2.0-0033670310</t>
  </si>
  <si>
    <t>['voltage source', 'time domain', 'stroke process', 'stroke models', 'stroke current', 'specified current', 'spatial distribution', 'space distribution', 'numerical solution', 'nonresistive channel', 'new model', 'new antenna', 'lower end', 'lightning return', 'lightning channel', 'height ).', 'electromagnetic behavior', 'distributed resistance', 'different distances', 'copyright 2000', 'commonly used', 'channel current', 'antenna theory']</t>
  </si>
  <si>
    <t>A new approach based on antenna theory is presented to describe the lightning return-stroke process. The lightning channel is approximated by a straight and vertical monopole antenna with distributed resistance (a so-called lossy antenna) above a perfectly conducting ground. The antenna is fed at its lower end by a voltage source such that the antenna input current, which represents the lightning return-stroke current at the lightning channel base, can be specified. An electric field integral equation (EFIE) in the time domain is employed to describe the electromagnetic behavior of this lossy monopole antenna. The numerical solution of EFIE by the method of moments (MOM) provides the time-space distribution of the current and line charge density along the antenna. This new antenna-theory (or electromagnetic) model with specified current at the channel base requires only two adjustable parameters: the return-stroke propagation speed for a nonresistive channel and the channel resistance per unit length, each assumed to be constant (independent of time and height). The new model is compared to four of the most commonly used "engineering" return-stroke models in terms of the temporal-spatial distribution of channel current, the line charge density distribution, and the predicted electromagnetic fields at different distances. A reasonably good agreement is found with the modified transmission line model with linear current decay with height (MTLL) and with the Diendorfer-Uman (DU) model. Copyright 2000 by the American Geophysical Union.</t>
  </si>
  <si>
    <t>29693-29702</t>
  </si>
  <si>
    <t>2000JD900541</t>
  </si>
  <si>
    <t>D24</t>
  </si>
  <si>
    <t>60007751;60007751-60031268;60007751-60012659;60013959</t>
  </si>
  <si>
    <t>6701324111;6603321182;6603729345;7005285298</t>
  </si>
  <si>
    <t>Moini, Rouzbeh;Kordi, Behzad;Rafi, Gholamreza Z.;Rakov, Vladimir A.</t>
  </si>
  <si>
    <t>Iran;United States;Iran;Iran</t>
  </si>
  <si>
    <t>Kerman;Gainesville;Zanjan;Tehran</t>
  </si>
  <si>
    <t>Shahid Bahonar University of Kerman;University of Florida;University of Zanjan;Amirkabir University of Technology</t>
  </si>
  <si>
    <t>60031268;60013959;60012659;60007751</t>
  </si>
  <si>
    <t>Moini R.</t>
  </si>
  <si>
    <t>A new lightning return stroke model based on antenna theory</t>
  </si>
  <si>
    <t>10.1029/2000JD900541</t>
  </si>
  <si>
    <t>2-s2.0-0034451394</t>
  </si>
  <si>
    <t>['two lines', 'transfer interactions', 'site energies', 'optical spectra', 'intercomplex disorder', 'individual ring', 'average position', 'analytical expression', 'analysis indicates']</t>
  </si>
  <si>
    <t>We study the statistics of the optical spectra of individual ring-shaped molecular aggregates in which the site energies and transfer interactions are perturbed by both weak random disorder and a regular modulation due to a deformation of the ring. Under these conditions, the spectrum is dominated by two lines. We present an analytical expression for the joined probability distribution of the splitting between these lines and their average position. We compare our results to recent experiments performed on the bacterial antenna system LH2. Our analysis indicates the importance of intercomplex disorder. ¬© 2000 American Chemical Society.</t>
  </si>
  <si>
    <t>12355-12364</t>
  </si>
  <si>
    <t>60010023;60010023</t>
  </si>
  <si>
    <t>6604091609;7004572132</t>
  </si>
  <si>
    <t>Mostovoy, Maxim V.;Knoester, Jasper</t>
  </si>
  <si>
    <t>University of Groningen</t>
  </si>
  <si>
    <t>Mostovoy M.V.</t>
  </si>
  <si>
    <t>Statistics of optical spectra from single-ring aggregates and its application to LH2</t>
  </si>
  <si>
    <t>10.1021/jp001519k</t>
  </si>
  <si>
    <t>2-s2.0-0034506514</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</si>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</sst>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0" fontId="4" fillId="0" borderId="0" xfId="0" applyFont="1"/>
    <xf numFmtId="11"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01D78-B2CE-5B45-B8FE-138E21B9356E}">
  <dimension ref="A1:AW825"/>
  <sheetViews>
    <sheetView tabSelected="1" topLeftCell="U1" workbookViewId="0">
      <selection activeCell="AN2" sqref="AN2"/>
    </sheetView>
  </sheetViews>
  <sheetFormatPr baseColWidth="10" defaultRowHeight="16" x14ac:dyDescent="0.2"/>
  <sheetData>
    <row r="1" spans="1:49" s="13" customFormat="1" x14ac:dyDescent="0.2">
      <c r="A1" s="16"/>
      <c r="B1" s="16" t="s">
        <v>10242</v>
      </c>
      <c r="C1" s="16" t="s">
        <v>10241</v>
      </c>
      <c r="D1" s="16" t="s">
        <v>10240</v>
      </c>
      <c r="E1" s="16" t="s">
        <v>10239</v>
      </c>
      <c r="F1" s="16" t="s">
        <v>10238</v>
      </c>
      <c r="G1" s="16" t="s">
        <v>10237</v>
      </c>
      <c r="H1" s="16" t="s">
        <v>10236</v>
      </c>
      <c r="I1" s="16" t="s">
        <v>10235</v>
      </c>
      <c r="J1" s="16" t="s">
        <v>10234</v>
      </c>
      <c r="K1" s="16" t="s">
        <v>10233</v>
      </c>
      <c r="L1" s="16" t="s">
        <v>10232</v>
      </c>
      <c r="M1" s="16" t="s">
        <v>10231</v>
      </c>
      <c r="N1" s="16" t="s">
        <v>10230</v>
      </c>
      <c r="O1" s="16" t="s">
        <v>10229</v>
      </c>
      <c r="P1" s="16" t="s">
        <v>10228</v>
      </c>
      <c r="Q1" s="16" t="s">
        <v>10227</v>
      </c>
      <c r="R1" s="21" t="s">
        <v>10226</v>
      </c>
      <c r="S1" s="16" t="s">
        <v>10225</v>
      </c>
      <c r="T1" s="16" t="s">
        <v>10225</v>
      </c>
      <c r="U1" s="16" t="s">
        <v>10224</v>
      </c>
      <c r="V1" s="21" t="s">
        <v>10223</v>
      </c>
      <c r="W1" s="16" t="s">
        <v>10222</v>
      </c>
      <c r="X1" s="15" t="s">
        <v>10221</v>
      </c>
      <c r="Y1" s="20" t="s">
        <v>10220</v>
      </c>
      <c r="Z1" s="19" t="s">
        <v>10205</v>
      </c>
      <c r="AA1" s="16" t="s">
        <v>10219</v>
      </c>
      <c r="AB1" s="16" t="s">
        <v>10218</v>
      </c>
      <c r="AC1" s="16" t="s">
        <v>10217</v>
      </c>
      <c r="AD1" s="16" t="s">
        <v>10216</v>
      </c>
      <c r="AE1" s="16" t="s">
        <v>10215</v>
      </c>
      <c r="AF1" s="16" t="s">
        <v>10214</v>
      </c>
      <c r="AG1" s="16" t="s">
        <v>10213</v>
      </c>
      <c r="AH1" s="16" t="s">
        <v>10212</v>
      </c>
      <c r="AI1" s="16" t="s">
        <v>10211</v>
      </c>
      <c r="AJ1" s="16" t="s">
        <v>10210</v>
      </c>
      <c r="AK1" s="15" t="s">
        <v>10209</v>
      </c>
      <c r="AL1" s="16" t="s">
        <v>10208</v>
      </c>
      <c r="AM1" s="18" t="s">
        <v>10207</v>
      </c>
      <c r="AN1" s="17" t="s">
        <v>10206</v>
      </c>
      <c r="AO1" s="17" t="s">
        <v>10205</v>
      </c>
      <c r="AP1" s="16" t="s">
        <v>10204</v>
      </c>
      <c r="AQ1" s="16" t="s">
        <v>10203</v>
      </c>
      <c r="AR1" s="16" t="s">
        <v>10202</v>
      </c>
      <c r="AS1" s="16" t="s">
        <v>10201</v>
      </c>
      <c r="AT1" s="15" t="s">
        <v>10200</v>
      </c>
      <c r="AU1" s="14" t="s">
        <v>10199</v>
      </c>
      <c r="AV1" s="14" t="s">
        <v>10198</v>
      </c>
      <c r="AW1" s="14" t="s">
        <v>10197</v>
      </c>
    </row>
    <row r="2" spans="1:49" x14ac:dyDescent="0.2">
      <c r="A2">
        <v>0</v>
      </c>
      <c r="B2" t="s">
        <v>10196</v>
      </c>
      <c r="C2" t="s">
        <v>10195</v>
      </c>
      <c r="F2" t="s">
        <v>10194</v>
      </c>
      <c r="G2" t="s">
        <v>9</v>
      </c>
      <c r="H2" t="s">
        <v>8</v>
      </c>
      <c r="I2" t="s">
        <v>10193</v>
      </c>
      <c r="J2">
        <v>60010023</v>
      </c>
      <c r="K2" t="s">
        <v>10192</v>
      </c>
      <c r="L2" t="s">
        <v>235</v>
      </c>
      <c r="M2" t="s">
        <v>29</v>
      </c>
      <c r="N2">
        <v>2</v>
      </c>
      <c r="O2" t="s">
        <v>10191</v>
      </c>
      <c r="P2" t="s">
        <v>10190</v>
      </c>
      <c r="Q2" t="s">
        <v>10189</v>
      </c>
      <c r="R2" s="7">
        <v>36888</v>
      </c>
      <c r="S2" s="8">
        <f t="shared" ref="S2:S65" si="0">YEAR(R2)</f>
        <v>2000</v>
      </c>
      <c r="T2" s="8">
        <v>2000</v>
      </c>
      <c r="U2" s="8">
        <f t="shared" ref="U2:U65" si="1">2022-T2</f>
        <v>22</v>
      </c>
      <c r="V2" s="7">
        <v>36888</v>
      </c>
      <c r="W2" t="s">
        <v>750</v>
      </c>
      <c r="X2" s="2">
        <v>0.86399999999999999</v>
      </c>
      <c r="Y2" s="6">
        <f t="shared" ref="Y2:Y65" si="2">(X2-$Z$3)/($Z$2-$Z$3)</f>
        <v>2.3063986546007848E-2</v>
      </c>
      <c r="Z2">
        <v>37.460999999999999</v>
      </c>
      <c r="AA2">
        <v>15206106</v>
      </c>
      <c r="AB2">
        <v>26970</v>
      </c>
      <c r="AD2" t="s">
        <v>3</v>
      </c>
      <c r="AE2">
        <v>104</v>
      </c>
      <c r="AF2">
        <v>51</v>
      </c>
      <c r="AH2" t="s">
        <v>10188</v>
      </c>
      <c r="AI2" t="s">
        <v>10187</v>
      </c>
      <c r="AK2" t="s">
        <v>10186</v>
      </c>
      <c r="AL2">
        <v>55</v>
      </c>
      <c r="AM2" s="5">
        <f t="shared" ref="AM2:AM65" si="3">AL2/U2</f>
        <v>2.5</v>
      </c>
      <c r="AN2" s="4">
        <f t="shared" ref="AN2:AN65" si="4">(AM2-$AO$3)/($AO$2-$AO$3)</f>
        <v>3.7864445285876562E-3</v>
      </c>
      <c r="AO2" s="3">
        <v>660.25</v>
      </c>
      <c r="AP2">
        <v>0</v>
      </c>
      <c r="AR2" t="s">
        <v>1</v>
      </c>
      <c r="AT2" s="2">
        <v>2.9910000000000001</v>
      </c>
      <c r="AU2" s="1">
        <f t="shared" ref="AU2:AU65" si="5">(Y2*0.7+AN2*0.3)*100</f>
        <v>1.7280723940781788</v>
      </c>
      <c r="AV2" s="1">
        <f t="shared" ref="AV2:AV65" si="6">(Y2*0.5+AN2*0.5)*100</f>
        <v>1.3425215537297752</v>
      </c>
      <c r="AW2" s="1">
        <f t="shared" ref="AW2:AW65" si="7">(Y2*0.3+AN2*0.7)*100</f>
        <v>0.95697071338137141</v>
      </c>
    </row>
    <row r="3" spans="1:49" x14ac:dyDescent="0.2">
      <c r="A3">
        <v>1</v>
      </c>
      <c r="B3" t="s">
        <v>10185</v>
      </c>
      <c r="C3" t="s">
        <v>10184</v>
      </c>
      <c r="F3" t="s">
        <v>10183</v>
      </c>
      <c r="G3" t="s">
        <v>9</v>
      </c>
      <c r="H3" t="s">
        <v>8</v>
      </c>
      <c r="I3" t="s">
        <v>10182</v>
      </c>
      <c r="J3" t="s">
        <v>10181</v>
      </c>
      <c r="K3" t="s">
        <v>10180</v>
      </c>
      <c r="L3" t="s">
        <v>10179</v>
      </c>
      <c r="M3" t="s">
        <v>10178</v>
      </c>
      <c r="N3">
        <v>4</v>
      </c>
      <c r="O3" t="s">
        <v>10177</v>
      </c>
      <c r="P3" t="s">
        <v>10176</v>
      </c>
      <c r="Q3" t="s">
        <v>10175</v>
      </c>
      <c r="R3" s="7">
        <v>36887</v>
      </c>
      <c r="S3" s="8">
        <f t="shared" si="0"/>
        <v>2000</v>
      </c>
      <c r="T3" s="8">
        <v>2000</v>
      </c>
      <c r="U3" s="8">
        <f t="shared" si="1"/>
        <v>22</v>
      </c>
      <c r="V3" s="7">
        <v>36887</v>
      </c>
      <c r="W3" t="s">
        <v>231</v>
      </c>
      <c r="X3" s="2">
        <v>1.67</v>
      </c>
      <c r="Y3" s="6">
        <f t="shared" si="2"/>
        <v>4.4579696217399427E-2</v>
      </c>
      <c r="Z3">
        <v>0</v>
      </c>
      <c r="AA3">
        <v>1480227</v>
      </c>
      <c r="AB3">
        <v>28428</v>
      </c>
      <c r="AD3" t="s">
        <v>3</v>
      </c>
      <c r="AE3">
        <v>105</v>
      </c>
      <c r="AF3" t="s">
        <v>10174</v>
      </c>
      <c r="AG3" t="s">
        <v>10173</v>
      </c>
      <c r="AH3" t="s">
        <v>10172</v>
      </c>
      <c r="AI3" t="s">
        <v>10171</v>
      </c>
      <c r="AK3" t="s">
        <v>10170</v>
      </c>
      <c r="AL3">
        <v>102</v>
      </c>
      <c r="AM3" s="5">
        <f t="shared" si="3"/>
        <v>4.6363636363636367</v>
      </c>
      <c r="AN3" s="4">
        <f t="shared" si="4"/>
        <v>7.022133489380745E-3</v>
      </c>
      <c r="AO3" s="3">
        <v>0</v>
      </c>
      <c r="AP3">
        <v>1</v>
      </c>
      <c r="AR3" t="s">
        <v>1</v>
      </c>
      <c r="AT3" s="2" t="s">
        <v>0</v>
      </c>
      <c r="AU3" s="1">
        <f t="shared" si="5"/>
        <v>3.3312427398993822</v>
      </c>
      <c r="AV3" s="1">
        <f t="shared" si="6"/>
        <v>2.5800914853390085</v>
      </c>
      <c r="AW3" s="1">
        <f t="shared" si="7"/>
        <v>1.8289402307786349</v>
      </c>
    </row>
    <row r="4" spans="1:49" x14ac:dyDescent="0.2">
      <c r="A4">
        <v>2</v>
      </c>
      <c r="B4" t="s">
        <v>10169</v>
      </c>
      <c r="C4" t="s">
        <v>10168</v>
      </c>
      <c r="D4" t="s">
        <v>10167</v>
      </c>
      <c r="E4">
        <v>11154087</v>
      </c>
      <c r="F4" t="s">
        <v>10166</v>
      </c>
      <c r="G4" t="s">
        <v>9</v>
      </c>
      <c r="H4" t="s">
        <v>8</v>
      </c>
      <c r="I4" t="s">
        <v>10165</v>
      </c>
      <c r="J4" t="s">
        <v>10164</v>
      </c>
      <c r="K4" t="s">
        <v>10163</v>
      </c>
      <c r="L4" t="s">
        <v>10162</v>
      </c>
      <c r="M4" t="s">
        <v>1791</v>
      </c>
      <c r="N4">
        <v>7</v>
      </c>
      <c r="O4" t="s">
        <v>10161</v>
      </c>
      <c r="P4" t="s">
        <v>10160</v>
      </c>
      <c r="Q4" t="s">
        <v>10159</v>
      </c>
      <c r="R4" s="7">
        <v>36887</v>
      </c>
      <c r="S4" s="8">
        <f t="shared" si="0"/>
        <v>2000</v>
      </c>
      <c r="T4" s="8">
        <v>2000</v>
      </c>
      <c r="U4" s="8">
        <f t="shared" si="1"/>
        <v>22</v>
      </c>
      <c r="V4" s="7">
        <v>2000</v>
      </c>
      <c r="W4" t="s">
        <v>734</v>
      </c>
      <c r="X4" s="2">
        <v>0.9</v>
      </c>
      <c r="Y4" s="6">
        <f t="shared" si="2"/>
        <v>2.4024985985424845E-2</v>
      </c>
      <c r="AA4">
        <v>10111344</v>
      </c>
      <c r="AB4">
        <v>17622</v>
      </c>
      <c r="AD4" t="s">
        <v>3</v>
      </c>
      <c r="AE4">
        <v>57</v>
      </c>
      <c r="AF4" s="10">
        <v>44257</v>
      </c>
      <c r="AH4" t="s">
        <v>10158</v>
      </c>
      <c r="AI4" t="s">
        <v>10157</v>
      </c>
      <c r="AJ4" t="s">
        <v>10156</v>
      </c>
      <c r="AK4" t="s">
        <v>10155</v>
      </c>
      <c r="AL4">
        <v>193</v>
      </c>
      <c r="AM4" s="5">
        <f t="shared" si="3"/>
        <v>8.7727272727272734</v>
      </c>
      <c r="AN4" s="4">
        <f t="shared" si="4"/>
        <v>1.3286978073043958E-2</v>
      </c>
      <c r="AO4" s="3"/>
      <c r="AP4">
        <v>0</v>
      </c>
      <c r="AR4" t="s">
        <v>1</v>
      </c>
      <c r="AT4" s="2" t="s">
        <v>0</v>
      </c>
      <c r="AU4" s="1">
        <f t="shared" si="5"/>
        <v>2.0803583611710579</v>
      </c>
      <c r="AV4" s="1">
        <f t="shared" si="6"/>
        <v>1.8655982029234401</v>
      </c>
      <c r="AW4" s="1">
        <f t="shared" si="7"/>
        <v>1.6508380446758224</v>
      </c>
    </row>
    <row r="5" spans="1:49" x14ac:dyDescent="0.2">
      <c r="A5">
        <v>3</v>
      </c>
      <c r="B5" t="s">
        <v>10154</v>
      </c>
      <c r="C5" t="s">
        <v>10153</v>
      </c>
      <c r="F5" t="s">
        <v>10152</v>
      </c>
      <c r="G5" t="s">
        <v>9</v>
      </c>
      <c r="H5" t="s">
        <v>8</v>
      </c>
      <c r="I5" t="s">
        <v>10151</v>
      </c>
      <c r="J5" t="s">
        <v>10150</v>
      </c>
      <c r="K5" t="s">
        <v>10149</v>
      </c>
      <c r="L5" t="s">
        <v>10148</v>
      </c>
      <c r="M5" t="s">
        <v>10147</v>
      </c>
      <c r="N5">
        <v>3</v>
      </c>
      <c r="O5" t="s">
        <v>10146</v>
      </c>
      <c r="P5" t="s">
        <v>10145</v>
      </c>
      <c r="Q5" t="s">
        <v>10144</v>
      </c>
      <c r="R5" s="7">
        <v>36881</v>
      </c>
      <c r="S5" s="8">
        <f t="shared" si="0"/>
        <v>2000</v>
      </c>
      <c r="T5" s="8">
        <v>2000</v>
      </c>
      <c r="U5" s="8">
        <f t="shared" si="1"/>
        <v>22</v>
      </c>
      <c r="V5" s="7">
        <v>36881</v>
      </c>
      <c r="W5" t="s">
        <v>750</v>
      </c>
      <c r="X5" s="2">
        <v>0.86399999999999999</v>
      </c>
      <c r="Y5" s="6">
        <f t="shared" si="2"/>
        <v>2.3063986546007848E-2</v>
      </c>
      <c r="AA5">
        <v>15206106</v>
      </c>
      <c r="AB5">
        <v>26970</v>
      </c>
      <c r="AD5" t="s">
        <v>3</v>
      </c>
      <c r="AE5">
        <v>104</v>
      </c>
      <c r="AF5">
        <v>50</v>
      </c>
      <c r="AH5" t="s">
        <v>10143</v>
      </c>
      <c r="AI5" t="s">
        <v>10142</v>
      </c>
      <c r="AK5" t="s">
        <v>10141</v>
      </c>
      <c r="AL5">
        <v>24</v>
      </c>
      <c r="AM5" s="5">
        <f t="shared" si="3"/>
        <v>1.0909090909090908</v>
      </c>
      <c r="AN5" s="4">
        <f t="shared" si="4"/>
        <v>1.6522667033837045E-3</v>
      </c>
      <c r="AO5" s="3"/>
      <c r="AP5">
        <v>0</v>
      </c>
      <c r="AR5" t="s">
        <v>1</v>
      </c>
      <c r="AT5" s="2">
        <v>2.9910000000000001</v>
      </c>
      <c r="AU5" s="1">
        <f t="shared" si="5"/>
        <v>1.6640470593220602</v>
      </c>
      <c r="AV5" s="1">
        <f t="shared" si="6"/>
        <v>1.2358126624695775</v>
      </c>
      <c r="AW5" s="1">
        <f t="shared" si="7"/>
        <v>0.80757826561709478</v>
      </c>
    </row>
    <row r="6" spans="1:49" x14ac:dyDescent="0.2">
      <c r="A6">
        <v>4</v>
      </c>
      <c r="B6" t="s">
        <v>10140</v>
      </c>
      <c r="C6" t="s">
        <v>10139</v>
      </c>
      <c r="F6" t="s">
        <v>10138</v>
      </c>
      <c r="G6" t="s">
        <v>9</v>
      </c>
      <c r="H6" t="s">
        <v>8</v>
      </c>
      <c r="I6" t="s">
        <v>10137</v>
      </c>
      <c r="J6" t="s">
        <v>10136</v>
      </c>
      <c r="K6" t="s">
        <v>10135</v>
      </c>
      <c r="L6" t="s">
        <v>10134</v>
      </c>
      <c r="M6" t="s">
        <v>10133</v>
      </c>
      <c r="N6">
        <v>3</v>
      </c>
      <c r="O6" t="s">
        <v>10132</v>
      </c>
      <c r="P6" t="s">
        <v>10131</v>
      </c>
      <c r="Q6" t="s">
        <v>10130</v>
      </c>
      <c r="R6" s="7">
        <v>36881</v>
      </c>
      <c r="S6" s="8">
        <f t="shared" si="0"/>
        <v>2000</v>
      </c>
      <c r="T6" s="8">
        <v>2000</v>
      </c>
      <c r="U6" s="8">
        <f t="shared" si="1"/>
        <v>22</v>
      </c>
      <c r="V6" s="7">
        <v>36881</v>
      </c>
      <c r="W6" t="s">
        <v>1891</v>
      </c>
      <c r="X6" s="2">
        <v>2.0579999999999998</v>
      </c>
      <c r="Y6" s="6">
        <f t="shared" si="2"/>
        <v>5.4937134620004803E-2</v>
      </c>
      <c r="AA6">
        <v>358711</v>
      </c>
      <c r="AB6">
        <v>28218</v>
      </c>
      <c r="AD6" t="s">
        <v>3</v>
      </c>
      <c r="AE6">
        <v>319</v>
      </c>
      <c r="AF6">
        <v>4</v>
      </c>
      <c r="AH6" t="s">
        <v>10129</v>
      </c>
      <c r="AI6" t="s">
        <v>10128</v>
      </c>
      <c r="AJ6" t="s">
        <v>10127</v>
      </c>
      <c r="AK6" t="s">
        <v>10126</v>
      </c>
      <c r="AL6">
        <v>10</v>
      </c>
      <c r="AM6" s="5">
        <f t="shared" si="3"/>
        <v>0.45454545454545453</v>
      </c>
      <c r="AN6" s="4">
        <f t="shared" si="4"/>
        <v>6.8844445974321016E-4</v>
      </c>
      <c r="AO6" s="3"/>
      <c r="AP6">
        <v>1</v>
      </c>
      <c r="AR6" t="s">
        <v>1</v>
      </c>
      <c r="AT6" s="2" t="s">
        <v>0</v>
      </c>
      <c r="AU6" s="1">
        <f t="shared" si="5"/>
        <v>3.866252757192632</v>
      </c>
      <c r="AV6" s="1">
        <f t="shared" si="6"/>
        <v>2.7812789539874005</v>
      </c>
      <c r="AW6" s="1">
        <f t="shared" si="7"/>
        <v>1.6963051507821687</v>
      </c>
    </row>
    <row r="7" spans="1:49" x14ac:dyDescent="0.2">
      <c r="A7">
        <v>5</v>
      </c>
      <c r="B7" t="s">
        <v>10125</v>
      </c>
      <c r="C7" t="s">
        <v>10124</v>
      </c>
      <c r="D7" t="s">
        <v>10123</v>
      </c>
      <c r="F7" t="s">
        <v>10122</v>
      </c>
      <c r="G7" t="s">
        <v>9</v>
      </c>
      <c r="H7" t="s">
        <v>8</v>
      </c>
      <c r="I7" t="s">
        <v>10121</v>
      </c>
      <c r="J7" t="s">
        <v>10120</v>
      </c>
      <c r="K7" t="s">
        <v>10119</v>
      </c>
      <c r="L7" t="s">
        <v>10118</v>
      </c>
      <c r="M7" t="s">
        <v>10117</v>
      </c>
      <c r="N7">
        <v>9</v>
      </c>
      <c r="O7" t="s">
        <v>10116</v>
      </c>
      <c r="P7" t="s">
        <v>10115</v>
      </c>
      <c r="Q7" t="s">
        <v>10114</v>
      </c>
      <c r="R7" s="7">
        <v>36880</v>
      </c>
      <c r="S7" s="8">
        <f t="shared" si="0"/>
        <v>2000</v>
      </c>
      <c r="T7" s="8">
        <v>2000</v>
      </c>
      <c r="U7" s="8">
        <f t="shared" si="1"/>
        <v>22</v>
      </c>
      <c r="V7" s="7">
        <v>36880</v>
      </c>
      <c r="W7" t="s">
        <v>740</v>
      </c>
      <c r="X7" s="2">
        <v>1.089</v>
      </c>
      <c r="Y7" s="6">
        <f t="shared" si="2"/>
        <v>2.9070233042364058E-2</v>
      </c>
      <c r="AA7">
        <v>3770273</v>
      </c>
      <c r="AB7">
        <v>28449</v>
      </c>
      <c r="AD7" t="s">
        <v>3</v>
      </c>
      <c r="AE7">
        <v>103</v>
      </c>
      <c r="AF7" s="10">
        <v>44287</v>
      </c>
      <c r="AH7" t="s">
        <v>10113</v>
      </c>
      <c r="AI7" t="s">
        <v>10112</v>
      </c>
      <c r="AJ7" t="s">
        <v>10111</v>
      </c>
      <c r="AK7" t="s">
        <v>10110</v>
      </c>
      <c r="AL7">
        <v>33</v>
      </c>
      <c r="AM7" s="5">
        <f t="shared" si="3"/>
        <v>1.5</v>
      </c>
      <c r="AN7" s="4">
        <f t="shared" si="4"/>
        <v>2.2718667171525938E-3</v>
      </c>
      <c r="AO7" s="3"/>
      <c r="AP7">
        <v>0</v>
      </c>
      <c r="AR7" t="s">
        <v>1</v>
      </c>
      <c r="AT7" s="2" t="s">
        <v>0</v>
      </c>
      <c r="AU7" s="1">
        <f t="shared" si="5"/>
        <v>2.1030723144800616</v>
      </c>
      <c r="AV7" s="1">
        <f t="shared" si="6"/>
        <v>1.5671049879758325</v>
      </c>
      <c r="AW7" s="1">
        <f t="shared" si="7"/>
        <v>1.0311376614716032</v>
      </c>
    </row>
    <row r="8" spans="1:49" x14ac:dyDescent="0.2">
      <c r="A8">
        <v>6</v>
      </c>
      <c r="B8" t="s">
        <v>10109</v>
      </c>
      <c r="C8" t="s">
        <v>10108</v>
      </c>
      <c r="F8" t="s">
        <v>10107</v>
      </c>
      <c r="G8" t="s">
        <v>9</v>
      </c>
      <c r="H8" t="s">
        <v>8</v>
      </c>
      <c r="I8" t="s">
        <v>10106</v>
      </c>
      <c r="J8" t="s">
        <v>10105</v>
      </c>
      <c r="K8" t="s">
        <v>10104</v>
      </c>
      <c r="L8" t="s">
        <v>10103</v>
      </c>
      <c r="M8" t="s">
        <v>574</v>
      </c>
      <c r="N8">
        <v>6</v>
      </c>
      <c r="O8" t="s">
        <v>10102</v>
      </c>
      <c r="P8" t="s">
        <v>10101</v>
      </c>
      <c r="Q8" t="s">
        <v>10100</v>
      </c>
      <c r="R8" s="7">
        <v>36879</v>
      </c>
      <c r="S8" s="8">
        <f t="shared" si="0"/>
        <v>2000</v>
      </c>
      <c r="T8" s="8">
        <v>2000</v>
      </c>
      <c r="U8" s="8">
        <f t="shared" si="1"/>
        <v>22</v>
      </c>
      <c r="V8" s="7">
        <v>2000</v>
      </c>
      <c r="W8" t="s">
        <v>56</v>
      </c>
      <c r="X8" s="2">
        <v>0.85499999999999998</v>
      </c>
      <c r="Y8" s="6">
        <f t="shared" si="2"/>
        <v>2.28237366861536E-2</v>
      </c>
      <c r="AA8">
        <v>980331</v>
      </c>
      <c r="AB8">
        <v>23342</v>
      </c>
      <c r="AD8" t="s">
        <v>3</v>
      </c>
      <c r="AE8">
        <v>26</v>
      </c>
      <c r="AF8">
        <v>10</v>
      </c>
      <c r="AH8" t="s">
        <v>10099</v>
      </c>
      <c r="AI8" t="s">
        <v>10098</v>
      </c>
      <c r="AJ8" t="s">
        <v>10097</v>
      </c>
      <c r="AK8" t="s">
        <v>10096</v>
      </c>
      <c r="AL8">
        <v>17</v>
      </c>
      <c r="AM8" s="5">
        <f t="shared" si="3"/>
        <v>0.77272727272727271</v>
      </c>
      <c r="AN8" s="4">
        <f t="shared" si="4"/>
        <v>1.1703555815634574E-3</v>
      </c>
      <c r="AO8" s="3"/>
      <c r="AP8">
        <v>0</v>
      </c>
      <c r="AQ8" t="s">
        <v>10095</v>
      </c>
      <c r="AR8" t="s">
        <v>10094</v>
      </c>
      <c r="AS8" t="s">
        <v>10093</v>
      </c>
      <c r="AT8" s="2">
        <v>2.6259999999999999</v>
      </c>
      <c r="AU8" s="1">
        <f t="shared" si="5"/>
        <v>1.6327722354776555</v>
      </c>
      <c r="AV8" s="1">
        <f t="shared" si="6"/>
        <v>1.1997046133858529</v>
      </c>
      <c r="AW8" s="1">
        <f t="shared" si="7"/>
        <v>0.76663699129405005</v>
      </c>
    </row>
    <row r="9" spans="1:49" x14ac:dyDescent="0.2">
      <c r="A9">
        <v>7</v>
      </c>
      <c r="B9" t="s">
        <v>10092</v>
      </c>
      <c r="C9" t="s">
        <v>10091</v>
      </c>
      <c r="F9" t="s">
        <v>10090</v>
      </c>
      <c r="G9" t="s">
        <v>9</v>
      </c>
      <c r="H9" t="s">
        <v>8</v>
      </c>
      <c r="I9" t="s">
        <v>10089</v>
      </c>
      <c r="J9">
        <v>60092258</v>
      </c>
      <c r="K9" t="s">
        <v>379</v>
      </c>
      <c r="L9" t="s">
        <v>378</v>
      </c>
      <c r="M9" t="s">
        <v>43</v>
      </c>
      <c r="N9">
        <v>4</v>
      </c>
      <c r="O9" t="s">
        <v>10088</v>
      </c>
      <c r="P9" t="s">
        <v>10087</v>
      </c>
      <c r="Q9" t="s">
        <v>7381</v>
      </c>
      <c r="R9" s="7">
        <v>36878</v>
      </c>
      <c r="S9" s="8">
        <f t="shared" si="0"/>
        <v>2000</v>
      </c>
      <c r="T9" s="8">
        <v>2000</v>
      </c>
      <c r="U9" s="8">
        <f t="shared" si="1"/>
        <v>22</v>
      </c>
      <c r="V9" s="7">
        <v>36878</v>
      </c>
      <c r="W9" t="s">
        <v>803</v>
      </c>
      <c r="X9" s="2">
        <v>1.1819999999999999</v>
      </c>
      <c r="Y9" s="6">
        <f t="shared" si="2"/>
        <v>3.1552814927524625E-2</v>
      </c>
      <c r="AA9">
        <v>36951</v>
      </c>
      <c r="AB9">
        <v>27030</v>
      </c>
      <c r="AD9" t="s">
        <v>3</v>
      </c>
      <c r="AE9">
        <v>77</v>
      </c>
      <c r="AF9">
        <v>25</v>
      </c>
      <c r="AH9" t="s">
        <v>10086</v>
      </c>
      <c r="AI9" t="s">
        <v>10085</v>
      </c>
      <c r="AK9" t="s">
        <v>10084</v>
      </c>
      <c r="AL9">
        <v>128</v>
      </c>
      <c r="AM9" s="5">
        <f t="shared" si="3"/>
        <v>5.8181818181818183</v>
      </c>
      <c r="AN9" s="4">
        <f t="shared" si="4"/>
        <v>8.8120890847130911E-3</v>
      </c>
      <c r="AO9" s="3"/>
      <c r="AP9">
        <v>0</v>
      </c>
      <c r="AR9" t="s">
        <v>1</v>
      </c>
      <c r="AT9" s="2">
        <v>3.7909999999999999</v>
      </c>
      <c r="AU9" s="1">
        <f t="shared" si="5"/>
        <v>2.4730597174681161</v>
      </c>
      <c r="AV9" s="1">
        <f t="shared" si="6"/>
        <v>2.0182452006118861</v>
      </c>
      <c r="AW9" s="1">
        <f t="shared" si="7"/>
        <v>1.5634306837556553</v>
      </c>
    </row>
    <row r="10" spans="1:49" x14ac:dyDescent="0.2">
      <c r="A10">
        <v>8</v>
      </c>
      <c r="B10" t="s">
        <v>10083</v>
      </c>
      <c r="C10" t="s">
        <v>10082</v>
      </c>
      <c r="F10" t="s">
        <v>10081</v>
      </c>
      <c r="G10" t="s">
        <v>9</v>
      </c>
      <c r="H10" t="s">
        <v>8</v>
      </c>
      <c r="I10" t="s">
        <v>10080</v>
      </c>
      <c r="J10" t="s">
        <v>10079</v>
      </c>
      <c r="K10" t="s">
        <v>10078</v>
      </c>
      <c r="L10" t="s">
        <v>10077</v>
      </c>
      <c r="M10" t="s">
        <v>10076</v>
      </c>
      <c r="N10">
        <v>3</v>
      </c>
      <c r="O10" t="s">
        <v>10075</v>
      </c>
      <c r="P10" t="s">
        <v>10074</v>
      </c>
      <c r="Q10" t="s">
        <v>10073</v>
      </c>
      <c r="R10" s="7">
        <v>36875</v>
      </c>
      <c r="S10" s="8">
        <f t="shared" si="0"/>
        <v>2000</v>
      </c>
      <c r="T10" s="8">
        <v>2000</v>
      </c>
      <c r="U10" s="8">
        <f t="shared" si="1"/>
        <v>22</v>
      </c>
      <c r="V10" s="7">
        <v>36875</v>
      </c>
      <c r="W10" t="s">
        <v>281</v>
      </c>
      <c r="X10" s="2">
        <v>0.84299999999999997</v>
      </c>
      <c r="Y10" s="6">
        <f t="shared" si="2"/>
        <v>2.250340353968127E-2</v>
      </c>
      <c r="AA10">
        <v>188158</v>
      </c>
      <c r="AB10">
        <v>15168</v>
      </c>
      <c r="AD10" t="s">
        <v>3</v>
      </c>
      <c r="AE10">
        <v>441</v>
      </c>
      <c r="AH10" t="s">
        <v>10072</v>
      </c>
      <c r="AI10" t="s">
        <v>10071</v>
      </c>
      <c r="AJ10" t="s">
        <v>10070</v>
      </c>
      <c r="AK10" t="s">
        <v>10069</v>
      </c>
      <c r="AL10">
        <v>2</v>
      </c>
      <c r="AM10" s="5">
        <f t="shared" si="3"/>
        <v>9.0909090909090912E-2</v>
      </c>
      <c r="AN10" s="4">
        <f t="shared" si="4"/>
        <v>1.3768889194864205E-4</v>
      </c>
      <c r="AO10" s="3"/>
      <c r="AP10">
        <v>0</v>
      </c>
      <c r="AR10" t="s">
        <v>1</v>
      </c>
      <c r="AT10" s="2">
        <v>2.694</v>
      </c>
      <c r="AU10" s="1">
        <f t="shared" si="5"/>
        <v>1.5793689145361482</v>
      </c>
      <c r="AV10" s="1">
        <f t="shared" si="6"/>
        <v>1.1320546215814955</v>
      </c>
      <c r="AW10" s="1">
        <f t="shared" si="7"/>
        <v>0.68474032862684309</v>
      </c>
    </row>
    <row r="11" spans="1:49" x14ac:dyDescent="0.2">
      <c r="A11">
        <v>9</v>
      </c>
      <c r="B11" t="s">
        <v>10068</v>
      </c>
      <c r="C11" t="s">
        <v>10067</v>
      </c>
      <c r="F11" t="s">
        <v>10066</v>
      </c>
      <c r="G11" t="s">
        <v>9</v>
      </c>
      <c r="H11" t="s">
        <v>8</v>
      </c>
      <c r="I11" t="s">
        <v>10065</v>
      </c>
      <c r="J11" t="s">
        <v>10064</v>
      </c>
      <c r="K11" t="s">
        <v>10063</v>
      </c>
      <c r="L11" t="s">
        <v>10062</v>
      </c>
      <c r="M11" t="s">
        <v>1076</v>
      </c>
      <c r="N11">
        <v>8</v>
      </c>
      <c r="O11" t="s">
        <v>10061</v>
      </c>
      <c r="P11" t="s">
        <v>10060</v>
      </c>
      <c r="Q11" t="s">
        <v>10059</v>
      </c>
      <c r="R11" s="7">
        <v>36874</v>
      </c>
      <c r="S11" s="8">
        <f t="shared" si="0"/>
        <v>2000</v>
      </c>
      <c r="T11" s="8">
        <v>2000</v>
      </c>
      <c r="U11" s="8">
        <f t="shared" si="1"/>
        <v>22</v>
      </c>
      <c r="V11" s="7">
        <v>36874</v>
      </c>
      <c r="W11" t="s">
        <v>750</v>
      </c>
      <c r="X11" s="2">
        <v>0.86399999999999999</v>
      </c>
      <c r="Y11" s="6">
        <f t="shared" si="2"/>
        <v>2.3063986546007848E-2</v>
      </c>
      <c r="AA11">
        <v>15206106</v>
      </c>
      <c r="AB11">
        <v>26970</v>
      </c>
      <c r="AD11" t="s">
        <v>3</v>
      </c>
      <c r="AE11">
        <v>104</v>
      </c>
      <c r="AF11">
        <v>49</v>
      </c>
      <c r="AH11" t="s">
        <v>10058</v>
      </c>
      <c r="AI11" t="s">
        <v>10057</v>
      </c>
      <c r="AK11" t="s">
        <v>10056</v>
      </c>
      <c r="AL11">
        <v>51</v>
      </c>
      <c r="AM11" s="5">
        <f t="shared" si="3"/>
        <v>2.3181818181818183</v>
      </c>
      <c r="AN11" s="4">
        <f t="shared" si="4"/>
        <v>3.5110667446903725E-3</v>
      </c>
      <c r="AO11" s="3"/>
      <c r="AP11">
        <v>0</v>
      </c>
      <c r="AR11" t="s">
        <v>1</v>
      </c>
      <c r="AT11" s="2">
        <v>2.9910000000000001</v>
      </c>
      <c r="AU11" s="1">
        <f t="shared" si="5"/>
        <v>1.7198110605612604</v>
      </c>
      <c r="AV11" s="1">
        <f t="shared" si="6"/>
        <v>1.328752664534911</v>
      </c>
      <c r="AW11" s="1">
        <f t="shared" si="7"/>
        <v>0.93769426850856163</v>
      </c>
    </row>
    <row r="12" spans="1:49" x14ac:dyDescent="0.2">
      <c r="A12">
        <v>10</v>
      </c>
      <c r="B12" t="s">
        <v>10055</v>
      </c>
      <c r="C12" t="s">
        <v>10054</v>
      </c>
      <c r="D12" t="s">
        <v>10053</v>
      </c>
      <c r="F12" t="s">
        <v>10052</v>
      </c>
      <c r="G12" t="s">
        <v>9</v>
      </c>
      <c r="H12" t="s">
        <v>8</v>
      </c>
      <c r="I12" t="s">
        <v>10051</v>
      </c>
      <c r="J12" t="s">
        <v>10050</v>
      </c>
      <c r="K12" t="s">
        <v>10049</v>
      </c>
      <c r="L12" t="s">
        <v>10048</v>
      </c>
      <c r="M12" t="s">
        <v>168</v>
      </c>
      <c r="N12">
        <v>1</v>
      </c>
      <c r="O12" t="s">
        <v>10047</v>
      </c>
      <c r="P12">
        <v>6602491080</v>
      </c>
      <c r="Q12" t="s">
        <v>10046</v>
      </c>
      <c r="R12" s="7">
        <v>36873</v>
      </c>
      <c r="S12" s="8">
        <f t="shared" si="0"/>
        <v>2000</v>
      </c>
      <c r="T12" s="8">
        <v>2000</v>
      </c>
      <c r="U12" s="8">
        <f t="shared" si="1"/>
        <v>22</v>
      </c>
      <c r="V12" s="7">
        <v>2000</v>
      </c>
      <c r="W12" t="s">
        <v>108</v>
      </c>
      <c r="X12" s="2">
        <v>0.998</v>
      </c>
      <c r="Y12" s="6">
        <f t="shared" si="2"/>
        <v>2.664104001494888E-2</v>
      </c>
      <c r="AA12">
        <v>14678039</v>
      </c>
      <c r="AB12">
        <v>19156</v>
      </c>
      <c r="AD12" t="s">
        <v>3</v>
      </c>
      <c r="AE12">
        <v>29</v>
      </c>
      <c r="AF12">
        <v>1</v>
      </c>
      <c r="AH12" t="s">
        <v>10045</v>
      </c>
      <c r="AI12" t="s">
        <v>10044</v>
      </c>
      <c r="AJ12" t="s">
        <v>10043</v>
      </c>
      <c r="AK12" t="s">
        <v>10042</v>
      </c>
      <c r="AL12">
        <v>29</v>
      </c>
      <c r="AM12" s="5">
        <f t="shared" si="3"/>
        <v>1.3181818181818181</v>
      </c>
      <c r="AN12" s="4">
        <f t="shared" si="4"/>
        <v>1.9964889332553097E-3</v>
      </c>
      <c r="AO12" s="3"/>
      <c r="AP12">
        <v>0</v>
      </c>
      <c r="AR12" t="s">
        <v>1</v>
      </c>
      <c r="AT12" s="2" t="s">
        <v>0</v>
      </c>
      <c r="AU12" s="1">
        <f t="shared" si="5"/>
        <v>1.9247674690440808</v>
      </c>
      <c r="AV12" s="1">
        <f t="shared" si="6"/>
        <v>1.4318764474102095</v>
      </c>
      <c r="AW12" s="1">
        <f t="shared" si="7"/>
        <v>0.93898542577633815</v>
      </c>
    </row>
    <row r="13" spans="1:49" x14ac:dyDescent="0.2">
      <c r="A13">
        <v>11</v>
      </c>
      <c r="B13" t="s">
        <v>10041</v>
      </c>
      <c r="C13" t="s">
        <v>10040</v>
      </c>
      <c r="D13" t="s">
        <v>10039</v>
      </c>
      <c r="F13" t="s">
        <v>10038</v>
      </c>
      <c r="G13" t="s">
        <v>9</v>
      </c>
      <c r="H13" t="s">
        <v>8</v>
      </c>
      <c r="I13" t="s">
        <v>10037</v>
      </c>
      <c r="J13" t="s">
        <v>10036</v>
      </c>
      <c r="K13" t="s">
        <v>10035</v>
      </c>
      <c r="L13" t="s">
        <v>10034</v>
      </c>
      <c r="M13" t="s">
        <v>10033</v>
      </c>
      <c r="N13">
        <v>3</v>
      </c>
      <c r="O13" t="s">
        <v>10032</v>
      </c>
      <c r="P13" t="s">
        <v>10031</v>
      </c>
      <c r="Q13" t="s">
        <v>10030</v>
      </c>
      <c r="R13" s="7">
        <v>36873</v>
      </c>
      <c r="S13" s="8">
        <f t="shared" si="0"/>
        <v>2000</v>
      </c>
      <c r="T13" s="8">
        <v>2000</v>
      </c>
      <c r="U13" s="8">
        <f t="shared" si="1"/>
        <v>22</v>
      </c>
      <c r="V13" s="7">
        <v>2000</v>
      </c>
      <c r="W13" t="s">
        <v>108</v>
      </c>
      <c r="X13" s="2">
        <v>0.998</v>
      </c>
      <c r="Y13" s="6">
        <f t="shared" si="2"/>
        <v>2.664104001494888E-2</v>
      </c>
      <c r="AA13">
        <v>14678039</v>
      </c>
      <c r="AB13">
        <v>19156</v>
      </c>
      <c r="AD13" t="s">
        <v>3</v>
      </c>
      <c r="AE13">
        <v>29</v>
      </c>
      <c r="AF13">
        <v>1</v>
      </c>
      <c r="AH13" t="s">
        <v>443</v>
      </c>
      <c r="AI13" t="s">
        <v>10029</v>
      </c>
      <c r="AJ13" t="s">
        <v>10028</v>
      </c>
      <c r="AK13" t="s">
        <v>10027</v>
      </c>
      <c r="AL13">
        <v>38</v>
      </c>
      <c r="AM13" s="5">
        <f t="shared" si="3"/>
        <v>1.7272727272727273</v>
      </c>
      <c r="AN13" s="4">
        <f t="shared" si="4"/>
        <v>2.616088947024199E-3</v>
      </c>
      <c r="AO13" s="3"/>
      <c r="AP13">
        <v>0</v>
      </c>
      <c r="AQ13" t="s">
        <v>627</v>
      </c>
      <c r="AR13" t="s">
        <v>1</v>
      </c>
      <c r="AS13" t="s">
        <v>626</v>
      </c>
      <c r="AT13" s="2" t="s">
        <v>0</v>
      </c>
      <c r="AU13" s="1">
        <f t="shared" si="5"/>
        <v>1.9433554694571475</v>
      </c>
      <c r="AV13" s="1">
        <f t="shared" si="6"/>
        <v>1.4628564480986539</v>
      </c>
      <c r="AW13" s="1">
        <f t="shared" si="7"/>
        <v>0.98235742674016024</v>
      </c>
    </row>
    <row r="14" spans="1:49" x14ac:dyDescent="0.2">
      <c r="A14">
        <v>12</v>
      </c>
      <c r="B14" t="s">
        <v>10026</v>
      </c>
      <c r="C14" t="s">
        <v>10025</v>
      </c>
      <c r="F14" t="s">
        <v>10024</v>
      </c>
      <c r="G14" t="s">
        <v>9</v>
      </c>
      <c r="H14" t="s">
        <v>8</v>
      </c>
      <c r="I14" t="s">
        <v>10023</v>
      </c>
      <c r="J14" t="s">
        <v>10022</v>
      </c>
      <c r="K14" t="s">
        <v>10021</v>
      </c>
      <c r="L14" t="s">
        <v>10020</v>
      </c>
      <c r="M14" t="s">
        <v>288</v>
      </c>
      <c r="N14">
        <v>3</v>
      </c>
      <c r="O14" t="s">
        <v>10019</v>
      </c>
      <c r="P14" t="s">
        <v>10018</v>
      </c>
      <c r="Q14" t="s">
        <v>10017</v>
      </c>
      <c r="R14" s="7">
        <v>36872</v>
      </c>
      <c r="S14" s="8">
        <f t="shared" si="0"/>
        <v>2000</v>
      </c>
      <c r="T14" s="8">
        <v>2000</v>
      </c>
      <c r="U14" s="8">
        <f t="shared" si="1"/>
        <v>22</v>
      </c>
      <c r="V14" s="7">
        <v>2000</v>
      </c>
      <c r="W14" t="s">
        <v>10016</v>
      </c>
      <c r="X14" s="2">
        <v>0.57399999999999995</v>
      </c>
      <c r="Y14" s="6">
        <f t="shared" si="2"/>
        <v>1.5322602172926509E-2</v>
      </c>
      <c r="AA14">
        <v>10400397</v>
      </c>
      <c r="AB14">
        <v>23979</v>
      </c>
      <c r="AD14" t="s">
        <v>3</v>
      </c>
      <c r="AE14">
        <v>12</v>
      </c>
      <c r="AF14">
        <v>9</v>
      </c>
      <c r="AH14" t="s">
        <v>10015</v>
      </c>
      <c r="AI14" t="s">
        <v>10014</v>
      </c>
      <c r="AJ14" t="s">
        <v>10013</v>
      </c>
      <c r="AK14" t="s">
        <v>10012</v>
      </c>
      <c r="AL14">
        <v>27</v>
      </c>
      <c r="AM14" s="5">
        <f t="shared" si="3"/>
        <v>1.2272727272727273</v>
      </c>
      <c r="AN14" s="4">
        <f t="shared" si="4"/>
        <v>1.8588000413066676E-3</v>
      </c>
      <c r="AO14" s="3"/>
      <c r="AP14">
        <v>0</v>
      </c>
      <c r="AR14" t="s">
        <v>1</v>
      </c>
      <c r="AT14" s="2">
        <v>3.2229999999999999</v>
      </c>
      <c r="AU14" s="1">
        <f t="shared" si="5"/>
        <v>1.1283461533440557</v>
      </c>
      <c r="AV14" s="1">
        <f t="shared" si="6"/>
        <v>0.85907011071165895</v>
      </c>
      <c r="AW14" s="1">
        <f t="shared" si="7"/>
        <v>0.58979406807926205</v>
      </c>
    </row>
    <row r="15" spans="1:49" x14ac:dyDescent="0.2">
      <c r="A15">
        <v>13</v>
      </c>
      <c r="B15" t="s">
        <v>10011</v>
      </c>
      <c r="C15" t="s">
        <v>10010</v>
      </c>
      <c r="F15" t="s">
        <v>10009</v>
      </c>
      <c r="G15" t="s">
        <v>9</v>
      </c>
      <c r="H15" t="s">
        <v>8</v>
      </c>
      <c r="I15" t="s">
        <v>10008</v>
      </c>
      <c r="J15">
        <v>60115148</v>
      </c>
      <c r="K15" t="s">
        <v>10007</v>
      </c>
      <c r="L15" t="s">
        <v>10006</v>
      </c>
      <c r="M15" t="s">
        <v>42</v>
      </c>
      <c r="N15">
        <v>2</v>
      </c>
      <c r="O15" t="s">
        <v>10005</v>
      </c>
      <c r="P15" t="s">
        <v>10004</v>
      </c>
      <c r="Q15" t="s">
        <v>10003</v>
      </c>
      <c r="R15" s="7">
        <v>36870</v>
      </c>
      <c r="S15" s="8">
        <f t="shared" si="0"/>
        <v>2000</v>
      </c>
      <c r="T15" s="8">
        <v>2000</v>
      </c>
      <c r="U15" s="8">
        <f t="shared" si="1"/>
        <v>22</v>
      </c>
      <c r="V15" s="7">
        <v>36870</v>
      </c>
      <c r="W15" t="s">
        <v>10002</v>
      </c>
      <c r="X15" s="2">
        <v>0.57399999999999995</v>
      </c>
      <c r="Y15" s="6">
        <f t="shared" si="2"/>
        <v>1.5322602172926509E-2</v>
      </c>
      <c r="AA15">
        <v>213640</v>
      </c>
      <c r="AB15">
        <v>28115</v>
      </c>
      <c r="AD15" t="s">
        <v>3</v>
      </c>
      <c r="AE15">
        <v>72</v>
      </c>
      <c r="AF15">
        <v>11</v>
      </c>
      <c r="AH15" t="s">
        <v>10001</v>
      </c>
      <c r="AI15" t="s">
        <v>10000</v>
      </c>
      <c r="AK15" t="s">
        <v>9999</v>
      </c>
      <c r="AL15">
        <v>5</v>
      </c>
      <c r="AM15" s="5">
        <f t="shared" si="3"/>
        <v>0.22727272727272727</v>
      </c>
      <c r="AN15" s="4">
        <f t="shared" si="4"/>
        <v>3.4422222987160508E-4</v>
      </c>
      <c r="AO15" s="3"/>
      <c r="AP15">
        <v>0</v>
      </c>
      <c r="AR15" t="s">
        <v>1</v>
      </c>
      <c r="AT15" s="2">
        <v>1.532</v>
      </c>
      <c r="AU15" s="1">
        <f t="shared" si="5"/>
        <v>1.0829088190010039</v>
      </c>
      <c r="AV15" s="1">
        <f t="shared" si="6"/>
        <v>0.7833412201399057</v>
      </c>
      <c r="AW15" s="1">
        <f t="shared" si="7"/>
        <v>0.48377362127880758</v>
      </c>
    </row>
    <row r="16" spans="1:49" x14ac:dyDescent="0.2">
      <c r="A16">
        <v>14</v>
      </c>
      <c r="B16" t="s">
        <v>9998</v>
      </c>
      <c r="E16">
        <v>11023858</v>
      </c>
      <c r="F16" t="s">
        <v>9997</v>
      </c>
      <c r="G16" t="s">
        <v>9</v>
      </c>
      <c r="H16" t="s">
        <v>8</v>
      </c>
      <c r="I16" t="s">
        <v>9996</v>
      </c>
      <c r="J16">
        <v>60011610</v>
      </c>
      <c r="K16" t="s">
        <v>9995</v>
      </c>
      <c r="L16" t="s">
        <v>9994</v>
      </c>
      <c r="M16" t="s">
        <v>13</v>
      </c>
      <c r="N16">
        <v>2</v>
      </c>
      <c r="O16" t="s">
        <v>9993</v>
      </c>
      <c r="P16" t="s">
        <v>9992</v>
      </c>
      <c r="Q16" t="s">
        <v>9991</v>
      </c>
      <c r="R16" s="7">
        <v>36870</v>
      </c>
      <c r="S16" s="8">
        <f t="shared" si="0"/>
        <v>2000</v>
      </c>
      <c r="T16" s="8">
        <v>2000</v>
      </c>
      <c r="U16" s="8">
        <f t="shared" si="1"/>
        <v>22</v>
      </c>
      <c r="V16" s="7">
        <v>2000</v>
      </c>
      <c r="W16" t="s">
        <v>48</v>
      </c>
      <c r="X16" s="2">
        <v>0.15</v>
      </c>
      <c r="Y16" s="6">
        <f t="shared" si="2"/>
        <v>4.0041643309041402E-3</v>
      </c>
      <c r="AA16">
        <v>9501991</v>
      </c>
      <c r="AB16">
        <v>14531</v>
      </c>
      <c r="AD16" t="s">
        <v>3</v>
      </c>
      <c r="AE16">
        <v>127</v>
      </c>
      <c r="AF16">
        <v>21</v>
      </c>
      <c r="AH16" t="s">
        <v>9990</v>
      </c>
      <c r="AI16" t="s">
        <v>9989</v>
      </c>
      <c r="AJ16" t="s">
        <v>9988</v>
      </c>
      <c r="AK16" t="s">
        <v>9987</v>
      </c>
      <c r="AL16">
        <v>69</v>
      </c>
      <c r="AM16" s="5">
        <f t="shared" si="3"/>
        <v>3.1363636363636362</v>
      </c>
      <c r="AN16" s="4">
        <f t="shared" si="4"/>
        <v>4.7502667722281507E-3</v>
      </c>
      <c r="AO16" s="3"/>
      <c r="AP16">
        <v>0</v>
      </c>
      <c r="AR16" t="s">
        <v>1</v>
      </c>
      <c r="AT16" s="2">
        <v>6.8680000000000003</v>
      </c>
      <c r="AU16" s="1">
        <f t="shared" si="5"/>
        <v>0.42279950633013436</v>
      </c>
      <c r="AV16" s="1">
        <f t="shared" si="6"/>
        <v>0.43772155515661454</v>
      </c>
      <c r="AW16" s="1">
        <f t="shared" si="7"/>
        <v>0.45264360398309478</v>
      </c>
    </row>
    <row r="17" spans="1:49" x14ac:dyDescent="0.2">
      <c r="A17">
        <v>15</v>
      </c>
      <c r="B17" t="s">
        <v>9986</v>
      </c>
      <c r="C17" t="s">
        <v>9985</v>
      </c>
      <c r="F17" t="s">
        <v>9984</v>
      </c>
      <c r="G17" t="s">
        <v>9</v>
      </c>
      <c r="H17" t="s">
        <v>8</v>
      </c>
      <c r="I17" t="s">
        <v>9983</v>
      </c>
      <c r="J17">
        <v>60015150</v>
      </c>
      <c r="K17" t="s">
        <v>117</v>
      </c>
      <c r="L17" t="s">
        <v>116</v>
      </c>
      <c r="M17" t="s">
        <v>87</v>
      </c>
      <c r="N17">
        <v>2</v>
      </c>
      <c r="O17" t="s">
        <v>9982</v>
      </c>
      <c r="P17" t="s">
        <v>9981</v>
      </c>
      <c r="Q17" t="s">
        <v>115</v>
      </c>
      <c r="R17" s="7">
        <v>36867</v>
      </c>
      <c r="S17" s="8">
        <f t="shared" si="0"/>
        <v>2000</v>
      </c>
      <c r="T17" s="8">
        <v>2000</v>
      </c>
      <c r="U17" s="8">
        <f t="shared" si="1"/>
        <v>22</v>
      </c>
      <c r="V17" s="7">
        <v>36867</v>
      </c>
      <c r="W17" t="s">
        <v>805</v>
      </c>
      <c r="X17" s="2">
        <v>2.3420000000000001</v>
      </c>
      <c r="Y17" s="6">
        <f t="shared" si="2"/>
        <v>6.2518352419849987E-2</v>
      </c>
      <c r="AA17">
        <v>9628452</v>
      </c>
      <c r="AB17">
        <v>130030</v>
      </c>
      <c r="AC17">
        <v>14712970</v>
      </c>
      <c r="AD17" t="s">
        <v>3</v>
      </c>
      <c r="AE17">
        <v>267</v>
      </c>
      <c r="AF17">
        <v>1460</v>
      </c>
      <c r="AH17" t="s">
        <v>9980</v>
      </c>
      <c r="AI17" t="s">
        <v>9979</v>
      </c>
      <c r="AJ17" t="s">
        <v>9978</v>
      </c>
      <c r="AK17" t="s">
        <v>9977</v>
      </c>
      <c r="AL17">
        <v>59</v>
      </c>
      <c r="AM17" s="5">
        <f t="shared" si="3"/>
        <v>2.6818181818181817</v>
      </c>
      <c r="AN17" s="4">
        <f t="shared" si="4"/>
        <v>4.0618223124849404E-3</v>
      </c>
      <c r="AO17" s="3"/>
      <c r="AP17">
        <v>0</v>
      </c>
      <c r="AR17" t="s">
        <v>1</v>
      </c>
      <c r="AT17" s="2" t="s">
        <v>0</v>
      </c>
      <c r="AU17" s="1">
        <f t="shared" si="5"/>
        <v>4.4981393387640471</v>
      </c>
      <c r="AV17" s="1">
        <f t="shared" si="6"/>
        <v>3.3290087366167467</v>
      </c>
      <c r="AW17" s="1">
        <f t="shared" si="7"/>
        <v>2.1598781344694453</v>
      </c>
    </row>
    <row r="18" spans="1:49" x14ac:dyDescent="0.2">
      <c r="A18">
        <v>16</v>
      </c>
      <c r="B18" t="s">
        <v>9976</v>
      </c>
      <c r="C18" t="s">
        <v>9975</v>
      </c>
      <c r="F18" t="s">
        <v>9974</v>
      </c>
      <c r="G18" t="s">
        <v>9</v>
      </c>
      <c r="H18" t="s">
        <v>8</v>
      </c>
      <c r="I18" t="s">
        <v>801</v>
      </c>
      <c r="J18" t="s">
        <v>800</v>
      </c>
      <c r="K18" t="s">
        <v>799</v>
      </c>
      <c r="L18" t="s">
        <v>798</v>
      </c>
      <c r="M18" t="s">
        <v>797</v>
      </c>
      <c r="N18">
        <v>8</v>
      </c>
      <c r="O18" t="s">
        <v>9973</v>
      </c>
      <c r="P18" t="s">
        <v>9972</v>
      </c>
      <c r="Q18" t="s">
        <v>9971</v>
      </c>
      <c r="R18" s="7">
        <v>36867</v>
      </c>
      <c r="S18" s="8">
        <f t="shared" si="0"/>
        <v>2000</v>
      </c>
      <c r="T18" s="8">
        <v>2000</v>
      </c>
      <c r="U18" s="8">
        <f t="shared" si="1"/>
        <v>22</v>
      </c>
      <c r="V18" s="7">
        <v>36867</v>
      </c>
      <c r="W18" t="s">
        <v>718</v>
      </c>
      <c r="X18" s="2">
        <v>0.375</v>
      </c>
      <c r="Y18" s="6">
        <f t="shared" si="2"/>
        <v>1.0010410827260351E-2</v>
      </c>
      <c r="AA18">
        <v>135194</v>
      </c>
      <c r="AB18">
        <v>24918</v>
      </c>
      <c r="AD18" t="s">
        <v>3</v>
      </c>
      <c r="AE18">
        <v>36</v>
      </c>
      <c r="AF18">
        <v>25</v>
      </c>
      <c r="AH18" t="s">
        <v>9970</v>
      </c>
      <c r="AI18" t="s">
        <v>9969</v>
      </c>
      <c r="AK18" t="s">
        <v>9968</v>
      </c>
      <c r="AL18">
        <v>22</v>
      </c>
      <c r="AM18" s="5">
        <f t="shared" si="3"/>
        <v>1</v>
      </c>
      <c r="AN18" s="4">
        <f t="shared" si="4"/>
        <v>1.5145778114350624E-3</v>
      </c>
      <c r="AO18" s="3"/>
      <c r="AP18">
        <v>0</v>
      </c>
      <c r="AR18" t="s">
        <v>1</v>
      </c>
      <c r="AT18" s="2">
        <v>1.3140000000000001</v>
      </c>
      <c r="AU18" s="1">
        <f t="shared" si="5"/>
        <v>0.74616609225127639</v>
      </c>
      <c r="AV18" s="1">
        <f t="shared" si="6"/>
        <v>0.57624943193477074</v>
      </c>
      <c r="AW18" s="1">
        <f t="shared" si="7"/>
        <v>0.40633277161826492</v>
      </c>
    </row>
    <row r="19" spans="1:49" x14ac:dyDescent="0.2">
      <c r="A19">
        <v>17</v>
      </c>
      <c r="B19" t="s">
        <v>9967</v>
      </c>
      <c r="C19" t="s">
        <v>9966</v>
      </c>
      <c r="F19" t="s">
        <v>9965</v>
      </c>
      <c r="G19" t="s">
        <v>9</v>
      </c>
      <c r="H19" t="s">
        <v>8</v>
      </c>
      <c r="I19" t="s">
        <v>9964</v>
      </c>
      <c r="J19">
        <v>60080744</v>
      </c>
      <c r="K19" t="s">
        <v>9963</v>
      </c>
      <c r="L19" t="s">
        <v>9962</v>
      </c>
      <c r="M19" t="s">
        <v>10</v>
      </c>
      <c r="N19">
        <v>1</v>
      </c>
      <c r="O19" t="s">
        <v>9961</v>
      </c>
      <c r="P19">
        <v>7201869206</v>
      </c>
      <c r="Q19">
        <v>60080744</v>
      </c>
      <c r="R19" s="7">
        <v>36867</v>
      </c>
      <c r="S19" s="8">
        <f t="shared" si="0"/>
        <v>2000</v>
      </c>
      <c r="T19" s="8">
        <v>2000</v>
      </c>
      <c r="U19" s="8">
        <f t="shared" si="1"/>
        <v>22</v>
      </c>
      <c r="V19" s="7">
        <v>36867</v>
      </c>
      <c r="W19" t="s">
        <v>718</v>
      </c>
      <c r="X19" s="2">
        <v>0.375</v>
      </c>
      <c r="Y19" s="6">
        <f t="shared" si="2"/>
        <v>1.0010410827260351E-2</v>
      </c>
      <c r="AA19">
        <v>135194</v>
      </c>
      <c r="AB19">
        <v>24918</v>
      </c>
      <c r="AD19" t="s">
        <v>3</v>
      </c>
      <c r="AE19">
        <v>36</v>
      </c>
      <c r="AF19">
        <v>25</v>
      </c>
      <c r="AH19" t="s">
        <v>9960</v>
      </c>
      <c r="AI19" t="s">
        <v>9959</v>
      </c>
      <c r="AK19" t="s">
        <v>9958</v>
      </c>
      <c r="AL19">
        <v>90</v>
      </c>
      <c r="AM19" s="5">
        <f t="shared" si="3"/>
        <v>4.0909090909090908</v>
      </c>
      <c r="AN19" s="4">
        <f t="shared" si="4"/>
        <v>6.1960001376888917E-3</v>
      </c>
      <c r="AO19" s="3"/>
      <c r="AP19">
        <v>0</v>
      </c>
      <c r="AR19" t="s">
        <v>1</v>
      </c>
      <c r="AT19" s="2">
        <v>1.3140000000000001</v>
      </c>
      <c r="AU19" s="1">
        <f t="shared" si="5"/>
        <v>0.88660876203889138</v>
      </c>
      <c r="AV19" s="1">
        <f t="shared" si="6"/>
        <v>0.81032054824746214</v>
      </c>
      <c r="AW19" s="1">
        <f t="shared" si="7"/>
        <v>0.73403233445603289</v>
      </c>
    </row>
    <row r="20" spans="1:49" x14ac:dyDescent="0.2">
      <c r="A20">
        <v>18</v>
      </c>
      <c r="B20" t="s">
        <v>9957</v>
      </c>
      <c r="C20" t="s">
        <v>9956</v>
      </c>
      <c r="F20" t="s">
        <v>9955</v>
      </c>
      <c r="G20" t="s">
        <v>9</v>
      </c>
      <c r="H20" t="s">
        <v>8</v>
      </c>
      <c r="I20" t="s">
        <v>9954</v>
      </c>
      <c r="J20" t="s">
        <v>9953</v>
      </c>
      <c r="K20" t="s">
        <v>9952</v>
      </c>
      <c r="L20" t="s">
        <v>9951</v>
      </c>
      <c r="M20" t="s">
        <v>9950</v>
      </c>
      <c r="N20">
        <v>4</v>
      </c>
      <c r="O20" t="s">
        <v>9949</v>
      </c>
      <c r="P20" t="s">
        <v>9948</v>
      </c>
      <c r="Q20" t="s">
        <v>9947</v>
      </c>
      <c r="R20" s="7">
        <v>36867</v>
      </c>
      <c r="S20" s="8">
        <f t="shared" si="0"/>
        <v>2000</v>
      </c>
      <c r="T20" s="8">
        <v>2000</v>
      </c>
      <c r="U20" s="8">
        <f t="shared" si="1"/>
        <v>22</v>
      </c>
      <c r="V20" s="7">
        <v>36867</v>
      </c>
      <c r="W20" t="s">
        <v>718</v>
      </c>
      <c r="X20" s="2">
        <v>0.375</v>
      </c>
      <c r="Y20" s="6">
        <f t="shared" si="2"/>
        <v>1.0010410827260351E-2</v>
      </c>
      <c r="AA20">
        <v>135194</v>
      </c>
      <c r="AB20">
        <v>24918</v>
      </c>
      <c r="AD20" t="s">
        <v>3</v>
      </c>
      <c r="AE20">
        <v>36</v>
      </c>
      <c r="AF20">
        <v>25</v>
      </c>
      <c r="AH20" t="s">
        <v>9946</v>
      </c>
      <c r="AI20" t="s">
        <v>9945</v>
      </c>
      <c r="AK20" t="s">
        <v>9944</v>
      </c>
      <c r="AL20">
        <v>52</v>
      </c>
      <c r="AM20" s="5">
        <f t="shared" si="3"/>
        <v>2.3636363636363638</v>
      </c>
      <c r="AN20" s="4">
        <f t="shared" si="4"/>
        <v>3.5799111906646935E-3</v>
      </c>
      <c r="AO20" s="3"/>
      <c r="AP20">
        <v>0</v>
      </c>
      <c r="AR20" t="s">
        <v>1</v>
      </c>
      <c r="AT20" s="2">
        <v>1.3140000000000001</v>
      </c>
      <c r="AU20" s="1">
        <f t="shared" si="5"/>
        <v>0.80812609362816545</v>
      </c>
      <c r="AV20" s="1">
        <f t="shared" si="6"/>
        <v>0.67951610089625225</v>
      </c>
      <c r="AW20" s="1">
        <f t="shared" si="7"/>
        <v>0.55090610816433905</v>
      </c>
    </row>
    <row r="21" spans="1:49" x14ac:dyDescent="0.2">
      <c r="A21">
        <v>19</v>
      </c>
      <c r="B21" t="s">
        <v>9943</v>
      </c>
      <c r="C21" t="s">
        <v>9942</v>
      </c>
      <c r="F21" t="s">
        <v>9941</v>
      </c>
      <c r="G21" t="s">
        <v>9</v>
      </c>
      <c r="H21" t="s">
        <v>8</v>
      </c>
      <c r="I21" t="s">
        <v>9940</v>
      </c>
      <c r="J21" t="s">
        <v>9939</v>
      </c>
      <c r="K21" t="s">
        <v>9938</v>
      </c>
      <c r="L21" t="s">
        <v>9937</v>
      </c>
      <c r="M21" t="s">
        <v>9936</v>
      </c>
      <c r="N21">
        <v>5</v>
      </c>
      <c r="O21" t="s">
        <v>9935</v>
      </c>
      <c r="P21" t="s">
        <v>9934</v>
      </c>
      <c r="Q21" t="s">
        <v>9933</v>
      </c>
      <c r="R21" s="7">
        <v>36866</v>
      </c>
      <c r="S21" s="8">
        <f t="shared" si="0"/>
        <v>2000</v>
      </c>
      <c r="T21" s="8">
        <v>2000</v>
      </c>
      <c r="U21" s="8">
        <f t="shared" si="1"/>
        <v>22</v>
      </c>
      <c r="V21" s="7">
        <v>36866</v>
      </c>
      <c r="W21" t="s">
        <v>763</v>
      </c>
      <c r="X21" s="2">
        <v>7.1150000000000002</v>
      </c>
      <c r="Y21" s="6">
        <f t="shared" si="2"/>
        <v>0.18993086142921972</v>
      </c>
      <c r="AA21">
        <v>27863</v>
      </c>
      <c r="AB21">
        <v>22680</v>
      </c>
      <c r="AD21" t="s">
        <v>3</v>
      </c>
      <c r="AE21">
        <v>122</v>
      </c>
      <c r="AF21">
        <v>48</v>
      </c>
      <c r="AH21" t="s">
        <v>9932</v>
      </c>
      <c r="AI21" t="s">
        <v>9931</v>
      </c>
      <c r="AK21" t="s">
        <v>9930</v>
      </c>
      <c r="AL21">
        <v>63</v>
      </c>
      <c r="AM21" s="5">
        <f t="shared" si="3"/>
        <v>2.8636363636363638</v>
      </c>
      <c r="AN21" s="4">
        <f t="shared" si="4"/>
        <v>4.3372000963822245E-3</v>
      </c>
      <c r="AO21" s="3"/>
      <c r="AP21">
        <v>0</v>
      </c>
      <c r="AR21" t="s">
        <v>1</v>
      </c>
      <c r="AT21" s="2" t="s">
        <v>0</v>
      </c>
      <c r="AU21" s="1">
        <f t="shared" si="5"/>
        <v>13.425276302936847</v>
      </c>
      <c r="AV21" s="1">
        <f t="shared" si="6"/>
        <v>9.7134030762800965</v>
      </c>
      <c r="AW21" s="1">
        <f t="shared" si="7"/>
        <v>6.0015298496233473</v>
      </c>
    </row>
    <row r="22" spans="1:49" x14ac:dyDescent="0.2">
      <c r="A22">
        <v>20</v>
      </c>
      <c r="B22" t="s">
        <v>9929</v>
      </c>
      <c r="C22" t="s">
        <v>9928</v>
      </c>
      <c r="F22" t="s">
        <v>716</v>
      </c>
      <c r="G22" t="s">
        <v>9</v>
      </c>
      <c r="H22" t="s">
        <v>8</v>
      </c>
      <c r="I22" t="s">
        <v>715</v>
      </c>
      <c r="J22" t="s">
        <v>9924</v>
      </c>
      <c r="K22" t="s">
        <v>9927</v>
      </c>
      <c r="L22" t="s">
        <v>9926</v>
      </c>
      <c r="M22" t="s">
        <v>9925</v>
      </c>
      <c r="N22">
        <v>3</v>
      </c>
      <c r="O22" t="s">
        <v>714</v>
      </c>
      <c r="P22" t="s">
        <v>713</v>
      </c>
      <c r="Q22" t="s">
        <v>9924</v>
      </c>
      <c r="R22" s="7">
        <v>36865</v>
      </c>
      <c r="S22" s="8">
        <f t="shared" si="0"/>
        <v>2000</v>
      </c>
      <c r="T22" s="8">
        <v>2000</v>
      </c>
      <c r="U22" s="8">
        <f t="shared" si="1"/>
        <v>22</v>
      </c>
      <c r="V22" s="7">
        <v>36865</v>
      </c>
      <c r="W22" t="s">
        <v>150</v>
      </c>
      <c r="X22" s="2">
        <v>0.30399999999999999</v>
      </c>
      <c r="Y22" s="6">
        <f t="shared" si="2"/>
        <v>8.115106377299057E-3</v>
      </c>
      <c r="AA22">
        <v>8952477</v>
      </c>
      <c r="AB22">
        <v>12250</v>
      </c>
      <c r="AD22" t="s">
        <v>3</v>
      </c>
      <c r="AE22">
        <v>27</v>
      </c>
      <c r="AF22">
        <v>5</v>
      </c>
      <c r="AH22" t="s">
        <v>9729</v>
      </c>
      <c r="AI22" t="s">
        <v>9923</v>
      </c>
      <c r="AK22" t="s">
        <v>9922</v>
      </c>
      <c r="AL22">
        <v>0</v>
      </c>
      <c r="AM22" s="5">
        <f t="shared" si="3"/>
        <v>0</v>
      </c>
      <c r="AN22" s="4">
        <f t="shared" si="4"/>
        <v>0</v>
      </c>
      <c r="AO22" s="3"/>
      <c r="AP22">
        <v>0</v>
      </c>
      <c r="AR22" t="s">
        <v>1</v>
      </c>
      <c r="AT22" s="2" t="s">
        <v>0</v>
      </c>
      <c r="AU22" s="1">
        <f t="shared" si="5"/>
        <v>0.56805744641093392</v>
      </c>
      <c r="AV22" s="1">
        <f t="shared" si="6"/>
        <v>0.40575531886495286</v>
      </c>
      <c r="AW22" s="1">
        <f t="shared" si="7"/>
        <v>0.24345319131897172</v>
      </c>
    </row>
    <row r="23" spans="1:49" x14ac:dyDescent="0.2">
      <c r="A23">
        <v>21</v>
      </c>
      <c r="B23" t="s">
        <v>9921</v>
      </c>
      <c r="C23" t="s">
        <v>9920</v>
      </c>
      <c r="F23" t="s">
        <v>9919</v>
      </c>
      <c r="G23" t="s">
        <v>9</v>
      </c>
      <c r="H23" t="s">
        <v>8</v>
      </c>
      <c r="I23" t="s">
        <v>9918</v>
      </c>
      <c r="J23">
        <v>60013983</v>
      </c>
      <c r="K23" t="s">
        <v>162</v>
      </c>
      <c r="L23" t="s">
        <v>161</v>
      </c>
      <c r="M23" t="s">
        <v>160</v>
      </c>
      <c r="N23">
        <v>6</v>
      </c>
      <c r="O23" t="s">
        <v>9917</v>
      </c>
      <c r="P23" t="s">
        <v>9916</v>
      </c>
      <c r="Q23" t="s">
        <v>9915</v>
      </c>
      <c r="R23" s="7">
        <v>36865</v>
      </c>
      <c r="S23" s="8">
        <f t="shared" si="0"/>
        <v>2000</v>
      </c>
      <c r="T23" s="8">
        <v>2000</v>
      </c>
      <c r="U23" s="8">
        <f t="shared" si="1"/>
        <v>22</v>
      </c>
      <c r="V23" s="7">
        <v>36865</v>
      </c>
      <c r="W23" t="s">
        <v>150</v>
      </c>
      <c r="X23" s="2">
        <v>0.30399999999999999</v>
      </c>
      <c r="Y23" s="6">
        <f t="shared" si="2"/>
        <v>8.115106377299057E-3</v>
      </c>
      <c r="AA23">
        <v>8952477</v>
      </c>
      <c r="AB23">
        <v>12250</v>
      </c>
      <c r="AD23" t="s">
        <v>3</v>
      </c>
      <c r="AE23">
        <v>27</v>
      </c>
      <c r="AF23">
        <v>5</v>
      </c>
      <c r="AH23" t="s">
        <v>9914</v>
      </c>
      <c r="AI23" t="s">
        <v>9913</v>
      </c>
      <c r="AK23" t="s">
        <v>9912</v>
      </c>
      <c r="AL23">
        <v>1</v>
      </c>
      <c r="AM23" s="5">
        <f t="shared" si="3"/>
        <v>4.5454545454545456E-2</v>
      </c>
      <c r="AN23" s="4">
        <f t="shared" si="4"/>
        <v>6.8844445974321024E-5</v>
      </c>
      <c r="AO23" s="3"/>
      <c r="AP23">
        <v>0</v>
      </c>
      <c r="AR23" t="s">
        <v>1</v>
      </c>
      <c r="AT23" s="2" t="s">
        <v>0</v>
      </c>
      <c r="AU23" s="1">
        <f t="shared" si="5"/>
        <v>0.57012277979016357</v>
      </c>
      <c r="AV23" s="1">
        <f t="shared" si="6"/>
        <v>0.40919754116366885</v>
      </c>
      <c r="AW23" s="1">
        <f t="shared" si="7"/>
        <v>0.24827230253717419</v>
      </c>
    </row>
    <row r="24" spans="1:49" x14ac:dyDescent="0.2">
      <c r="A24">
        <v>22</v>
      </c>
      <c r="B24" t="s">
        <v>9911</v>
      </c>
      <c r="C24" t="s">
        <v>9910</v>
      </c>
      <c r="F24" t="s">
        <v>9909</v>
      </c>
      <c r="G24" t="s">
        <v>9</v>
      </c>
      <c r="H24" t="s">
        <v>8</v>
      </c>
      <c r="I24" t="s">
        <v>9908</v>
      </c>
      <c r="J24">
        <v>60026134</v>
      </c>
      <c r="K24" t="s">
        <v>593</v>
      </c>
      <c r="L24" t="s">
        <v>592</v>
      </c>
      <c r="M24" t="s">
        <v>109</v>
      </c>
      <c r="N24">
        <v>3</v>
      </c>
      <c r="O24" t="s">
        <v>9907</v>
      </c>
      <c r="P24" t="s">
        <v>9906</v>
      </c>
      <c r="Q24" t="s">
        <v>717</v>
      </c>
      <c r="R24" s="7">
        <v>36865</v>
      </c>
      <c r="S24" s="8">
        <f t="shared" si="0"/>
        <v>2000</v>
      </c>
      <c r="T24" s="8">
        <v>2000</v>
      </c>
      <c r="U24" s="8">
        <f t="shared" si="1"/>
        <v>22</v>
      </c>
      <c r="V24" s="7">
        <v>36865</v>
      </c>
      <c r="W24" t="s">
        <v>150</v>
      </c>
      <c r="X24" s="2">
        <v>0.30399999999999999</v>
      </c>
      <c r="Y24" s="6">
        <f t="shared" si="2"/>
        <v>8.115106377299057E-3</v>
      </c>
      <c r="AA24">
        <v>8952477</v>
      </c>
      <c r="AB24">
        <v>12250</v>
      </c>
      <c r="AD24" t="s">
        <v>3</v>
      </c>
      <c r="AE24">
        <v>27</v>
      </c>
      <c r="AF24">
        <v>5</v>
      </c>
      <c r="AH24" t="s">
        <v>9905</v>
      </c>
      <c r="AI24" t="s">
        <v>9904</v>
      </c>
      <c r="AK24" t="s">
        <v>9903</v>
      </c>
      <c r="AL24">
        <v>37</v>
      </c>
      <c r="AM24" s="5">
        <f t="shared" si="3"/>
        <v>1.6818181818181819</v>
      </c>
      <c r="AN24" s="4">
        <f t="shared" si="4"/>
        <v>2.547244501049878E-3</v>
      </c>
      <c r="AO24" s="3"/>
      <c r="AP24">
        <v>0</v>
      </c>
      <c r="AR24" t="s">
        <v>1</v>
      </c>
      <c r="AT24" s="2" t="s">
        <v>0</v>
      </c>
      <c r="AU24" s="1">
        <f t="shared" si="5"/>
        <v>0.64447478144243031</v>
      </c>
      <c r="AV24" s="1">
        <f t="shared" si="6"/>
        <v>0.5331175439174467</v>
      </c>
      <c r="AW24" s="1">
        <f t="shared" si="7"/>
        <v>0.42176030639246315</v>
      </c>
    </row>
    <row r="25" spans="1:49" x14ac:dyDescent="0.2">
      <c r="A25">
        <v>23</v>
      </c>
      <c r="B25" t="s">
        <v>9902</v>
      </c>
      <c r="C25" t="s">
        <v>9901</v>
      </c>
      <c r="E25">
        <v>11101288</v>
      </c>
      <c r="F25" t="s">
        <v>9900</v>
      </c>
      <c r="G25" t="s">
        <v>9</v>
      </c>
      <c r="H25" t="s">
        <v>8</v>
      </c>
      <c r="I25" t="s">
        <v>9899</v>
      </c>
      <c r="J25">
        <v>60009730</v>
      </c>
      <c r="K25" t="s">
        <v>9898</v>
      </c>
      <c r="L25" t="s">
        <v>9897</v>
      </c>
      <c r="M25" t="s">
        <v>43</v>
      </c>
      <c r="N25">
        <v>2</v>
      </c>
      <c r="O25" t="s">
        <v>9896</v>
      </c>
      <c r="P25" t="s">
        <v>9895</v>
      </c>
      <c r="Q25" t="s">
        <v>9894</v>
      </c>
      <c r="R25" s="7">
        <v>36865</v>
      </c>
      <c r="S25" s="8">
        <f t="shared" si="0"/>
        <v>2000</v>
      </c>
      <c r="T25" s="8">
        <v>2000</v>
      </c>
      <c r="U25" s="8">
        <f t="shared" si="1"/>
        <v>22</v>
      </c>
      <c r="V25" s="7">
        <v>36865</v>
      </c>
      <c r="W25" t="s">
        <v>758</v>
      </c>
      <c r="X25" s="2">
        <v>1.43</v>
      </c>
      <c r="Y25" s="6">
        <f t="shared" si="2"/>
        <v>3.8173033287952803E-2</v>
      </c>
      <c r="AA25">
        <v>62960</v>
      </c>
      <c r="AB25">
        <v>16867</v>
      </c>
      <c r="AD25" t="s">
        <v>3</v>
      </c>
      <c r="AE25">
        <v>39</v>
      </c>
      <c r="AF25">
        <v>48</v>
      </c>
      <c r="AH25" t="s">
        <v>9893</v>
      </c>
      <c r="AI25" t="s">
        <v>9892</v>
      </c>
      <c r="AK25" t="s">
        <v>9891</v>
      </c>
      <c r="AL25">
        <v>102</v>
      </c>
      <c r="AM25" s="5">
        <f t="shared" si="3"/>
        <v>4.6363636363636367</v>
      </c>
      <c r="AN25" s="4">
        <f t="shared" si="4"/>
        <v>7.022133489380745E-3</v>
      </c>
      <c r="AO25" s="3"/>
      <c r="AP25">
        <v>0</v>
      </c>
      <c r="AR25" t="s">
        <v>1</v>
      </c>
      <c r="AT25" s="2">
        <v>3.1619999999999999</v>
      </c>
      <c r="AU25" s="1">
        <f t="shared" si="5"/>
        <v>2.8827763348381183</v>
      </c>
      <c r="AV25" s="1">
        <f t="shared" si="6"/>
        <v>2.2597583388666775</v>
      </c>
      <c r="AW25" s="1">
        <f t="shared" si="7"/>
        <v>1.6367403428952363</v>
      </c>
    </row>
    <row r="26" spans="1:49" x14ac:dyDescent="0.2">
      <c r="A26">
        <v>24</v>
      </c>
      <c r="B26" t="s">
        <v>9890</v>
      </c>
      <c r="C26" t="s">
        <v>9889</v>
      </c>
      <c r="F26" t="s">
        <v>9888</v>
      </c>
      <c r="G26" t="s">
        <v>9</v>
      </c>
      <c r="H26" t="s">
        <v>8</v>
      </c>
      <c r="I26" t="s">
        <v>808</v>
      </c>
      <c r="J26" t="s">
        <v>9887</v>
      </c>
      <c r="K26" t="s">
        <v>9886</v>
      </c>
      <c r="L26" t="s">
        <v>9885</v>
      </c>
      <c r="M26" t="s">
        <v>9884</v>
      </c>
      <c r="N26">
        <v>4</v>
      </c>
      <c r="O26" t="s">
        <v>9883</v>
      </c>
      <c r="P26" t="s">
        <v>9882</v>
      </c>
      <c r="Q26" t="s">
        <v>9881</v>
      </c>
      <c r="R26" s="7">
        <v>36865</v>
      </c>
      <c r="S26" s="8">
        <f t="shared" si="0"/>
        <v>2000</v>
      </c>
      <c r="T26" s="8">
        <v>2000</v>
      </c>
      <c r="U26" s="8">
        <f t="shared" si="1"/>
        <v>22</v>
      </c>
      <c r="V26" s="7">
        <v>36865</v>
      </c>
      <c r="W26" t="s">
        <v>150</v>
      </c>
      <c r="X26" s="2">
        <v>0.30399999999999999</v>
      </c>
      <c r="Y26" s="6">
        <f t="shared" si="2"/>
        <v>8.115106377299057E-3</v>
      </c>
      <c r="AA26">
        <v>8952477</v>
      </c>
      <c r="AB26">
        <v>12250</v>
      </c>
      <c r="AD26" t="s">
        <v>3</v>
      </c>
      <c r="AE26">
        <v>27</v>
      </c>
      <c r="AF26">
        <v>5</v>
      </c>
      <c r="AH26" t="s">
        <v>9880</v>
      </c>
      <c r="AI26" t="s">
        <v>9879</v>
      </c>
      <c r="AK26" t="s">
        <v>9878</v>
      </c>
      <c r="AL26">
        <v>0</v>
      </c>
      <c r="AM26" s="5">
        <f t="shared" si="3"/>
        <v>0</v>
      </c>
      <c r="AN26" s="4">
        <f t="shared" si="4"/>
        <v>0</v>
      </c>
      <c r="AO26" s="3"/>
      <c r="AP26">
        <v>0</v>
      </c>
      <c r="AR26" t="s">
        <v>1</v>
      </c>
      <c r="AT26" s="2" t="s">
        <v>0</v>
      </c>
      <c r="AU26" s="1">
        <f t="shared" si="5"/>
        <v>0.56805744641093392</v>
      </c>
      <c r="AV26" s="1">
        <f t="shared" si="6"/>
        <v>0.40575531886495286</v>
      </c>
      <c r="AW26" s="1">
        <f t="shared" si="7"/>
        <v>0.24345319131897172</v>
      </c>
    </row>
    <row r="27" spans="1:49" x14ac:dyDescent="0.2">
      <c r="A27">
        <v>25</v>
      </c>
      <c r="B27" t="s">
        <v>9877</v>
      </c>
      <c r="C27" t="s">
        <v>9876</v>
      </c>
      <c r="F27" t="s">
        <v>9875</v>
      </c>
      <c r="G27" t="s">
        <v>9</v>
      </c>
      <c r="H27" t="s">
        <v>8</v>
      </c>
      <c r="I27" t="s">
        <v>1845</v>
      </c>
      <c r="J27" t="s">
        <v>9874</v>
      </c>
      <c r="K27" t="s">
        <v>9873</v>
      </c>
      <c r="L27" t="s">
        <v>9872</v>
      </c>
      <c r="M27" t="s">
        <v>414</v>
      </c>
      <c r="N27">
        <v>3</v>
      </c>
      <c r="O27" t="s">
        <v>9871</v>
      </c>
      <c r="P27" t="s">
        <v>9870</v>
      </c>
      <c r="Q27" t="s">
        <v>9869</v>
      </c>
      <c r="R27" s="7">
        <v>36865</v>
      </c>
      <c r="S27" s="8">
        <f t="shared" si="0"/>
        <v>2000</v>
      </c>
      <c r="T27" s="8">
        <v>2000</v>
      </c>
      <c r="U27" s="8">
        <f t="shared" si="1"/>
        <v>22</v>
      </c>
      <c r="V27" s="7">
        <v>36865</v>
      </c>
      <c r="W27" t="s">
        <v>150</v>
      </c>
      <c r="X27" s="2">
        <v>0.30399999999999999</v>
      </c>
      <c r="Y27" s="6">
        <f t="shared" si="2"/>
        <v>8.115106377299057E-3</v>
      </c>
      <c r="AA27">
        <v>8952477</v>
      </c>
      <c r="AB27">
        <v>12250</v>
      </c>
      <c r="AD27" t="s">
        <v>3</v>
      </c>
      <c r="AE27">
        <v>27</v>
      </c>
      <c r="AF27">
        <v>5</v>
      </c>
      <c r="AH27" t="s">
        <v>9868</v>
      </c>
      <c r="AI27" t="s">
        <v>9867</v>
      </c>
      <c r="AK27" t="s">
        <v>9866</v>
      </c>
      <c r="AL27">
        <v>15</v>
      </c>
      <c r="AM27" s="5">
        <f t="shared" si="3"/>
        <v>0.68181818181818177</v>
      </c>
      <c r="AN27" s="4">
        <f t="shared" si="4"/>
        <v>1.0326666896148153E-3</v>
      </c>
      <c r="AO27" s="3"/>
      <c r="AP27">
        <v>0</v>
      </c>
      <c r="AR27" t="s">
        <v>1</v>
      </c>
      <c r="AT27" s="2" t="s">
        <v>0</v>
      </c>
      <c r="AU27" s="1">
        <f t="shared" si="5"/>
        <v>0.59903744709937834</v>
      </c>
      <c r="AV27" s="1">
        <f t="shared" si="6"/>
        <v>0.45738865334569356</v>
      </c>
      <c r="AW27" s="1">
        <f t="shared" si="7"/>
        <v>0.31573985959200879</v>
      </c>
    </row>
    <row r="28" spans="1:49" x14ac:dyDescent="0.2">
      <c r="A28">
        <v>26</v>
      </c>
      <c r="B28" t="s">
        <v>9865</v>
      </c>
      <c r="C28" t="s">
        <v>9864</v>
      </c>
      <c r="F28" t="s">
        <v>9863</v>
      </c>
      <c r="G28" t="s">
        <v>9</v>
      </c>
      <c r="H28" t="s">
        <v>8</v>
      </c>
      <c r="I28" t="s">
        <v>9862</v>
      </c>
      <c r="J28" t="s">
        <v>9861</v>
      </c>
      <c r="K28" t="s">
        <v>9860</v>
      </c>
      <c r="L28" t="s">
        <v>9859</v>
      </c>
      <c r="M28" t="s">
        <v>274</v>
      </c>
      <c r="N28">
        <v>2</v>
      </c>
      <c r="O28" t="s">
        <v>9858</v>
      </c>
      <c r="P28" t="s">
        <v>9857</v>
      </c>
      <c r="Q28" t="s">
        <v>9856</v>
      </c>
      <c r="R28" s="7">
        <v>36865</v>
      </c>
      <c r="S28" s="8">
        <f t="shared" si="0"/>
        <v>2000</v>
      </c>
      <c r="T28" s="8">
        <v>2000</v>
      </c>
      <c r="U28" s="8">
        <f t="shared" si="1"/>
        <v>22</v>
      </c>
      <c r="V28" s="7">
        <v>36865</v>
      </c>
      <c r="W28" t="s">
        <v>150</v>
      </c>
      <c r="X28" s="2">
        <v>0.30399999999999999</v>
      </c>
      <c r="Y28" s="6">
        <f t="shared" si="2"/>
        <v>8.115106377299057E-3</v>
      </c>
      <c r="AA28">
        <v>8952477</v>
      </c>
      <c r="AB28">
        <v>12250</v>
      </c>
      <c r="AD28" t="s">
        <v>3</v>
      </c>
      <c r="AE28">
        <v>27</v>
      </c>
      <c r="AF28">
        <v>5</v>
      </c>
      <c r="AH28" t="s">
        <v>9855</v>
      </c>
      <c r="AI28" t="s">
        <v>9854</v>
      </c>
      <c r="AK28" t="s">
        <v>9853</v>
      </c>
      <c r="AL28">
        <v>1</v>
      </c>
      <c r="AM28" s="5">
        <f t="shared" si="3"/>
        <v>4.5454545454545456E-2</v>
      </c>
      <c r="AN28" s="4">
        <f t="shared" si="4"/>
        <v>6.8844445974321024E-5</v>
      </c>
      <c r="AO28" s="3"/>
      <c r="AP28">
        <v>0</v>
      </c>
      <c r="AR28" t="s">
        <v>1</v>
      </c>
      <c r="AT28" s="2" t="s">
        <v>0</v>
      </c>
      <c r="AU28" s="1">
        <f t="shared" si="5"/>
        <v>0.57012277979016357</v>
      </c>
      <c r="AV28" s="1">
        <f t="shared" si="6"/>
        <v>0.40919754116366885</v>
      </c>
      <c r="AW28" s="1">
        <f t="shared" si="7"/>
        <v>0.24827230253717419</v>
      </c>
    </row>
    <row r="29" spans="1:49" x14ac:dyDescent="0.2">
      <c r="A29">
        <v>27</v>
      </c>
      <c r="B29" t="s">
        <v>9852</v>
      </c>
      <c r="C29" t="s">
        <v>9851</v>
      </c>
      <c r="F29" t="s">
        <v>9850</v>
      </c>
      <c r="G29" t="s">
        <v>9</v>
      </c>
      <c r="H29" t="s">
        <v>8</v>
      </c>
      <c r="I29" t="s">
        <v>854</v>
      </c>
      <c r="J29">
        <v>60017161</v>
      </c>
      <c r="K29" t="s">
        <v>75</v>
      </c>
      <c r="L29" t="s">
        <v>74</v>
      </c>
      <c r="M29" t="s">
        <v>73</v>
      </c>
      <c r="N29">
        <v>2</v>
      </c>
      <c r="O29" t="s">
        <v>9849</v>
      </c>
      <c r="P29" t="s">
        <v>9848</v>
      </c>
      <c r="Q29" t="s">
        <v>171</v>
      </c>
      <c r="R29" s="7">
        <v>36865</v>
      </c>
      <c r="S29" s="8">
        <f t="shared" si="0"/>
        <v>2000</v>
      </c>
      <c r="T29" s="8">
        <v>2000</v>
      </c>
      <c r="U29" s="8">
        <f t="shared" si="1"/>
        <v>22</v>
      </c>
      <c r="V29" s="7">
        <v>36865</v>
      </c>
      <c r="W29" t="s">
        <v>150</v>
      </c>
      <c r="X29" s="2">
        <v>0.30399999999999999</v>
      </c>
      <c r="Y29" s="6">
        <f t="shared" si="2"/>
        <v>8.115106377299057E-3</v>
      </c>
      <c r="AA29">
        <v>8952477</v>
      </c>
      <c r="AB29">
        <v>12250</v>
      </c>
      <c r="AD29" t="s">
        <v>3</v>
      </c>
      <c r="AE29">
        <v>27</v>
      </c>
      <c r="AF29">
        <v>5</v>
      </c>
      <c r="AH29" t="s">
        <v>9847</v>
      </c>
      <c r="AI29" t="s">
        <v>9846</v>
      </c>
      <c r="AK29" t="s">
        <v>9845</v>
      </c>
      <c r="AL29">
        <v>30</v>
      </c>
      <c r="AM29" s="5">
        <f t="shared" si="3"/>
        <v>1.3636363636363635</v>
      </c>
      <c r="AN29" s="4">
        <f t="shared" si="4"/>
        <v>2.0653333792296307E-3</v>
      </c>
      <c r="AO29" s="3"/>
      <c r="AP29">
        <v>0</v>
      </c>
      <c r="AR29" t="s">
        <v>1</v>
      </c>
      <c r="AT29" s="2" t="s">
        <v>0</v>
      </c>
      <c r="AU29" s="1">
        <f t="shared" si="5"/>
        <v>0.63001744778782287</v>
      </c>
      <c r="AV29" s="1">
        <f t="shared" si="6"/>
        <v>0.50902198782643437</v>
      </c>
      <c r="AW29" s="1">
        <f t="shared" si="7"/>
        <v>0.38802652786504588</v>
      </c>
    </row>
    <row r="30" spans="1:49" x14ac:dyDescent="0.2">
      <c r="A30">
        <v>28</v>
      </c>
      <c r="B30" t="s">
        <v>9844</v>
      </c>
      <c r="C30" t="s">
        <v>9843</v>
      </c>
      <c r="F30" t="s">
        <v>9842</v>
      </c>
      <c r="G30" t="s">
        <v>9</v>
      </c>
      <c r="H30" t="s">
        <v>8</v>
      </c>
      <c r="I30" t="s">
        <v>3683</v>
      </c>
      <c r="J30">
        <v>60013983</v>
      </c>
      <c r="K30" t="s">
        <v>162</v>
      </c>
      <c r="L30" t="s">
        <v>161</v>
      </c>
      <c r="M30" t="s">
        <v>160</v>
      </c>
      <c r="N30">
        <v>2</v>
      </c>
      <c r="O30" t="s">
        <v>9841</v>
      </c>
      <c r="P30" t="s">
        <v>9840</v>
      </c>
      <c r="Q30" t="s">
        <v>159</v>
      </c>
      <c r="R30" s="7">
        <v>36865</v>
      </c>
      <c r="S30" s="8">
        <f t="shared" si="0"/>
        <v>2000</v>
      </c>
      <c r="T30" s="8">
        <v>2000</v>
      </c>
      <c r="U30" s="8">
        <f t="shared" si="1"/>
        <v>22</v>
      </c>
      <c r="V30" s="7">
        <v>36865</v>
      </c>
      <c r="W30" t="s">
        <v>150</v>
      </c>
      <c r="X30" s="2">
        <v>0.30399999999999999</v>
      </c>
      <c r="Y30" s="6">
        <f t="shared" si="2"/>
        <v>8.115106377299057E-3</v>
      </c>
      <c r="AA30">
        <v>8952477</v>
      </c>
      <c r="AB30">
        <v>12250</v>
      </c>
      <c r="AD30" t="s">
        <v>3</v>
      </c>
      <c r="AE30">
        <v>27</v>
      </c>
      <c r="AF30">
        <v>5</v>
      </c>
      <c r="AH30" t="s">
        <v>9839</v>
      </c>
      <c r="AI30" t="s">
        <v>9838</v>
      </c>
      <c r="AK30" t="s">
        <v>9837</v>
      </c>
      <c r="AL30">
        <v>1</v>
      </c>
      <c r="AM30" s="5">
        <f t="shared" si="3"/>
        <v>4.5454545454545456E-2</v>
      </c>
      <c r="AN30" s="4">
        <f t="shared" si="4"/>
        <v>6.8844445974321024E-5</v>
      </c>
      <c r="AO30" s="3"/>
      <c r="AP30">
        <v>0</v>
      </c>
      <c r="AR30" t="s">
        <v>1</v>
      </c>
      <c r="AT30" s="2" t="s">
        <v>0</v>
      </c>
      <c r="AU30" s="1">
        <f t="shared" si="5"/>
        <v>0.57012277979016357</v>
      </c>
      <c r="AV30" s="1">
        <f t="shared" si="6"/>
        <v>0.40919754116366885</v>
      </c>
      <c r="AW30" s="1">
        <f t="shared" si="7"/>
        <v>0.24827230253717419</v>
      </c>
    </row>
    <row r="31" spans="1:49" x14ac:dyDescent="0.2">
      <c r="A31">
        <v>29</v>
      </c>
      <c r="B31" t="s">
        <v>9836</v>
      </c>
      <c r="C31" t="s">
        <v>9835</v>
      </c>
      <c r="F31" t="s">
        <v>9834</v>
      </c>
      <c r="G31" t="s">
        <v>9</v>
      </c>
      <c r="H31" t="s">
        <v>8</v>
      </c>
      <c r="I31" t="s">
        <v>9833</v>
      </c>
      <c r="J31">
        <v>60007592</v>
      </c>
      <c r="K31" t="s">
        <v>111</v>
      </c>
      <c r="L31" t="s">
        <v>110</v>
      </c>
      <c r="M31" t="s">
        <v>109</v>
      </c>
      <c r="N31">
        <v>4</v>
      </c>
      <c r="O31" t="s">
        <v>9832</v>
      </c>
      <c r="P31" t="s">
        <v>9831</v>
      </c>
      <c r="Q31" t="s">
        <v>873</v>
      </c>
      <c r="R31" s="7">
        <v>36865</v>
      </c>
      <c r="S31" s="8">
        <f t="shared" si="0"/>
        <v>2000</v>
      </c>
      <c r="T31" s="8">
        <v>2000</v>
      </c>
      <c r="U31" s="8">
        <f t="shared" si="1"/>
        <v>22</v>
      </c>
      <c r="V31" s="7">
        <v>36865</v>
      </c>
      <c r="W31" t="s">
        <v>150</v>
      </c>
      <c r="X31" s="2">
        <v>0.30399999999999999</v>
      </c>
      <c r="Y31" s="6">
        <f t="shared" si="2"/>
        <v>8.115106377299057E-3</v>
      </c>
      <c r="AA31">
        <v>8952477</v>
      </c>
      <c r="AB31">
        <v>12250</v>
      </c>
      <c r="AD31" t="s">
        <v>3</v>
      </c>
      <c r="AE31">
        <v>27</v>
      </c>
      <c r="AF31">
        <v>5</v>
      </c>
      <c r="AH31" t="s">
        <v>9830</v>
      </c>
      <c r="AI31" t="s">
        <v>9829</v>
      </c>
      <c r="AK31" t="s">
        <v>9828</v>
      </c>
      <c r="AL31">
        <v>3</v>
      </c>
      <c r="AM31" s="5">
        <f t="shared" si="3"/>
        <v>0.13636363636363635</v>
      </c>
      <c r="AN31" s="4">
        <f t="shared" si="4"/>
        <v>2.0653333792296306E-4</v>
      </c>
      <c r="AO31" s="3"/>
      <c r="AP31">
        <v>0</v>
      </c>
      <c r="AR31" t="s">
        <v>1</v>
      </c>
      <c r="AT31" s="2" t="s">
        <v>0</v>
      </c>
      <c r="AU31" s="1">
        <f t="shared" si="5"/>
        <v>0.57425344654862287</v>
      </c>
      <c r="AV31" s="1">
        <f t="shared" si="6"/>
        <v>0.41608198576110095</v>
      </c>
      <c r="AW31" s="1">
        <f t="shared" si="7"/>
        <v>0.25791052497357914</v>
      </c>
    </row>
    <row r="32" spans="1:49" x14ac:dyDescent="0.2">
      <c r="A32">
        <v>30</v>
      </c>
      <c r="B32" t="s">
        <v>9827</v>
      </c>
      <c r="C32" t="s">
        <v>9826</v>
      </c>
      <c r="F32" t="s">
        <v>9825</v>
      </c>
      <c r="G32" t="s">
        <v>9</v>
      </c>
      <c r="H32" t="s">
        <v>8</v>
      </c>
      <c r="I32" t="s">
        <v>957</v>
      </c>
      <c r="J32">
        <v>60084325</v>
      </c>
      <c r="K32" t="s">
        <v>9824</v>
      </c>
      <c r="L32" t="s">
        <v>9823</v>
      </c>
      <c r="M32" t="s">
        <v>29</v>
      </c>
      <c r="N32">
        <v>3</v>
      </c>
      <c r="O32" t="s">
        <v>9822</v>
      </c>
      <c r="P32" t="s">
        <v>9821</v>
      </c>
      <c r="Q32" t="s">
        <v>9820</v>
      </c>
      <c r="R32" s="7">
        <v>36864</v>
      </c>
      <c r="S32" s="8">
        <f t="shared" si="0"/>
        <v>2000</v>
      </c>
      <c r="T32" s="8">
        <v>2000</v>
      </c>
      <c r="U32" s="8">
        <f t="shared" si="1"/>
        <v>22</v>
      </c>
      <c r="V32" s="7">
        <v>36864</v>
      </c>
      <c r="W32" t="s">
        <v>4707</v>
      </c>
      <c r="X32" s="2">
        <v>5.8310000000000004</v>
      </c>
      <c r="Y32" s="6">
        <f t="shared" si="2"/>
        <v>0.15565521475668029</v>
      </c>
      <c r="AA32">
        <v>14337851</v>
      </c>
      <c r="AB32">
        <v>22687</v>
      </c>
      <c r="AD32" t="s">
        <v>3</v>
      </c>
      <c r="AE32">
        <v>39</v>
      </c>
      <c r="AF32">
        <v>23</v>
      </c>
      <c r="AH32" t="s">
        <v>9819</v>
      </c>
      <c r="AI32" t="s">
        <v>9818</v>
      </c>
      <c r="AJ32" t="s">
        <v>9817</v>
      </c>
      <c r="AK32" t="s">
        <v>9816</v>
      </c>
      <c r="AL32">
        <v>245</v>
      </c>
      <c r="AM32" s="5">
        <f t="shared" si="3"/>
        <v>11.136363636363637</v>
      </c>
      <c r="AN32" s="4">
        <f t="shared" si="4"/>
        <v>1.6866889263708652E-2</v>
      </c>
      <c r="AO32" s="3"/>
      <c r="AP32">
        <v>0</v>
      </c>
      <c r="AR32" t="s">
        <v>1</v>
      </c>
      <c r="AT32" s="2" t="s">
        <v>0</v>
      </c>
      <c r="AU32" s="1">
        <f t="shared" si="5"/>
        <v>11.401871710878879</v>
      </c>
      <c r="AV32" s="1">
        <f t="shared" si="6"/>
        <v>8.6261052010194472</v>
      </c>
      <c r="AW32" s="1">
        <f t="shared" si="7"/>
        <v>5.8503386911600144</v>
      </c>
    </row>
    <row r="33" spans="1:49" x14ac:dyDescent="0.2">
      <c r="A33">
        <v>31</v>
      </c>
      <c r="B33" t="s">
        <v>9815</v>
      </c>
      <c r="F33" t="s">
        <v>9814</v>
      </c>
      <c r="G33" t="s">
        <v>9</v>
      </c>
      <c r="H33" t="s">
        <v>8</v>
      </c>
      <c r="I33" t="s">
        <v>9813</v>
      </c>
      <c r="J33">
        <v>60015815</v>
      </c>
      <c r="K33" t="s">
        <v>40</v>
      </c>
      <c r="L33" t="s">
        <v>39</v>
      </c>
      <c r="M33" t="s">
        <v>13</v>
      </c>
      <c r="N33">
        <v>4</v>
      </c>
      <c r="O33" t="s">
        <v>9812</v>
      </c>
      <c r="P33" t="s">
        <v>9811</v>
      </c>
      <c r="Q33" t="s">
        <v>9810</v>
      </c>
      <c r="R33" s="7">
        <v>36863</v>
      </c>
      <c r="S33" s="8">
        <f t="shared" si="0"/>
        <v>2000</v>
      </c>
      <c r="T33" s="8">
        <v>2000</v>
      </c>
      <c r="U33" s="8">
        <f t="shared" si="1"/>
        <v>22</v>
      </c>
      <c r="V33" s="7">
        <v>2000</v>
      </c>
      <c r="W33" t="s">
        <v>8236</v>
      </c>
      <c r="X33" s="2">
        <v>0.54700000000000004</v>
      </c>
      <c r="Y33" s="6">
        <f t="shared" si="2"/>
        <v>1.4601852593363766E-2</v>
      </c>
      <c r="AA33">
        <v>11096</v>
      </c>
      <c r="AB33">
        <v>31211</v>
      </c>
      <c r="AD33" t="s">
        <v>3</v>
      </c>
      <c r="AE33">
        <v>54</v>
      </c>
      <c r="AF33">
        <v>3</v>
      </c>
      <c r="AH33" t="s">
        <v>9495</v>
      </c>
      <c r="AI33" t="s">
        <v>9809</v>
      </c>
      <c r="AK33" t="s">
        <v>9808</v>
      </c>
      <c r="AL33">
        <v>0</v>
      </c>
      <c r="AM33" s="5">
        <f t="shared" si="3"/>
        <v>0</v>
      </c>
      <c r="AN33" s="4">
        <f t="shared" si="4"/>
        <v>0</v>
      </c>
      <c r="AO33" s="3"/>
      <c r="AP33">
        <v>0</v>
      </c>
      <c r="AR33" t="s">
        <v>1</v>
      </c>
      <c r="AT33" s="2" t="s">
        <v>0</v>
      </c>
      <c r="AU33" s="1">
        <f t="shared" si="5"/>
        <v>1.0221296815354637</v>
      </c>
      <c r="AV33" s="1">
        <f t="shared" si="6"/>
        <v>0.73009262966818833</v>
      </c>
      <c r="AW33" s="1">
        <f t="shared" si="7"/>
        <v>0.43805557780091298</v>
      </c>
    </row>
    <row r="34" spans="1:49" x14ac:dyDescent="0.2">
      <c r="A34">
        <v>32</v>
      </c>
      <c r="B34" t="s">
        <v>9807</v>
      </c>
      <c r="C34" t="s">
        <v>9806</v>
      </c>
      <c r="F34" t="s">
        <v>9805</v>
      </c>
      <c r="G34" t="s">
        <v>9</v>
      </c>
      <c r="H34" t="s">
        <v>8</v>
      </c>
      <c r="I34" t="s">
        <v>9804</v>
      </c>
      <c r="J34" t="s">
        <v>9803</v>
      </c>
      <c r="K34" t="s">
        <v>9802</v>
      </c>
      <c r="L34" t="s">
        <v>9801</v>
      </c>
      <c r="M34" t="s">
        <v>200</v>
      </c>
      <c r="N34">
        <v>3</v>
      </c>
      <c r="O34" t="s">
        <v>9800</v>
      </c>
      <c r="P34" t="s">
        <v>9799</v>
      </c>
      <c r="Q34" t="s">
        <v>9798</v>
      </c>
      <c r="R34" s="7">
        <v>36863</v>
      </c>
      <c r="S34" s="8">
        <f t="shared" si="0"/>
        <v>2000</v>
      </c>
      <c r="T34" s="8">
        <v>2000</v>
      </c>
      <c r="U34" s="8">
        <f t="shared" si="1"/>
        <v>22</v>
      </c>
      <c r="V34" s="7">
        <v>2000</v>
      </c>
      <c r="W34" s="11" t="s">
        <v>253</v>
      </c>
      <c r="X34" s="2">
        <v>2.383</v>
      </c>
      <c r="Y34" s="6">
        <f t="shared" si="2"/>
        <v>6.3612824003630442E-2</v>
      </c>
      <c r="AA34">
        <v>13502417</v>
      </c>
      <c r="AB34">
        <v>17416</v>
      </c>
      <c r="AD34" t="s">
        <v>3</v>
      </c>
      <c r="AE34">
        <v>147</v>
      </c>
      <c r="AF34">
        <v>2</v>
      </c>
      <c r="AH34" t="s">
        <v>9797</v>
      </c>
      <c r="AI34" t="s">
        <v>9796</v>
      </c>
      <c r="AK34" t="s">
        <v>9795</v>
      </c>
      <c r="AL34">
        <v>3</v>
      </c>
      <c r="AM34" s="5">
        <f t="shared" si="3"/>
        <v>0.13636363636363635</v>
      </c>
      <c r="AN34" s="4">
        <f t="shared" si="4"/>
        <v>2.0653333792296306E-4</v>
      </c>
      <c r="AO34" s="3"/>
      <c r="AP34">
        <v>0</v>
      </c>
      <c r="AR34" t="s">
        <v>1</v>
      </c>
      <c r="AT34" s="2" t="s">
        <v>0</v>
      </c>
      <c r="AU34" s="1">
        <f t="shared" si="5"/>
        <v>4.4590936803918204</v>
      </c>
      <c r="AV34" s="1">
        <f t="shared" si="6"/>
        <v>3.1909678670776702</v>
      </c>
      <c r="AW34" s="1">
        <f t="shared" si="7"/>
        <v>1.9228420537635207</v>
      </c>
    </row>
    <row r="35" spans="1:49" x14ac:dyDescent="0.2">
      <c r="A35">
        <v>33</v>
      </c>
      <c r="B35" t="s">
        <v>9794</v>
      </c>
      <c r="C35" t="s">
        <v>9793</v>
      </c>
      <c r="F35" t="s">
        <v>9792</v>
      </c>
      <c r="G35" t="s">
        <v>9</v>
      </c>
      <c r="H35" t="s">
        <v>8</v>
      </c>
      <c r="I35" t="s">
        <v>220</v>
      </c>
      <c r="J35">
        <v>60017161</v>
      </c>
      <c r="K35" t="s">
        <v>75</v>
      </c>
      <c r="L35" t="s">
        <v>74</v>
      </c>
      <c r="M35" t="s">
        <v>73</v>
      </c>
      <c r="N35">
        <v>5</v>
      </c>
      <c r="O35" t="s">
        <v>9791</v>
      </c>
      <c r="P35" t="s">
        <v>9790</v>
      </c>
      <c r="Q35" t="s">
        <v>586</v>
      </c>
      <c r="R35" s="7">
        <v>36863</v>
      </c>
      <c r="S35" s="8">
        <f t="shared" si="0"/>
        <v>2000</v>
      </c>
      <c r="T35" s="8">
        <v>2000</v>
      </c>
      <c r="U35" s="8">
        <f t="shared" si="1"/>
        <v>22</v>
      </c>
      <c r="V35" s="7">
        <v>2000</v>
      </c>
      <c r="W35" s="11" t="s">
        <v>253</v>
      </c>
      <c r="X35" s="2">
        <v>2.383</v>
      </c>
      <c r="Y35" s="6">
        <f t="shared" si="2"/>
        <v>6.3612824003630442E-2</v>
      </c>
      <c r="AA35">
        <v>13502417</v>
      </c>
      <c r="AB35">
        <v>17416</v>
      </c>
      <c r="AD35" t="s">
        <v>3</v>
      </c>
      <c r="AE35">
        <v>147</v>
      </c>
      <c r="AF35">
        <v>2</v>
      </c>
      <c r="AH35" t="s">
        <v>9789</v>
      </c>
      <c r="AI35" t="s">
        <v>9788</v>
      </c>
      <c r="AK35" t="s">
        <v>9787</v>
      </c>
      <c r="AL35">
        <v>10</v>
      </c>
      <c r="AM35" s="5">
        <f t="shared" si="3"/>
        <v>0.45454545454545453</v>
      </c>
      <c r="AN35" s="4">
        <f t="shared" si="4"/>
        <v>6.8844445974321016E-4</v>
      </c>
      <c r="AO35" s="3"/>
      <c r="AP35">
        <v>0</v>
      </c>
      <c r="AR35" t="s">
        <v>1</v>
      </c>
      <c r="AT35" s="2" t="s">
        <v>0</v>
      </c>
      <c r="AU35" s="1">
        <f t="shared" si="5"/>
        <v>4.4735510140464267</v>
      </c>
      <c r="AV35" s="1">
        <f t="shared" si="6"/>
        <v>3.2150634231686825</v>
      </c>
      <c r="AW35" s="1">
        <f t="shared" si="7"/>
        <v>1.9565758322909379</v>
      </c>
    </row>
    <row r="36" spans="1:49" x14ac:dyDescent="0.2">
      <c r="A36">
        <v>34</v>
      </c>
      <c r="B36" t="s">
        <v>9786</v>
      </c>
      <c r="C36" t="s">
        <v>9785</v>
      </c>
      <c r="F36" t="s">
        <v>9784</v>
      </c>
      <c r="G36" t="s">
        <v>9</v>
      </c>
      <c r="H36" t="s">
        <v>8</v>
      </c>
      <c r="I36" t="s">
        <v>250</v>
      </c>
      <c r="J36" t="s">
        <v>247</v>
      </c>
      <c r="K36" t="s">
        <v>249</v>
      </c>
      <c r="L36" t="s">
        <v>248</v>
      </c>
      <c r="M36" t="s">
        <v>181</v>
      </c>
      <c r="N36">
        <v>3</v>
      </c>
      <c r="O36" t="s">
        <v>9783</v>
      </c>
      <c r="P36" t="s">
        <v>9782</v>
      </c>
      <c r="Q36" t="s">
        <v>9781</v>
      </c>
      <c r="R36" s="7">
        <v>36863</v>
      </c>
      <c r="S36" s="8">
        <f t="shared" si="0"/>
        <v>2000</v>
      </c>
      <c r="T36" s="8">
        <v>2000</v>
      </c>
      <c r="U36" s="8">
        <f t="shared" si="1"/>
        <v>22</v>
      </c>
      <c r="V36" s="7">
        <v>2000</v>
      </c>
      <c r="W36" s="11" t="s">
        <v>253</v>
      </c>
      <c r="X36" s="2">
        <v>2.383</v>
      </c>
      <c r="Y36" s="6">
        <f t="shared" si="2"/>
        <v>6.3612824003630442E-2</v>
      </c>
      <c r="AA36">
        <v>13502417</v>
      </c>
      <c r="AB36">
        <v>17416</v>
      </c>
      <c r="AD36" t="s">
        <v>3</v>
      </c>
      <c r="AE36">
        <v>147</v>
      </c>
      <c r="AF36">
        <v>2</v>
      </c>
      <c r="AH36" t="s">
        <v>9780</v>
      </c>
      <c r="AI36" t="s">
        <v>9779</v>
      </c>
      <c r="AK36" t="s">
        <v>9778</v>
      </c>
      <c r="AL36">
        <v>3</v>
      </c>
      <c r="AM36" s="5">
        <f t="shared" si="3"/>
        <v>0.13636363636363635</v>
      </c>
      <c r="AN36" s="4">
        <f t="shared" si="4"/>
        <v>2.0653333792296306E-4</v>
      </c>
      <c r="AO36" s="3"/>
      <c r="AP36">
        <v>0</v>
      </c>
      <c r="AR36" t="s">
        <v>1</v>
      </c>
      <c r="AT36" s="2" t="s">
        <v>0</v>
      </c>
      <c r="AU36" s="1">
        <f t="shared" si="5"/>
        <v>4.4590936803918204</v>
      </c>
      <c r="AV36" s="1">
        <f t="shared" si="6"/>
        <v>3.1909678670776702</v>
      </c>
      <c r="AW36" s="1">
        <f t="shared" si="7"/>
        <v>1.9228420537635207</v>
      </c>
    </row>
    <row r="37" spans="1:49" x14ac:dyDescent="0.2">
      <c r="A37">
        <v>35</v>
      </c>
      <c r="B37" t="s">
        <v>9777</v>
      </c>
      <c r="C37" t="s">
        <v>9776</v>
      </c>
      <c r="F37" t="s">
        <v>9775</v>
      </c>
      <c r="G37" t="s">
        <v>9</v>
      </c>
      <c r="H37" t="s">
        <v>8</v>
      </c>
      <c r="I37" t="s">
        <v>9774</v>
      </c>
      <c r="J37" t="s">
        <v>9773</v>
      </c>
      <c r="K37" t="s">
        <v>9772</v>
      </c>
      <c r="L37" t="s">
        <v>9771</v>
      </c>
      <c r="M37" t="s">
        <v>288</v>
      </c>
      <c r="N37">
        <v>3</v>
      </c>
      <c r="O37" t="s">
        <v>9770</v>
      </c>
      <c r="P37" t="s">
        <v>9769</v>
      </c>
      <c r="Q37" t="s">
        <v>9768</v>
      </c>
      <c r="R37" s="7">
        <v>36863</v>
      </c>
      <c r="S37" s="8">
        <f t="shared" si="0"/>
        <v>2000</v>
      </c>
      <c r="T37" s="8">
        <v>2000</v>
      </c>
      <c r="U37" s="8">
        <f t="shared" si="1"/>
        <v>22</v>
      </c>
      <c r="V37" s="7">
        <v>2000</v>
      </c>
      <c r="W37" s="11" t="s">
        <v>253</v>
      </c>
      <c r="X37" s="2">
        <v>2.383</v>
      </c>
      <c r="Y37" s="6">
        <f t="shared" si="2"/>
        <v>6.3612824003630442E-2</v>
      </c>
      <c r="AA37">
        <v>13502417</v>
      </c>
      <c r="AB37">
        <v>17416</v>
      </c>
      <c r="AD37" t="s">
        <v>3</v>
      </c>
      <c r="AE37">
        <v>147</v>
      </c>
      <c r="AF37">
        <v>2</v>
      </c>
      <c r="AH37" t="s">
        <v>4208</v>
      </c>
      <c r="AI37" t="s">
        <v>9767</v>
      </c>
      <c r="AK37" t="s">
        <v>9766</v>
      </c>
      <c r="AL37">
        <v>13</v>
      </c>
      <c r="AM37" s="5">
        <f t="shared" si="3"/>
        <v>0.59090909090909094</v>
      </c>
      <c r="AN37" s="4">
        <f t="shared" si="4"/>
        <v>8.9497779766617338E-4</v>
      </c>
      <c r="AO37" s="3"/>
      <c r="AP37">
        <v>0</v>
      </c>
      <c r="AR37" t="s">
        <v>1</v>
      </c>
      <c r="AT37" s="2" t="s">
        <v>0</v>
      </c>
      <c r="AU37" s="1">
        <f t="shared" si="5"/>
        <v>4.4797470141841167</v>
      </c>
      <c r="AV37" s="1">
        <f t="shared" si="6"/>
        <v>3.2253900900648307</v>
      </c>
      <c r="AW37" s="1">
        <f t="shared" si="7"/>
        <v>1.9710331659455453</v>
      </c>
    </row>
    <row r="38" spans="1:49" x14ac:dyDescent="0.2">
      <c r="A38">
        <v>36</v>
      </c>
      <c r="B38" t="s">
        <v>9765</v>
      </c>
      <c r="C38" t="s">
        <v>9764</v>
      </c>
      <c r="F38" t="s">
        <v>9763</v>
      </c>
      <c r="G38" t="s">
        <v>9</v>
      </c>
      <c r="H38" t="s">
        <v>8</v>
      </c>
      <c r="I38" t="s">
        <v>9762</v>
      </c>
      <c r="J38" t="s">
        <v>9761</v>
      </c>
      <c r="K38" t="s">
        <v>9760</v>
      </c>
      <c r="L38" t="s">
        <v>9759</v>
      </c>
      <c r="M38" t="s">
        <v>513</v>
      </c>
      <c r="N38">
        <v>5</v>
      </c>
      <c r="O38" t="s">
        <v>9758</v>
      </c>
      <c r="P38" t="s">
        <v>9757</v>
      </c>
      <c r="Q38" t="s">
        <v>9756</v>
      </c>
      <c r="R38" s="7">
        <v>36863</v>
      </c>
      <c r="S38" s="8">
        <f t="shared" si="0"/>
        <v>2000</v>
      </c>
      <c r="T38" s="8">
        <v>2000</v>
      </c>
      <c r="U38" s="8">
        <f t="shared" si="1"/>
        <v>22</v>
      </c>
      <c r="V38" s="7">
        <v>2000</v>
      </c>
      <c r="W38" t="s">
        <v>352</v>
      </c>
      <c r="X38" s="2">
        <v>1.137</v>
      </c>
      <c r="Y38" s="6">
        <f t="shared" si="2"/>
        <v>3.0351565628253384E-2</v>
      </c>
      <c r="AA38">
        <v>189251</v>
      </c>
      <c r="AB38">
        <v>17336</v>
      </c>
      <c r="AD38" t="s">
        <v>3</v>
      </c>
      <c r="AE38">
        <v>36</v>
      </c>
      <c r="AF38">
        <v>2</v>
      </c>
      <c r="AH38" t="s">
        <v>9755</v>
      </c>
      <c r="AI38" t="s">
        <v>9754</v>
      </c>
      <c r="AK38" t="s">
        <v>9753</v>
      </c>
      <c r="AL38">
        <v>69</v>
      </c>
      <c r="AM38" s="5">
        <f t="shared" si="3"/>
        <v>3.1363636363636362</v>
      </c>
      <c r="AN38" s="4">
        <f t="shared" si="4"/>
        <v>4.7502667722281507E-3</v>
      </c>
      <c r="AO38" s="3"/>
      <c r="AP38">
        <v>0</v>
      </c>
      <c r="AR38" t="s">
        <v>1</v>
      </c>
      <c r="AT38" s="2" t="s">
        <v>0</v>
      </c>
      <c r="AU38" s="1">
        <f t="shared" si="5"/>
        <v>2.2671175971445812</v>
      </c>
      <c r="AV38" s="1">
        <f t="shared" si="6"/>
        <v>1.7550916200240767</v>
      </c>
      <c r="AW38" s="1">
        <f t="shared" si="7"/>
        <v>1.2430656429035722</v>
      </c>
    </row>
    <row r="39" spans="1:49" x14ac:dyDescent="0.2">
      <c r="A39">
        <v>37</v>
      </c>
      <c r="B39" t="s">
        <v>9752</v>
      </c>
      <c r="C39" t="s">
        <v>9751</v>
      </c>
      <c r="F39" t="s">
        <v>9750</v>
      </c>
      <c r="G39" t="s">
        <v>9</v>
      </c>
      <c r="H39" t="s">
        <v>8</v>
      </c>
      <c r="I39" t="s">
        <v>9749</v>
      </c>
      <c r="J39">
        <v>60003217</v>
      </c>
      <c r="K39" t="s">
        <v>517</v>
      </c>
      <c r="L39" t="s">
        <v>516</v>
      </c>
      <c r="M39" t="s">
        <v>66</v>
      </c>
      <c r="N39">
        <v>2</v>
      </c>
      <c r="O39" t="s">
        <v>9748</v>
      </c>
      <c r="P39" t="s">
        <v>9747</v>
      </c>
      <c r="Q39" t="s">
        <v>9746</v>
      </c>
      <c r="R39" s="7">
        <v>36863</v>
      </c>
      <c r="S39" s="8">
        <f t="shared" si="0"/>
        <v>2000</v>
      </c>
      <c r="T39" s="8">
        <v>2000</v>
      </c>
      <c r="U39" s="8">
        <f t="shared" si="1"/>
        <v>22</v>
      </c>
      <c r="V39" s="7">
        <v>2000</v>
      </c>
      <c r="W39" s="11" t="s">
        <v>253</v>
      </c>
      <c r="X39" s="2">
        <v>2.383</v>
      </c>
      <c r="Y39" s="6">
        <f t="shared" si="2"/>
        <v>6.3612824003630442E-2</v>
      </c>
      <c r="AA39">
        <v>13502417</v>
      </c>
      <c r="AB39">
        <v>17416</v>
      </c>
      <c r="AD39" t="s">
        <v>3</v>
      </c>
      <c r="AE39">
        <v>147</v>
      </c>
      <c r="AF39">
        <v>2</v>
      </c>
      <c r="AH39" t="s">
        <v>9745</v>
      </c>
      <c r="AI39" t="s">
        <v>9744</v>
      </c>
      <c r="AK39" t="s">
        <v>9743</v>
      </c>
      <c r="AL39">
        <v>25</v>
      </c>
      <c r="AM39" s="5">
        <f t="shared" si="3"/>
        <v>1.1363636363636365</v>
      </c>
      <c r="AN39" s="4">
        <f t="shared" si="4"/>
        <v>1.7211111493580257E-3</v>
      </c>
      <c r="AO39" s="3"/>
      <c r="AP39">
        <v>0</v>
      </c>
      <c r="AR39" t="s">
        <v>1</v>
      </c>
      <c r="AT39" s="2" t="s">
        <v>0</v>
      </c>
      <c r="AU39" s="1">
        <f t="shared" si="5"/>
        <v>4.5045310147348712</v>
      </c>
      <c r="AV39" s="1">
        <f t="shared" si="6"/>
        <v>3.2666967576494232</v>
      </c>
      <c r="AW39" s="1">
        <f t="shared" si="7"/>
        <v>2.0288625005639749</v>
      </c>
    </row>
    <row r="40" spans="1:49" x14ac:dyDescent="0.2">
      <c r="A40">
        <v>38</v>
      </c>
      <c r="B40" t="s">
        <v>9742</v>
      </c>
      <c r="C40" t="s">
        <v>9741</v>
      </c>
      <c r="F40" t="s">
        <v>9740</v>
      </c>
      <c r="G40" t="s">
        <v>9</v>
      </c>
      <c r="H40" t="s">
        <v>8</v>
      </c>
      <c r="I40" t="s">
        <v>217</v>
      </c>
      <c r="J40">
        <v>60011357</v>
      </c>
      <c r="K40" t="s">
        <v>216</v>
      </c>
      <c r="L40" t="s">
        <v>215</v>
      </c>
      <c r="M40" t="s">
        <v>214</v>
      </c>
      <c r="N40">
        <v>2</v>
      </c>
      <c r="O40" t="s">
        <v>213</v>
      </c>
      <c r="P40" t="s">
        <v>212</v>
      </c>
      <c r="Q40" t="s">
        <v>211</v>
      </c>
      <c r="R40" s="7">
        <v>36863</v>
      </c>
      <c r="S40" s="8">
        <f t="shared" si="0"/>
        <v>2000</v>
      </c>
      <c r="T40" s="8">
        <v>2000</v>
      </c>
      <c r="U40" s="8">
        <f t="shared" si="1"/>
        <v>22</v>
      </c>
      <c r="V40" s="7">
        <v>2000</v>
      </c>
      <c r="W40" t="s">
        <v>150</v>
      </c>
      <c r="X40" s="2">
        <v>0.30399999999999999</v>
      </c>
      <c r="Y40" s="6">
        <f t="shared" si="2"/>
        <v>8.115106377299057E-3</v>
      </c>
      <c r="AA40">
        <v>8952477</v>
      </c>
      <c r="AB40">
        <v>12250</v>
      </c>
      <c r="AD40" t="s">
        <v>3</v>
      </c>
      <c r="AE40">
        <v>25</v>
      </c>
      <c r="AF40">
        <v>5</v>
      </c>
      <c r="AH40" t="s">
        <v>9739</v>
      </c>
      <c r="AI40" t="s">
        <v>9738</v>
      </c>
      <c r="AK40" t="s">
        <v>9737</v>
      </c>
      <c r="AL40">
        <v>11</v>
      </c>
      <c r="AM40" s="5">
        <f t="shared" si="3"/>
        <v>0.5</v>
      </c>
      <c r="AN40" s="4">
        <f t="shared" si="4"/>
        <v>7.572889057175312E-4</v>
      </c>
      <c r="AO40" s="3"/>
      <c r="AP40">
        <v>0</v>
      </c>
      <c r="AR40" t="s">
        <v>1</v>
      </c>
      <c r="AT40" s="2" t="s">
        <v>0</v>
      </c>
      <c r="AU40" s="1">
        <f t="shared" si="5"/>
        <v>0.59077611358245985</v>
      </c>
      <c r="AV40" s="1">
        <f t="shared" si="6"/>
        <v>0.44361976415082938</v>
      </c>
      <c r="AW40" s="1">
        <f t="shared" si="7"/>
        <v>0.2964634147191989</v>
      </c>
    </row>
    <row r="41" spans="1:49" x14ac:dyDescent="0.2">
      <c r="A41">
        <v>39</v>
      </c>
      <c r="B41" t="s">
        <v>9736</v>
      </c>
      <c r="C41" t="s">
        <v>9735</v>
      </c>
      <c r="F41" t="s">
        <v>9734</v>
      </c>
      <c r="G41" t="s">
        <v>9</v>
      </c>
      <c r="H41" t="s">
        <v>8</v>
      </c>
      <c r="I41" t="s">
        <v>4360</v>
      </c>
      <c r="J41">
        <v>60012820</v>
      </c>
      <c r="K41" t="s">
        <v>9733</v>
      </c>
      <c r="L41" t="s">
        <v>479</v>
      </c>
      <c r="M41" t="s">
        <v>191</v>
      </c>
      <c r="N41">
        <v>10</v>
      </c>
      <c r="O41" t="s">
        <v>9732</v>
      </c>
      <c r="P41" t="s">
        <v>9731</v>
      </c>
      <c r="Q41" t="s">
        <v>9730</v>
      </c>
      <c r="R41" s="7">
        <v>36863</v>
      </c>
      <c r="S41" s="8">
        <f t="shared" si="0"/>
        <v>2000</v>
      </c>
      <c r="T41" s="8">
        <v>2000</v>
      </c>
      <c r="U41" s="8">
        <f t="shared" si="1"/>
        <v>22</v>
      </c>
      <c r="V41" s="7">
        <v>2000</v>
      </c>
      <c r="W41" t="s">
        <v>3803</v>
      </c>
      <c r="X41" s="2">
        <v>0.46</v>
      </c>
      <c r="Y41" s="6">
        <f t="shared" si="2"/>
        <v>1.2279437281439364E-2</v>
      </c>
      <c r="AA41">
        <v>933813</v>
      </c>
      <c r="AB41">
        <v>28031</v>
      </c>
      <c r="AD41" t="s">
        <v>3</v>
      </c>
      <c r="AE41">
        <v>28</v>
      </c>
      <c r="AF41">
        <v>1</v>
      </c>
      <c r="AH41" t="s">
        <v>9729</v>
      </c>
      <c r="AI41" t="s">
        <v>9728</v>
      </c>
      <c r="AK41" t="s">
        <v>9727</v>
      </c>
      <c r="AL41">
        <v>2</v>
      </c>
      <c r="AM41" s="5">
        <f t="shared" si="3"/>
        <v>9.0909090909090912E-2</v>
      </c>
      <c r="AN41" s="4">
        <f t="shared" si="4"/>
        <v>1.3768889194864205E-4</v>
      </c>
      <c r="AO41" s="3"/>
      <c r="AP41">
        <v>0</v>
      </c>
      <c r="AQ41" t="s">
        <v>467</v>
      </c>
      <c r="AR41" t="s">
        <v>1</v>
      </c>
      <c r="AS41" t="s">
        <v>466</v>
      </c>
      <c r="AT41" s="2">
        <v>1.222</v>
      </c>
      <c r="AU41" s="1">
        <f t="shared" si="5"/>
        <v>0.86369127645921462</v>
      </c>
      <c r="AV41" s="1">
        <f t="shared" si="6"/>
        <v>0.62085630866940034</v>
      </c>
      <c r="AW41" s="1">
        <f t="shared" si="7"/>
        <v>0.37802134087958583</v>
      </c>
    </row>
    <row r="42" spans="1:49" x14ac:dyDescent="0.2">
      <c r="A42">
        <v>40</v>
      </c>
      <c r="B42" t="s">
        <v>9726</v>
      </c>
      <c r="C42" t="s">
        <v>9725</v>
      </c>
      <c r="F42" t="s">
        <v>9724</v>
      </c>
      <c r="G42" t="s">
        <v>9</v>
      </c>
      <c r="H42" t="s">
        <v>8</v>
      </c>
      <c r="I42" t="s">
        <v>9723</v>
      </c>
      <c r="J42" t="s">
        <v>9722</v>
      </c>
      <c r="K42" t="s">
        <v>9721</v>
      </c>
      <c r="L42" t="s">
        <v>9720</v>
      </c>
      <c r="M42" t="s">
        <v>638</v>
      </c>
      <c r="N42">
        <v>6</v>
      </c>
      <c r="O42" t="s">
        <v>9719</v>
      </c>
      <c r="P42" t="s">
        <v>9718</v>
      </c>
      <c r="Q42" t="s">
        <v>9717</v>
      </c>
      <c r="R42" s="7">
        <v>36863</v>
      </c>
      <c r="S42" s="8">
        <f t="shared" si="0"/>
        <v>2000</v>
      </c>
      <c r="T42" s="8">
        <v>2000</v>
      </c>
      <c r="U42" s="8">
        <f t="shared" si="1"/>
        <v>22</v>
      </c>
      <c r="V42" s="7">
        <v>2000</v>
      </c>
      <c r="W42" t="s">
        <v>352</v>
      </c>
      <c r="X42" s="2">
        <v>1.137</v>
      </c>
      <c r="Y42" s="6">
        <f t="shared" si="2"/>
        <v>3.0351565628253384E-2</v>
      </c>
      <c r="AA42">
        <v>189251</v>
      </c>
      <c r="AB42">
        <v>17336</v>
      </c>
      <c r="AD42" t="s">
        <v>3</v>
      </c>
      <c r="AE42">
        <v>36</v>
      </c>
      <c r="AF42">
        <v>2</v>
      </c>
      <c r="AH42" t="s">
        <v>9716</v>
      </c>
      <c r="AI42" t="s">
        <v>9715</v>
      </c>
      <c r="AK42" t="s">
        <v>9714</v>
      </c>
      <c r="AL42">
        <v>227</v>
      </c>
      <c r="AM42" s="5">
        <f t="shared" si="3"/>
        <v>10.318181818181818</v>
      </c>
      <c r="AN42" s="4">
        <f t="shared" si="4"/>
        <v>1.5627689236170871E-2</v>
      </c>
      <c r="AO42" s="3"/>
      <c r="AP42">
        <v>0</v>
      </c>
      <c r="AQ42" t="s">
        <v>306</v>
      </c>
      <c r="AR42" s="12">
        <v>230400000000</v>
      </c>
      <c r="AS42" t="s">
        <v>305</v>
      </c>
      <c r="AT42" s="2" t="s">
        <v>0</v>
      </c>
      <c r="AU42" s="1">
        <f t="shared" si="5"/>
        <v>2.5934402710628626</v>
      </c>
      <c r="AV42" s="1">
        <f t="shared" si="6"/>
        <v>2.2989627432212125</v>
      </c>
      <c r="AW42" s="1">
        <f t="shared" si="7"/>
        <v>2.0044852153795625</v>
      </c>
    </row>
    <row r="43" spans="1:49" x14ac:dyDescent="0.2">
      <c r="A43">
        <v>41</v>
      </c>
      <c r="B43" t="s">
        <v>9713</v>
      </c>
      <c r="C43" t="s">
        <v>9712</v>
      </c>
      <c r="F43" t="s">
        <v>9711</v>
      </c>
      <c r="G43" t="s">
        <v>9</v>
      </c>
      <c r="H43" t="s">
        <v>8</v>
      </c>
      <c r="I43" t="s">
        <v>9710</v>
      </c>
      <c r="J43" t="s">
        <v>9709</v>
      </c>
      <c r="K43" t="s">
        <v>9708</v>
      </c>
      <c r="L43" t="s">
        <v>9707</v>
      </c>
      <c r="M43" t="s">
        <v>19</v>
      </c>
      <c r="N43">
        <v>2</v>
      </c>
      <c r="O43" t="s">
        <v>9706</v>
      </c>
      <c r="P43" t="s">
        <v>9705</v>
      </c>
      <c r="Q43" t="s">
        <v>9704</v>
      </c>
      <c r="R43" s="7">
        <v>36863</v>
      </c>
      <c r="S43" s="8">
        <f t="shared" si="0"/>
        <v>2000</v>
      </c>
      <c r="T43" s="8">
        <v>2000</v>
      </c>
      <c r="U43" s="8">
        <f t="shared" si="1"/>
        <v>22</v>
      </c>
      <c r="V43" s="7">
        <v>2000</v>
      </c>
      <c r="W43" t="s">
        <v>352</v>
      </c>
      <c r="X43" s="2">
        <v>1.137</v>
      </c>
      <c r="Y43" s="6">
        <f t="shared" si="2"/>
        <v>3.0351565628253384E-2</v>
      </c>
      <c r="AA43">
        <v>189251</v>
      </c>
      <c r="AB43">
        <v>17336</v>
      </c>
      <c r="AD43" t="s">
        <v>3</v>
      </c>
      <c r="AE43">
        <v>36</v>
      </c>
      <c r="AF43">
        <v>2</v>
      </c>
      <c r="AH43" t="s">
        <v>9703</v>
      </c>
      <c r="AI43" t="s">
        <v>9702</v>
      </c>
      <c r="AK43" t="s">
        <v>9701</v>
      </c>
      <c r="AL43">
        <v>306</v>
      </c>
      <c r="AM43" s="5">
        <f t="shared" si="3"/>
        <v>13.909090909090908</v>
      </c>
      <c r="AN43" s="4">
        <f t="shared" si="4"/>
        <v>2.1066400468142232E-2</v>
      </c>
      <c r="AO43" s="3"/>
      <c r="AP43">
        <v>0</v>
      </c>
      <c r="AR43" t="s">
        <v>1</v>
      </c>
      <c r="AT43" s="2" t="s">
        <v>0</v>
      </c>
      <c r="AU43" s="1">
        <f t="shared" si="5"/>
        <v>2.7566016080220037</v>
      </c>
      <c r="AV43" s="1">
        <f t="shared" si="6"/>
        <v>2.5708983048197807</v>
      </c>
      <c r="AW43" s="1">
        <f t="shared" si="7"/>
        <v>2.385195001617558</v>
      </c>
    </row>
    <row r="44" spans="1:49" x14ac:dyDescent="0.2">
      <c r="A44">
        <v>42</v>
      </c>
      <c r="B44" t="s">
        <v>9700</v>
      </c>
      <c r="C44" t="s">
        <v>9699</v>
      </c>
      <c r="F44" t="s">
        <v>9698</v>
      </c>
      <c r="G44" t="s">
        <v>9</v>
      </c>
      <c r="H44" t="s">
        <v>8</v>
      </c>
      <c r="I44" t="s">
        <v>9697</v>
      </c>
      <c r="J44" t="s">
        <v>9696</v>
      </c>
      <c r="K44" t="s">
        <v>9695</v>
      </c>
      <c r="L44" t="s">
        <v>9694</v>
      </c>
      <c r="M44" t="s">
        <v>660</v>
      </c>
      <c r="N44">
        <v>6</v>
      </c>
      <c r="O44" t="s">
        <v>9693</v>
      </c>
      <c r="P44" t="s">
        <v>9692</v>
      </c>
      <c r="Q44" t="s">
        <v>9691</v>
      </c>
      <c r="R44" s="7">
        <v>36863</v>
      </c>
      <c r="S44" s="8">
        <f t="shared" si="0"/>
        <v>2000</v>
      </c>
      <c r="T44" s="8">
        <v>2000</v>
      </c>
      <c r="U44" s="8">
        <f t="shared" si="1"/>
        <v>22</v>
      </c>
      <c r="V44" s="7">
        <v>2000</v>
      </c>
      <c r="W44" s="11" t="s">
        <v>253</v>
      </c>
      <c r="X44" s="2">
        <v>2.383</v>
      </c>
      <c r="Y44" s="6">
        <f t="shared" si="2"/>
        <v>6.3612824003630442E-2</v>
      </c>
      <c r="AA44">
        <v>13502417</v>
      </c>
      <c r="AB44">
        <v>17416</v>
      </c>
      <c r="AD44" t="s">
        <v>3</v>
      </c>
      <c r="AE44">
        <v>147</v>
      </c>
      <c r="AF44">
        <v>2</v>
      </c>
      <c r="AH44" t="s">
        <v>9690</v>
      </c>
      <c r="AI44" t="s">
        <v>9689</v>
      </c>
      <c r="AK44" t="s">
        <v>9688</v>
      </c>
      <c r="AL44">
        <v>31</v>
      </c>
      <c r="AM44" s="5">
        <f t="shared" si="3"/>
        <v>1.4090909090909092</v>
      </c>
      <c r="AN44" s="4">
        <f t="shared" si="4"/>
        <v>2.1341778252039517E-3</v>
      </c>
      <c r="AO44" s="3"/>
      <c r="AP44">
        <v>0</v>
      </c>
      <c r="AR44" t="s">
        <v>1</v>
      </c>
      <c r="AT44" s="2" t="s">
        <v>0</v>
      </c>
      <c r="AU44" s="1">
        <f t="shared" si="5"/>
        <v>4.5169230150102502</v>
      </c>
      <c r="AV44" s="1">
        <f t="shared" si="6"/>
        <v>3.2873500914417195</v>
      </c>
      <c r="AW44" s="1">
        <f t="shared" si="7"/>
        <v>2.0577771678731898</v>
      </c>
    </row>
    <row r="45" spans="1:49" x14ac:dyDescent="0.2">
      <c r="A45">
        <v>43</v>
      </c>
      <c r="B45" t="s">
        <v>9687</v>
      </c>
      <c r="C45" t="s">
        <v>9686</v>
      </c>
      <c r="F45" t="s">
        <v>9685</v>
      </c>
      <c r="G45" t="s">
        <v>9</v>
      </c>
      <c r="H45" t="s">
        <v>8</v>
      </c>
      <c r="I45" t="s">
        <v>9684</v>
      </c>
      <c r="J45">
        <v>60070212</v>
      </c>
      <c r="K45" t="s">
        <v>9683</v>
      </c>
      <c r="L45" t="s">
        <v>9682</v>
      </c>
      <c r="M45" t="s">
        <v>251</v>
      </c>
      <c r="N45">
        <v>2</v>
      </c>
      <c r="O45" t="s">
        <v>9681</v>
      </c>
      <c r="P45" t="s">
        <v>9680</v>
      </c>
      <c r="Q45" t="s">
        <v>9679</v>
      </c>
      <c r="R45" s="7">
        <v>36863</v>
      </c>
      <c r="S45" s="8">
        <f t="shared" si="0"/>
        <v>2000</v>
      </c>
      <c r="T45" s="8">
        <v>2000</v>
      </c>
      <c r="U45" s="8">
        <f t="shared" si="1"/>
        <v>22</v>
      </c>
      <c r="V45" s="7">
        <v>2000</v>
      </c>
      <c r="W45" s="11" t="s">
        <v>253</v>
      </c>
      <c r="X45" s="2">
        <v>2.383</v>
      </c>
      <c r="Y45" s="6">
        <f t="shared" si="2"/>
        <v>6.3612824003630442E-2</v>
      </c>
      <c r="AA45">
        <v>13502417</v>
      </c>
      <c r="AB45">
        <v>17416</v>
      </c>
      <c r="AD45" t="s">
        <v>3</v>
      </c>
      <c r="AE45">
        <v>147</v>
      </c>
      <c r="AF45">
        <v>2</v>
      </c>
      <c r="AH45" t="s">
        <v>9678</v>
      </c>
      <c r="AI45" t="s">
        <v>9677</v>
      </c>
      <c r="AK45" t="s">
        <v>9676</v>
      </c>
      <c r="AL45">
        <v>22</v>
      </c>
      <c r="AM45" s="5">
        <f t="shared" si="3"/>
        <v>1</v>
      </c>
      <c r="AN45" s="4">
        <f t="shared" si="4"/>
        <v>1.5145778114350624E-3</v>
      </c>
      <c r="AO45" s="3"/>
      <c r="AP45">
        <v>0</v>
      </c>
      <c r="AR45" t="s">
        <v>1</v>
      </c>
      <c r="AT45" s="2" t="s">
        <v>0</v>
      </c>
      <c r="AU45" s="1">
        <f t="shared" si="5"/>
        <v>4.498335014597183</v>
      </c>
      <c r="AV45" s="1">
        <f t="shared" si="6"/>
        <v>3.2563700907532751</v>
      </c>
      <c r="AW45" s="1">
        <f t="shared" si="7"/>
        <v>2.0144051669093677</v>
      </c>
    </row>
    <row r="46" spans="1:49" x14ac:dyDescent="0.2">
      <c r="A46">
        <v>44</v>
      </c>
      <c r="B46" t="s">
        <v>9675</v>
      </c>
      <c r="C46" t="s">
        <v>9674</v>
      </c>
      <c r="F46" t="s">
        <v>9673</v>
      </c>
      <c r="G46" t="s">
        <v>9</v>
      </c>
      <c r="H46" t="s">
        <v>8</v>
      </c>
      <c r="I46" t="s">
        <v>893</v>
      </c>
      <c r="J46" t="s">
        <v>768</v>
      </c>
      <c r="K46" t="s">
        <v>767</v>
      </c>
      <c r="L46" t="s">
        <v>766</v>
      </c>
      <c r="M46" t="s">
        <v>765</v>
      </c>
      <c r="N46">
        <v>3</v>
      </c>
      <c r="O46" t="s">
        <v>9672</v>
      </c>
      <c r="P46" t="s">
        <v>9671</v>
      </c>
      <c r="Q46" t="s">
        <v>9670</v>
      </c>
      <c r="R46" s="7">
        <v>36863</v>
      </c>
      <c r="S46" s="8">
        <f t="shared" si="0"/>
        <v>2000</v>
      </c>
      <c r="T46" s="8">
        <v>2000</v>
      </c>
      <c r="U46" s="8">
        <f t="shared" si="1"/>
        <v>22</v>
      </c>
      <c r="V46" s="7">
        <v>2000</v>
      </c>
      <c r="W46" s="11" t="s">
        <v>253</v>
      </c>
      <c r="X46" s="2">
        <v>2.383</v>
      </c>
      <c r="Y46" s="6">
        <f t="shared" si="2"/>
        <v>6.3612824003630442E-2</v>
      </c>
      <c r="AA46">
        <v>13502417</v>
      </c>
      <c r="AB46">
        <v>17416</v>
      </c>
      <c r="AD46" t="s">
        <v>3</v>
      </c>
      <c r="AE46">
        <v>147</v>
      </c>
      <c r="AF46">
        <v>2</v>
      </c>
      <c r="AH46" t="s">
        <v>9669</v>
      </c>
      <c r="AI46" t="s">
        <v>9668</v>
      </c>
      <c r="AK46" t="s">
        <v>9667</v>
      </c>
      <c r="AL46">
        <v>62</v>
      </c>
      <c r="AM46" s="5">
        <f t="shared" si="3"/>
        <v>2.8181818181818183</v>
      </c>
      <c r="AN46" s="4">
        <f t="shared" si="4"/>
        <v>4.2683556504079035E-3</v>
      </c>
      <c r="AO46" s="3"/>
      <c r="AP46">
        <v>0</v>
      </c>
      <c r="AR46" t="s">
        <v>1</v>
      </c>
      <c r="AT46" s="2" t="s">
        <v>0</v>
      </c>
      <c r="AU46" s="1">
        <f t="shared" si="5"/>
        <v>4.5809483497663681</v>
      </c>
      <c r="AV46" s="1">
        <f t="shared" si="6"/>
        <v>3.3940589827019174</v>
      </c>
      <c r="AW46" s="1">
        <f t="shared" si="7"/>
        <v>2.2071696156374667</v>
      </c>
    </row>
    <row r="47" spans="1:49" x14ac:dyDescent="0.2">
      <c r="A47">
        <v>45</v>
      </c>
      <c r="B47" t="s">
        <v>9666</v>
      </c>
      <c r="C47" t="s">
        <v>9665</v>
      </c>
      <c r="F47" t="s">
        <v>9664</v>
      </c>
      <c r="G47" t="s">
        <v>9</v>
      </c>
      <c r="H47" t="s">
        <v>8</v>
      </c>
      <c r="I47" t="s">
        <v>9663</v>
      </c>
      <c r="J47" t="s">
        <v>850</v>
      </c>
      <c r="K47" t="s">
        <v>849</v>
      </c>
      <c r="L47" t="s">
        <v>848</v>
      </c>
      <c r="M47" t="s">
        <v>225</v>
      </c>
      <c r="N47">
        <v>2</v>
      </c>
      <c r="O47" t="s">
        <v>9662</v>
      </c>
      <c r="P47" t="s">
        <v>9661</v>
      </c>
      <c r="Q47" t="s">
        <v>9660</v>
      </c>
      <c r="R47" s="7">
        <v>36863</v>
      </c>
      <c r="S47" s="8">
        <f t="shared" si="0"/>
        <v>2000</v>
      </c>
      <c r="T47" s="8">
        <v>2000</v>
      </c>
      <c r="U47" s="8">
        <f t="shared" si="1"/>
        <v>22</v>
      </c>
      <c r="V47" s="7">
        <v>2000</v>
      </c>
      <c r="W47" s="11" t="s">
        <v>253</v>
      </c>
      <c r="X47" s="2">
        <v>2.383</v>
      </c>
      <c r="Y47" s="6">
        <f t="shared" si="2"/>
        <v>6.3612824003630442E-2</v>
      </c>
      <c r="AA47">
        <v>13502417</v>
      </c>
      <c r="AB47">
        <v>17416</v>
      </c>
      <c r="AD47" t="s">
        <v>3</v>
      </c>
      <c r="AE47">
        <v>147</v>
      </c>
      <c r="AF47">
        <v>2</v>
      </c>
      <c r="AH47" t="s">
        <v>1851</v>
      </c>
      <c r="AI47" t="s">
        <v>9659</v>
      </c>
      <c r="AK47" t="s">
        <v>9658</v>
      </c>
      <c r="AL47">
        <v>12</v>
      </c>
      <c r="AM47" s="5">
        <f t="shared" si="3"/>
        <v>0.54545454545454541</v>
      </c>
      <c r="AN47" s="4">
        <f t="shared" si="4"/>
        <v>8.2613335169185224E-4</v>
      </c>
      <c r="AO47" s="3"/>
      <c r="AP47">
        <v>0</v>
      </c>
      <c r="AR47" t="s">
        <v>1</v>
      </c>
      <c r="AT47" s="2" t="s">
        <v>0</v>
      </c>
      <c r="AU47" s="1">
        <f t="shared" si="5"/>
        <v>4.4776816808048867</v>
      </c>
      <c r="AV47" s="1">
        <f t="shared" si="6"/>
        <v>3.2219478677661146</v>
      </c>
      <c r="AW47" s="1">
        <f t="shared" si="7"/>
        <v>1.966214054727343</v>
      </c>
    </row>
    <row r="48" spans="1:49" x14ac:dyDescent="0.2">
      <c r="A48">
        <v>46</v>
      </c>
      <c r="B48" t="s">
        <v>9657</v>
      </c>
      <c r="C48" t="s">
        <v>9656</v>
      </c>
      <c r="F48" t="s">
        <v>9655</v>
      </c>
      <c r="G48" t="s">
        <v>9</v>
      </c>
      <c r="H48" t="s">
        <v>8</v>
      </c>
      <c r="I48" t="s">
        <v>9654</v>
      </c>
      <c r="J48">
        <v>60024324</v>
      </c>
      <c r="K48" t="s">
        <v>9653</v>
      </c>
      <c r="L48" t="s">
        <v>9652</v>
      </c>
      <c r="M48" t="s">
        <v>5</v>
      </c>
      <c r="N48">
        <v>1</v>
      </c>
      <c r="O48" t="s">
        <v>9651</v>
      </c>
      <c r="P48">
        <v>56028423100</v>
      </c>
      <c r="Q48">
        <v>60024324</v>
      </c>
      <c r="R48" s="7">
        <v>36863</v>
      </c>
      <c r="S48" s="8">
        <f t="shared" si="0"/>
        <v>2000</v>
      </c>
      <c r="T48" s="8">
        <v>2000</v>
      </c>
      <c r="U48" s="8">
        <f t="shared" si="1"/>
        <v>22</v>
      </c>
      <c r="V48" s="7">
        <v>2000</v>
      </c>
      <c r="W48" t="s">
        <v>322</v>
      </c>
      <c r="X48" s="2">
        <v>1.6379999999999999</v>
      </c>
      <c r="Y48" s="6">
        <f t="shared" si="2"/>
        <v>4.3725474493473214E-2</v>
      </c>
      <c r="AA48" t="s">
        <v>321</v>
      </c>
      <c r="AB48">
        <v>17391</v>
      </c>
      <c r="AD48" t="s">
        <v>3</v>
      </c>
      <c r="AE48">
        <v>48</v>
      </c>
      <c r="AF48">
        <v>6</v>
      </c>
      <c r="AH48" t="s">
        <v>9650</v>
      </c>
      <c r="AI48" t="s">
        <v>9649</v>
      </c>
      <c r="AK48" t="s">
        <v>9648</v>
      </c>
      <c r="AL48">
        <v>63</v>
      </c>
      <c r="AM48" s="5">
        <f t="shared" si="3"/>
        <v>2.8636363636363638</v>
      </c>
      <c r="AN48" s="4">
        <f t="shared" si="4"/>
        <v>4.3372000963822245E-3</v>
      </c>
      <c r="AO48" s="3"/>
      <c r="AP48">
        <v>0</v>
      </c>
      <c r="AQ48" t="s">
        <v>210</v>
      </c>
      <c r="AR48" t="s">
        <v>9647</v>
      </c>
      <c r="AS48" t="s">
        <v>209</v>
      </c>
      <c r="AT48" s="2">
        <v>4.931</v>
      </c>
      <c r="AU48" s="1">
        <f t="shared" si="5"/>
        <v>3.1908992174345916</v>
      </c>
      <c r="AV48" s="1">
        <f t="shared" si="6"/>
        <v>2.4031337294927719</v>
      </c>
      <c r="AW48" s="1">
        <f t="shared" si="7"/>
        <v>1.6153682415509523</v>
      </c>
    </row>
    <row r="49" spans="1:49" x14ac:dyDescent="0.2">
      <c r="A49">
        <v>47</v>
      </c>
      <c r="B49" t="s">
        <v>9646</v>
      </c>
      <c r="C49" t="s">
        <v>9645</v>
      </c>
      <c r="F49" t="s">
        <v>9644</v>
      </c>
      <c r="G49" t="s">
        <v>9</v>
      </c>
      <c r="H49" t="s">
        <v>8</v>
      </c>
      <c r="I49" t="s">
        <v>9643</v>
      </c>
      <c r="J49">
        <v>60003858</v>
      </c>
      <c r="K49" t="s">
        <v>9642</v>
      </c>
      <c r="L49" t="s">
        <v>57</v>
      </c>
      <c r="M49" t="s">
        <v>32</v>
      </c>
      <c r="N49">
        <v>5</v>
      </c>
      <c r="O49" t="s">
        <v>9641</v>
      </c>
      <c r="P49" t="s">
        <v>9640</v>
      </c>
      <c r="Q49" t="s">
        <v>9639</v>
      </c>
      <c r="R49" s="7">
        <v>36863</v>
      </c>
      <c r="S49" s="8">
        <f t="shared" si="0"/>
        <v>2000</v>
      </c>
      <c r="T49" s="8">
        <v>2000</v>
      </c>
      <c r="U49" s="8">
        <f t="shared" si="1"/>
        <v>22</v>
      </c>
      <c r="V49" s="7">
        <v>2000</v>
      </c>
      <c r="W49" t="s">
        <v>352</v>
      </c>
      <c r="X49" s="2">
        <v>1.137</v>
      </c>
      <c r="Y49" s="6">
        <f t="shared" si="2"/>
        <v>3.0351565628253384E-2</v>
      </c>
      <c r="AA49">
        <v>189251</v>
      </c>
      <c r="AB49">
        <v>17336</v>
      </c>
      <c r="AD49" t="s">
        <v>3</v>
      </c>
      <c r="AE49">
        <v>36</v>
      </c>
      <c r="AF49">
        <v>2</v>
      </c>
      <c r="AH49" t="s">
        <v>9638</v>
      </c>
      <c r="AI49" t="s">
        <v>9637</v>
      </c>
      <c r="AK49" t="s">
        <v>9636</v>
      </c>
      <c r="AL49">
        <v>2</v>
      </c>
      <c r="AM49" s="5">
        <f t="shared" si="3"/>
        <v>9.0909090909090912E-2</v>
      </c>
      <c r="AN49" s="4">
        <f t="shared" si="4"/>
        <v>1.3768889194864205E-4</v>
      </c>
      <c r="AO49" s="3"/>
      <c r="AP49">
        <v>0</v>
      </c>
      <c r="AR49" t="s">
        <v>9635</v>
      </c>
      <c r="AS49" t="s">
        <v>9634</v>
      </c>
      <c r="AT49" s="2" t="s">
        <v>0</v>
      </c>
      <c r="AU49" s="1">
        <f t="shared" si="5"/>
        <v>2.1287402607361958</v>
      </c>
      <c r="AV49" s="1">
        <f t="shared" si="6"/>
        <v>1.5244627260101011</v>
      </c>
      <c r="AW49" s="1">
        <f t="shared" si="7"/>
        <v>0.92018519128400644</v>
      </c>
    </row>
    <row r="50" spans="1:49" x14ac:dyDescent="0.2">
      <c r="A50">
        <v>48</v>
      </c>
      <c r="B50" t="s">
        <v>9633</v>
      </c>
      <c r="C50" t="s">
        <v>9632</v>
      </c>
      <c r="F50" t="s">
        <v>9631</v>
      </c>
      <c r="G50" t="s">
        <v>9</v>
      </c>
      <c r="H50" t="s">
        <v>8</v>
      </c>
      <c r="I50" t="s">
        <v>9630</v>
      </c>
      <c r="J50" t="s">
        <v>9629</v>
      </c>
      <c r="K50" t="s">
        <v>9628</v>
      </c>
      <c r="L50" t="s">
        <v>154</v>
      </c>
      <c r="M50" t="s">
        <v>19</v>
      </c>
      <c r="N50">
        <v>2</v>
      </c>
      <c r="O50" t="s">
        <v>9627</v>
      </c>
      <c r="P50" t="s">
        <v>9626</v>
      </c>
      <c r="Q50" t="s">
        <v>9625</v>
      </c>
      <c r="R50" s="7">
        <v>36863</v>
      </c>
      <c r="S50" s="8">
        <f t="shared" si="0"/>
        <v>2000</v>
      </c>
      <c r="T50" s="8">
        <v>2000</v>
      </c>
      <c r="U50" s="8">
        <f t="shared" si="1"/>
        <v>22</v>
      </c>
      <c r="V50" s="7">
        <v>2000</v>
      </c>
      <c r="W50" t="s">
        <v>352</v>
      </c>
      <c r="X50" s="2">
        <v>1.137</v>
      </c>
      <c r="Y50" s="6">
        <f t="shared" si="2"/>
        <v>3.0351565628253384E-2</v>
      </c>
      <c r="AA50">
        <v>189251</v>
      </c>
      <c r="AB50">
        <v>17336</v>
      </c>
      <c r="AD50" t="s">
        <v>3</v>
      </c>
      <c r="AE50">
        <v>36</v>
      </c>
      <c r="AF50">
        <v>2</v>
      </c>
      <c r="AH50" t="s">
        <v>9624</v>
      </c>
      <c r="AI50" t="s">
        <v>9623</v>
      </c>
      <c r="AK50" t="s">
        <v>9622</v>
      </c>
      <c r="AL50">
        <v>66</v>
      </c>
      <c r="AM50" s="5">
        <f t="shared" si="3"/>
        <v>3</v>
      </c>
      <c r="AN50" s="4">
        <f t="shared" si="4"/>
        <v>4.5437334343051876E-3</v>
      </c>
      <c r="AO50" s="3"/>
      <c r="AP50">
        <v>0</v>
      </c>
      <c r="AR50" t="s">
        <v>1</v>
      </c>
      <c r="AT50" s="2" t="s">
        <v>0</v>
      </c>
      <c r="AU50" s="1">
        <f t="shared" si="5"/>
        <v>2.2609215970068921</v>
      </c>
      <c r="AV50" s="1">
        <f t="shared" si="6"/>
        <v>1.7447649531279288</v>
      </c>
      <c r="AW50" s="1">
        <f t="shared" si="7"/>
        <v>1.2286083092489648</v>
      </c>
    </row>
    <row r="51" spans="1:49" x14ac:dyDescent="0.2">
      <c r="A51">
        <v>49</v>
      </c>
      <c r="B51" t="s">
        <v>9621</v>
      </c>
      <c r="C51" t="s">
        <v>9620</v>
      </c>
      <c r="F51" t="s">
        <v>9619</v>
      </c>
      <c r="G51" t="s">
        <v>9</v>
      </c>
      <c r="H51" t="s">
        <v>8</v>
      </c>
      <c r="I51" t="s">
        <v>9618</v>
      </c>
      <c r="J51">
        <v>60005811</v>
      </c>
      <c r="K51" t="s">
        <v>9617</v>
      </c>
      <c r="L51" t="s">
        <v>461</v>
      </c>
      <c r="M51" t="s">
        <v>13</v>
      </c>
      <c r="N51">
        <v>1</v>
      </c>
      <c r="O51" t="s">
        <v>9616</v>
      </c>
      <c r="P51">
        <v>7004311323</v>
      </c>
      <c r="Q51">
        <v>60005811</v>
      </c>
      <c r="R51" s="7">
        <v>36863</v>
      </c>
      <c r="S51" s="8">
        <f t="shared" si="0"/>
        <v>2000</v>
      </c>
      <c r="T51" s="8">
        <v>2000</v>
      </c>
      <c r="U51" s="8">
        <f t="shared" si="1"/>
        <v>22</v>
      </c>
      <c r="V51" s="7">
        <v>2000</v>
      </c>
      <c r="W51" t="s">
        <v>352</v>
      </c>
      <c r="X51" s="2">
        <v>1.137</v>
      </c>
      <c r="Y51" s="6">
        <f t="shared" si="2"/>
        <v>3.0351565628253384E-2</v>
      </c>
      <c r="AA51">
        <v>189251</v>
      </c>
      <c r="AB51">
        <v>17336</v>
      </c>
      <c r="AD51" t="s">
        <v>3</v>
      </c>
      <c r="AE51">
        <v>36</v>
      </c>
      <c r="AF51">
        <v>2</v>
      </c>
      <c r="AH51" t="s">
        <v>9615</v>
      </c>
      <c r="AI51" t="s">
        <v>9614</v>
      </c>
      <c r="AK51" t="s">
        <v>9613</v>
      </c>
      <c r="AL51">
        <v>100</v>
      </c>
      <c r="AM51" s="5">
        <f t="shared" si="3"/>
        <v>4.5454545454545459</v>
      </c>
      <c r="AN51" s="4">
        <f t="shared" si="4"/>
        <v>6.8844445974321029E-3</v>
      </c>
      <c r="AO51" s="3"/>
      <c r="AP51">
        <v>0</v>
      </c>
      <c r="AR51" t="s">
        <v>1</v>
      </c>
      <c r="AT51" s="2" t="s">
        <v>0</v>
      </c>
      <c r="AU51" s="1">
        <f t="shared" si="5"/>
        <v>2.3311429319006995</v>
      </c>
      <c r="AV51" s="1">
        <f t="shared" si="6"/>
        <v>1.8618005112842742</v>
      </c>
      <c r="AW51" s="1">
        <f t="shared" si="7"/>
        <v>1.3924580906678488</v>
      </c>
    </row>
    <row r="52" spans="1:49" x14ac:dyDescent="0.2">
      <c r="A52">
        <v>50</v>
      </c>
      <c r="B52" t="s">
        <v>9612</v>
      </c>
      <c r="C52" t="s">
        <v>9611</v>
      </c>
      <c r="F52" t="s">
        <v>9610</v>
      </c>
      <c r="G52" t="s">
        <v>9</v>
      </c>
      <c r="H52" t="s">
        <v>8</v>
      </c>
      <c r="I52" t="s">
        <v>9609</v>
      </c>
      <c r="J52">
        <v>60024592</v>
      </c>
      <c r="K52" t="s">
        <v>577</v>
      </c>
      <c r="L52" t="s">
        <v>434</v>
      </c>
      <c r="M52" t="s">
        <v>5</v>
      </c>
      <c r="N52">
        <v>1</v>
      </c>
      <c r="O52" t="s">
        <v>9608</v>
      </c>
      <c r="P52">
        <v>7004085526</v>
      </c>
      <c r="Q52">
        <v>60024592</v>
      </c>
      <c r="R52" s="7">
        <v>36863</v>
      </c>
      <c r="S52" s="8">
        <f t="shared" si="0"/>
        <v>2000</v>
      </c>
      <c r="T52" s="8">
        <v>2000</v>
      </c>
      <c r="U52" s="8">
        <f t="shared" si="1"/>
        <v>22</v>
      </c>
      <c r="V52" s="7">
        <v>2000</v>
      </c>
      <c r="W52" t="s">
        <v>352</v>
      </c>
      <c r="X52" s="2">
        <v>1.137</v>
      </c>
      <c r="Y52" s="6">
        <f t="shared" si="2"/>
        <v>3.0351565628253384E-2</v>
      </c>
      <c r="AA52">
        <v>189251</v>
      </c>
      <c r="AB52">
        <v>17336</v>
      </c>
      <c r="AD52" t="s">
        <v>3</v>
      </c>
      <c r="AE52">
        <v>36</v>
      </c>
      <c r="AF52">
        <v>2</v>
      </c>
      <c r="AH52" t="s">
        <v>9607</v>
      </c>
      <c r="AI52" t="s">
        <v>9606</v>
      </c>
      <c r="AK52" t="s">
        <v>9605</v>
      </c>
      <c r="AL52">
        <v>85</v>
      </c>
      <c r="AM52" s="5">
        <f t="shared" si="3"/>
        <v>3.8636363636363638</v>
      </c>
      <c r="AN52" s="4">
        <f t="shared" si="4"/>
        <v>5.8517779078172873E-3</v>
      </c>
      <c r="AO52" s="3"/>
      <c r="AP52">
        <v>0</v>
      </c>
      <c r="AR52" t="s">
        <v>1</v>
      </c>
      <c r="AT52" s="2" t="s">
        <v>0</v>
      </c>
      <c r="AU52" s="1">
        <f t="shared" si="5"/>
        <v>2.3001629312122551</v>
      </c>
      <c r="AV52" s="1">
        <f t="shared" si="6"/>
        <v>1.8101671768035337</v>
      </c>
      <c r="AW52" s="1">
        <f t="shared" si="7"/>
        <v>1.3201714223948118</v>
      </c>
    </row>
    <row r="53" spans="1:49" x14ac:dyDescent="0.2">
      <c r="A53">
        <v>51</v>
      </c>
      <c r="B53" t="s">
        <v>9604</v>
      </c>
      <c r="C53" t="s">
        <v>9603</v>
      </c>
      <c r="F53" t="s">
        <v>9602</v>
      </c>
      <c r="G53" t="s">
        <v>9</v>
      </c>
      <c r="H53" t="s">
        <v>8</v>
      </c>
      <c r="I53" t="s">
        <v>9601</v>
      </c>
      <c r="J53" t="s">
        <v>9600</v>
      </c>
      <c r="K53" t="s">
        <v>9599</v>
      </c>
      <c r="L53" t="s">
        <v>9598</v>
      </c>
      <c r="M53" t="s">
        <v>200</v>
      </c>
      <c r="N53">
        <v>3</v>
      </c>
      <c r="O53" t="s">
        <v>9597</v>
      </c>
      <c r="P53" t="s">
        <v>9596</v>
      </c>
      <c r="Q53" t="s">
        <v>9595</v>
      </c>
      <c r="R53" s="7">
        <v>36863</v>
      </c>
      <c r="S53" s="8">
        <f t="shared" si="0"/>
        <v>2000</v>
      </c>
      <c r="T53" s="8">
        <v>2000</v>
      </c>
      <c r="U53" s="8">
        <f t="shared" si="1"/>
        <v>22</v>
      </c>
      <c r="V53" s="7">
        <v>2000</v>
      </c>
      <c r="W53" t="s">
        <v>2264</v>
      </c>
      <c r="X53" s="2">
        <v>0.82</v>
      </c>
      <c r="Y53" s="6">
        <f t="shared" si="2"/>
        <v>2.1889431675609299E-2</v>
      </c>
      <c r="AA53">
        <v>189456</v>
      </c>
      <c r="AB53">
        <v>15361</v>
      </c>
      <c r="AD53" t="s">
        <v>3</v>
      </c>
      <c r="AE53">
        <v>49</v>
      </c>
      <c r="AF53">
        <v>1</v>
      </c>
      <c r="AH53" t="s">
        <v>222</v>
      </c>
      <c r="AI53" t="s">
        <v>9594</v>
      </c>
      <c r="AK53" t="s">
        <v>9593</v>
      </c>
      <c r="AL53">
        <v>17</v>
      </c>
      <c r="AM53" s="5">
        <f t="shared" si="3"/>
        <v>0.77272727272727271</v>
      </c>
      <c r="AN53" s="4">
        <f t="shared" si="4"/>
        <v>1.1703555815634574E-3</v>
      </c>
      <c r="AO53" s="3"/>
      <c r="AP53">
        <v>0</v>
      </c>
      <c r="AR53" t="s">
        <v>1</v>
      </c>
      <c r="AT53" s="2" t="s">
        <v>0</v>
      </c>
      <c r="AU53" s="1">
        <f t="shared" si="5"/>
        <v>1.5673708847395544</v>
      </c>
      <c r="AV53" s="1">
        <f t="shared" si="6"/>
        <v>1.1529893628586378</v>
      </c>
      <c r="AW53" s="1">
        <f t="shared" si="7"/>
        <v>0.73860784097772092</v>
      </c>
    </row>
    <row r="54" spans="1:49" x14ac:dyDescent="0.2">
      <c r="A54">
        <v>52</v>
      </c>
      <c r="B54" t="s">
        <v>9592</v>
      </c>
      <c r="C54" t="s">
        <v>9591</v>
      </c>
      <c r="F54" t="s">
        <v>9590</v>
      </c>
      <c r="G54" t="s">
        <v>9</v>
      </c>
      <c r="H54" t="s">
        <v>8</v>
      </c>
      <c r="I54" t="s">
        <v>351</v>
      </c>
      <c r="J54" t="s">
        <v>9589</v>
      </c>
      <c r="K54" t="s">
        <v>9588</v>
      </c>
      <c r="L54" t="s">
        <v>9587</v>
      </c>
      <c r="M54" t="s">
        <v>19</v>
      </c>
      <c r="N54">
        <v>2</v>
      </c>
      <c r="O54" t="s">
        <v>348</v>
      </c>
      <c r="P54" t="s">
        <v>347</v>
      </c>
      <c r="Q54" t="s">
        <v>9586</v>
      </c>
      <c r="R54" s="7">
        <v>36863</v>
      </c>
      <c r="S54" s="8">
        <f t="shared" si="0"/>
        <v>2000</v>
      </c>
      <c r="T54" s="8">
        <v>2000</v>
      </c>
      <c r="U54" s="8">
        <f t="shared" si="1"/>
        <v>22</v>
      </c>
      <c r="V54" s="7">
        <v>2000</v>
      </c>
      <c r="W54" t="s">
        <v>291</v>
      </c>
      <c r="X54" s="2">
        <v>1.6519999999999999</v>
      </c>
      <c r="Y54" s="6">
        <f t="shared" si="2"/>
        <v>4.409919649769093E-2</v>
      </c>
      <c r="AA54" t="s">
        <v>290</v>
      </c>
      <c r="AB54">
        <v>17337</v>
      </c>
      <c r="AD54" t="s">
        <v>3</v>
      </c>
      <c r="AE54">
        <v>48</v>
      </c>
      <c r="AF54">
        <v>4</v>
      </c>
      <c r="AH54" t="s">
        <v>9585</v>
      </c>
      <c r="AI54" t="s">
        <v>9584</v>
      </c>
      <c r="AK54" t="s">
        <v>9583</v>
      </c>
      <c r="AL54">
        <v>29</v>
      </c>
      <c r="AM54" s="5">
        <f t="shared" si="3"/>
        <v>1.3181818181818181</v>
      </c>
      <c r="AN54" s="4">
        <f t="shared" si="4"/>
        <v>1.9964889332553097E-3</v>
      </c>
      <c r="AO54" s="3"/>
      <c r="AP54">
        <v>0</v>
      </c>
      <c r="AQ54" t="s">
        <v>476</v>
      </c>
      <c r="AR54" t="s">
        <v>9582</v>
      </c>
      <c r="AS54" t="s">
        <v>475</v>
      </c>
      <c r="AT54" s="2" t="s">
        <v>0</v>
      </c>
      <c r="AU54" s="1">
        <f t="shared" si="5"/>
        <v>3.1468384228360242</v>
      </c>
      <c r="AV54" s="1">
        <f t="shared" si="6"/>
        <v>2.3047842715473119</v>
      </c>
      <c r="AW54" s="1">
        <f t="shared" si="7"/>
        <v>1.4627301202585996</v>
      </c>
    </row>
    <row r="55" spans="1:49" x14ac:dyDescent="0.2">
      <c r="A55">
        <v>53</v>
      </c>
      <c r="B55" t="s">
        <v>9581</v>
      </c>
      <c r="C55" t="s">
        <v>9580</v>
      </c>
      <c r="F55" t="s">
        <v>9579</v>
      </c>
      <c r="G55" t="s">
        <v>9</v>
      </c>
      <c r="H55" t="s">
        <v>8</v>
      </c>
      <c r="I55" t="s">
        <v>147</v>
      </c>
      <c r="J55" t="s">
        <v>146</v>
      </c>
      <c r="K55" t="s">
        <v>145</v>
      </c>
      <c r="L55" t="s">
        <v>144</v>
      </c>
      <c r="M55" t="s">
        <v>143</v>
      </c>
      <c r="N55">
        <v>3</v>
      </c>
      <c r="O55" t="s">
        <v>142</v>
      </c>
      <c r="P55" t="s">
        <v>141</v>
      </c>
      <c r="Q55" t="s">
        <v>140</v>
      </c>
      <c r="R55" s="7">
        <v>36863</v>
      </c>
      <c r="S55" s="8">
        <f t="shared" si="0"/>
        <v>2000</v>
      </c>
      <c r="T55" s="8">
        <v>2000</v>
      </c>
      <c r="U55" s="8">
        <f t="shared" si="1"/>
        <v>22</v>
      </c>
      <c r="V55" s="7">
        <v>2000</v>
      </c>
      <c r="W55" s="11" t="s">
        <v>253</v>
      </c>
      <c r="X55" s="2">
        <v>2.383</v>
      </c>
      <c r="Y55" s="6">
        <f t="shared" si="2"/>
        <v>6.3612824003630442E-2</v>
      </c>
      <c r="AA55">
        <v>13502417</v>
      </c>
      <c r="AB55">
        <v>17416</v>
      </c>
      <c r="AD55" t="s">
        <v>3</v>
      </c>
      <c r="AE55">
        <v>147</v>
      </c>
      <c r="AF55">
        <v>3</v>
      </c>
      <c r="AH55" t="s">
        <v>9578</v>
      </c>
      <c r="AI55" t="s">
        <v>9577</v>
      </c>
      <c r="AK55" t="s">
        <v>9576</v>
      </c>
      <c r="AL55">
        <v>9</v>
      </c>
      <c r="AM55" s="5">
        <f t="shared" si="3"/>
        <v>0.40909090909090912</v>
      </c>
      <c r="AN55" s="4">
        <f t="shared" si="4"/>
        <v>6.1960001376888923E-4</v>
      </c>
      <c r="AO55" s="3"/>
      <c r="AP55">
        <v>0</v>
      </c>
      <c r="AR55" t="s">
        <v>1</v>
      </c>
      <c r="AT55" s="2" t="s">
        <v>0</v>
      </c>
      <c r="AU55" s="1">
        <f t="shared" si="5"/>
        <v>4.4714856806671976</v>
      </c>
      <c r="AV55" s="1">
        <f t="shared" si="6"/>
        <v>3.2116212008699665</v>
      </c>
      <c r="AW55" s="1">
        <f t="shared" si="7"/>
        <v>1.9517567210727356</v>
      </c>
    </row>
    <row r="56" spans="1:49" x14ac:dyDescent="0.2">
      <c r="A56">
        <v>54</v>
      </c>
      <c r="B56" t="s">
        <v>9575</v>
      </c>
      <c r="C56" t="s">
        <v>9574</v>
      </c>
      <c r="F56" t="s">
        <v>9573</v>
      </c>
      <c r="G56" t="s">
        <v>9</v>
      </c>
      <c r="H56" t="s">
        <v>8</v>
      </c>
      <c r="I56" t="s">
        <v>4027</v>
      </c>
      <c r="J56" t="s">
        <v>9572</v>
      </c>
      <c r="K56" t="s">
        <v>9571</v>
      </c>
      <c r="L56" t="s">
        <v>9570</v>
      </c>
      <c r="M56" t="s">
        <v>183</v>
      </c>
      <c r="N56">
        <v>3</v>
      </c>
      <c r="O56" t="s">
        <v>9569</v>
      </c>
      <c r="P56" t="s">
        <v>9568</v>
      </c>
      <c r="Q56" t="s">
        <v>9567</v>
      </c>
      <c r="R56" s="7">
        <v>36863</v>
      </c>
      <c r="S56" s="8">
        <f t="shared" si="0"/>
        <v>2000</v>
      </c>
      <c r="T56" s="8">
        <v>2000</v>
      </c>
      <c r="U56" s="8">
        <f t="shared" si="1"/>
        <v>22</v>
      </c>
      <c r="V56" s="7">
        <v>2000</v>
      </c>
      <c r="W56" t="s">
        <v>322</v>
      </c>
      <c r="X56" s="2">
        <v>1.6379999999999999</v>
      </c>
      <c r="Y56" s="6">
        <f t="shared" si="2"/>
        <v>4.3725474493473214E-2</v>
      </c>
      <c r="AA56" t="s">
        <v>321</v>
      </c>
      <c r="AB56">
        <v>17391</v>
      </c>
      <c r="AD56" t="s">
        <v>3</v>
      </c>
      <c r="AE56">
        <v>48</v>
      </c>
      <c r="AF56">
        <v>7</v>
      </c>
      <c r="AH56" t="s">
        <v>9566</v>
      </c>
      <c r="AI56" t="s">
        <v>9565</v>
      </c>
      <c r="AK56" t="s">
        <v>9564</v>
      </c>
      <c r="AL56">
        <v>5</v>
      </c>
      <c r="AM56" s="5">
        <f t="shared" si="3"/>
        <v>0.22727272727272727</v>
      </c>
      <c r="AN56" s="4">
        <f t="shared" si="4"/>
        <v>3.4422222987160508E-4</v>
      </c>
      <c r="AO56" s="3"/>
      <c r="AP56">
        <v>0</v>
      </c>
      <c r="AQ56" t="s">
        <v>210</v>
      </c>
      <c r="AR56" t="s">
        <v>9563</v>
      </c>
      <c r="AS56" t="s">
        <v>209</v>
      </c>
      <c r="AT56" s="2">
        <v>4.931</v>
      </c>
      <c r="AU56" s="1">
        <f t="shared" si="5"/>
        <v>3.071109881439273</v>
      </c>
      <c r="AV56" s="1">
        <f t="shared" si="6"/>
        <v>2.2034848361672408</v>
      </c>
      <c r="AW56" s="1">
        <f t="shared" si="7"/>
        <v>1.3358597908952088</v>
      </c>
    </row>
    <row r="57" spans="1:49" x14ac:dyDescent="0.2">
      <c r="A57">
        <v>55</v>
      </c>
      <c r="B57" t="s">
        <v>9562</v>
      </c>
      <c r="C57" t="s">
        <v>9561</v>
      </c>
      <c r="F57" t="s">
        <v>9560</v>
      </c>
      <c r="G57" t="s">
        <v>9</v>
      </c>
      <c r="H57" t="s">
        <v>8</v>
      </c>
      <c r="I57" t="s">
        <v>9559</v>
      </c>
      <c r="J57">
        <v>60000099</v>
      </c>
      <c r="K57" t="s">
        <v>9558</v>
      </c>
      <c r="L57" t="s">
        <v>9557</v>
      </c>
      <c r="M57" t="s">
        <v>43</v>
      </c>
      <c r="N57">
        <v>1</v>
      </c>
      <c r="O57" t="s">
        <v>9556</v>
      </c>
      <c r="P57">
        <v>7005601548</v>
      </c>
      <c r="Q57">
        <v>60000099</v>
      </c>
      <c r="R57" s="7">
        <v>36863</v>
      </c>
      <c r="S57" s="8">
        <f t="shared" si="0"/>
        <v>2000</v>
      </c>
      <c r="T57" s="8">
        <v>2000</v>
      </c>
      <c r="U57" s="8">
        <f t="shared" si="1"/>
        <v>22</v>
      </c>
      <c r="V57" s="7">
        <v>2000</v>
      </c>
      <c r="W57" t="s">
        <v>221</v>
      </c>
      <c r="X57" s="2">
        <v>1.365</v>
      </c>
      <c r="Y57" s="6">
        <f t="shared" si="2"/>
        <v>3.6437895411227675E-2</v>
      </c>
      <c r="AA57">
        <v>189545</v>
      </c>
      <c r="AB57">
        <v>17393</v>
      </c>
      <c r="AD57" t="s">
        <v>3</v>
      </c>
      <c r="AE57">
        <v>49</v>
      </c>
      <c r="AF57">
        <v>3</v>
      </c>
      <c r="AH57" t="s">
        <v>9555</v>
      </c>
      <c r="AI57" t="s">
        <v>9554</v>
      </c>
      <c r="AK57" t="s">
        <v>9553</v>
      </c>
      <c r="AL57">
        <v>13</v>
      </c>
      <c r="AM57" s="5">
        <f t="shared" si="3"/>
        <v>0.59090909090909094</v>
      </c>
      <c r="AN57" s="4">
        <f t="shared" si="4"/>
        <v>8.9497779766617338E-4</v>
      </c>
      <c r="AO57" s="3"/>
      <c r="AP57">
        <v>0</v>
      </c>
      <c r="AQ57" t="s">
        <v>9552</v>
      </c>
      <c r="AR57" t="s">
        <v>1</v>
      </c>
      <c r="AS57" t="s">
        <v>9551</v>
      </c>
      <c r="AT57" s="2" t="s">
        <v>0</v>
      </c>
      <c r="AU57" s="1">
        <f t="shared" si="5"/>
        <v>2.5775020127159225</v>
      </c>
      <c r="AV57" s="1">
        <f t="shared" si="6"/>
        <v>1.8666436604446925</v>
      </c>
      <c r="AW57" s="1">
        <f t="shared" si="7"/>
        <v>1.1557853081734621</v>
      </c>
    </row>
    <row r="58" spans="1:49" x14ac:dyDescent="0.2">
      <c r="A58">
        <v>56</v>
      </c>
      <c r="B58" t="s">
        <v>9550</v>
      </c>
      <c r="C58" t="s">
        <v>9549</v>
      </c>
      <c r="F58" t="s">
        <v>9548</v>
      </c>
      <c r="G58" t="s">
        <v>9</v>
      </c>
      <c r="H58" t="s">
        <v>8</v>
      </c>
      <c r="I58" t="s">
        <v>9547</v>
      </c>
      <c r="J58" t="s">
        <v>9546</v>
      </c>
      <c r="K58" t="s">
        <v>9545</v>
      </c>
      <c r="L58" t="s">
        <v>9544</v>
      </c>
      <c r="M58" t="s">
        <v>9543</v>
      </c>
      <c r="N58">
        <v>6</v>
      </c>
      <c r="O58" t="s">
        <v>9542</v>
      </c>
      <c r="P58" t="s">
        <v>9541</v>
      </c>
      <c r="Q58" t="s">
        <v>9540</v>
      </c>
      <c r="R58" s="7">
        <v>36863</v>
      </c>
      <c r="S58" s="8">
        <f t="shared" si="0"/>
        <v>2000</v>
      </c>
      <c r="T58" s="8">
        <v>2000</v>
      </c>
      <c r="U58" s="8">
        <f t="shared" si="1"/>
        <v>22</v>
      </c>
      <c r="V58" s="7">
        <v>2000</v>
      </c>
      <c r="W58" t="s">
        <v>221</v>
      </c>
      <c r="X58" s="2">
        <v>1.365</v>
      </c>
      <c r="Y58" s="6">
        <f t="shared" si="2"/>
        <v>3.6437895411227675E-2</v>
      </c>
      <c r="AA58">
        <v>189545</v>
      </c>
      <c r="AB58">
        <v>17393</v>
      </c>
      <c r="AD58" t="s">
        <v>3</v>
      </c>
      <c r="AE58">
        <v>49</v>
      </c>
      <c r="AF58">
        <v>3</v>
      </c>
      <c r="AH58" t="s">
        <v>9539</v>
      </c>
      <c r="AI58" t="s">
        <v>9538</v>
      </c>
      <c r="AK58" t="s">
        <v>9537</v>
      </c>
      <c r="AL58">
        <v>35</v>
      </c>
      <c r="AM58" s="5">
        <f t="shared" si="3"/>
        <v>1.5909090909090908</v>
      </c>
      <c r="AN58" s="4">
        <f t="shared" si="4"/>
        <v>2.4095556091012355E-3</v>
      </c>
      <c r="AO58" s="3"/>
      <c r="AP58">
        <v>0</v>
      </c>
      <c r="AR58" t="s">
        <v>1</v>
      </c>
      <c r="AT58" s="2" t="s">
        <v>0</v>
      </c>
      <c r="AU58" s="1">
        <f t="shared" si="5"/>
        <v>2.6229393470589741</v>
      </c>
      <c r="AV58" s="1">
        <f t="shared" si="6"/>
        <v>1.9423725510164456</v>
      </c>
      <c r="AW58" s="1">
        <f t="shared" si="7"/>
        <v>1.2618057549739166</v>
      </c>
    </row>
    <row r="59" spans="1:49" x14ac:dyDescent="0.2">
      <c r="A59">
        <v>57</v>
      </c>
      <c r="B59" t="s">
        <v>9536</v>
      </c>
      <c r="C59" t="s">
        <v>9535</v>
      </c>
      <c r="F59" t="s">
        <v>9534</v>
      </c>
      <c r="G59" t="s">
        <v>9</v>
      </c>
      <c r="H59" t="s">
        <v>8</v>
      </c>
      <c r="I59" t="s">
        <v>9533</v>
      </c>
      <c r="J59">
        <v>60025778</v>
      </c>
      <c r="K59" t="s">
        <v>299</v>
      </c>
      <c r="L59" t="s">
        <v>298</v>
      </c>
      <c r="M59" t="s">
        <v>5</v>
      </c>
      <c r="N59">
        <v>3</v>
      </c>
      <c r="O59" t="s">
        <v>9532</v>
      </c>
      <c r="P59" t="s">
        <v>9531</v>
      </c>
      <c r="Q59" t="s">
        <v>460</v>
      </c>
      <c r="R59" s="7">
        <v>36863</v>
      </c>
      <c r="S59" s="8">
        <f t="shared" si="0"/>
        <v>2000</v>
      </c>
      <c r="T59" s="8">
        <v>2000</v>
      </c>
      <c r="U59" s="8">
        <f t="shared" si="1"/>
        <v>22</v>
      </c>
      <c r="V59" s="7">
        <v>2000</v>
      </c>
      <c r="W59" t="s">
        <v>1223</v>
      </c>
      <c r="X59" s="2">
        <v>0.62</v>
      </c>
      <c r="Y59" s="6">
        <f t="shared" si="2"/>
        <v>1.6550545901070447E-2</v>
      </c>
      <c r="AA59">
        <v>189464</v>
      </c>
      <c r="AB59">
        <v>17364</v>
      </c>
      <c r="AD59" t="s">
        <v>3</v>
      </c>
      <c r="AE59">
        <v>36</v>
      </c>
      <c r="AF59">
        <v>3</v>
      </c>
      <c r="AH59" t="s">
        <v>9530</v>
      </c>
      <c r="AI59" t="s">
        <v>9529</v>
      </c>
      <c r="AK59" t="s">
        <v>9528</v>
      </c>
      <c r="AL59">
        <v>68</v>
      </c>
      <c r="AM59" s="5">
        <f t="shared" si="3"/>
        <v>3.0909090909090908</v>
      </c>
      <c r="AN59" s="4">
        <f t="shared" si="4"/>
        <v>4.6814223262538297E-3</v>
      </c>
      <c r="AO59" s="3"/>
      <c r="AP59">
        <v>0</v>
      </c>
      <c r="AR59" t="s">
        <v>1</v>
      </c>
      <c r="AT59" s="2">
        <v>1.7</v>
      </c>
      <c r="AU59" s="1">
        <f t="shared" si="5"/>
        <v>1.2989808828625462</v>
      </c>
      <c r="AV59" s="1">
        <f t="shared" si="6"/>
        <v>1.0615984113662138</v>
      </c>
      <c r="AW59" s="1">
        <f t="shared" si="7"/>
        <v>0.8242159398698814</v>
      </c>
    </row>
    <row r="60" spans="1:49" x14ac:dyDescent="0.2">
      <c r="A60">
        <v>58</v>
      </c>
      <c r="B60" t="s">
        <v>9527</v>
      </c>
      <c r="C60" t="s">
        <v>9526</v>
      </c>
      <c r="F60" t="s">
        <v>9525</v>
      </c>
      <c r="G60" t="s">
        <v>9</v>
      </c>
      <c r="H60" t="s">
        <v>8</v>
      </c>
      <c r="I60" t="s">
        <v>943</v>
      </c>
      <c r="J60" t="s">
        <v>9524</v>
      </c>
      <c r="K60" t="s">
        <v>9523</v>
      </c>
      <c r="L60" t="s">
        <v>9522</v>
      </c>
      <c r="M60" t="s">
        <v>9521</v>
      </c>
      <c r="N60">
        <v>2</v>
      </c>
      <c r="O60" t="s">
        <v>9520</v>
      </c>
      <c r="P60" t="s">
        <v>9519</v>
      </c>
      <c r="Q60" t="s">
        <v>9518</v>
      </c>
      <c r="R60" s="7">
        <v>36863</v>
      </c>
      <c r="S60" s="8">
        <f t="shared" si="0"/>
        <v>2000</v>
      </c>
      <c r="T60" s="8">
        <v>2000</v>
      </c>
      <c r="U60" s="8">
        <f t="shared" si="1"/>
        <v>22</v>
      </c>
      <c r="V60" s="7">
        <v>2000</v>
      </c>
      <c r="W60" s="11" t="s">
        <v>253</v>
      </c>
      <c r="X60" s="2">
        <v>2.383</v>
      </c>
      <c r="Y60" s="6">
        <f t="shared" si="2"/>
        <v>6.3612824003630442E-2</v>
      </c>
      <c r="AA60">
        <v>13502417</v>
      </c>
      <c r="AB60">
        <v>17416</v>
      </c>
      <c r="AD60" t="s">
        <v>3</v>
      </c>
      <c r="AE60">
        <v>147</v>
      </c>
      <c r="AF60">
        <v>3</v>
      </c>
      <c r="AH60" t="s">
        <v>697</v>
      </c>
      <c r="AI60" t="s">
        <v>9517</v>
      </c>
      <c r="AK60" t="s">
        <v>9516</v>
      </c>
      <c r="AL60">
        <v>11</v>
      </c>
      <c r="AM60" s="5">
        <f t="shared" si="3"/>
        <v>0.5</v>
      </c>
      <c r="AN60" s="4">
        <f t="shared" si="4"/>
        <v>7.572889057175312E-4</v>
      </c>
      <c r="AO60" s="3"/>
      <c r="AP60">
        <v>0</v>
      </c>
      <c r="AR60" t="s">
        <v>1</v>
      </c>
      <c r="AT60" s="2" t="s">
        <v>0</v>
      </c>
      <c r="AU60" s="1">
        <f t="shared" si="5"/>
        <v>4.4756163474256567</v>
      </c>
      <c r="AV60" s="1">
        <f t="shared" si="6"/>
        <v>3.218505645467399</v>
      </c>
      <c r="AW60" s="1">
        <f t="shared" si="7"/>
        <v>1.9613949435091407</v>
      </c>
    </row>
    <row r="61" spans="1:49" x14ac:dyDescent="0.2">
      <c r="A61">
        <v>59</v>
      </c>
      <c r="B61" t="s">
        <v>9515</v>
      </c>
      <c r="C61" t="s">
        <v>9514</v>
      </c>
      <c r="F61" t="s">
        <v>9513</v>
      </c>
      <c r="G61" t="s">
        <v>9</v>
      </c>
      <c r="H61" t="s">
        <v>8</v>
      </c>
      <c r="I61" t="s">
        <v>8221</v>
      </c>
      <c r="J61">
        <v>60010818</v>
      </c>
      <c r="K61" t="s">
        <v>812</v>
      </c>
      <c r="L61" t="s">
        <v>811</v>
      </c>
      <c r="M61" t="s">
        <v>87</v>
      </c>
      <c r="N61">
        <v>3</v>
      </c>
      <c r="O61" t="s">
        <v>9512</v>
      </c>
      <c r="P61" t="s">
        <v>9511</v>
      </c>
      <c r="Q61" t="s">
        <v>4885</v>
      </c>
      <c r="R61" s="7">
        <v>36863</v>
      </c>
      <c r="S61" s="8">
        <f t="shared" si="0"/>
        <v>2000</v>
      </c>
      <c r="T61" s="8">
        <v>2000</v>
      </c>
      <c r="U61" s="8">
        <f t="shared" si="1"/>
        <v>22</v>
      </c>
      <c r="V61" s="7">
        <v>2000</v>
      </c>
      <c r="W61" s="11" t="s">
        <v>253</v>
      </c>
      <c r="X61" s="2">
        <v>2.383</v>
      </c>
      <c r="Y61" s="6">
        <f t="shared" si="2"/>
        <v>6.3612824003630442E-2</v>
      </c>
      <c r="AA61">
        <v>13502417</v>
      </c>
      <c r="AB61">
        <v>17416</v>
      </c>
      <c r="AD61" t="s">
        <v>3</v>
      </c>
      <c r="AE61">
        <v>147</v>
      </c>
      <c r="AF61">
        <v>3</v>
      </c>
      <c r="AH61" t="s">
        <v>9510</v>
      </c>
      <c r="AI61" t="s">
        <v>9509</v>
      </c>
      <c r="AK61" t="s">
        <v>9508</v>
      </c>
      <c r="AL61">
        <v>12</v>
      </c>
      <c r="AM61" s="5">
        <f t="shared" si="3"/>
        <v>0.54545454545454541</v>
      </c>
      <c r="AN61" s="4">
        <f t="shared" si="4"/>
        <v>8.2613335169185224E-4</v>
      </c>
      <c r="AO61" s="3"/>
      <c r="AP61">
        <v>0</v>
      </c>
      <c r="AR61" t="s">
        <v>1</v>
      </c>
      <c r="AT61" s="2" t="s">
        <v>0</v>
      </c>
      <c r="AU61" s="1">
        <f t="shared" si="5"/>
        <v>4.4776816808048867</v>
      </c>
      <c r="AV61" s="1">
        <f t="shared" si="6"/>
        <v>3.2219478677661146</v>
      </c>
      <c r="AW61" s="1">
        <f t="shared" si="7"/>
        <v>1.966214054727343</v>
      </c>
    </row>
    <row r="62" spans="1:49" x14ac:dyDescent="0.2">
      <c r="A62">
        <v>60</v>
      </c>
      <c r="B62" t="s">
        <v>9507</v>
      </c>
      <c r="C62" t="s">
        <v>9506</v>
      </c>
      <c r="F62" t="s">
        <v>9505</v>
      </c>
      <c r="G62" t="s">
        <v>9</v>
      </c>
      <c r="H62" t="s">
        <v>8</v>
      </c>
      <c r="I62" t="s">
        <v>840</v>
      </c>
      <c r="J62">
        <v>60032330</v>
      </c>
      <c r="K62" t="s">
        <v>9498</v>
      </c>
      <c r="L62" t="s">
        <v>9504</v>
      </c>
      <c r="M62" t="s">
        <v>10</v>
      </c>
      <c r="N62">
        <v>1</v>
      </c>
      <c r="O62" t="s">
        <v>9503</v>
      </c>
      <c r="P62">
        <v>7601578670</v>
      </c>
      <c r="Q62">
        <v>60032330</v>
      </c>
      <c r="R62" s="7">
        <v>36863</v>
      </c>
      <c r="S62" s="8">
        <f t="shared" si="0"/>
        <v>2000</v>
      </c>
      <c r="T62" s="8">
        <v>2000</v>
      </c>
      <c r="U62" s="8">
        <f t="shared" si="1"/>
        <v>22</v>
      </c>
      <c r="V62" s="7">
        <v>2000</v>
      </c>
      <c r="W62" t="s">
        <v>300</v>
      </c>
      <c r="X62" s="2">
        <v>2.141</v>
      </c>
      <c r="Y62" s="6">
        <f t="shared" si="2"/>
        <v>5.7152772216438434E-2</v>
      </c>
      <c r="AA62">
        <v>1962892</v>
      </c>
      <c r="AB62">
        <v>17360</v>
      </c>
      <c r="AD62" t="s">
        <v>3</v>
      </c>
      <c r="AE62">
        <v>38</v>
      </c>
      <c r="AF62">
        <v>3</v>
      </c>
      <c r="AH62" t="s">
        <v>9502</v>
      </c>
      <c r="AI62" t="s">
        <v>9501</v>
      </c>
      <c r="AK62" t="s">
        <v>9500</v>
      </c>
      <c r="AL62">
        <v>31</v>
      </c>
      <c r="AM62" s="5">
        <f t="shared" si="3"/>
        <v>1.4090909090909092</v>
      </c>
      <c r="AN62" s="4">
        <f t="shared" si="4"/>
        <v>2.1341778252039517E-3</v>
      </c>
      <c r="AO62" s="3"/>
      <c r="AP62">
        <v>0</v>
      </c>
      <c r="AQ62" t="s">
        <v>9499</v>
      </c>
      <c r="AR62" t="s">
        <v>1</v>
      </c>
      <c r="AS62" t="s">
        <v>9498</v>
      </c>
      <c r="AT62" s="2" t="s">
        <v>0</v>
      </c>
      <c r="AU62" s="1">
        <f t="shared" si="5"/>
        <v>4.0647193899068093</v>
      </c>
      <c r="AV62" s="1">
        <f t="shared" si="6"/>
        <v>2.9643475020821195</v>
      </c>
      <c r="AW62" s="1">
        <f t="shared" si="7"/>
        <v>1.8639756142574297</v>
      </c>
    </row>
    <row r="63" spans="1:49" x14ac:dyDescent="0.2">
      <c r="A63">
        <v>61</v>
      </c>
      <c r="B63" t="s">
        <v>9497</v>
      </c>
      <c r="C63" t="s">
        <v>9496</v>
      </c>
      <c r="F63" t="s">
        <v>703</v>
      </c>
      <c r="G63" t="s">
        <v>9</v>
      </c>
      <c r="H63" t="s">
        <v>8</v>
      </c>
      <c r="I63" t="s">
        <v>702</v>
      </c>
      <c r="J63">
        <v>60007284</v>
      </c>
      <c r="K63" t="s">
        <v>519</v>
      </c>
      <c r="L63" t="s">
        <v>74</v>
      </c>
      <c r="M63" t="s">
        <v>73</v>
      </c>
      <c r="N63">
        <v>3</v>
      </c>
      <c r="O63" t="s">
        <v>701</v>
      </c>
      <c r="P63" t="s">
        <v>700</v>
      </c>
      <c r="Q63" t="s">
        <v>699</v>
      </c>
      <c r="R63" s="7">
        <v>36863</v>
      </c>
      <c r="S63" s="8">
        <f t="shared" si="0"/>
        <v>2000</v>
      </c>
      <c r="T63" s="8">
        <v>2000</v>
      </c>
      <c r="U63" s="8">
        <f t="shared" si="1"/>
        <v>22</v>
      </c>
      <c r="V63" s="7">
        <v>2000</v>
      </c>
      <c r="W63" s="11" t="s">
        <v>315</v>
      </c>
      <c r="X63" s="2">
        <v>2.383</v>
      </c>
      <c r="Y63" s="6">
        <f t="shared" si="2"/>
        <v>6.3612824003630442E-2</v>
      </c>
      <c r="AA63">
        <v>13502425</v>
      </c>
      <c r="AB63">
        <v>17413</v>
      </c>
      <c r="AD63" t="s">
        <v>3</v>
      </c>
      <c r="AE63">
        <v>147</v>
      </c>
      <c r="AF63">
        <v>3</v>
      </c>
      <c r="AH63" t="s">
        <v>9495</v>
      </c>
      <c r="AI63" t="s">
        <v>9494</v>
      </c>
      <c r="AK63" t="s">
        <v>9493</v>
      </c>
      <c r="AL63">
        <v>14</v>
      </c>
      <c r="AM63" s="5">
        <f t="shared" si="3"/>
        <v>0.63636363636363635</v>
      </c>
      <c r="AN63" s="4">
        <f t="shared" si="4"/>
        <v>9.6382224364049431E-4</v>
      </c>
      <c r="AO63" s="3"/>
      <c r="AP63">
        <v>0</v>
      </c>
      <c r="AR63" t="s">
        <v>1</v>
      </c>
      <c r="AT63" s="2" t="s">
        <v>0</v>
      </c>
      <c r="AU63" s="1">
        <f t="shared" si="5"/>
        <v>4.4818123475633458</v>
      </c>
      <c r="AV63" s="1">
        <f t="shared" si="6"/>
        <v>3.2288323123635472</v>
      </c>
      <c r="AW63" s="1">
        <f t="shared" si="7"/>
        <v>1.9758522771637477</v>
      </c>
    </row>
    <row r="64" spans="1:49" x14ac:dyDescent="0.2">
      <c r="A64">
        <v>62</v>
      </c>
      <c r="B64" t="s">
        <v>9492</v>
      </c>
      <c r="C64" t="s">
        <v>9491</v>
      </c>
      <c r="F64" t="s">
        <v>9490</v>
      </c>
      <c r="G64" t="s">
        <v>9</v>
      </c>
      <c r="H64" t="s">
        <v>8</v>
      </c>
      <c r="I64" t="s">
        <v>9489</v>
      </c>
      <c r="J64" t="s">
        <v>9488</v>
      </c>
      <c r="K64" t="s">
        <v>9487</v>
      </c>
      <c r="L64" t="s">
        <v>9486</v>
      </c>
      <c r="M64" t="s">
        <v>63</v>
      </c>
      <c r="N64">
        <v>2</v>
      </c>
      <c r="O64" t="s">
        <v>9485</v>
      </c>
      <c r="P64" t="s">
        <v>9484</v>
      </c>
      <c r="Q64" t="s">
        <v>9483</v>
      </c>
      <c r="R64" s="7">
        <v>36863</v>
      </c>
      <c r="S64" s="8">
        <f t="shared" si="0"/>
        <v>2000</v>
      </c>
      <c r="T64" s="8">
        <v>2000</v>
      </c>
      <c r="U64" s="8">
        <f t="shared" si="1"/>
        <v>22</v>
      </c>
      <c r="V64" s="7">
        <v>2000</v>
      </c>
      <c r="W64" t="s">
        <v>221</v>
      </c>
      <c r="X64" s="2">
        <v>1.365</v>
      </c>
      <c r="Y64" s="6">
        <f t="shared" si="2"/>
        <v>3.6437895411227675E-2</v>
      </c>
      <c r="AA64">
        <v>189545</v>
      </c>
      <c r="AB64">
        <v>17393</v>
      </c>
      <c r="AD64" t="s">
        <v>3</v>
      </c>
      <c r="AE64">
        <v>49</v>
      </c>
      <c r="AF64">
        <v>3</v>
      </c>
      <c r="AH64" t="s">
        <v>9482</v>
      </c>
      <c r="AI64" t="s">
        <v>9481</v>
      </c>
      <c r="AK64" t="s">
        <v>9480</v>
      </c>
      <c r="AL64">
        <v>3</v>
      </c>
      <c r="AM64" s="5">
        <f t="shared" si="3"/>
        <v>0.13636363636363635</v>
      </c>
      <c r="AN64" s="4">
        <f t="shared" si="4"/>
        <v>2.0653333792296306E-4</v>
      </c>
      <c r="AO64" s="3"/>
      <c r="AP64">
        <v>0</v>
      </c>
      <c r="AR64" t="s">
        <v>1</v>
      </c>
      <c r="AT64" s="2" t="s">
        <v>0</v>
      </c>
      <c r="AU64" s="1">
        <f t="shared" si="5"/>
        <v>2.5568486789236258</v>
      </c>
      <c r="AV64" s="1">
        <f t="shared" si="6"/>
        <v>1.8322214374575319</v>
      </c>
      <c r="AW64" s="1">
        <f t="shared" si="7"/>
        <v>1.1075941959914375</v>
      </c>
    </row>
    <row r="65" spans="1:49" x14ac:dyDescent="0.2">
      <c r="A65">
        <v>63</v>
      </c>
      <c r="B65" t="s">
        <v>9479</v>
      </c>
      <c r="C65" t="s">
        <v>9478</v>
      </c>
      <c r="F65" t="s">
        <v>9477</v>
      </c>
      <c r="G65" t="s">
        <v>9</v>
      </c>
      <c r="H65" t="s">
        <v>8</v>
      </c>
      <c r="I65" t="s">
        <v>9476</v>
      </c>
      <c r="J65" t="s">
        <v>9475</v>
      </c>
      <c r="K65" t="s">
        <v>9474</v>
      </c>
      <c r="L65" t="s">
        <v>9473</v>
      </c>
      <c r="M65" t="s">
        <v>9472</v>
      </c>
      <c r="N65">
        <v>5</v>
      </c>
      <c r="O65" t="s">
        <v>9471</v>
      </c>
      <c r="P65" t="s">
        <v>9470</v>
      </c>
      <c r="Q65" t="s">
        <v>9469</v>
      </c>
      <c r="R65" s="7">
        <v>36863</v>
      </c>
      <c r="S65" s="8">
        <f t="shared" si="0"/>
        <v>2000</v>
      </c>
      <c r="T65" s="8">
        <v>2000</v>
      </c>
      <c r="U65" s="8">
        <f t="shared" si="1"/>
        <v>22</v>
      </c>
      <c r="V65" s="7">
        <v>2000</v>
      </c>
      <c r="W65" t="s">
        <v>180</v>
      </c>
      <c r="X65" s="2">
        <v>0.30199999999999999</v>
      </c>
      <c r="Y65" s="6">
        <f t="shared" si="2"/>
        <v>8.0617175195536687E-3</v>
      </c>
      <c r="AA65">
        <v>9296212</v>
      </c>
      <c r="AB65">
        <v>20725</v>
      </c>
      <c r="AD65" t="s">
        <v>3</v>
      </c>
      <c r="AE65">
        <v>14</v>
      </c>
      <c r="AF65">
        <v>3</v>
      </c>
      <c r="AH65" t="s">
        <v>9468</v>
      </c>
      <c r="AI65" t="s">
        <v>9467</v>
      </c>
      <c r="AK65" t="s">
        <v>9466</v>
      </c>
      <c r="AL65">
        <v>5</v>
      </c>
      <c r="AM65" s="5">
        <f t="shared" si="3"/>
        <v>0.22727272727272727</v>
      </c>
      <c r="AN65" s="4">
        <f t="shared" si="4"/>
        <v>3.4422222987160508E-4</v>
      </c>
      <c r="AO65" s="3"/>
      <c r="AP65">
        <v>0</v>
      </c>
      <c r="AR65" t="s">
        <v>1</v>
      </c>
      <c r="AT65" s="2">
        <v>1.671</v>
      </c>
      <c r="AU65" s="1">
        <f t="shared" si="5"/>
        <v>0.57464689326490481</v>
      </c>
      <c r="AV65" s="1">
        <f t="shared" si="6"/>
        <v>0.42029698747126365</v>
      </c>
      <c r="AW65" s="1">
        <f t="shared" si="7"/>
        <v>0.26594708167762243</v>
      </c>
    </row>
    <row r="66" spans="1:49" x14ac:dyDescent="0.2">
      <c r="A66">
        <v>64</v>
      </c>
      <c r="B66" t="s">
        <v>9465</v>
      </c>
      <c r="C66" t="s">
        <v>9464</v>
      </c>
      <c r="F66" t="s">
        <v>9463</v>
      </c>
      <c r="G66" t="s">
        <v>9</v>
      </c>
      <c r="H66" t="s">
        <v>8</v>
      </c>
      <c r="I66" t="s">
        <v>301</v>
      </c>
      <c r="J66" t="s">
        <v>9462</v>
      </c>
      <c r="K66" t="s">
        <v>9461</v>
      </c>
      <c r="L66" t="s">
        <v>9460</v>
      </c>
      <c r="M66" t="s">
        <v>9459</v>
      </c>
      <c r="N66">
        <v>2</v>
      </c>
      <c r="O66" t="s">
        <v>9458</v>
      </c>
      <c r="P66" t="s">
        <v>9457</v>
      </c>
      <c r="Q66" t="s">
        <v>9456</v>
      </c>
      <c r="R66" s="7">
        <v>36863</v>
      </c>
      <c r="S66" s="8">
        <f t="shared" ref="S66:S129" si="8">YEAR(R66)</f>
        <v>2000</v>
      </c>
      <c r="T66" s="8">
        <v>2000</v>
      </c>
      <c r="U66" s="8">
        <f t="shared" ref="U66:U129" si="9">2022-T66</f>
        <v>22</v>
      </c>
      <c r="V66" s="7">
        <v>2000</v>
      </c>
      <c r="W66" t="s">
        <v>291</v>
      </c>
      <c r="X66" s="2">
        <v>1.6519999999999999</v>
      </c>
      <c r="Y66" s="6">
        <f t="shared" ref="Y66:Y129" si="10">(X66-$Z$3)/($Z$2-$Z$3)</f>
        <v>4.409919649769093E-2</v>
      </c>
      <c r="AA66" t="s">
        <v>290</v>
      </c>
      <c r="AB66">
        <v>17337</v>
      </c>
      <c r="AD66" t="s">
        <v>3</v>
      </c>
      <c r="AE66">
        <v>48</v>
      </c>
      <c r="AF66">
        <v>4</v>
      </c>
      <c r="AH66" t="s">
        <v>131</v>
      </c>
      <c r="AI66" t="s">
        <v>9455</v>
      </c>
      <c r="AK66" t="s">
        <v>9454</v>
      </c>
      <c r="AL66">
        <v>24</v>
      </c>
      <c r="AM66" s="5">
        <f t="shared" ref="AM66:AM129" si="11">AL66/U66</f>
        <v>1.0909090909090908</v>
      </c>
      <c r="AN66" s="4">
        <f t="shared" ref="AN66:AN129" si="12">(AM66-$AO$3)/($AO$2-$AO$3)</f>
        <v>1.6522667033837045E-3</v>
      </c>
      <c r="AO66" s="3"/>
      <c r="AP66">
        <v>0</v>
      </c>
      <c r="AR66" t="s">
        <v>1</v>
      </c>
      <c r="AT66" s="2" t="s">
        <v>0</v>
      </c>
      <c r="AU66" s="1">
        <f t="shared" ref="AU66:AU129" si="13">(Y66*0.7+AN66*0.3)*100</f>
        <v>3.1365117559398761</v>
      </c>
      <c r="AV66" s="1">
        <f t="shared" ref="AV66:AV129" si="14">(Y66*0.5+AN66*0.5)*100</f>
        <v>2.2875731600537317</v>
      </c>
      <c r="AW66" s="1">
        <f t="shared" ref="AW66:AW129" si="15">(Y66*0.3+AN66*0.7)*100</f>
        <v>1.4386345641675871</v>
      </c>
    </row>
    <row r="67" spans="1:49" x14ac:dyDescent="0.2">
      <c r="A67">
        <v>65</v>
      </c>
      <c r="B67" t="s">
        <v>9453</v>
      </c>
      <c r="C67" t="s">
        <v>9452</v>
      </c>
      <c r="F67" t="s">
        <v>9451</v>
      </c>
      <c r="G67" t="s">
        <v>9</v>
      </c>
      <c r="H67" t="s">
        <v>8</v>
      </c>
      <c r="I67" t="s">
        <v>9450</v>
      </c>
      <c r="J67">
        <v>60003416</v>
      </c>
      <c r="K67" t="s">
        <v>9449</v>
      </c>
      <c r="L67" t="s">
        <v>9448</v>
      </c>
      <c r="M67" t="s">
        <v>43</v>
      </c>
      <c r="N67">
        <v>1</v>
      </c>
      <c r="O67" t="s">
        <v>9447</v>
      </c>
      <c r="P67">
        <v>7401729105</v>
      </c>
      <c r="Q67">
        <v>60003416</v>
      </c>
      <c r="R67" s="7">
        <v>36863</v>
      </c>
      <c r="S67" s="8">
        <f t="shared" si="8"/>
        <v>2000</v>
      </c>
      <c r="T67" s="8">
        <v>2000</v>
      </c>
      <c r="U67" s="8">
        <f t="shared" si="9"/>
        <v>22</v>
      </c>
      <c r="V67" s="7">
        <v>2000</v>
      </c>
      <c r="W67" t="s">
        <v>291</v>
      </c>
      <c r="X67" s="2">
        <v>1.6519999999999999</v>
      </c>
      <c r="Y67" s="6">
        <f t="shared" si="10"/>
        <v>4.409919649769093E-2</v>
      </c>
      <c r="AA67" t="s">
        <v>290</v>
      </c>
      <c r="AB67">
        <v>17337</v>
      </c>
      <c r="AD67" t="s">
        <v>3</v>
      </c>
      <c r="AE67">
        <v>48</v>
      </c>
      <c r="AF67">
        <v>4</v>
      </c>
      <c r="AH67" t="s">
        <v>9446</v>
      </c>
      <c r="AI67" t="s">
        <v>9445</v>
      </c>
      <c r="AK67" t="s">
        <v>9444</v>
      </c>
      <c r="AL67">
        <v>1</v>
      </c>
      <c r="AM67" s="5">
        <f t="shared" si="11"/>
        <v>4.5454545454545456E-2</v>
      </c>
      <c r="AN67" s="4">
        <f t="shared" si="12"/>
        <v>6.8844445974321024E-5</v>
      </c>
      <c r="AO67" s="3"/>
      <c r="AP67">
        <v>0</v>
      </c>
      <c r="AR67" t="s">
        <v>1</v>
      </c>
      <c r="AT67" s="2" t="s">
        <v>0</v>
      </c>
      <c r="AU67" s="1">
        <f t="shared" si="13"/>
        <v>3.0890090882175945</v>
      </c>
      <c r="AV67" s="1">
        <f t="shared" si="14"/>
        <v>2.2084020471832626</v>
      </c>
      <c r="AW67" s="1">
        <f t="shared" si="15"/>
        <v>1.3277950061489303</v>
      </c>
    </row>
    <row r="68" spans="1:49" x14ac:dyDescent="0.2">
      <c r="A68">
        <v>66</v>
      </c>
      <c r="B68" t="s">
        <v>9443</v>
      </c>
      <c r="C68" t="s">
        <v>9442</v>
      </c>
      <c r="F68" t="s">
        <v>9441</v>
      </c>
      <c r="G68" t="s">
        <v>9</v>
      </c>
      <c r="H68" t="s">
        <v>8</v>
      </c>
      <c r="I68" t="s">
        <v>9440</v>
      </c>
      <c r="J68" t="s">
        <v>9439</v>
      </c>
      <c r="K68" t="s">
        <v>9438</v>
      </c>
      <c r="L68" t="s">
        <v>9437</v>
      </c>
      <c r="M68" t="s">
        <v>183</v>
      </c>
      <c r="N68">
        <v>2</v>
      </c>
      <c r="O68" t="s">
        <v>9436</v>
      </c>
      <c r="P68" t="s">
        <v>9435</v>
      </c>
      <c r="Q68" t="s">
        <v>9434</v>
      </c>
      <c r="R68" s="7">
        <v>36863</v>
      </c>
      <c r="S68" s="8">
        <f t="shared" si="8"/>
        <v>2000</v>
      </c>
      <c r="T68" s="8">
        <v>2000</v>
      </c>
      <c r="U68" s="8">
        <f t="shared" si="9"/>
        <v>22</v>
      </c>
      <c r="V68" s="7">
        <v>2000</v>
      </c>
      <c r="W68" t="s">
        <v>291</v>
      </c>
      <c r="X68" s="2">
        <v>1.6519999999999999</v>
      </c>
      <c r="Y68" s="6">
        <f t="shared" si="10"/>
        <v>4.409919649769093E-2</v>
      </c>
      <c r="AA68" t="s">
        <v>290</v>
      </c>
      <c r="AB68">
        <v>17337</v>
      </c>
      <c r="AD68" t="s">
        <v>3</v>
      </c>
      <c r="AE68">
        <v>48</v>
      </c>
      <c r="AF68">
        <v>4</v>
      </c>
      <c r="AH68" t="s">
        <v>9433</v>
      </c>
      <c r="AI68" t="s">
        <v>9432</v>
      </c>
      <c r="AK68" t="s">
        <v>9431</v>
      </c>
      <c r="AL68">
        <v>45</v>
      </c>
      <c r="AM68" s="5">
        <f t="shared" si="11"/>
        <v>2.0454545454545454</v>
      </c>
      <c r="AN68" s="4">
        <f t="shared" si="12"/>
        <v>3.0980000688444458E-3</v>
      </c>
      <c r="AO68" s="3"/>
      <c r="AP68">
        <v>0</v>
      </c>
      <c r="AQ68" t="s">
        <v>210</v>
      </c>
      <c r="AR68" t="s">
        <v>9430</v>
      </c>
      <c r="AS68" t="s">
        <v>209</v>
      </c>
      <c r="AT68" s="2" t="s">
        <v>0</v>
      </c>
      <c r="AU68" s="1">
        <f t="shared" si="13"/>
        <v>3.1798837569036986</v>
      </c>
      <c r="AV68" s="1">
        <f t="shared" si="14"/>
        <v>2.3598598283267691</v>
      </c>
      <c r="AW68" s="1">
        <f t="shared" si="15"/>
        <v>1.5398358997498391</v>
      </c>
    </row>
    <row r="69" spans="1:49" x14ac:dyDescent="0.2">
      <c r="A69">
        <v>67</v>
      </c>
      <c r="B69" t="s">
        <v>9429</v>
      </c>
      <c r="C69" t="s">
        <v>9428</v>
      </c>
      <c r="F69" t="s">
        <v>9427</v>
      </c>
      <c r="G69" t="s">
        <v>9</v>
      </c>
      <c r="H69" t="s">
        <v>8</v>
      </c>
      <c r="I69" t="s">
        <v>9426</v>
      </c>
      <c r="J69" t="s">
        <v>9425</v>
      </c>
      <c r="K69" t="s">
        <v>9424</v>
      </c>
      <c r="L69" t="s">
        <v>9423</v>
      </c>
      <c r="M69" t="s">
        <v>19</v>
      </c>
      <c r="N69">
        <v>1</v>
      </c>
      <c r="O69" t="s">
        <v>9422</v>
      </c>
      <c r="P69">
        <v>7003568836</v>
      </c>
      <c r="Q69" t="s">
        <v>9421</v>
      </c>
      <c r="R69" s="7">
        <v>36863</v>
      </c>
      <c r="S69" s="8">
        <f t="shared" si="8"/>
        <v>2000</v>
      </c>
      <c r="T69" s="8">
        <v>2000</v>
      </c>
      <c r="U69" s="8">
        <f t="shared" si="9"/>
        <v>22</v>
      </c>
      <c r="V69" s="7">
        <v>2000</v>
      </c>
      <c r="W69" t="s">
        <v>291</v>
      </c>
      <c r="X69" s="2">
        <v>1.6519999999999999</v>
      </c>
      <c r="Y69" s="6">
        <f t="shared" si="10"/>
        <v>4.409919649769093E-2</v>
      </c>
      <c r="AA69" t="s">
        <v>290</v>
      </c>
      <c r="AB69">
        <v>17337</v>
      </c>
      <c r="AD69" t="s">
        <v>3</v>
      </c>
      <c r="AE69">
        <v>48</v>
      </c>
      <c r="AF69">
        <v>4</v>
      </c>
      <c r="AH69" t="s">
        <v>9420</v>
      </c>
      <c r="AI69" t="s">
        <v>9419</v>
      </c>
      <c r="AK69" t="s">
        <v>9418</v>
      </c>
      <c r="AL69">
        <v>0</v>
      </c>
      <c r="AM69" s="5">
        <f t="shared" si="11"/>
        <v>0</v>
      </c>
      <c r="AN69" s="4">
        <f t="shared" si="12"/>
        <v>0</v>
      </c>
      <c r="AO69" s="3"/>
      <c r="AP69">
        <v>0</v>
      </c>
      <c r="AR69" t="s">
        <v>1</v>
      </c>
      <c r="AT69" s="2" t="s">
        <v>0</v>
      </c>
      <c r="AU69" s="1">
        <f t="shared" si="13"/>
        <v>3.0869437548383649</v>
      </c>
      <c r="AV69" s="1">
        <f t="shared" si="14"/>
        <v>2.2049598248845466</v>
      </c>
      <c r="AW69" s="1">
        <f t="shared" si="15"/>
        <v>1.3229758949307278</v>
      </c>
    </row>
    <row r="70" spans="1:49" x14ac:dyDescent="0.2">
      <c r="A70">
        <v>68</v>
      </c>
      <c r="B70" t="s">
        <v>9417</v>
      </c>
      <c r="C70" t="s">
        <v>9416</v>
      </c>
      <c r="F70" t="s">
        <v>9415</v>
      </c>
      <c r="G70" t="s">
        <v>9</v>
      </c>
      <c r="H70" t="s">
        <v>8</v>
      </c>
      <c r="I70" t="s">
        <v>9414</v>
      </c>
      <c r="J70" t="s">
        <v>9413</v>
      </c>
      <c r="K70" t="s">
        <v>9412</v>
      </c>
      <c r="L70" t="s">
        <v>9411</v>
      </c>
      <c r="M70" t="s">
        <v>9410</v>
      </c>
      <c r="N70">
        <v>2</v>
      </c>
      <c r="O70" t="s">
        <v>9409</v>
      </c>
      <c r="P70" t="s">
        <v>9408</v>
      </c>
      <c r="Q70" t="s">
        <v>9407</v>
      </c>
      <c r="R70" s="7">
        <v>36863</v>
      </c>
      <c r="S70" s="8">
        <f t="shared" si="8"/>
        <v>2000</v>
      </c>
      <c r="T70" s="8">
        <v>2000</v>
      </c>
      <c r="U70" s="8">
        <f t="shared" si="9"/>
        <v>22</v>
      </c>
      <c r="V70" s="7">
        <v>2000</v>
      </c>
      <c r="W70" t="s">
        <v>322</v>
      </c>
      <c r="X70" s="2">
        <v>1.6379999999999999</v>
      </c>
      <c r="Y70" s="6">
        <f t="shared" si="10"/>
        <v>4.3725474493473214E-2</v>
      </c>
      <c r="AA70" t="s">
        <v>321</v>
      </c>
      <c r="AB70">
        <v>17391</v>
      </c>
      <c r="AD70" t="s">
        <v>3</v>
      </c>
      <c r="AE70">
        <v>48</v>
      </c>
      <c r="AF70">
        <v>7</v>
      </c>
      <c r="AH70" t="s">
        <v>9406</v>
      </c>
      <c r="AI70" t="s">
        <v>9405</v>
      </c>
      <c r="AK70" t="s">
        <v>9404</v>
      </c>
      <c r="AL70">
        <v>191</v>
      </c>
      <c r="AM70" s="5">
        <f t="shared" si="11"/>
        <v>8.6818181818181817</v>
      </c>
      <c r="AN70" s="4">
        <f t="shared" si="12"/>
        <v>1.3149289181095316E-2</v>
      </c>
      <c r="AO70" s="3"/>
      <c r="AP70">
        <v>0</v>
      </c>
      <c r="AQ70" t="s">
        <v>833</v>
      </c>
      <c r="AR70" t="s">
        <v>1</v>
      </c>
      <c r="AS70" t="s">
        <v>832</v>
      </c>
      <c r="AT70" s="2">
        <v>4.931</v>
      </c>
      <c r="AU70" s="1">
        <f t="shared" si="13"/>
        <v>3.4552618899759842</v>
      </c>
      <c r="AV70" s="1">
        <f t="shared" si="14"/>
        <v>2.8437381837284263</v>
      </c>
      <c r="AW70" s="1">
        <f t="shared" si="15"/>
        <v>2.2322144774808685</v>
      </c>
    </row>
    <row r="71" spans="1:49" x14ac:dyDescent="0.2">
      <c r="A71">
        <v>69</v>
      </c>
      <c r="B71" t="s">
        <v>9403</v>
      </c>
      <c r="C71" t="s">
        <v>9402</v>
      </c>
      <c r="F71" t="s">
        <v>9401</v>
      </c>
      <c r="G71" t="s">
        <v>9</v>
      </c>
      <c r="H71" t="s">
        <v>8</v>
      </c>
      <c r="I71" t="s">
        <v>9400</v>
      </c>
      <c r="J71">
        <v>60028899</v>
      </c>
      <c r="K71" t="s">
        <v>9399</v>
      </c>
      <c r="L71" t="s">
        <v>9398</v>
      </c>
      <c r="M71" t="s">
        <v>105</v>
      </c>
      <c r="N71">
        <v>2</v>
      </c>
      <c r="O71" t="s">
        <v>9397</v>
      </c>
      <c r="P71" t="s">
        <v>9396</v>
      </c>
      <c r="Q71" t="s">
        <v>9395</v>
      </c>
      <c r="R71" s="7">
        <v>36863</v>
      </c>
      <c r="S71" s="8">
        <f t="shared" si="8"/>
        <v>2000</v>
      </c>
      <c r="T71" s="8">
        <v>2000</v>
      </c>
      <c r="U71" s="8">
        <f t="shared" si="9"/>
        <v>22</v>
      </c>
      <c r="V71" s="7">
        <v>2000</v>
      </c>
      <c r="W71" t="s">
        <v>9394</v>
      </c>
      <c r="X71" s="2">
        <v>0.63700000000000001</v>
      </c>
      <c r="Y71" s="6">
        <f t="shared" si="10"/>
        <v>1.7004351191906249E-2</v>
      </c>
      <c r="AA71">
        <v>261394</v>
      </c>
      <c r="AB71">
        <v>15443</v>
      </c>
      <c r="AD71" t="s">
        <v>3</v>
      </c>
      <c r="AE71">
        <v>37</v>
      </c>
      <c r="AF71">
        <v>1</v>
      </c>
      <c r="AH71" t="s">
        <v>9393</v>
      </c>
      <c r="AI71" t="s">
        <v>9392</v>
      </c>
      <c r="AK71" t="s">
        <v>9391</v>
      </c>
      <c r="AL71">
        <v>19</v>
      </c>
      <c r="AM71" s="5">
        <f t="shared" si="11"/>
        <v>0.86363636363636365</v>
      </c>
      <c r="AN71" s="4">
        <f t="shared" si="12"/>
        <v>1.3080444735120995E-3</v>
      </c>
      <c r="AO71" s="3"/>
      <c r="AP71">
        <v>0</v>
      </c>
      <c r="AR71" t="s">
        <v>1</v>
      </c>
      <c r="AT71" s="2">
        <v>3.157</v>
      </c>
      <c r="AU71" s="1">
        <f t="shared" si="13"/>
        <v>1.2295459176388004</v>
      </c>
      <c r="AV71" s="1">
        <f t="shared" si="14"/>
        <v>0.91561978327091742</v>
      </c>
      <c r="AW71" s="1">
        <f t="shared" si="15"/>
        <v>0.60169364890303445</v>
      </c>
    </row>
    <row r="72" spans="1:49" x14ac:dyDescent="0.2">
      <c r="A72">
        <v>70</v>
      </c>
      <c r="B72" t="s">
        <v>9390</v>
      </c>
      <c r="C72" t="s">
        <v>9389</v>
      </c>
      <c r="F72" t="s">
        <v>9388</v>
      </c>
      <c r="G72" t="s">
        <v>9</v>
      </c>
      <c r="H72" t="s">
        <v>8</v>
      </c>
      <c r="I72" t="s">
        <v>9387</v>
      </c>
      <c r="J72" t="s">
        <v>9386</v>
      </c>
      <c r="K72" t="s">
        <v>9385</v>
      </c>
      <c r="L72" t="s">
        <v>9384</v>
      </c>
      <c r="M72" t="s">
        <v>88</v>
      </c>
      <c r="N72">
        <v>3</v>
      </c>
      <c r="O72" t="s">
        <v>9383</v>
      </c>
      <c r="P72" t="s">
        <v>9382</v>
      </c>
      <c r="Q72" t="s">
        <v>9381</v>
      </c>
      <c r="R72" s="7">
        <v>36863</v>
      </c>
      <c r="S72" s="8">
        <f t="shared" si="8"/>
        <v>2000</v>
      </c>
      <c r="T72" s="8">
        <v>2000</v>
      </c>
      <c r="U72" s="8">
        <f t="shared" si="9"/>
        <v>22</v>
      </c>
      <c r="V72" s="7">
        <v>2000</v>
      </c>
      <c r="W72" s="11" t="s">
        <v>253</v>
      </c>
      <c r="X72" s="2">
        <v>2.383</v>
      </c>
      <c r="Y72" s="6">
        <f t="shared" si="10"/>
        <v>6.3612824003630442E-2</v>
      </c>
      <c r="AA72">
        <v>13502417</v>
      </c>
      <c r="AB72">
        <v>17416</v>
      </c>
      <c r="AD72" t="s">
        <v>3</v>
      </c>
      <c r="AE72">
        <v>147</v>
      </c>
      <c r="AF72">
        <v>3</v>
      </c>
      <c r="AH72" t="s">
        <v>9380</v>
      </c>
      <c r="AI72" t="s">
        <v>9379</v>
      </c>
      <c r="AK72" t="s">
        <v>9378</v>
      </c>
      <c r="AL72">
        <v>10</v>
      </c>
      <c r="AM72" s="5">
        <f t="shared" si="11"/>
        <v>0.45454545454545453</v>
      </c>
      <c r="AN72" s="4">
        <f t="shared" si="12"/>
        <v>6.8844445974321016E-4</v>
      </c>
      <c r="AO72" s="3"/>
      <c r="AP72">
        <v>0</v>
      </c>
      <c r="AR72" t="s">
        <v>1</v>
      </c>
      <c r="AT72" s="2" t="s">
        <v>0</v>
      </c>
      <c r="AU72" s="1">
        <f t="shared" si="13"/>
        <v>4.4735510140464267</v>
      </c>
      <c r="AV72" s="1">
        <f t="shared" si="14"/>
        <v>3.2150634231686825</v>
      </c>
      <c r="AW72" s="1">
        <f t="shared" si="15"/>
        <v>1.9565758322909379</v>
      </c>
    </row>
    <row r="73" spans="1:49" x14ac:dyDescent="0.2">
      <c r="A73">
        <v>71</v>
      </c>
      <c r="B73" t="s">
        <v>9377</v>
      </c>
      <c r="C73" t="s">
        <v>9376</v>
      </c>
      <c r="F73" t="s">
        <v>9375</v>
      </c>
      <c r="G73" t="s">
        <v>9</v>
      </c>
      <c r="H73" t="s">
        <v>8</v>
      </c>
      <c r="I73" t="s">
        <v>515</v>
      </c>
      <c r="J73">
        <v>60005510</v>
      </c>
      <c r="K73" t="s">
        <v>359</v>
      </c>
      <c r="L73" t="s">
        <v>74</v>
      </c>
      <c r="M73" t="s">
        <v>73</v>
      </c>
      <c r="N73">
        <v>4</v>
      </c>
      <c r="O73" t="s">
        <v>9374</v>
      </c>
      <c r="P73" t="s">
        <v>9373</v>
      </c>
      <c r="Q73" t="s">
        <v>8291</v>
      </c>
      <c r="R73" s="7">
        <v>36863</v>
      </c>
      <c r="S73" s="8">
        <f t="shared" si="8"/>
        <v>2000</v>
      </c>
      <c r="T73" s="8">
        <v>2000</v>
      </c>
      <c r="U73" s="8">
        <f t="shared" si="9"/>
        <v>22</v>
      </c>
      <c r="V73" s="7">
        <v>2000</v>
      </c>
      <c r="W73" s="11" t="s">
        <v>253</v>
      </c>
      <c r="X73" s="2">
        <v>2.383</v>
      </c>
      <c r="Y73" s="6">
        <f t="shared" si="10"/>
        <v>6.3612824003630442E-2</v>
      </c>
      <c r="AA73">
        <v>13502417</v>
      </c>
      <c r="AB73">
        <v>17416</v>
      </c>
      <c r="AD73" t="s">
        <v>3</v>
      </c>
      <c r="AE73">
        <v>147</v>
      </c>
      <c r="AF73">
        <v>3</v>
      </c>
      <c r="AH73" t="s">
        <v>9372</v>
      </c>
      <c r="AI73" t="s">
        <v>9371</v>
      </c>
      <c r="AK73" t="s">
        <v>9370</v>
      </c>
      <c r="AL73">
        <v>4</v>
      </c>
      <c r="AM73" s="5">
        <f t="shared" si="11"/>
        <v>0.18181818181818182</v>
      </c>
      <c r="AN73" s="4">
        <f t="shared" si="12"/>
        <v>2.753777838972841E-4</v>
      </c>
      <c r="AO73" s="3"/>
      <c r="AP73">
        <v>0</v>
      </c>
      <c r="AR73" t="s">
        <v>1</v>
      </c>
      <c r="AT73" s="2" t="s">
        <v>0</v>
      </c>
      <c r="AU73" s="1">
        <f t="shared" si="13"/>
        <v>4.4611590137710495</v>
      </c>
      <c r="AV73" s="1">
        <f t="shared" si="14"/>
        <v>3.1944100893763863</v>
      </c>
      <c r="AW73" s="1">
        <f t="shared" si="15"/>
        <v>1.927661164981723</v>
      </c>
    </row>
    <row r="74" spans="1:49" x14ac:dyDescent="0.2">
      <c r="A74">
        <v>72</v>
      </c>
      <c r="B74" t="s">
        <v>9369</v>
      </c>
      <c r="C74" t="s">
        <v>9368</v>
      </c>
      <c r="F74" t="s">
        <v>9367</v>
      </c>
      <c r="G74" t="s">
        <v>9</v>
      </c>
      <c r="H74" t="s">
        <v>8</v>
      </c>
      <c r="I74" t="s">
        <v>9366</v>
      </c>
      <c r="J74" t="s">
        <v>9365</v>
      </c>
      <c r="K74" t="s">
        <v>9364</v>
      </c>
      <c r="L74" t="s">
        <v>9363</v>
      </c>
      <c r="M74" t="s">
        <v>9362</v>
      </c>
      <c r="N74">
        <v>4</v>
      </c>
      <c r="O74" t="s">
        <v>9361</v>
      </c>
      <c r="P74" t="s">
        <v>9360</v>
      </c>
      <c r="Q74" t="s">
        <v>9359</v>
      </c>
      <c r="R74" s="7">
        <v>36863</v>
      </c>
      <c r="S74" s="8">
        <f t="shared" si="8"/>
        <v>2000</v>
      </c>
      <c r="T74" s="8">
        <v>2000</v>
      </c>
      <c r="U74" s="8">
        <f t="shared" si="9"/>
        <v>22</v>
      </c>
      <c r="V74" s="7">
        <v>2000</v>
      </c>
      <c r="W74" t="s">
        <v>365</v>
      </c>
      <c r="X74" s="2">
        <v>1.468</v>
      </c>
      <c r="Y74" s="6">
        <f t="shared" si="10"/>
        <v>3.9187421585115186E-2</v>
      </c>
      <c r="AA74">
        <v>906778</v>
      </c>
      <c r="AB74">
        <v>18931</v>
      </c>
      <c r="AD74" t="s">
        <v>3</v>
      </c>
      <c r="AE74">
        <v>48</v>
      </c>
      <c r="AF74">
        <v>5</v>
      </c>
      <c r="AH74" t="s">
        <v>9358</v>
      </c>
      <c r="AI74" t="s">
        <v>9357</v>
      </c>
      <c r="AK74" t="s">
        <v>9356</v>
      </c>
      <c r="AL74">
        <v>45</v>
      </c>
      <c r="AM74" s="5">
        <f t="shared" si="11"/>
        <v>2.0454545454545454</v>
      </c>
      <c r="AN74" s="4">
        <f t="shared" si="12"/>
        <v>3.0980000688444458E-3</v>
      </c>
      <c r="AO74" s="3"/>
      <c r="AP74">
        <v>0</v>
      </c>
      <c r="AR74" t="s">
        <v>1</v>
      </c>
      <c r="AT74" s="2">
        <v>5.0830000000000002</v>
      </c>
      <c r="AU74" s="1">
        <f t="shared" si="13"/>
        <v>2.8360595130233963</v>
      </c>
      <c r="AV74" s="1">
        <f t="shared" si="14"/>
        <v>2.1142710826979818</v>
      </c>
      <c r="AW74" s="1">
        <f t="shared" si="15"/>
        <v>1.3924826523725669</v>
      </c>
    </row>
    <row r="75" spans="1:49" x14ac:dyDescent="0.2">
      <c r="A75">
        <v>73</v>
      </c>
      <c r="B75" t="s">
        <v>9355</v>
      </c>
      <c r="C75" t="s">
        <v>9354</v>
      </c>
      <c r="F75" t="s">
        <v>9353</v>
      </c>
      <c r="G75" t="s">
        <v>9</v>
      </c>
      <c r="H75" t="s">
        <v>8</v>
      </c>
      <c r="I75" t="s">
        <v>9352</v>
      </c>
      <c r="J75" t="s">
        <v>9351</v>
      </c>
      <c r="K75" t="s">
        <v>9350</v>
      </c>
      <c r="L75" t="s">
        <v>9349</v>
      </c>
      <c r="M75" t="s">
        <v>19</v>
      </c>
      <c r="N75">
        <v>2</v>
      </c>
      <c r="O75" t="s">
        <v>9348</v>
      </c>
      <c r="P75" t="s">
        <v>9347</v>
      </c>
      <c r="Q75" t="s">
        <v>9346</v>
      </c>
      <c r="R75" s="7">
        <v>36863</v>
      </c>
      <c r="S75" s="8">
        <f t="shared" si="8"/>
        <v>2000</v>
      </c>
      <c r="T75" s="8">
        <v>2000</v>
      </c>
      <c r="U75" s="8">
        <f t="shared" si="9"/>
        <v>22</v>
      </c>
      <c r="V75" s="7">
        <v>2000</v>
      </c>
      <c r="W75" t="s">
        <v>291</v>
      </c>
      <c r="X75" s="2">
        <v>1.6519999999999999</v>
      </c>
      <c r="Y75" s="6">
        <f t="shared" si="10"/>
        <v>4.409919649769093E-2</v>
      </c>
      <c r="AA75" t="s">
        <v>290</v>
      </c>
      <c r="AB75">
        <v>17337</v>
      </c>
      <c r="AD75" t="s">
        <v>3</v>
      </c>
      <c r="AE75">
        <v>48</v>
      </c>
      <c r="AF75">
        <v>4</v>
      </c>
      <c r="AH75" t="s">
        <v>9345</v>
      </c>
      <c r="AI75" t="s">
        <v>9344</v>
      </c>
      <c r="AK75" t="s">
        <v>9343</v>
      </c>
      <c r="AL75">
        <v>14</v>
      </c>
      <c r="AM75" s="5">
        <f t="shared" si="11"/>
        <v>0.63636363636363635</v>
      </c>
      <c r="AN75" s="4">
        <f t="shared" si="12"/>
        <v>9.6382224364049431E-4</v>
      </c>
      <c r="AO75" s="3"/>
      <c r="AP75">
        <v>0</v>
      </c>
      <c r="AR75" t="s">
        <v>1</v>
      </c>
      <c r="AT75" s="2" t="s">
        <v>0</v>
      </c>
      <c r="AU75" s="1">
        <f t="shared" si="13"/>
        <v>3.1158584221475798</v>
      </c>
      <c r="AV75" s="1">
        <f t="shared" si="14"/>
        <v>2.2531509370665712</v>
      </c>
      <c r="AW75" s="1">
        <f t="shared" si="15"/>
        <v>1.3904434519855624</v>
      </c>
    </row>
    <row r="76" spans="1:49" x14ac:dyDescent="0.2">
      <c r="A76">
        <v>74</v>
      </c>
      <c r="B76" t="s">
        <v>9342</v>
      </c>
      <c r="C76" t="s">
        <v>9341</v>
      </c>
      <c r="F76" t="s">
        <v>9340</v>
      </c>
      <c r="G76" t="s">
        <v>9</v>
      </c>
      <c r="H76" t="s">
        <v>8</v>
      </c>
      <c r="I76" t="s">
        <v>9339</v>
      </c>
      <c r="J76" t="s">
        <v>9338</v>
      </c>
      <c r="K76" t="s">
        <v>9337</v>
      </c>
      <c r="L76" t="s">
        <v>9336</v>
      </c>
      <c r="M76" t="s">
        <v>19</v>
      </c>
      <c r="N76">
        <v>1</v>
      </c>
      <c r="O76" t="s">
        <v>9335</v>
      </c>
      <c r="P76">
        <v>6603799619</v>
      </c>
      <c r="Q76" t="s">
        <v>9334</v>
      </c>
      <c r="R76" s="7">
        <v>36863</v>
      </c>
      <c r="S76" s="8">
        <f t="shared" si="8"/>
        <v>2000</v>
      </c>
      <c r="T76" s="8">
        <v>2000</v>
      </c>
      <c r="U76" s="8">
        <f t="shared" si="9"/>
        <v>22</v>
      </c>
      <c r="V76" s="7">
        <v>2000</v>
      </c>
      <c r="W76" t="s">
        <v>291</v>
      </c>
      <c r="X76" s="2">
        <v>1.6519999999999999</v>
      </c>
      <c r="Y76" s="6">
        <f t="shared" si="10"/>
        <v>4.409919649769093E-2</v>
      </c>
      <c r="AA76" t="s">
        <v>290</v>
      </c>
      <c r="AB76">
        <v>17337</v>
      </c>
      <c r="AD76" t="s">
        <v>3</v>
      </c>
      <c r="AE76">
        <v>48</v>
      </c>
      <c r="AF76">
        <v>4</v>
      </c>
      <c r="AH76" t="s">
        <v>9333</v>
      </c>
      <c r="AI76" t="s">
        <v>9332</v>
      </c>
      <c r="AK76" t="s">
        <v>9331</v>
      </c>
      <c r="AL76">
        <v>0</v>
      </c>
      <c r="AM76" s="5">
        <f t="shared" si="11"/>
        <v>0</v>
      </c>
      <c r="AN76" s="4">
        <f t="shared" si="12"/>
        <v>0</v>
      </c>
      <c r="AO76" s="3"/>
      <c r="AP76">
        <v>0</v>
      </c>
      <c r="AR76" t="s">
        <v>1</v>
      </c>
      <c r="AT76" s="2" t="s">
        <v>0</v>
      </c>
      <c r="AU76" s="1">
        <f t="shared" si="13"/>
        <v>3.0869437548383649</v>
      </c>
      <c r="AV76" s="1">
        <f t="shared" si="14"/>
        <v>2.2049598248845466</v>
      </c>
      <c r="AW76" s="1">
        <f t="shared" si="15"/>
        <v>1.3229758949307278</v>
      </c>
    </row>
    <row r="77" spans="1:49" x14ac:dyDescent="0.2">
      <c r="A77">
        <v>75</v>
      </c>
      <c r="B77" t="s">
        <v>9330</v>
      </c>
      <c r="C77" t="s">
        <v>9329</v>
      </c>
      <c r="F77" t="s">
        <v>9328</v>
      </c>
      <c r="G77" t="s">
        <v>9</v>
      </c>
      <c r="H77" t="s">
        <v>8</v>
      </c>
      <c r="I77" t="s">
        <v>9327</v>
      </c>
      <c r="J77" t="s">
        <v>9326</v>
      </c>
      <c r="K77" t="s">
        <v>9325</v>
      </c>
      <c r="L77" t="s">
        <v>9324</v>
      </c>
      <c r="M77" t="s">
        <v>9323</v>
      </c>
      <c r="N77">
        <v>3</v>
      </c>
      <c r="O77" t="s">
        <v>9322</v>
      </c>
      <c r="P77" t="s">
        <v>9321</v>
      </c>
      <c r="Q77" t="s">
        <v>9320</v>
      </c>
      <c r="R77" s="7">
        <v>36863</v>
      </c>
      <c r="S77" s="8">
        <f t="shared" si="8"/>
        <v>2000</v>
      </c>
      <c r="T77" s="8">
        <v>2000</v>
      </c>
      <c r="U77" s="8">
        <f t="shared" si="9"/>
        <v>22</v>
      </c>
      <c r="V77" s="7">
        <v>2000</v>
      </c>
      <c r="W77" t="s">
        <v>9319</v>
      </c>
      <c r="X77" s="2">
        <v>0.73199999999999998</v>
      </c>
      <c r="Y77" s="6">
        <f t="shared" si="10"/>
        <v>1.9540321934812206E-2</v>
      </c>
      <c r="AA77">
        <v>8946507</v>
      </c>
      <c r="AB77">
        <v>17388</v>
      </c>
      <c r="AD77" t="s">
        <v>3</v>
      </c>
      <c r="AE77">
        <v>13</v>
      </c>
      <c r="AF77">
        <v>2</v>
      </c>
      <c r="AH77" t="s">
        <v>9318</v>
      </c>
      <c r="AI77" t="s">
        <v>9317</v>
      </c>
      <c r="AK77" t="s">
        <v>9316</v>
      </c>
      <c r="AL77">
        <v>14</v>
      </c>
      <c r="AM77" s="5">
        <f t="shared" si="11"/>
        <v>0.63636363636363635</v>
      </c>
      <c r="AN77" s="4">
        <f t="shared" si="12"/>
        <v>9.6382224364049431E-4</v>
      </c>
      <c r="AO77" s="3"/>
      <c r="AP77">
        <v>0</v>
      </c>
      <c r="AR77" t="s">
        <v>1</v>
      </c>
      <c r="AT77" s="2" t="s">
        <v>0</v>
      </c>
      <c r="AU77" s="1">
        <f t="shared" si="13"/>
        <v>1.3967372027460692</v>
      </c>
      <c r="AV77" s="1">
        <f t="shared" si="14"/>
        <v>1.0252072089226349</v>
      </c>
      <c r="AW77" s="1">
        <f t="shared" si="15"/>
        <v>0.65367721509920074</v>
      </c>
    </row>
    <row r="78" spans="1:49" x14ac:dyDescent="0.2">
      <c r="A78">
        <v>76</v>
      </c>
      <c r="B78" t="s">
        <v>9315</v>
      </c>
      <c r="C78" t="s">
        <v>9314</v>
      </c>
      <c r="F78" t="s">
        <v>9313</v>
      </c>
      <c r="G78" t="s">
        <v>9</v>
      </c>
      <c r="H78" t="s">
        <v>8</v>
      </c>
      <c r="I78" t="s">
        <v>9312</v>
      </c>
      <c r="J78">
        <v>100416882</v>
      </c>
      <c r="K78" t="s">
        <v>9311</v>
      </c>
      <c r="L78" t="s">
        <v>9310</v>
      </c>
      <c r="M78" t="s">
        <v>5</v>
      </c>
      <c r="N78">
        <v>1</v>
      </c>
      <c r="O78" t="s">
        <v>9309</v>
      </c>
      <c r="P78">
        <v>6603575691</v>
      </c>
      <c r="Q78">
        <v>100416882</v>
      </c>
      <c r="R78" s="7">
        <v>36863</v>
      </c>
      <c r="S78" s="8">
        <f t="shared" si="8"/>
        <v>2000</v>
      </c>
      <c r="T78" s="8">
        <v>2000</v>
      </c>
      <c r="U78" s="8">
        <f t="shared" si="9"/>
        <v>22</v>
      </c>
      <c r="V78" s="7">
        <v>2000</v>
      </c>
      <c r="W78" t="s">
        <v>300</v>
      </c>
      <c r="X78" s="2">
        <v>2.141</v>
      </c>
      <c r="Y78" s="6">
        <f t="shared" si="10"/>
        <v>5.7152772216438434E-2</v>
      </c>
      <c r="AA78">
        <v>1962892</v>
      </c>
      <c r="AB78">
        <v>17360</v>
      </c>
      <c r="AD78" t="s">
        <v>3</v>
      </c>
      <c r="AE78">
        <v>38</v>
      </c>
      <c r="AF78">
        <v>3</v>
      </c>
      <c r="AH78" t="s">
        <v>9308</v>
      </c>
      <c r="AI78" t="s">
        <v>9307</v>
      </c>
      <c r="AK78" t="s">
        <v>9306</v>
      </c>
      <c r="AL78">
        <v>17</v>
      </c>
      <c r="AM78" s="5">
        <f t="shared" si="11"/>
        <v>0.77272727272727271</v>
      </c>
      <c r="AN78" s="4">
        <f t="shared" si="12"/>
        <v>1.1703555815634574E-3</v>
      </c>
      <c r="AO78" s="3"/>
      <c r="AP78">
        <v>0</v>
      </c>
      <c r="AQ78" t="s">
        <v>311</v>
      </c>
      <c r="AR78" t="s">
        <v>1</v>
      </c>
      <c r="AS78" t="s">
        <v>310</v>
      </c>
      <c r="AT78" s="2" t="s">
        <v>0</v>
      </c>
      <c r="AU78" s="1">
        <f t="shared" si="13"/>
        <v>4.0358047225975939</v>
      </c>
      <c r="AV78" s="1">
        <f t="shared" si="14"/>
        <v>2.9161563899000944</v>
      </c>
      <c r="AW78" s="1">
        <f t="shared" si="15"/>
        <v>1.7965080572025949</v>
      </c>
    </row>
    <row r="79" spans="1:49" x14ac:dyDescent="0.2">
      <c r="A79">
        <v>77</v>
      </c>
      <c r="B79" t="s">
        <v>9305</v>
      </c>
      <c r="C79" t="s">
        <v>9304</v>
      </c>
      <c r="F79" t="s">
        <v>9303</v>
      </c>
      <c r="G79" t="s">
        <v>9</v>
      </c>
      <c r="H79" t="s">
        <v>8</v>
      </c>
      <c r="I79" t="s">
        <v>9302</v>
      </c>
      <c r="J79" t="s">
        <v>9301</v>
      </c>
      <c r="K79" t="s">
        <v>9300</v>
      </c>
      <c r="L79" t="s">
        <v>9299</v>
      </c>
      <c r="M79" t="s">
        <v>793</v>
      </c>
      <c r="N79">
        <v>7</v>
      </c>
      <c r="O79" t="s">
        <v>9298</v>
      </c>
      <c r="P79" t="s">
        <v>9297</v>
      </c>
      <c r="Q79" t="s">
        <v>9296</v>
      </c>
      <c r="R79" s="7">
        <v>36863</v>
      </c>
      <c r="S79" s="8">
        <f t="shared" si="8"/>
        <v>2000</v>
      </c>
      <c r="T79" s="8">
        <v>2000</v>
      </c>
      <c r="U79" s="8">
        <f t="shared" si="9"/>
        <v>22</v>
      </c>
      <c r="V79" s="7">
        <v>2000</v>
      </c>
      <c r="W79" t="s">
        <v>2264</v>
      </c>
      <c r="X79" s="2">
        <v>0.82</v>
      </c>
      <c r="Y79" s="6">
        <f t="shared" si="10"/>
        <v>2.1889431675609299E-2</v>
      </c>
      <c r="AA79">
        <v>189456</v>
      </c>
      <c r="AB79">
        <v>15361</v>
      </c>
      <c r="AD79" t="s">
        <v>3</v>
      </c>
      <c r="AE79">
        <v>49</v>
      </c>
      <c r="AF79">
        <v>2</v>
      </c>
      <c r="AH79" t="s">
        <v>451</v>
      </c>
      <c r="AI79" t="s">
        <v>9295</v>
      </c>
      <c r="AK79" t="s">
        <v>9294</v>
      </c>
      <c r="AL79">
        <v>195</v>
      </c>
      <c r="AM79" s="5">
        <f t="shared" si="11"/>
        <v>8.8636363636363633</v>
      </c>
      <c r="AN79" s="4">
        <f t="shared" si="12"/>
        <v>1.3424666964992598E-2</v>
      </c>
      <c r="AO79" s="3"/>
      <c r="AP79">
        <v>0</v>
      </c>
      <c r="AQ79" t="s">
        <v>107</v>
      </c>
      <c r="AR79" t="s">
        <v>1</v>
      </c>
      <c r="AS79" t="s">
        <v>106</v>
      </c>
      <c r="AT79" s="2" t="s">
        <v>0</v>
      </c>
      <c r="AU79" s="1">
        <f t="shared" si="13"/>
        <v>1.9350002262424288</v>
      </c>
      <c r="AV79" s="1">
        <f t="shared" si="14"/>
        <v>1.7657049320300946</v>
      </c>
      <c r="AW79" s="1">
        <f t="shared" si="15"/>
        <v>1.5964096378177608</v>
      </c>
    </row>
    <row r="80" spans="1:49" x14ac:dyDescent="0.2">
      <c r="A80">
        <v>78</v>
      </c>
      <c r="B80" t="s">
        <v>9293</v>
      </c>
      <c r="C80" t="s">
        <v>9292</v>
      </c>
      <c r="F80" t="s">
        <v>9291</v>
      </c>
      <c r="G80" t="s">
        <v>9</v>
      </c>
      <c r="H80" t="s">
        <v>8</v>
      </c>
      <c r="I80" t="s">
        <v>2384</v>
      </c>
      <c r="J80">
        <v>60021097</v>
      </c>
      <c r="K80" t="s">
        <v>2383</v>
      </c>
      <c r="L80" t="s">
        <v>2382</v>
      </c>
      <c r="M80" t="s">
        <v>87</v>
      </c>
      <c r="N80">
        <v>3</v>
      </c>
      <c r="O80" t="s">
        <v>9290</v>
      </c>
      <c r="P80" t="s">
        <v>9289</v>
      </c>
      <c r="Q80" t="s">
        <v>4592</v>
      </c>
      <c r="R80" s="7">
        <v>36863</v>
      </c>
      <c r="S80" s="8">
        <f t="shared" si="8"/>
        <v>2000</v>
      </c>
      <c r="T80" s="8">
        <v>2000</v>
      </c>
      <c r="U80" s="8">
        <f t="shared" si="9"/>
        <v>22</v>
      </c>
      <c r="V80" s="7">
        <v>2000</v>
      </c>
      <c r="W80" s="11" t="s">
        <v>253</v>
      </c>
      <c r="X80" s="2">
        <v>2.383</v>
      </c>
      <c r="Y80" s="6">
        <f t="shared" si="10"/>
        <v>6.3612824003630442E-2</v>
      </c>
      <c r="AA80">
        <v>13502417</v>
      </c>
      <c r="AB80">
        <v>17416</v>
      </c>
      <c r="AD80" t="s">
        <v>3</v>
      </c>
      <c r="AE80">
        <v>147</v>
      </c>
      <c r="AF80">
        <v>3</v>
      </c>
      <c r="AH80" t="s">
        <v>9288</v>
      </c>
      <c r="AI80" t="s">
        <v>9287</v>
      </c>
      <c r="AK80" t="s">
        <v>9286</v>
      </c>
      <c r="AL80">
        <v>9</v>
      </c>
      <c r="AM80" s="5">
        <f t="shared" si="11"/>
        <v>0.40909090909090912</v>
      </c>
      <c r="AN80" s="4">
        <f t="shared" si="12"/>
        <v>6.1960001376888923E-4</v>
      </c>
      <c r="AO80" s="3"/>
      <c r="AP80">
        <v>0</v>
      </c>
      <c r="AR80" t="s">
        <v>1</v>
      </c>
      <c r="AT80" s="2" t="s">
        <v>0</v>
      </c>
      <c r="AU80" s="1">
        <f t="shared" si="13"/>
        <v>4.4714856806671976</v>
      </c>
      <c r="AV80" s="1">
        <f t="shared" si="14"/>
        <v>3.2116212008699665</v>
      </c>
      <c r="AW80" s="1">
        <f t="shared" si="15"/>
        <v>1.9517567210727356</v>
      </c>
    </row>
    <row r="81" spans="1:49" x14ac:dyDescent="0.2">
      <c r="A81">
        <v>79</v>
      </c>
      <c r="B81" t="s">
        <v>9285</v>
      </c>
      <c r="C81" t="s">
        <v>9284</v>
      </c>
      <c r="F81" t="s">
        <v>9283</v>
      </c>
      <c r="G81" t="s">
        <v>9</v>
      </c>
      <c r="H81" t="s">
        <v>8</v>
      </c>
      <c r="I81" t="s">
        <v>9282</v>
      </c>
      <c r="J81">
        <v>60022904</v>
      </c>
      <c r="K81" t="s">
        <v>6842</v>
      </c>
      <c r="L81" t="s">
        <v>6841</v>
      </c>
      <c r="M81" t="s">
        <v>5</v>
      </c>
      <c r="N81">
        <v>3</v>
      </c>
      <c r="O81" t="s">
        <v>9281</v>
      </c>
      <c r="P81" t="s">
        <v>9280</v>
      </c>
      <c r="Q81" t="s">
        <v>9279</v>
      </c>
      <c r="R81" s="7">
        <v>36863</v>
      </c>
      <c r="S81" s="8">
        <f t="shared" si="8"/>
        <v>2000</v>
      </c>
      <c r="T81" s="8">
        <v>2000</v>
      </c>
      <c r="U81" s="8">
        <f t="shared" si="9"/>
        <v>22</v>
      </c>
      <c r="V81" s="7">
        <v>2000</v>
      </c>
      <c r="W81" t="s">
        <v>365</v>
      </c>
      <c r="X81" s="2">
        <v>1.468</v>
      </c>
      <c r="Y81" s="6">
        <f t="shared" si="10"/>
        <v>3.9187421585115186E-2</v>
      </c>
      <c r="AA81">
        <v>906778</v>
      </c>
      <c r="AB81">
        <v>18931</v>
      </c>
      <c r="AD81" t="s">
        <v>3</v>
      </c>
      <c r="AE81">
        <v>48</v>
      </c>
      <c r="AF81">
        <v>5</v>
      </c>
      <c r="AH81" t="s">
        <v>9278</v>
      </c>
      <c r="AI81" t="s">
        <v>9277</v>
      </c>
      <c r="AK81" t="s">
        <v>9276</v>
      </c>
      <c r="AL81">
        <v>12</v>
      </c>
      <c r="AM81" s="5">
        <f t="shared" si="11"/>
        <v>0.54545454545454541</v>
      </c>
      <c r="AN81" s="4">
        <f t="shared" si="12"/>
        <v>8.2613335169185224E-4</v>
      </c>
      <c r="AO81" s="3"/>
      <c r="AP81">
        <v>0</v>
      </c>
      <c r="AR81" t="s">
        <v>1</v>
      </c>
      <c r="AT81" s="2">
        <v>5.0830000000000002</v>
      </c>
      <c r="AU81" s="1">
        <f t="shared" si="13"/>
        <v>2.7679035115088184</v>
      </c>
      <c r="AV81" s="1">
        <f t="shared" si="14"/>
        <v>2.0006777468403518</v>
      </c>
      <c r="AW81" s="1">
        <f t="shared" si="15"/>
        <v>1.2334519821718852</v>
      </c>
    </row>
    <row r="82" spans="1:49" x14ac:dyDescent="0.2">
      <c r="A82">
        <v>80</v>
      </c>
      <c r="B82" t="s">
        <v>9275</v>
      </c>
      <c r="F82" t="s">
        <v>9274</v>
      </c>
      <c r="G82" t="s">
        <v>9</v>
      </c>
      <c r="H82" t="s">
        <v>8</v>
      </c>
      <c r="I82" t="s">
        <v>9273</v>
      </c>
      <c r="J82">
        <v>102009843</v>
      </c>
      <c r="K82" t="s">
        <v>9272</v>
      </c>
      <c r="L82" t="s">
        <v>9271</v>
      </c>
      <c r="M82" t="s">
        <v>13</v>
      </c>
      <c r="N82">
        <v>1</v>
      </c>
      <c r="O82" t="s">
        <v>9270</v>
      </c>
      <c r="P82">
        <v>6603630745</v>
      </c>
      <c r="Q82">
        <v>102009843</v>
      </c>
      <c r="R82" s="7">
        <v>36863</v>
      </c>
      <c r="S82" s="8">
        <f t="shared" si="8"/>
        <v>2000</v>
      </c>
      <c r="T82" s="8">
        <v>2000</v>
      </c>
      <c r="U82" s="8">
        <f t="shared" si="9"/>
        <v>22</v>
      </c>
      <c r="V82" s="7">
        <v>2000</v>
      </c>
      <c r="W82" t="s">
        <v>8236</v>
      </c>
      <c r="X82" s="2">
        <v>0.54700000000000004</v>
      </c>
      <c r="Y82" s="6">
        <f t="shared" si="10"/>
        <v>1.4601852593363766E-2</v>
      </c>
      <c r="AA82">
        <v>11096</v>
      </c>
      <c r="AB82">
        <v>31211</v>
      </c>
      <c r="AD82" t="s">
        <v>3</v>
      </c>
      <c r="AE82">
        <v>54</v>
      </c>
      <c r="AF82">
        <v>3</v>
      </c>
      <c r="AH82" t="s">
        <v>9269</v>
      </c>
      <c r="AI82" t="s">
        <v>9268</v>
      </c>
      <c r="AK82" t="s">
        <v>9267</v>
      </c>
      <c r="AL82">
        <v>2</v>
      </c>
      <c r="AM82" s="5">
        <f t="shared" si="11"/>
        <v>9.0909090909090912E-2</v>
      </c>
      <c r="AN82" s="4">
        <f t="shared" si="12"/>
        <v>1.3768889194864205E-4</v>
      </c>
      <c r="AO82" s="3"/>
      <c r="AP82">
        <v>0</v>
      </c>
      <c r="AR82" t="s">
        <v>1</v>
      </c>
      <c r="AT82" s="2" t="s">
        <v>0</v>
      </c>
      <c r="AU82" s="1">
        <f t="shared" si="13"/>
        <v>1.026260348293923</v>
      </c>
      <c r="AV82" s="1">
        <f t="shared" si="14"/>
        <v>0.73697707426562042</v>
      </c>
      <c r="AW82" s="1">
        <f t="shared" si="15"/>
        <v>0.44769380023731797</v>
      </c>
    </row>
    <row r="83" spans="1:49" x14ac:dyDescent="0.2">
      <c r="A83">
        <v>81</v>
      </c>
      <c r="B83" t="s">
        <v>9266</v>
      </c>
      <c r="C83" t="s">
        <v>9265</v>
      </c>
      <c r="F83" t="s">
        <v>9264</v>
      </c>
      <c r="G83" t="s">
        <v>9</v>
      </c>
      <c r="H83" t="s">
        <v>8</v>
      </c>
      <c r="I83" t="s">
        <v>6708</v>
      </c>
      <c r="J83" t="s">
        <v>9263</v>
      </c>
      <c r="K83" t="s">
        <v>9262</v>
      </c>
      <c r="L83" t="s">
        <v>6705</v>
      </c>
      <c r="M83" t="s">
        <v>760</v>
      </c>
      <c r="N83">
        <v>3</v>
      </c>
      <c r="O83" t="s">
        <v>9261</v>
      </c>
      <c r="P83" t="s">
        <v>9260</v>
      </c>
      <c r="Q83" t="s">
        <v>9259</v>
      </c>
      <c r="R83" s="7">
        <v>36863</v>
      </c>
      <c r="S83" s="8">
        <f t="shared" si="8"/>
        <v>2000</v>
      </c>
      <c r="T83" s="8">
        <v>2000</v>
      </c>
      <c r="U83" s="8">
        <f t="shared" si="9"/>
        <v>22</v>
      </c>
      <c r="V83" s="7">
        <v>2000</v>
      </c>
      <c r="W83" t="s">
        <v>291</v>
      </c>
      <c r="X83" s="2">
        <v>1.6519999999999999</v>
      </c>
      <c r="Y83" s="6">
        <f t="shared" si="10"/>
        <v>4.409919649769093E-2</v>
      </c>
      <c r="AA83" t="s">
        <v>290</v>
      </c>
      <c r="AB83">
        <v>17337</v>
      </c>
      <c r="AD83" t="s">
        <v>3</v>
      </c>
      <c r="AE83">
        <v>48</v>
      </c>
      <c r="AF83">
        <v>4</v>
      </c>
      <c r="AH83" t="s">
        <v>9258</v>
      </c>
      <c r="AI83" t="s">
        <v>9257</v>
      </c>
      <c r="AK83" t="s">
        <v>9256</v>
      </c>
      <c r="AL83">
        <v>23</v>
      </c>
      <c r="AM83" s="5">
        <f t="shared" si="11"/>
        <v>1.0454545454545454</v>
      </c>
      <c r="AN83" s="4">
        <f t="shared" si="12"/>
        <v>1.5834222574093834E-3</v>
      </c>
      <c r="AO83" s="3"/>
      <c r="AP83">
        <v>0</v>
      </c>
      <c r="AQ83" t="s">
        <v>6635</v>
      </c>
      <c r="AR83" t="s">
        <v>408</v>
      </c>
      <c r="AS83" t="s">
        <v>6633</v>
      </c>
      <c r="AT83" s="2" t="s">
        <v>0</v>
      </c>
      <c r="AU83" s="1">
        <f t="shared" si="13"/>
        <v>3.1344464225606465</v>
      </c>
      <c r="AV83" s="1">
        <f t="shared" si="14"/>
        <v>2.2841309377550156</v>
      </c>
      <c r="AW83" s="1">
        <f t="shared" si="15"/>
        <v>1.4338154529493847</v>
      </c>
    </row>
    <row r="84" spans="1:49" x14ac:dyDescent="0.2">
      <c r="A84">
        <v>82</v>
      </c>
      <c r="B84" t="s">
        <v>9255</v>
      </c>
      <c r="C84" t="s">
        <v>9254</v>
      </c>
      <c r="F84" t="s">
        <v>9253</v>
      </c>
      <c r="G84" t="s">
        <v>9</v>
      </c>
      <c r="H84" t="s">
        <v>8</v>
      </c>
      <c r="I84" t="s">
        <v>9252</v>
      </c>
      <c r="J84">
        <v>60020261</v>
      </c>
      <c r="K84" t="s">
        <v>9251</v>
      </c>
      <c r="L84" t="s">
        <v>9250</v>
      </c>
      <c r="M84" t="s">
        <v>53</v>
      </c>
      <c r="N84">
        <v>1</v>
      </c>
      <c r="O84" t="s">
        <v>9249</v>
      </c>
      <c r="P84">
        <v>7005604459</v>
      </c>
      <c r="Q84">
        <v>60020261</v>
      </c>
      <c r="R84" s="7">
        <v>36863</v>
      </c>
      <c r="S84" s="8">
        <f t="shared" si="8"/>
        <v>2000</v>
      </c>
      <c r="T84" s="8">
        <v>2000</v>
      </c>
      <c r="U84" s="8">
        <f t="shared" si="9"/>
        <v>22</v>
      </c>
      <c r="V84" s="7">
        <v>2000</v>
      </c>
      <c r="W84" s="11" t="s">
        <v>253</v>
      </c>
      <c r="X84" s="2">
        <v>2.383</v>
      </c>
      <c r="Y84" s="6">
        <f t="shared" si="10"/>
        <v>6.3612824003630442E-2</v>
      </c>
      <c r="AA84">
        <v>13502417</v>
      </c>
      <c r="AB84">
        <v>17416</v>
      </c>
      <c r="AD84" t="s">
        <v>3</v>
      </c>
      <c r="AE84">
        <v>147</v>
      </c>
      <c r="AF84">
        <v>3</v>
      </c>
      <c r="AH84" t="s">
        <v>9248</v>
      </c>
      <c r="AI84" t="s">
        <v>9247</v>
      </c>
      <c r="AK84" t="s">
        <v>9246</v>
      </c>
      <c r="AL84">
        <v>7</v>
      </c>
      <c r="AM84" s="5">
        <f t="shared" si="11"/>
        <v>0.31818181818181818</v>
      </c>
      <c r="AN84" s="4">
        <f t="shared" si="12"/>
        <v>4.8191112182024716E-4</v>
      </c>
      <c r="AO84" s="3"/>
      <c r="AP84">
        <v>0</v>
      </c>
      <c r="AR84" t="s">
        <v>1</v>
      </c>
      <c r="AT84" s="2" t="s">
        <v>0</v>
      </c>
      <c r="AU84" s="1">
        <f t="shared" si="13"/>
        <v>4.4673550139087377</v>
      </c>
      <c r="AV84" s="1">
        <f t="shared" si="14"/>
        <v>3.2047367562725344</v>
      </c>
      <c r="AW84" s="1">
        <f t="shared" si="15"/>
        <v>1.9421184986363305</v>
      </c>
    </row>
    <row r="85" spans="1:49" x14ac:dyDescent="0.2">
      <c r="A85">
        <v>83</v>
      </c>
      <c r="B85" t="s">
        <v>9245</v>
      </c>
      <c r="C85" t="s">
        <v>9244</v>
      </c>
      <c r="F85" t="s">
        <v>9243</v>
      </c>
      <c r="G85" t="s">
        <v>9</v>
      </c>
      <c r="H85" t="s">
        <v>8</v>
      </c>
      <c r="I85" t="s">
        <v>174</v>
      </c>
      <c r="J85" t="s">
        <v>9242</v>
      </c>
      <c r="K85" t="s">
        <v>9241</v>
      </c>
      <c r="L85" t="s">
        <v>9240</v>
      </c>
      <c r="M85" t="s">
        <v>9239</v>
      </c>
      <c r="N85">
        <v>2</v>
      </c>
      <c r="O85" t="s">
        <v>9238</v>
      </c>
      <c r="P85" t="s">
        <v>9237</v>
      </c>
      <c r="Q85" t="s">
        <v>9236</v>
      </c>
      <c r="R85" s="7">
        <v>36863</v>
      </c>
      <c r="S85" s="8">
        <f t="shared" si="8"/>
        <v>2000</v>
      </c>
      <c r="T85" s="8">
        <v>2000</v>
      </c>
      <c r="U85" s="8">
        <f t="shared" si="9"/>
        <v>22</v>
      </c>
      <c r="V85" s="7">
        <v>2000</v>
      </c>
      <c r="W85" t="s">
        <v>196</v>
      </c>
      <c r="X85" s="2">
        <v>0.33500000000000002</v>
      </c>
      <c r="Y85" s="6">
        <f t="shared" si="10"/>
        <v>8.94263367235258E-3</v>
      </c>
      <c r="AA85">
        <v>10964290</v>
      </c>
      <c r="AB85">
        <v>18201</v>
      </c>
      <c r="AD85" t="s">
        <v>3</v>
      </c>
      <c r="AE85">
        <v>10</v>
      </c>
      <c r="AF85">
        <v>4</v>
      </c>
      <c r="AH85" t="s">
        <v>9235</v>
      </c>
      <c r="AI85" t="s">
        <v>9234</v>
      </c>
      <c r="AK85" t="s">
        <v>9233</v>
      </c>
      <c r="AL85">
        <v>1</v>
      </c>
      <c r="AM85" s="5">
        <f t="shared" si="11"/>
        <v>4.5454545454545456E-2</v>
      </c>
      <c r="AN85" s="4">
        <f t="shared" si="12"/>
        <v>6.8844445974321024E-5</v>
      </c>
      <c r="AO85" s="3"/>
      <c r="AP85">
        <v>0</v>
      </c>
      <c r="AR85" t="s">
        <v>1</v>
      </c>
      <c r="AT85" s="2">
        <v>1.694</v>
      </c>
      <c r="AU85" s="1">
        <f t="shared" si="13"/>
        <v>0.62804969044391024</v>
      </c>
      <c r="AV85" s="1">
        <f t="shared" si="14"/>
        <v>0.450573905916345</v>
      </c>
      <c r="AW85" s="1">
        <f t="shared" si="15"/>
        <v>0.27309812138877987</v>
      </c>
    </row>
    <row r="86" spans="1:49" x14ac:dyDescent="0.2">
      <c r="A86">
        <v>84</v>
      </c>
      <c r="B86" t="s">
        <v>9232</v>
      </c>
      <c r="C86" t="s">
        <v>9231</v>
      </c>
      <c r="F86" t="s">
        <v>9230</v>
      </c>
      <c r="G86" t="s">
        <v>9</v>
      </c>
      <c r="H86" t="s">
        <v>8</v>
      </c>
      <c r="I86" t="s">
        <v>9229</v>
      </c>
      <c r="J86">
        <v>60017826</v>
      </c>
      <c r="K86" t="s">
        <v>9228</v>
      </c>
      <c r="L86" t="s">
        <v>9227</v>
      </c>
      <c r="M86" t="s">
        <v>87</v>
      </c>
      <c r="N86">
        <v>2</v>
      </c>
      <c r="O86" t="s">
        <v>9226</v>
      </c>
      <c r="P86" t="s">
        <v>9225</v>
      </c>
      <c r="Q86" t="s">
        <v>9224</v>
      </c>
      <c r="R86" s="7">
        <v>36863</v>
      </c>
      <c r="S86" s="8">
        <f t="shared" si="8"/>
        <v>2000</v>
      </c>
      <c r="T86" s="8">
        <v>2000</v>
      </c>
      <c r="U86" s="8">
        <f t="shared" si="9"/>
        <v>22</v>
      </c>
      <c r="V86" s="7">
        <v>2000</v>
      </c>
      <c r="W86" s="11" t="s">
        <v>253</v>
      </c>
      <c r="X86" s="2">
        <v>2.383</v>
      </c>
      <c r="Y86" s="6">
        <f t="shared" si="10"/>
        <v>6.3612824003630442E-2</v>
      </c>
      <c r="AA86">
        <v>13502417</v>
      </c>
      <c r="AB86">
        <v>17416</v>
      </c>
      <c r="AD86" t="s">
        <v>3</v>
      </c>
      <c r="AE86">
        <v>147</v>
      </c>
      <c r="AF86">
        <v>3</v>
      </c>
      <c r="AH86" t="s">
        <v>9223</v>
      </c>
      <c r="AI86" t="s">
        <v>9222</v>
      </c>
      <c r="AK86" t="s">
        <v>9221</v>
      </c>
      <c r="AL86">
        <v>4</v>
      </c>
      <c r="AM86" s="5">
        <f t="shared" si="11"/>
        <v>0.18181818181818182</v>
      </c>
      <c r="AN86" s="4">
        <f t="shared" si="12"/>
        <v>2.753777838972841E-4</v>
      </c>
      <c r="AO86" s="3"/>
      <c r="AP86">
        <v>0</v>
      </c>
      <c r="AR86" t="s">
        <v>1</v>
      </c>
      <c r="AT86" s="2" t="s">
        <v>0</v>
      </c>
      <c r="AU86" s="1">
        <f t="shared" si="13"/>
        <v>4.4611590137710495</v>
      </c>
      <c r="AV86" s="1">
        <f t="shared" si="14"/>
        <v>3.1944100893763863</v>
      </c>
      <c r="AW86" s="1">
        <f t="shared" si="15"/>
        <v>1.927661164981723</v>
      </c>
    </row>
    <row r="87" spans="1:49" x14ac:dyDescent="0.2">
      <c r="A87">
        <v>85</v>
      </c>
      <c r="B87" t="s">
        <v>9220</v>
      </c>
      <c r="C87" t="s">
        <v>9219</v>
      </c>
      <c r="F87" t="s">
        <v>9218</v>
      </c>
      <c r="G87" t="s">
        <v>9</v>
      </c>
      <c r="H87" t="s">
        <v>8</v>
      </c>
      <c r="I87" t="s">
        <v>9217</v>
      </c>
      <c r="J87">
        <v>60029738</v>
      </c>
      <c r="K87" t="s">
        <v>255</v>
      </c>
      <c r="L87" t="s">
        <v>254</v>
      </c>
      <c r="M87" t="s">
        <v>87</v>
      </c>
      <c r="N87">
        <v>2</v>
      </c>
      <c r="O87" t="s">
        <v>9216</v>
      </c>
      <c r="P87" t="s">
        <v>9215</v>
      </c>
      <c r="Q87" t="s">
        <v>514</v>
      </c>
      <c r="R87" s="7">
        <v>36863</v>
      </c>
      <c r="S87" s="8">
        <f t="shared" si="8"/>
        <v>2000</v>
      </c>
      <c r="T87" s="8">
        <v>2000</v>
      </c>
      <c r="U87" s="8">
        <f t="shared" si="9"/>
        <v>22</v>
      </c>
      <c r="V87" s="7">
        <v>2000</v>
      </c>
      <c r="W87" s="11" t="s">
        <v>253</v>
      </c>
      <c r="X87" s="2">
        <v>2.383</v>
      </c>
      <c r="Y87" s="6">
        <f t="shared" si="10"/>
        <v>6.3612824003630442E-2</v>
      </c>
      <c r="AA87">
        <v>13502417</v>
      </c>
      <c r="AB87">
        <v>17416</v>
      </c>
      <c r="AD87" t="s">
        <v>3</v>
      </c>
      <c r="AE87">
        <v>147</v>
      </c>
      <c r="AF87">
        <v>3</v>
      </c>
      <c r="AH87" t="s">
        <v>572</v>
      </c>
      <c r="AI87" t="s">
        <v>9214</v>
      </c>
      <c r="AK87" t="s">
        <v>9213</v>
      </c>
      <c r="AL87">
        <v>1</v>
      </c>
      <c r="AM87" s="5">
        <f t="shared" si="11"/>
        <v>4.5454545454545456E-2</v>
      </c>
      <c r="AN87" s="4">
        <f t="shared" si="12"/>
        <v>6.8844445974321024E-5</v>
      </c>
      <c r="AO87" s="3"/>
      <c r="AP87">
        <v>0</v>
      </c>
      <c r="AR87" t="s">
        <v>1</v>
      </c>
      <c r="AT87" s="2" t="s">
        <v>0</v>
      </c>
      <c r="AU87" s="1">
        <f t="shared" si="13"/>
        <v>4.4549630136333604</v>
      </c>
      <c r="AV87" s="1">
        <f t="shared" si="14"/>
        <v>3.1840834224802386</v>
      </c>
      <c r="AW87" s="1">
        <f t="shared" si="15"/>
        <v>1.9132038313271156</v>
      </c>
    </row>
    <row r="88" spans="1:49" x14ac:dyDescent="0.2">
      <c r="A88">
        <v>86</v>
      </c>
      <c r="B88" t="s">
        <v>9212</v>
      </c>
      <c r="C88" t="s">
        <v>9211</v>
      </c>
      <c r="F88" t="s">
        <v>9210</v>
      </c>
      <c r="G88" t="s">
        <v>9</v>
      </c>
      <c r="H88" t="s">
        <v>8</v>
      </c>
      <c r="I88" t="s">
        <v>9209</v>
      </c>
      <c r="J88" t="s">
        <v>9208</v>
      </c>
      <c r="K88" t="s">
        <v>9207</v>
      </c>
      <c r="L88" t="s">
        <v>9206</v>
      </c>
      <c r="M88" t="s">
        <v>9205</v>
      </c>
      <c r="N88">
        <v>2</v>
      </c>
      <c r="O88" t="s">
        <v>9204</v>
      </c>
      <c r="P88" t="s">
        <v>9203</v>
      </c>
      <c r="Q88" t="s">
        <v>9202</v>
      </c>
      <c r="R88" s="7">
        <v>36863</v>
      </c>
      <c r="S88" s="8">
        <f t="shared" si="8"/>
        <v>2000</v>
      </c>
      <c r="T88" s="8">
        <v>2000</v>
      </c>
      <c r="U88" s="8">
        <f t="shared" si="9"/>
        <v>22</v>
      </c>
      <c r="V88" s="7">
        <v>2000</v>
      </c>
      <c r="W88" t="s">
        <v>180</v>
      </c>
      <c r="X88" s="2">
        <v>0.30199999999999999</v>
      </c>
      <c r="Y88" s="6">
        <f t="shared" si="10"/>
        <v>8.0617175195536687E-3</v>
      </c>
      <c r="AA88">
        <v>9296212</v>
      </c>
      <c r="AB88">
        <v>20725</v>
      </c>
      <c r="AD88" t="s">
        <v>3</v>
      </c>
      <c r="AE88">
        <v>14</v>
      </c>
      <c r="AF88">
        <v>3</v>
      </c>
      <c r="AH88" t="s">
        <v>9201</v>
      </c>
      <c r="AI88" t="s">
        <v>9200</v>
      </c>
      <c r="AK88" t="s">
        <v>9199</v>
      </c>
      <c r="AL88">
        <v>22</v>
      </c>
      <c r="AM88" s="5">
        <f t="shared" si="11"/>
        <v>1</v>
      </c>
      <c r="AN88" s="4">
        <f t="shared" si="12"/>
        <v>1.5145778114350624E-3</v>
      </c>
      <c r="AO88" s="3"/>
      <c r="AP88">
        <v>0</v>
      </c>
      <c r="AR88" t="s">
        <v>1</v>
      </c>
      <c r="AT88" s="2">
        <v>1.671</v>
      </c>
      <c r="AU88" s="1">
        <f t="shared" si="13"/>
        <v>0.60975756071180864</v>
      </c>
      <c r="AV88" s="1">
        <f t="shared" si="14"/>
        <v>0.47881476654943655</v>
      </c>
      <c r="AW88" s="1">
        <f t="shared" si="15"/>
        <v>0.34787197238706441</v>
      </c>
    </row>
    <row r="89" spans="1:49" x14ac:dyDescent="0.2">
      <c r="A89">
        <v>87</v>
      </c>
      <c r="B89" t="s">
        <v>9198</v>
      </c>
      <c r="C89" t="s">
        <v>9197</v>
      </c>
      <c r="F89" t="s">
        <v>9196</v>
      </c>
      <c r="G89" t="s">
        <v>9</v>
      </c>
      <c r="H89" t="s">
        <v>8</v>
      </c>
      <c r="I89" t="s">
        <v>9195</v>
      </c>
      <c r="J89">
        <v>60013395</v>
      </c>
      <c r="K89" t="s">
        <v>9194</v>
      </c>
      <c r="L89" t="s">
        <v>2036</v>
      </c>
      <c r="M89" t="s">
        <v>214</v>
      </c>
      <c r="N89">
        <v>1</v>
      </c>
      <c r="O89" t="s">
        <v>9193</v>
      </c>
      <c r="P89">
        <v>7202063846</v>
      </c>
      <c r="Q89">
        <v>60013395</v>
      </c>
      <c r="R89" s="7">
        <v>36863</v>
      </c>
      <c r="S89" s="8">
        <f t="shared" si="8"/>
        <v>2000</v>
      </c>
      <c r="T89" s="8">
        <v>2000</v>
      </c>
      <c r="U89" s="8">
        <f t="shared" si="9"/>
        <v>22</v>
      </c>
      <c r="V89" s="7">
        <v>2000</v>
      </c>
      <c r="W89" s="11" t="s">
        <v>253</v>
      </c>
      <c r="X89" s="2">
        <v>2.383</v>
      </c>
      <c r="Y89" s="6">
        <f t="shared" si="10"/>
        <v>6.3612824003630442E-2</v>
      </c>
      <c r="AA89">
        <v>13502417</v>
      </c>
      <c r="AB89">
        <v>17416</v>
      </c>
      <c r="AD89" t="s">
        <v>3</v>
      </c>
      <c r="AE89">
        <v>147</v>
      </c>
      <c r="AF89">
        <v>3</v>
      </c>
      <c r="AH89" t="s">
        <v>9192</v>
      </c>
      <c r="AI89" t="s">
        <v>9191</v>
      </c>
      <c r="AK89" t="s">
        <v>9190</v>
      </c>
      <c r="AL89">
        <v>12</v>
      </c>
      <c r="AM89" s="5">
        <f t="shared" si="11"/>
        <v>0.54545454545454541</v>
      </c>
      <c r="AN89" s="4">
        <f t="shared" si="12"/>
        <v>8.2613335169185224E-4</v>
      </c>
      <c r="AO89" s="3"/>
      <c r="AP89">
        <v>0</v>
      </c>
      <c r="AR89" t="s">
        <v>1</v>
      </c>
      <c r="AT89" s="2" t="s">
        <v>0</v>
      </c>
      <c r="AU89" s="1">
        <f t="shared" si="13"/>
        <v>4.4776816808048867</v>
      </c>
      <c r="AV89" s="1">
        <f t="shared" si="14"/>
        <v>3.2219478677661146</v>
      </c>
      <c r="AW89" s="1">
        <f t="shared" si="15"/>
        <v>1.966214054727343</v>
      </c>
    </row>
    <row r="90" spans="1:49" x14ac:dyDescent="0.2">
      <c r="A90">
        <v>88</v>
      </c>
      <c r="B90" t="s">
        <v>9189</v>
      </c>
      <c r="C90" t="s">
        <v>9188</v>
      </c>
      <c r="F90" t="s">
        <v>9187</v>
      </c>
      <c r="G90" t="s">
        <v>9</v>
      </c>
      <c r="H90" t="s">
        <v>8</v>
      </c>
      <c r="I90" t="s">
        <v>9186</v>
      </c>
      <c r="J90">
        <v>60017293</v>
      </c>
      <c r="K90" t="s">
        <v>187</v>
      </c>
      <c r="L90" t="s">
        <v>186</v>
      </c>
      <c r="M90" t="s">
        <v>53</v>
      </c>
      <c r="N90">
        <v>3</v>
      </c>
      <c r="O90" t="s">
        <v>9185</v>
      </c>
      <c r="P90" t="s">
        <v>9184</v>
      </c>
      <c r="Q90" t="s">
        <v>296</v>
      </c>
      <c r="R90" s="7">
        <v>36863</v>
      </c>
      <c r="S90" s="8">
        <f t="shared" si="8"/>
        <v>2000</v>
      </c>
      <c r="T90" s="8">
        <v>2000</v>
      </c>
      <c r="U90" s="8">
        <f t="shared" si="9"/>
        <v>22</v>
      </c>
      <c r="V90" s="7">
        <v>2000</v>
      </c>
      <c r="W90" s="11" t="s">
        <v>253</v>
      </c>
      <c r="X90" s="2">
        <v>2.383</v>
      </c>
      <c r="Y90" s="6">
        <f t="shared" si="10"/>
        <v>6.3612824003630442E-2</v>
      </c>
      <c r="AA90">
        <v>13502417</v>
      </c>
      <c r="AB90">
        <v>17416</v>
      </c>
      <c r="AD90" t="s">
        <v>3</v>
      </c>
      <c r="AE90">
        <v>147</v>
      </c>
      <c r="AF90">
        <v>3</v>
      </c>
      <c r="AH90" t="s">
        <v>480</v>
      </c>
      <c r="AI90" t="s">
        <v>9183</v>
      </c>
      <c r="AK90" t="s">
        <v>9182</v>
      </c>
      <c r="AL90">
        <v>16</v>
      </c>
      <c r="AM90" s="5">
        <f t="shared" si="11"/>
        <v>0.72727272727272729</v>
      </c>
      <c r="AN90" s="4">
        <f t="shared" si="12"/>
        <v>1.1015111355891364E-3</v>
      </c>
      <c r="AO90" s="3"/>
      <c r="AP90">
        <v>0</v>
      </c>
      <c r="AR90" t="s">
        <v>1</v>
      </c>
      <c r="AT90" s="2" t="s">
        <v>0</v>
      </c>
      <c r="AU90" s="1">
        <f t="shared" si="13"/>
        <v>4.4859430143218049</v>
      </c>
      <c r="AV90" s="1">
        <f t="shared" si="14"/>
        <v>3.2357167569609788</v>
      </c>
      <c r="AW90" s="1">
        <f t="shared" si="15"/>
        <v>1.9854904996001528</v>
      </c>
    </row>
    <row r="91" spans="1:49" x14ac:dyDescent="0.2">
      <c r="A91">
        <v>89</v>
      </c>
      <c r="B91" t="s">
        <v>9181</v>
      </c>
      <c r="F91" t="s">
        <v>9180</v>
      </c>
      <c r="G91" t="s">
        <v>9</v>
      </c>
      <c r="H91" t="s">
        <v>8</v>
      </c>
      <c r="I91" t="s">
        <v>9179</v>
      </c>
      <c r="J91" t="s">
        <v>9178</v>
      </c>
      <c r="K91" t="s">
        <v>9177</v>
      </c>
      <c r="L91" t="s">
        <v>9176</v>
      </c>
      <c r="M91" t="s">
        <v>168</v>
      </c>
      <c r="N91">
        <v>3</v>
      </c>
      <c r="O91" t="s">
        <v>9175</v>
      </c>
      <c r="P91" t="s">
        <v>9174</v>
      </c>
      <c r="Q91" t="s">
        <v>9173</v>
      </c>
      <c r="R91" s="7">
        <v>36863</v>
      </c>
      <c r="S91" s="8">
        <f t="shared" si="8"/>
        <v>2000</v>
      </c>
      <c r="T91" s="8">
        <v>2000</v>
      </c>
      <c r="U91" s="8">
        <f t="shared" si="9"/>
        <v>22</v>
      </c>
      <c r="V91" s="7">
        <v>2000</v>
      </c>
      <c r="W91" t="s">
        <v>8236</v>
      </c>
      <c r="X91" s="2">
        <v>0.54700000000000004</v>
      </c>
      <c r="Y91" s="6">
        <f t="shared" si="10"/>
        <v>1.4601852593363766E-2</v>
      </c>
      <c r="AA91">
        <v>11096</v>
      </c>
      <c r="AB91">
        <v>31211</v>
      </c>
      <c r="AD91" t="s">
        <v>3</v>
      </c>
      <c r="AE91">
        <v>54</v>
      </c>
      <c r="AF91">
        <v>2</v>
      </c>
      <c r="AH91" t="s">
        <v>9172</v>
      </c>
      <c r="AI91" t="s">
        <v>9171</v>
      </c>
      <c r="AK91" t="s">
        <v>9170</v>
      </c>
      <c r="AL91">
        <v>0</v>
      </c>
      <c r="AM91" s="5">
        <f t="shared" si="11"/>
        <v>0</v>
      </c>
      <c r="AN91" s="4">
        <f t="shared" si="12"/>
        <v>0</v>
      </c>
      <c r="AO91" s="3"/>
      <c r="AP91">
        <v>0</v>
      </c>
      <c r="AR91" t="s">
        <v>1</v>
      </c>
      <c r="AT91" s="2" t="s">
        <v>0</v>
      </c>
      <c r="AU91" s="1">
        <f t="shared" si="13"/>
        <v>1.0221296815354637</v>
      </c>
      <c r="AV91" s="1">
        <f t="shared" si="14"/>
        <v>0.73009262966818833</v>
      </c>
      <c r="AW91" s="1">
        <f t="shared" si="15"/>
        <v>0.43805557780091298</v>
      </c>
    </row>
    <row r="92" spans="1:49" x14ac:dyDescent="0.2">
      <c r="A92">
        <v>90</v>
      </c>
      <c r="B92" t="s">
        <v>9169</v>
      </c>
      <c r="C92" t="s">
        <v>9168</v>
      </c>
      <c r="F92" t="s">
        <v>9167</v>
      </c>
      <c r="G92" t="s">
        <v>9</v>
      </c>
      <c r="H92" t="s">
        <v>8</v>
      </c>
      <c r="I92" t="s">
        <v>3576</v>
      </c>
      <c r="J92" t="s">
        <v>9166</v>
      </c>
      <c r="K92" t="s">
        <v>9165</v>
      </c>
      <c r="L92" t="s">
        <v>9164</v>
      </c>
      <c r="M92" t="s">
        <v>642</v>
      </c>
      <c r="N92">
        <v>2</v>
      </c>
      <c r="O92" t="s">
        <v>9163</v>
      </c>
      <c r="P92" t="s">
        <v>9162</v>
      </c>
      <c r="Q92" t="s">
        <v>9161</v>
      </c>
      <c r="R92" s="7">
        <v>36863</v>
      </c>
      <c r="S92" s="8">
        <f t="shared" si="8"/>
        <v>2000</v>
      </c>
      <c r="T92" s="8">
        <v>2000</v>
      </c>
      <c r="U92" s="8">
        <f t="shared" si="9"/>
        <v>22</v>
      </c>
      <c r="V92" s="7">
        <v>2000</v>
      </c>
      <c r="W92" t="s">
        <v>2264</v>
      </c>
      <c r="X92" s="2">
        <v>0.82</v>
      </c>
      <c r="Y92" s="6">
        <f t="shared" si="10"/>
        <v>2.1889431675609299E-2</v>
      </c>
      <c r="AA92">
        <v>189456</v>
      </c>
      <c r="AB92">
        <v>15361</v>
      </c>
      <c r="AD92" t="s">
        <v>3</v>
      </c>
      <c r="AE92">
        <v>49</v>
      </c>
      <c r="AF92">
        <v>2</v>
      </c>
      <c r="AH92" t="s">
        <v>9160</v>
      </c>
      <c r="AI92" t="s">
        <v>9159</v>
      </c>
      <c r="AK92" t="s">
        <v>9158</v>
      </c>
      <c r="AL92">
        <v>47</v>
      </c>
      <c r="AM92" s="5">
        <f t="shared" si="11"/>
        <v>2.1363636363636362</v>
      </c>
      <c r="AN92" s="4">
        <f t="shared" si="12"/>
        <v>3.2356889607930879E-3</v>
      </c>
      <c r="AO92" s="3"/>
      <c r="AP92">
        <v>0</v>
      </c>
      <c r="AR92" t="s">
        <v>1</v>
      </c>
      <c r="AT92" s="2" t="s">
        <v>0</v>
      </c>
      <c r="AU92" s="1">
        <f t="shared" si="13"/>
        <v>1.6293308861164435</v>
      </c>
      <c r="AV92" s="1">
        <f t="shared" si="14"/>
        <v>1.2562560318201192</v>
      </c>
      <c r="AW92" s="1">
        <f t="shared" si="15"/>
        <v>0.88318117752379499</v>
      </c>
    </row>
    <row r="93" spans="1:49" x14ac:dyDescent="0.2">
      <c r="A93">
        <v>91</v>
      </c>
      <c r="B93" t="s">
        <v>9157</v>
      </c>
      <c r="C93" t="s">
        <v>9156</v>
      </c>
      <c r="F93" t="s">
        <v>9155</v>
      </c>
      <c r="G93" t="s">
        <v>9</v>
      </c>
      <c r="H93" t="s">
        <v>8</v>
      </c>
      <c r="I93" t="s">
        <v>9154</v>
      </c>
      <c r="J93">
        <v>60029445</v>
      </c>
      <c r="K93" t="s">
        <v>134</v>
      </c>
      <c r="L93" t="s">
        <v>133</v>
      </c>
      <c r="M93" t="s">
        <v>5</v>
      </c>
      <c r="N93">
        <v>2</v>
      </c>
      <c r="O93" t="s">
        <v>9153</v>
      </c>
      <c r="P93" t="s">
        <v>9152</v>
      </c>
      <c r="Q93" t="s">
        <v>132</v>
      </c>
      <c r="R93" s="7">
        <v>36863</v>
      </c>
      <c r="S93" s="8">
        <f t="shared" si="8"/>
        <v>2000</v>
      </c>
      <c r="T93" s="8">
        <v>2000</v>
      </c>
      <c r="U93" s="8">
        <f t="shared" si="9"/>
        <v>22</v>
      </c>
      <c r="V93" s="7">
        <v>2000</v>
      </c>
      <c r="W93" t="s">
        <v>322</v>
      </c>
      <c r="X93" s="2">
        <v>1.6379999999999999</v>
      </c>
      <c r="Y93" s="6">
        <f t="shared" si="10"/>
        <v>4.3725474493473214E-2</v>
      </c>
      <c r="AA93" t="s">
        <v>321</v>
      </c>
      <c r="AB93">
        <v>17391</v>
      </c>
      <c r="AD93" t="s">
        <v>3</v>
      </c>
      <c r="AE93">
        <v>48</v>
      </c>
      <c r="AF93">
        <v>7</v>
      </c>
      <c r="AH93" t="s">
        <v>9151</v>
      </c>
      <c r="AI93" t="s">
        <v>9150</v>
      </c>
      <c r="AK93" t="s">
        <v>9149</v>
      </c>
      <c r="AL93">
        <v>60</v>
      </c>
      <c r="AM93" s="5">
        <f t="shared" si="11"/>
        <v>2.7272727272727271</v>
      </c>
      <c r="AN93" s="4">
        <f t="shared" si="12"/>
        <v>4.1306667584592614E-3</v>
      </c>
      <c r="AO93" s="3"/>
      <c r="AP93">
        <v>0</v>
      </c>
      <c r="AQ93" t="s">
        <v>210</v>
      </c>
      <c r="AR93" t="s">
        <v>9148</v>
      </c>
      <c r="AS93" t="s">
        <v>209</v>
      </c>
      <c r="AT93" s="2">
        <v>4.931</v>
      </c>
      <c r="AU93" s="1">
        <f t="shared" si="13"/>
        <v>3.1847032172969025</v>
      </c>
      <c r="AV93" s="1">
        <f t="shared" si="14"/>
        <v>2.3928070625966238</v>
      </c>
      <c r="AW93" s="1">
        <f t="shared" si="15"/>
        <v>1.6009109078963448</v>
      </c>
    </row>
    <row r="94" spans="1:49" x14ac:dyDescent="0.2">
      <c r="A94">
        <v>92</v>
      </c>
      <c r="B94" t="s">
        <v>9147</v>
      </c>
      <c r="F94" t="s">
        <v>9146</v>
      </c>
      <c r="G94" t="s">
        <v>9</v>
      </c>
      <c r="H94" t="s">
        <v>8</v>
      </c>
      <c r="I94" t="s">
        <v>9145</v>
      </c>
      <c r="N94">
        <v>1</v>
      </c>
      <c r="O94" t="s">
        <v>9144</v>
      </c>
      <c r="P94">
        <v>7004772201</v>
      </c>
      <c r="R94" s="7">
        <v>36863</v>
      </c>
      <c r="S94" s="8">
        <f t="shared" si="8"/>
        <v>2000</v>
      </c>
      <c r="T94" s="8">
        <v>2000</v>
      </c>
      <c r="U94" s="8">
        <f t="shared" si="9"/>
        <v>22</v>
      </c>
      <c r="V94" s="7">
        <v>2000</v>
      </c>
      <c r="W94" t="s">
        <v>8236</v>
      </c>
      <c r="X94" s="2">
        <v>0.54700000000000004</v>
      </c>
      <c r="Y94" s="6">
        <f t="shared" si="10"/>
        <v>1.4601852593363766E-2</v>
      </c>
      <c r="AA94">
        <v>11096</v>
      </c>
      <c r="AB94">
        <v>31211</v>
      </c>
      <c r="AD94" t="s">
        <v>3</v>
      </c>
      <c r="AE94">
        <v>54</v>
      </c>
      <c r="AF94">
        <v>3</v>
      </c>
      <c r="AH94" t="s">
        <v>9143</v>
      </c>
      <c r="AI94" t="s">
        <v>9142</v>
      </c>
      <c r="AK94" t="s">
        <v>9141</v>
      </c>
      <c r="AL94">
        <v>0</v>
      </c>
      <c r="AM94" s="5">
        <f t="shared" si="11"/>
        <v>0</v>
      </c>
      <c r="AN94" s="4">
        <f t="shared" si="12"/>
        <v>0</v>
      </c>
      <c r="AO94" s="3"/>
      <c r="AP94">
        <v>0</v>
      </c>
      <c r="AR94" t="s">
        <v>1</v>
      </c>
      <c r="AT94" s="2" t="s">
        <v>0</v>
      </c>
      <c r="AU94" s="1">
        <f t="shared" si="13"/>
        <v>1.0221296815354637</v>
      </c>
      <c r="AV94" s="1">
        <f t="shared" si="14"/>
        <v>0.73009262966818833</v>
      </c>
      <c r="AW94" s="1">
        <f t="shared" si="15"/>
        <v>0.43805557780091298</v>
      </c>
    </row>
    <row r="95" spans="1:49" x14ac:dyDescent="0.2">
      <c r="A95">
        <v>93</v>
      </c>
      <c r="B95" t="s">
        <v>9140</v>
      </c>
      <c r="C95" t="s">
        <v>9139</v>
      </c>
      <c r="F95" t="s">
        <v>9138</v>
      </c>
      <c r="G95" t="s">
        <v>9</v>
      </c>
      <c r="H95" t="s">
        <v>8</v>
      </c>
      <c r="I95" t="s">
        <v>9137</v>
      </c>
      <c r="J95" t="s">
        <v>9136</v>
      </c>
      <c r="K95" t="s">
        <v>9135</v>
      </c>
      <c r="L95" t="s">
        <v>9134</v>
      </c>
      <c r="M95" t="s">
        <v>9133</v>
      </c>
      <c r="N95">
        <v>3</v>
      </c>
      <c r="O95" t="s">
        <v>9132</v>
      </c>
      <c r="P95" t="s">
        <v>9131</v>
      </c>
      <c r="Q95" t="s">
        <v>9130</v>
      </c>
      <c r="R95" s="7">
        <v>36863</v>
      </c>
      <c r="S95" s="8">
        <f t="shared" si="8"/>
        <v>2000</v>
      </c>
      <c r="T95" s="8">
        <v>2000</v>
      </c>
      <c r="U95" s="8">
        <f t="shared" si="9"/>
        <v>22</v>
      </c>
      <c r="V95" s="7">
        <v>2000</v>
      </c>
      <c r="W95" t="s">
        <v>196</v>
      </c>
      <c r="X95" s="2">
        <v>0.33500000000000002</v>
      </c>
      <c r="Y95" s="6">
        <f t="shared" si="10"/>
        <v>8.94263367235258E-3</v>
      </c>
      <c r="AA95">
        <v>10964290</v>
      </c>
      <c r="AB95">
        <v>18201</v>
      </c>
      <c r="AD95" t="s">
        <v>3</v>
      </c>
      <c r="AE95">
        <v>10</v>
      </c>
      <c r="AF95">
        <v>4</v>
      </c>
      <c r="AH95" t="s">
        <v>9129</v>
      </c>
      <c r="AI95" t="s">
        <v>9128</v>
      </c>
      <c r="AK95" t="s">
        <v>9127</v>
      </c>
      <c r="AL95">
        <v>1</v>
      </c>
      <c r="AM95" s="5">
        <f t="shared" si="11"/>
        <v>4.5454545454545456E-2</v>
      </c>
      <c r="AN95" s="4">
        <f t="shared" si="12"/>
        <v>6.8844445974321024E-5</v>
      </c>
      <c r="AO95" s="3"/>
      <c r="AP95">
        <v>0</v>
      </c>
      <c r="AR95" t="s">
        <v>1</v>
      </c>
      <c r="AT95" s="2">
        <v>1.694</v>
      </c>
      <c r="AU95" s="1">
        <f t="shared" si="13"/>
        <v>0.62804969044391024</v>
      </c>
      <c r="AV95" s="1">
        <f t="shared" si="14"/>
        <v>0.450573905916345</v>
      </c>
      <c r="AW95" s="1">
        <f t="shared" si="15"/>
        <v>0.27309812138877987</v>
      </c>
    </row>
    <row r="96" spans="1:49" x14ac:dyDescent="0.2">
      <c r="A96">
        <v>94</v>
      </c>
      <c r="B96" t="s">
        <v>9126</v>
      </c>
      <c r="F96" t="s">
        <v>9125</v>
      </c>
      <c r="G96" t="s">
        <v>9</v>
      </c>
      <c r="H96" t="s">
        <v>8</v>
      </c>
      <c r="I96" t="s">
        <v>9124</v>
      </c>
      <c r="J96">
        <v>60008524</v>
      </c>
      <c r="K96" t="s">
        <v>541</v>
      </c>
      <c r="L96" t="s">
        <v>540</v>
      </c>
      <c r="M96" t="s">
        <v>87</v>
      </c>
      <c r="N96">
        <v>3</v>
      </c>
      <c r="O96" t="s">
        <v>9123</v>
      </c>
      <c r="P96" t="s">
        <v>9122</v>
      </c>
      <c r="Q96" t="s">
        <v>539</v>
      </c>
      <c r="R96" s="7">
        <v>36863</v>
      </c>
      <c r="S96" s="8">
        <f t="shared" si="8"/>
        <v>2000</v>
      </c>
      <c r="T96" s="8">
        <v>2000</v>
      </c>
      <c r="U96" s="8">
        <f t="shared" si="9"/>
        <v>22</v>
      </c>
      <c r="V96" s="7">
        <v>2000</v>
      </c>
      <c r="W96" t="s">
        <v>8236</v>
      </c>
      <c r="X96" s="2">
        <v>0.54700000000000004</v>
      </c>
      <c r="Y96" s="6">
        <f t="shared" si="10"/>
        <v>1.4601852593363766E-2</v>
      </c>
      <c r="AA96">
        <v>11096</v>
      </c>
      <c r="AB96">
        <v>31211</v>
      </c>
      <c r="AD96" t="s">
        <v>3</v>
      </c>
      <c r="AE96">
        <v>54</v>
      </c>
      <c r="AF96">
        <v>3</v>
      </c>
      <c r="AH96" t="s">
        <v>9121</v>
      </c>
      <c r="AI96" t="s">
        <v>9120</v>
      </c>
      <c r="AK96" t="s">
        <v>9119</v>
      </c>
      <c r="AL96">
        <v>3</v>
      </c>
      <c r="AM96" s="5">
        <f t="shared" si="11"/>
        <v>0.13636363636363635</v>
      </c>
      <c r="AN96" s="4">
        <f t="shared" si="12"/>
        <v>2.0653333792296306E-4</v>
      </c>
      <c r="AO96" s="3"/>
      <c r="AP96">
        <v>0</v>
      </c>
      <c r="AR96" t="s">
        <v>1</v>
      </c>
      <c r="AT96" s="2" t="s">
        <v>0</v>
      </c>
      <c r="AU96" s="1">
        <f t="shared" si="13"/>
        <v>1.0283256816731525</v>
      </c>
      <c r="AV96" s="1">
        <f t="shared" si="14"/>
        <v>0.74041929656433647</v>
      </c>
      <c r="AW96" s="1">
        <f t="shared" si="15"/>
        <v>0.45251291145552042</v>
      </c>
    </row>
    <row r="97" spans="1:49" x14ac:dyDescent="0.2">
      <c r="A97">
        <v>95</v>
      </c>
      <c r="B97" t="s">
        <v>9118</v>
      </c>
      <c r="C97" t="s">
        <v>9117</v>
      </c>
      <c r="F97" t="s">
        <v>9116</v>
      </c>
      <c r="G97" t="s">
        <v>9</v>
      </c>
      <c r="H97" t="s">
        <v>8</v>
      </c>
      <c r="I97" t="s">
        <v>9115</v>
      </c>
      <c r="J97">
        <v>60000221</v>
      </c>
      <c r="K97" t="s">
        <v>831</v>
      </c>
      <c r="L97" t="s">
        <v>61</v>
      </c>
      <c r="M97" t="s">
        <v>5</v>
      </c>
      <c r="N97">
        <v>1</v>
      </c>
      <c r="O97" t="s">
        <v>9114</v>
      </c>
      <c r="P97">
        <v>55730024500</v>
      </c>
      <c r="Q97">
        <v>60000221</v>
      </c>
      <c r="R97" s="7">
        <v>36863</v>
      </c>
      <c r="S97" s="8">
        <f t="shared" si="8"/>
        <v>2000</v>
      </c>
      <c r="T97" s="8">
        <v>2000</v>
      </c>
      <c r="U97" s="8">
        <f t="shared" si="9"/>
        <v>22</v>
      </c>
      <c r="V97" s="7">
        <v>2000</v>
      </c>
      <c r="W97" t="s">
        <v>300</v>
      </c>
      <c r="X97" s="2">
        <v>2.141</v>
      </c>
      <c r="Y97" s="6">
        <f t="shared" si="10"/>
        <v>5.7152772216438434E-2</v>
      </c>
      <c r="AA97">
        <v>1962892</v>
      </c>
      <c r="AB97">
        <v>17360</v>
      </c>
      <c r="AD97" t="s">
        <v>3</v>
      </c>
      <c r="AE97">
        <v>38</v>
      </c>
      <c r="AF97">
        <v>3</v>
      </c>
      <c r="AH97" t="s">
        <v>9113</v>
      </c>
      <c r="AI97" t="s">
        <v>9112</v>
      </c>
      <c r="AK97" t="s">
        <v>9111</v>
      </c>
      <c r="AL97">
        <v>159</v>
      </c>
      <c r="AM97" s="5">
        <f t="shared" si="11"/>
        <v>7.2272727272727275</v>
      </c>
      <c r="AN97" s="4">
        <f t="shared" si="12"/>
        <v>1.0946266909917042E-2</v>
      </c>
      <c r="AO97" s="3"/>
      <c r="AP97">
        <v>0</v>
      </c>
      <c r="AR97" t="s">
        <v>1</v>
      </c>
      <c r="AT97" s="2" t="s">
        <v>0</v>
      </c>
      <c r="AU97" s="1">
        <f t="shared" si="13"/>
        <v>4.3290820624482018</v>
      </c>
      <c r="AV97" s="1">
        <f t="shared" si="14"/>
        <v>3.4049519563177739</v>
      </c>
      <c r="AW97" s="1">
        <f t="shared" si="15"/>
        <v>2.480821850187346</v>
      </c>
    </row>
    <row r="98" spans="1:49" x14ac:dyDescent="0.2">
      <c r="A98">
        <v>96</v>
      </c>
      <c r="B98" t="s">
        <v>9110</v>
      </c>
      <c r="C98" t="s">
        <v>9109</v>
      </c>
      <c r="F98" t="s">
        <v>9108</v>
      </c>
      <c r="G98" t="s">
        <v>9</v>
      </c>
      <c r="H98" t="s">
        <v>8</v>
      </c>
      <c r="I98" t="s">
        <v>9107</v>
      </c>
      <c r="J98" t="s">
        <v>9106</v>
      </c>
      <c r="K98" t="s">
        <v>9105</v>
      </c>
      <c r="L98" t="s">
        <v>490</v>
      </c>
      <c r="M98" t="s">
        <v>225</v>
      </c>
      <c r="N98">
        <v>3</v>
      </c>
      <c r="O98" t="s">
        <v>9104</v>
      </c>
      <c r="P98" t="s">
        <v>9103</v>
      </c>
      <c r="Q98" t="s">
        <v>9102</v>
      </c>
      <c r="R98" s="7">
        <v>36863</v>
      </c>
      <c r="S98" s="8">
        <f t="shared" si="8"/>
        <v>2000</v>
      </c>
      <c r="T98" s="8">
        <v>2000</v>
      </c>
      <c r="U98" s="8">
        <f t="shared" si="9"/>
        <v>22</v>
      </c>
      <c r="V98" s="7">
        <v>2000</v>
      </c>
      <c r="W98" t="s">
        <v>2264</v>
      </c>
      <c r="X98" s="2">
        <v>0.82</v>
      </c>
      <c r="Y98" s="6">
        <f t="shared" si="10"/>
        <v>2.1889431675609299E-2</v>
      </c>
      <c r="AA98">
        <v>189456</v>
      </c>
      <c r="AB98">
        <v>15361</v>
      </c>
      <c r="AD98" t="s">
        <v>3</v>
      </c>
      <c r="AE98">
        <v>49</v>
      </c>
      <c r="AF98">
        <v>2</v>
      </c>
      <c r="AH98" t="s">
        <v>9101</v>
      </c>
      <c r="AI98" t="s">
        <v>9100</v>
      </c>
      <c r="AK98" t="s">
        <v>9099</v>
      </c>
      <c r="AL98">
        <v>1</v>
      </c>
      <c r="AM98" s="5">
        <f t="shared" si="11"/>
        <v>4.5454545454545456E-2</v>
      </c>
      <c r="AN98" s="4">
        <f t="shared" si="12"/>
        <v>6.8844445974321024E-5</v>
      </c>
      <c r="AO98" s="3"/>
      <c r="AP98">
        <v>0</v>
      </c>
      <c r="AR98" t="s">
        <v>1</v>
      </c>
      <c r="AT98" s="2" t="s">
        <v>0</v>
      </c>
      <c r="AU98" s="1">
        <f t="shared" si="13"/>
        <v>1.5343255506718805</v>
      </c>
      <c r="AV98" s="1">
        <f t="shared" si="14"/>
        <v>1.0979138060791811</v>
      </c>
      <c r="AW98" s="1">
        <f t="shared" si="15"/>
        <v>0.66150206148648139</v>
      </c>
    </row>
    <row r="99" spans="1:49" x14ac:dyDescent="0.2">
      <c r="A99">
        <v>97</v>
      </c>
      <c r="B99" t="s">
        <v>9098</v>
      </c>
      <c r="C99" t="s">
        <v>9097</v>
      </c>
      <c r="F99" t="s">
        <v>9096</v>
      </c>
      <c r="G99" t="s">
        <v>9</v>
      </c>
      <c r="H99" t="s">
        <v>8</v>
      </c>
      <c r="I99" t="s">
        <v>9095</v>
      </c>
      <c r="J99">
        <v>60013141</v>
      </c>
      <c r="K99" t="s">
        <v>9094</v>
      </c>
      <c r="L99" t="s">
        <v>9093</v>
      </c>
      <c r="M99" t="s">
        <v>228</v>
      </c>
      <c r="N99">
        <v>1</v>
      </c>
      <c r="O99" t="s">
        <v>9092</v>
      </c>
      <c r="P99">
        <v>7004958403</v>
      </c>
      <c r="Q99">
        <v>60013141</v>
      </c>
      <c r="R99" s="7">
        <v>36863</v>
      </c>
      <c r="S99" s="8">
        <f t="shared" si="8"/>
        <v>2000</v>
      </c>
      <c r="T99" s="8">
        <v>2000</v>
      </c>
      <c r="U99" s="8">
        <f t="shared" si="9"/>
        <v>22</v>
      </c>
      <c r="V99" s="7">
        <v>2000</v>
      </c>
      <c r="W99" s="11" t="s">
        <v>253</v>
      </c>
      <c r="X99" s="2">
        <v>2.383</v>
      </c>
      <c r="Y99" s="6">
        <f t="shared" si="10"/>
        <v>6.3612824003630442E-2</v>
      </c>
      <c r="AA99">
        <v>13502417</v>
      </c>
      <c r="AB99">
        <v>17416</v>
      </c>
      <c r="AD99" t="s">
        <v>3</v>
      </c>
      <c r="AE99">
        <v>147</v>
      </c>
      <c r="AF99">
        <v>3</v>
      </c>
      <c r="AH99" t="s">
        <v>9091</v>
      </c>
      <c r="AI99" t="s">
        <v>9090</v>
      </c>
      <c r="AK99" t="s">
        <v>9089</v>
      </c>
      <c r="AL99">
        <v>10</v>
      </c>
      <c r="AM99" s="5">
        <f t="shared" si="11"/>
        <v>0.45454545454545453</v>
      </c>
      <c r="AN99" s="4">
        <f t="shared" si="12"/>
        <v>6.8844445974321016E-4</v>
      </c>
      <c r="AO99" s="3"/>
      <c r="AP99">
        <v>0</v>
      </c>
      <c r="AR99" t="s">
        <v>1</v>
      </c>
      <c r="AT99" s="2" t="s">
        <v>0</v>
      </c>
      <c r="AU99" s="1">
        <f t="shared" si="13"/>
        <v>4.4735510140464267</v>
      </c>
      <c r="AV99" s="1">
        <f t="shared" si="14"/>
        <v>3.2150634231686825</v>
      </c>
      <c r="AW99" s="1">
        <f t="shared" si="15"/>
        <v>1.9565758322909379</v>
      </c>
    </row>
    <row r="100" spans="1:49" x14ac:dyDescent="0.2">
      <c r="A100">
        <v>98</v>
      </c>
      <c r="B100" t="s">
        <v>9088</v>
      </c>
      <c r="C100" t="s">
        <v>9087</v>
      </c>
      <c r="F100" t="s">
        <v>9086</v>
      </c>
      <c r="G100" t="s">
        <v>9</v>
      </c>
      <c r="H100" t="s">
        <v>8</v>
      </c>
      <c r="I100" t="s">
        <v>9085</v>
      </c>
      <c r="J100" t="s">
        <v>9084</v>
      </c>
      <c r="K100" t="s">
        <v>9083</v>
      </c>
      <c r="L100" t="s">
        <v>9082</v>
      </c>
      <c r="M100" t="s">
        <v>9081</v>
      </c>
      <c r="N100">
        <v>4</v>
      </c>
      <c r="O100" t="s">
        <v>9080</v>
      </c>
      <c r="P100" t="s">
        <v>9079</v>
      </c>
      <c r="Q100" t="s">
        <v>9078</v>
      </c>
      <c r="R100" s="7">
        <v>36863</v>
      </c>
      <c r="S100" s="8">
        <f t="shared" si="8"/>
        <v>2000</v>
      </c>
      <c r="T100" s="8">
        <v>2000</v>
      </c>
      <c r="U100" s="8">
        <f t="shared" si="9"/>
        <v>22</v>
      </c>
      <c r="V100" s="7">
        <v>2000</v>
      </c>
      <c r="W100" t="s">
        <v>2264</v>
      </c>
      <c r="X100" s="2">
        <v>0.82</v>
      </c>
      <c r="Y100" s="6">
        <f t="shared" si="10"/>
        <v>2.1889431675609299E-2</v>
      </c>
      <c r="AA100">
        <v>189456</v>
      </c>
      <c r="AB100">
        <v>15361</v>
      </c>
      <c r="AD100" t="s">
        <v>3</v>
      </c>
      <c r="AE100">
        <v>49</v>
      </c>
      <c r="AF100">
        <v>2</v>
      </c>
      <c r="AH100" t="s">
        <v>9077</v>
      </c>
      <c r="AI100" t="s">
        <v>9076</v>
      </c>
      <c r="AK100" t="s">
        <v>9075</v>
      </c>
      <c r="AL100">
        <v>98</v>
      </c>
      <c r="AM100" s="5">
        <f t="shared" si="11"/>
        <v>4.4545454545454541</v>
      </c>
      <c r="AN100" s="4">
        <f t="shared" si="12"/>
        <v>6.7467557054834591E-3</v>
      </c>
      <c r="AO100" s="3"/>
      <c r="AP100">
        <v>0</v>
      </c>
      <c r="AQ100" t="s">
        <v>9074</v>
      </c>
      <c r="AR100" t="s">
        <v>1</v>
      </c>
      <c r="AS100" t="s">
        <v>550</v>
      </c>
      <c r="AT100" s="2" t="s">
        <v>0</v>
      </c>
      <c r="AU100" s="1">
        <f t="shared" si="13"/>
        <v>1.7346628884571544</v>
      </c>
      <c r="AV100" s="1">
        <f t="shared" si="14"/>
        <v>1.4318093690546378</v>
      </c>
      <c r="AW100" s="1">
        <f t="shared" si="15"/>
        <v>1.128955849652121</v>
      </c>
    </row>
    <row r="101" spans="1:49" x14ac:dyDescent="0.2">
      <c r="A101">
        <v>99</v>
      </c>
      <c r="B101" t="s">
        <v>9073</v>
      </c>
      <c r="C101" t="s">
        <v>9072</v>
      </c>
      <c r="F101" t="s">
        <v>9071</v>
      </c>
      <c r="G101" t="s">
        <v>9</v>
      </c>
      <c r="H101" t="s">
        <v>8</v>
      </c>
      <c r="I101" t="s">
        <v>3340</v>
      </c>
      <c r="J101" t="s">
        <v>652</v>
      </c>
      <c r="K101" t="s">
        <v>651</v>
      </c>
      <c r="L101" t="s">
        <v>650</v>
      </c>
      <c r="M101" t="s">
        <v>649</v>
      </c>
      <c r="N101">
        <v>3</v>
      </c>
      <c r="O101" t="s">
        <v>9070</v>
      </c>
      <c r="P101" t="s">
        <v>9069</v>
      </c>
      <c r="Q101" t="s">
        <v>9068</v>
      </c>
      <c r="R101" s="7">
        <v>36863</v>
      </c>
      <c r="S101" s="8">
        <f t="shared" si="8"/>
        <v>2000</v>
      </c>
      <c r="T101" s="8">
        <v>2000</v>
      </c>
      <c r="U101" s="8">
        <f t="shared" si="9"/>
        <v>22</v>
      </c>
      <c r="V101" s="7">
        <v>2000</v>
      </c>
      <c r="W101" t="s">
        <v>221</v>
      </c>
      <c r="X101" s="2">
        <v>1.365</v>
      </c>
      <c r="Y101" s="6">
        <f t="shared" si="10"/>
        <v>3.6437895411227675E-2</v>
      </c>
      <c r="AA101">
        <v>189545</v>
      </c>
      <c r="AB101">
        <v>17393</v>
      </c>
      <c r="AD101" t="s">
        <v>3</v>
      </c>
      <c r="AE101">
        <v>49</v>
      </c>
      <c r="AF101">
        <v>3</v>
      </c>
      <c r="AH101" t="s">
        <v>9067</v>
      </c>
      <c r="AI101" t="s">
        <v>9066</v>
      </c>
      <c r="AK101" t="s">
        <v>9065</v>
      </c>
      <c r="AL101">
        <v>4</v>
      </c>
      <c r="AM101" s="5">
        <f t="shared" si="11"/>
        <v>0.18181818181818182</v>
      </c>
      <c r="AN101" s="4">
        <f t="shared" si="12"/>
        <v>2.753777838972841E-4</v>
      </c>
      <c r="AO101" s="3"/>
      <c r="AP101">
        <v>0</v>
      </c>
      <c r="AR101" t="s">
        <v>1</v>
      </c>
      <c r="AT101" s="2" t="s">
        <v>0</v>
      </c>
      <c r="AU101" s="1">
        <f t="shared" si="13"/>
        <v>2.5589140123028558</v>
      </c>
      <c r="AV101" s="1">
        <f t="shared" si="14"/>
        <v>1.8356636597562477</v>
      </c>
      <c r="AW101" s="1">
        <f t="shared" si="15"/>
        <v>1.11241330720964</v>
      </c>
    </row>
    <row r="102" spans="1:49" x14ac:dyDescent="0.2">
      <c r="A102">
        <v>100</v>
      </c>
      <c r="B102" t="s">
        <v>9064</v>
      </c>
      <c r="F102" t="s">
        <v>9063</v>
      </c>
      <c r="G102" t="s">
        <v>9</v>
      </c>
      <c r="H102" t="s">
        <v>8</v>
      </c>
      <c r="I102" t="s">
        <v>9062</v>
      </c>
      <c r="J102">
        <v>60020484</v>
      </c>
      <c r="K102" t="s">
        <v>68</v>
      </c>
      <c r="L102" t="s">
        <v>67</v>
      </c>
      <c r="M102" t="s">
        <v>66</v>
      </c>
      <c r="N102">
        <v>2</v>
      </c>
      <c r="O102" t="s">
        <v>9061</v>
      </c>
      <c r="P102" t="s">
        <v>2534</v>
      </c>
      <c r="Q102" t="s">
        <v>65</v>
      </c>
      <c r="R102" s="7">
        <v>36863</v>
      </c>
      <c r="S102" s="8">
        <f t="shared" si="8"/>
        <v>2000</v>
      </c>
      <c r="T102" s="8">
        <v>2000</v>
      </c>
      <c r="U102" s="8">
        <f t="shared" si="9"/>
        <v>22</v>
      </c>
      <c r="V102" s="7">
        <v>2000</v>
      </c>
      <c r="W102" t="s">
        <v>8236</v>
      </c>
      <c r="X102" s="2">
        <v>0.54700000000000004</v>
      </c>
      <c r="Y102" s="6">
        <f t="shared" si="10"/>
        <v>1.4601852593363766E-2</v>
      </c>
      <c r="AA102">
        <v>11096</v>
      </c>
      <c r="AB102">
        <v>31211</v>
      </c>
      <c r="AD102" t="s">
        <v>3</v>
      </c>
      <c r="AE102">
        <v>54</v>
      </c>
      <c r="AF102">
        <v>4</v>
      </c>
      <c r="AH102" t="s">
        <v>9060</v>
      </c>
      <c r="AI102" t="s">
        <v>9059</v>
      </c>
      <c r="AK102" t="s">
        <v>9058</v>
      </c>
      <c r="AL102">
        <v>0</v>
      </c>
      <c r="AM102" s="5">
        <f t="shared" si="11"/>
        <v>0</v>
      </c>
      <c r="AN102" s="4">
        <f t="shared" si="12"/>
        <v>0</v>
      </c>
      <c r="AO102" s="3"/>
      <c r="AP102">
        <v>0</v>
      </c>
      <c r="AR102" t="s">
        <v>1</v>
      </c>
      <c r="AT102" s="2" t="s">
        <v>0</v>
      </c>
      <c r="AU102" s="1">
        <f t="shared" si="13"/>
        <v>1.0221296815354637</v>
      </c>
      <c r="AV102" s="1">
        <f t="shared" si="14"/>
        <v>0.73009262966818833</v>
      </c>
      <c r="AW102" s="1">
        <f t="shared" si="15"/>
        <v>0.43805557780091298</v>
      </c>
    </row>
    <row r="103" spans="1:49" x14ac:dyDescent="0.2">
      <c r="A103">
        <v>101</v>
      </c>
      <c r="B103" t="s">
        <v>9057</v>
      </c>
      <c r="F103" t="s">
        <v>9056</v>
      </c>
      <c r="G103" t="s">
        <v>9</v>
      </c>
      <c r="H103" t="s">
        <v>8</v>
      </c>
      <c r="I103" t="s">
        <v>323</v>
      </c>
      <c r="J103">
        <v>100323413</v>
      </c>
      <c r="K103" t="s">
        <v>9055</v>
      </c>
      <c r="L103" t="s">
        <v>523</v>
      </c>
      <c r="M103" t="s">
        <v>86</v>
      </c>
      <c r="N103">
        <v>2</v>
      </c>
      <c r="O103" t="s">
        <v>522</v>
      </c>
      <c r="P103" t="s">
        <v>521</v>
      </c>
      <c r="Q103" t="s">
        <v>9054</v>
      </c>
      <c r="R103" s="7">
        <v>36863</v>
      </c>
      <c r="S103" s="8">
        <f t="shared" si="8"/>
        <v>2000</v>
      </c>
      <c r="T103" s="8">
        <v>2000</v>
      </c>
      <c r="U103" s="8">
        <f t="shared" si="9"/>
        <v>22</v>
      </c>
      <c r="V103" s="7">
        <v>2000</v>
      </c>
      <c r="W103" t="s">
        <v>100</v>
      </c>
      <c r="X103" s="2">
        <v>0.24199999999999999</v>
      </c>
      <c r="Y103" s="6">
        <f t="shared" si="10"/>
        <v>6.4600517871920135E-3</v>
      </c>
      <c r="AB103">
        <v>70843</v>
      </c>
      <c r="AD103" t="s">
        <v>3</v>
      </c>
      <c r="AH103" t="s">
        <v>9053</v>
      </c>
      <c r="AI103" t="s">
        <v>9052</v>
      </c>
      <c r="AK103" t="s">
        <v>9051</v>
      </c>
      <c r="AL103">
        <v>2</v>
      </c>
      <c r="AM103" s="5">
        <f t="shared" si="11"/>
        <v>9.0909090909090912E-2</v>
      </c>
      <c r="AN103" s="4">
        <f t="shared" si="12"/>
        <v>1.3768889194864205E-4</v>
      </c>
      <c r="AO103" s="3"/>
      <c r="AP103">
        <v>0</v>
      </c>
      <c r="AR103" t="s">
        <v>1</v>
      </c>
      <c r="AT103" s="2" t="s">
        <v>0</v>
      </c>
      <c r="AU103" s="1">
        <f t="shared" si="13"/>
        <v>0.45633429186190017</v>
      </c>
      <c r="AV103" s="1">
        <f t="shared" si="14"/>
        <v>0.32988703395703278</v>
      </c>
      <c r="AW103" s="1">
        <f t="shared" si="15"/>
        <v>0.20343977605216534</v>
      </c>
    </row>
    <row r="104" spans="1:49" x14ac:dyDescent="0.2">
      <c r="A104">
        <v>102</v>
      </c>
      <c r="B104" t="s">
        <v>9050</v>
      </c>
      <c r="F104" t="s">
        <v>9049</v>
      </c>
      <c r="G104" t="s">
        <v>9</v>
      </c>
      <c r="H104" t="s">
        <v>8</v>
      </c>
      <c r="I104" t="s">
        <v>9048</v>
      </c>
      <c r="J104">
        <v>60031226</v>
      </c>
      <c r="K104" t="s">
        <v>3787</v>
      </c>
      <c r="L104" t="s">
        <v>549</v>
      </c>
      <c r="M104" t="s">
        <v>86</v>
      </c>
      <c r="N104">
        <v>3</v>
      </c>
      <c r="O104" t="s">
        <v>9047</v>
      </c>
      <c r="P104" t="s">
        <v>9046</v>
      </c>
      <c r="Q104" t="s">
        <v>9045</v>
      </c>
      <c r="R104" s="7">
        <v>36863</v>
      </c>
      <c r="S104" s="8">
        <f t="shared" si="8"/>
        <v>2000</v>
      </c>
      <c r="T104" s="8">
        <v>2000</v>
      </c>
      <c r="U104" s="8">
        <f t="shared" si="9"/>
        <v>22</v>
      </c>
      <c r="V104" s="7">
        <v>2000</v>
      </c>
      <c r="W104" t="s">
        <v>100</v>
      </c>
      <c r="X104" s="2">
        <v>0.24199999999999999</v>
      </c>
      <c r="Y104" s="6">
        <f t="shared" si="10"/>
        <v>6.4600517871920135E-3</v>
      </c>
      <c r="AB104">
        <v>70843</v>
      </c>
      <c r="AD104" t="s">
        <v>3</v>
      </c>
      <c r="AH104" t="s">
        <v>9044</v>
      </c>
      <c r="AI104" t="s">
        <v>9043</v>
      </c>
      <c r="AK104" t="s">
        <v>9042</v>
      </c>
      <c r="AL104">
        <v>1</v>
      </c>
      <c r="AM104" s="5">
        <f t="shared" si="11"/>
        <v>4.5454545454545456E-2</v>
      </c>
      <c r="AN104" s="4">
        <f t="shared" si="12"/>
        <v>6.8844445974321024E-5</v>
      </c>
      <c r="AO104" s="3"/>
      <c r="AP104">
        <v>0</v>
      </c>
      <c r="AR104" t="s">
        <v>1</v>
      </c>
      <c r="AT104" s="2" t="s">
        <v>0</v>
      </c>
      <c r="AU104" s="1">
        <f t="shared" si="13"/>
        <v>0.45426895848267063</v>
      </c>
      <c r="AV104" s="1">
        <f t="shared" si="14"/>
        <v>0.32644481165831674</v>
      </c>
      <c r="AW104" s="1">
        <f t="shared" si="15"/>
        <v>0.19862066483396287</v>
      </c>
    </row>
    <row r="105" spans="1:49" x14ac:dyDescent="0.2">
      <c r="A105">
        <v>103</v>
      </c>
      <c r="B105" t="s">
        <v>9041</v>
      </c>
      <c r="C105" t="s">
        <v>9040</v>
      </c>
      <c r="D105" t="s">
        <v>9039</v>
      </c>
      <c r="E105">
        <v>11091078</v>
      </c>
      <c r="F105" t="s">
        <v>9038</v>
      </c>
      <c r="G105" t="s">
        <v>9</v>
      </c>
      <c r="H105" t="s">
        <v>8</v>
      </c>
      <c r="I105" t="s">
        <v>9037</v>
      </c>
      <c r="J105" t="s">
        <v>952</v>
      </c>
      <c r="K105" t="s">
        <v>951</v>
      </c>
      <c r="L105" t="s">
        <v>950</v>
      </c>
      <c r="M105" t="s">
        <v>143</v>
      </c>
      <c r="N105">
        <v>4</v>
      </c>
      <c r="O105" t="s">
        <v>9036</v>
      </c>
      <c r="P105" t="s">
        <v>9035</v>
      </c>
      <c r="Q105" t="s">
        <v>9034</v>
      </c>
      <c r="R105" s="7">
        <v>36862</v>
      </c>
      <c r="S105" s="8">
        <f t="shared" si="8"/>
        <v>2000</v>
      </c>
      <c r="T105" s="8">
        <v>2000</v>
      </c>
      <c r="U105" s="8">
        <f t="shared" si="9"/>
        <v>22</v>
      </c>
      <c r="V105" s="7">
        <v>2000</v>
      </c>
      <c r="W105" t="s">
        <v>787</v>
      </c>
      <c r="X105" s="2" t="s">
        <v>0</v>
      </c>
      <c r="Y105" s="6" t="e">
        <f t="shared" si="10"/>
        <v>#VALUE!</v>
      </c>
      <c r="AA105">
        <v>9254773</v>
      </c>
      <c r="AB105">
        <v>18579</v>
      </c>
      <c r="AD105" t="s">
        <v>3</v>
      </c>
      <c r="AE105">
        <v>99</v>
      </c>
      <c r="AF105" s="10">
        <v>44228</v>
      </c>
      <c r="AH105" t="s">
        <v>670</v>
      </c>
      <c r="AI105" t="s">
        <v>9033</v>
      </c>
      <c r="AJ105" t="s">
        <v>9032</v>
      </c>
      <c r="AK105" t="s">
        <v>9031</v>
      </c>
      <c r="AL105">
        <v>50</v>
      </c>
      <c r="AM105" s="5">
        <f t="shared" si="11"/>
        <v>2.2727272727272729</v>
      </c>
      <c r="AN105" s="4">
        <f t="shared" si="12"/>
        <v>3.4422222987160515E-3</v>
      </c>
      <c r="AO105" s="3"/>
      <c r="AP105">
        <v>1</v>
      </c>
      <c r="AQ105" t="s">
        <v>9030</v>
      </c>
      <c r="AR105" t="s">
        <v>1</v>
      </c>
      <c r="AS105" t="s">
        <v>9029</v>
      </c>
      <c r="AT105" s="2">
        <v>1.8819999999999999</v>
      </c>
      <c r="AU105" s="1" t="e">
        <f t="shared" si="13"/>
        <v>#VALUE!</v>
      </c>
      <c r="AV105" s="1" t="e">
        <f t="shared" si="14"/>
        <v>#VALUE!</v>
      </c>
      <c r="AW105" s="1" t="e">
        <f t="shared" si="15"/>
        <v>#VALUE!</v>
      </c>
    </row>
    <row r="106" spans="1:49" x14ac:dyDescent="0.2">
      <c r="A106">
        <v>104</v>
      </c>
      <c r="B106" t="s">
        <v>9028</v>
      </c>
      <c r="C106" t="s">
        <v>9027</v>
      </c>
      <c r="D106" t="s">
        <v>9026</v>
      </c>
      <c r="F106" t="s">
        <v>9025</v>
      </c>
      <c r="G106" t="s">
        <v>9</v>
      </c>
      <c r="H106" t="s">
        <v>8</v>
      </c>
      <c r="I106" t="s">
        <v>9024</v>
      </c>
      <c r="J106">
        <v>60011170</v>
      </c>
      <c r="K106" t="s">
        <v>9023</v>
      </c>
      <c r="L106" t="s">
        <v>9022</v>
      </c>
      <c r="M106" t="s">
        <v>22</v>
      </c>
      <c r="N106">
        <v>3</v>
      </c>
      <c r="O106" t="s">
        <v>9021</v>
      </c>
      <c r="P106" t="s">
        <v>9020</v>
      </c>
      <c r="Q106" t="s">
        <v>9019</v>
      </c>
      <c r="R106" s="7">
        <v>36861</v>
      </c>
      <c r="S106" s="8">
        <f t="shared" si="8"/>
        <v>2000</v>
      </c>
      <c r="T106" s="8">
        <v>2000</v>
      </c>
      <c r="U106" s="8">
        <f t="shared" si="9"/>
        <v>22</v>
      </c>
      <c r="V106" s="7">
        <v>2000</v>
      </c>
      <c r="W106" t="s">
        <v>291</v>
      </c>
      <c r="X106" s="2">
        <v>1.6519999999999999</v>
      </c>
      <c r="Y106" s="6">
        <f t="shared" si="10"/>
        <v>4.409919649769093E-2</v>
      </c>
      <c r="AA106" t="s">
        <v>290</v>
      </c>
      <c r="AB106">
        <v>17337</v>
      </c>
      <c r="AD106" t="s">
        <v>3</v>
      </c>
      <c r="AE106">
        <v>48</v>
      </c>
      <c r="AF106">
        <v>8</v>
      </c>
      <c r="AH106" t="s">
        <v>9018</v>
      </c>
      <c r="AI106" t="s">
        <v>9017</v>
      </c>
      <c r="AJ106" t="s">
        <v>9016</v>
      </c>
      <c r="AK106" t="s">
        <v>9015</v>
      </c>
      <c r="AL106">
        <v>160</v>
      </c>
      <c r="AM106" s="5">
        <f t="shared" si="11"/>
        <v>7.2727272727272725</v>
      </c>
      <c r="AN106" s="4">
        <f t="shared" si="12"/>
        <v>1.1015111355891363E-2</v>
      </c>
      <c r="AO106" s="3"/>
      <c r="AP106">
        <v>0</v>
      </c>
      <c r="AR106" t="s">
        <v>1</v>
      </c>
      <c r="AT106" s="2" t="s">
        <v>0</v>
      </c>
      <c r="AU106" s="1">
        <f t="shared" si="13"/>
        <v>3.4173970955151058</v>
      </c>
      <c r="AV106" s="1">
        <f t="shared" si="14"/>
        <v>2.7557153926791145</v>
      </c>
      <c r="AW106" s="1">
        <f t="shared" si="15"/>
        <v>2.0940336898431231</v>
      </c>
    </row>
    <row r="107" spans="1:49" x14ac:dyDescent="0.2">
      <c r="A107">
        <v>105</v>
      </c>
      <c r="B107" t="s">
        <v>9014</v>
      </c>
      <c r="C107" t="s">
        <v>9013</v>
      </c>
      <c r="F107" t="s">
        <v>9012</v>
      </c>
      <c r="G107" t="s">
        <v>9</v>
      </c>
      <c r="H107" t="s">
        <v>8</v>
      </c>
      <c r="I107" t="s">
        <v>9011</v>
      </c>
      <c r="J107" t="s">
        <v>9010</v>
      </c>
      <c r="K107" t="s">
        <v>9009</v>
      </c>
      <c r="L107" t="s">
        <v>9008</v>
      </c>
      <c r="M107" t="s">
        <v>9007</v>
      </c>
      <c r="N107">
        <v>3</v>
      </c>
      <c r="O107" t="s">
        <v>9006</v>
      </c>
      <c r="P107" t="s">
        <v>9005</v>
      </c>
      <c r="Q107" t="s">
        <v>9004</v>
      </c>
      <c r="R107" s="7">
        <v>36861</v>
      </c>
      <c r="S107" s="8">
        <f t="shared" si="8"/>
        <v>2000</v>
      </c>
      <c r="T107" s="8">
        <v>2000</v>
      </c>
      <c r="U107" s="8">
        <f t="shared" si="9"/>
        <v>22</v>
      </c>
      <c r="V107" s="7">
        <v>36861</v>
      </c>
      <c r="W107" t="s">
        <v>686</v>
      </c>
      <c r="X107" s="2">
        <v>0.318</v>
      </c>
      <c r="Y107" s="6">
        <f t="shared" si="10"/>
        <v>8.4888283815167786E-3</v>
      </c>
      <c r="AA107">
        <v>338443</v>
      </c>
      <c r="AB107">
        <v>27160</v>
      </c>
      <c r="AC107">
        <v>15739120</v>
      </c>
      <c r="AD107" t="s">
        <v>3</v>
      </c>
      <c r="AE107">
        <v>43</v>
      </c>
      <c r="AF107">
        <v>12</v>
      </c>
      <c r="AH107" t="s">
        <v>9003</v>
      </c>
      <c r="AI107" t="s">
        <v>9002</v>
      </c>
      <c r="AK107" t="s">
        <v>9001</v>
      </c>
      <c r="AL107">
        <v>0</v>
      </c>
      <c r="AM107" s="5">
        <f t="shared" si="11"/>
        <v>0</v>
      </c>
      <c r="AN107" s="4">
        <f t="shared" si="12"/>
        <v>0</v>
      </c>
      <c r="AO107" s="3"/>
      <c r="AP107">
        <v>0</v>
      </c>
      <c r="AQ107" t="s">
        <v>687</v>
      </c>
      <c r="AR107" t="s">
        <v>9000</v>
      </c>
      <c r="AS107" t="s">
        <v>510</v>
      </c>
      <c r="AT107" s="2">
        <v>0.77</v>
      </c>
      <c r="AU107" s="1">
        <f t="shared" si="13"/>
        <v>0.59421798670617454</v>
      </c>
      <c r="AV107" s="1">
        <f t="shared" si="14"/>
        <v>0.42444141907583893</v>
      </c>
      <c r="AW107" s="1">
        <f t="shared" si="15"/>
        <v>0.25466485144550338</v>
      </c>
    </row>
    <row r="108" spans="1:49" x14ac:dyDescent="0.2">
      <c r="A108">
        <v>106</v>
      </c>
      <c r="B108" t="s">
        <v>8999</v>
      </c>
      <c r="C108" t="s">
        <v>8998</v>
      </c>
      <c r="F108" t="s">
        <v>8997</v>
      </c>
      <c r="G108" t="s">
        <v>9</v>
      </c>
      <c r="H108" t="s">
        <v>8</v>
      </c>
      <c r="I108" t="s">
        <v>8996</v>
      </c>
      <c r="J108" t="s">
        <v>8995</v>
      </c>
      <c r="K108" t="s">
        <v>8994</v>
      </c>
      <c r="L108" t="s">
        <v>8993</v>
      </c>
      <c r="M108" t="s">
        <v>5643</v>
      </c>
      <c r="N108">
        <v>3</v>
      </c>
      <c r="O108" t="s">
        <v>8992</v>
      </c>
      <c r="P108" t="s">
        <v>8991</v>
      </c>
      <c r="Q108" t="s">
        <v>8990</v>
      </c>
      <c r="R108" s="7">
        <v>36861</v>
      </c>
      <c r="S108" s="8">
        <f t="shared" si="8"/>
        <v>2000</v>
      </c>
      <c r="T108" s="8">
        <v>2000</v>
      </c>
      <c r="U108" s="8">
        <f t="shared" si="9"/>
        <v>22</v>
      </c>
      <c r="V108" s="7">
        <v>36861</v>
      </c>
      <c r="W108" t="s">
        <v>686</v>
      </c>
      <c r="X108" s="2">
        <v>0.318</v>
      </c>
      <c r="Y108" s="6">
        <f t="shared" si="10"/>
        <v>8.4888283815167786E-3</v>
      </c>
      <c r="AA108">
        <v>338443</v>
      </c>
      <c r="AB108">
        <v>27160</v>
      </c>
      <c r="AC108">
        <v>15739120</v>
      </c>
      <c r="AD108" t="s">
        <v>3</v>
      </c>
      <c r="AE108">
        <v>43</v>
      </c>
      <c r="AF108">
        <v>12</v>
      </c>
      <c r="AH108" t="s">
        <v>8989</v>
      </c>
      <c r="AI108" t="s">
        <v>8988</v>
      </c>
      <c r="AK108" t="s">
        <v>8987</v>
      </c>
      <c r="AL108">
        <v>0</v>
      </c>
      <c r="AM108" s="5">
        <f t="shared" si="11"/>
        <v>0</v>
      </c>
      <c r="AN108" s="4">
        <f t="shared" si="12"/>
        <v>0</v>
      </c>
      <c r="AO108" s="3"/>
      <c r="AP108">
        <v>0</v>
      </c>
      <c r="AR108" t="s">
        <v>1</v>
      </c>
      <c r="AT108" s="2">
        <v>0.77</v>
      </c>
      <c r="AU108" s="1">
        <f t="shared" si="13"/>
        <v>0.59421798670617454</v>
      </c>
      <c r="AV108" s="1">
        <f t="shared" si="14"/>
        <v>0.42444141907583893</v>
      </c>
      <c r="AW108" s="1">
        <f t="shared" si="15"/>
        <v>0.25466485144550338</v>
      </c>
    </row>
    <row r="109" spans="1:49" x14ac:dyDescent="0.2">
      <c r="A109">
        <v>107</v>
      </c>
      <c r="B109" t="s">
        <v>8986</v>
      </c>
      <c r="C109" t="s">
        <v>8985</v>
      </c>
      <c r="F109" t="s">
        <v>8984</v>
      </c>
      <c r="G109" t="s">
        <v>9</v>
      </c>
      <c r="H109" t="s">
        <v>8</v>
      </c>
      <c r="I109" t="s">
        <v>8983</v>
      </c>
      <c r="J109">
        <v>100926706</v>
      </c>
      <c r="K109" t="s">
        <v>8982</v>
      </c>
      <c r="L109" t="s">
        <v>730</v>
      </c>
      <c r="M109" t="s">
        <v>86</v>
      </c>
      <c r="N109">
        <v>1</v>
      </c>
      <c r="O109" t="s">
        <v>8981</v>
      </c>
      <c r="P109">
        <v>7102833130</v>
      </c>
      <c r="Q109">
        <v>100926706</v>
      </c>
      <c r="R109" s="7">
        <v>36861</v>
      </c>
      <c r="S109" s="8">
        <f t="shared" si="8"/>
        <v>2000</v>
      </c>
      <c r="T109" s="8">
        <v>2000</v>
      </c>
      <c r="U109" s="8">
        <f t="shared" si="9"/>
        <v>22</v>
      </c>
      <c r="V109" s="7">
        <v>2000</v>
      </c>
      <c r="W109" t="s">
        <v>473</v>
      </c>
      <c r="X109" s="2">
        <v>0.88100000000000001</v>
      </c>
      <c r="Y109" s="6">
        <f t="shared" si="10"/>
        <v>2.3517791836843653E-2</v>
      </c>
      <c r="AA109">
        <v>10459243</v>
      </c>
      <c r="AB109">
        <v>17248</v>
      </c>
      <c r="AD109" t="s">
        <v>3</v>
      </c>
      <c r="AE109">
        <v>42</v>
      </c>
      <c r="AF109">
        <v>2</v>
      </c>
      <c r="AH109" t="s">
        <v>8980</v>
      </c>
      <c r="AI109" t="s">
        <v>8979</v>
      </c>
      <c r="AJ109" t="s">
        <v>8978</v>
      </c>
      <c r="AK109" t="s">
        <v>8977</v>
      </c>
      <c r="AL109">
        <v>2</v>
      </c>
      <c r="AM109" s="5">
        <f t="shared" si="11"/>
        <v>9.0909090909090912E-2</v>
      </c>
      <c r="AN109" s="4">
        <f t="shared" si="12"/>
        <v>1.3768889194864205E-4</v>
      </c>
      <c r="AO109" s="3"/>
      <c r="AP109">
        <v>0</v>
      </c>
      <c r="AR109" t="s">
        <v>1</v>
      </c>
      <c r="AT109" s="2" t="s">
        <v>0</v>
      </c>
      <c r="AU109" s="1">
        <f t="shared" si="13"/>
        <v>1.6503760953375148</v>
      </c>
      <c r="AV109" s="1">
        <f t="shared" si="14"/>
        <v>1.1827740364396147</v>
      </c>
      <c r="AW109" s="1">
        <f t="shared" si="15"/>
        <v>0.71517197754171458</v>
      </c>
    </row>
    <row r="110" spans="1:49" x14ac:dyDescent="0.2">
      <c r="A110">
        <v>108</v>
      </c>
      <c r="B110" t="s">
        <v>8976</v>
      </c>
      <c r="F110" t="s">
        <v>8975</v>
      </c>
      <c r="G110" t="s">
        <v>9</v>
      </c>
      <c r="H110" t="s">
        <v>8</v>
      </c>
      <c r="I110" t="s">
        <v>671</v>
      </c>
      <c r="J110" t="s">
        <v>8974</v>
      </c>
      <c r="K110" t="s">
        <v>8973</v>
      </c>
      <c r="L110" t="s">
        <v>8972</v>
      </c>
      <c r="M110" t="s">
        <v>8971</v>
      </c>
      <c r="N110">
        <v>2</v>
      </c>
      <c r="O110" t="s">
        <v>8970</v>
      </c>
      <c r="P110" t="s">
        <v>8969</v>
      </c>
      <c r="Q110" t="s">
        <v>8968</v>
      </c>
      <c r="R110" s="7">
        <v>36861</v>
      </c>
      <c r="S110" s="8">
        <f t="shared" si="8"/>
        <v>2000</v>
      </c>
      <c r="T110" s="8">
        <v>2000</v>
      </c>
      <c r="U110" s="8">
        <f t="shared" si="9"/>
        <v>22</v>
      </c>
      <c r="V110" s="7">
        <v>2000</v>
      </c>
      <c r="W110" t="s">
        <v>8636</v>
      </c>
      <c r="X110" s="2" t="s">
        <v>0</v>
      </c>
      <c r="Y110" s="6" t="e">
        <f t="shared" si="10"/>
        <v>#VALUE!</v>
      </c>
      <c r="AA110">
        <v>15167399</v>
      </c>
      <c r="AB110">
        <v>4700152267</v>
      </c>
      <c r="AD110" t="s">
        <v>3</v>
      </c>
      <c r="AE110">
        <v>2</v>
      </c>
      <c r="AF110">
        <v>2</v>
      </c>
      <c r="AH110" s="9">
        <v>43374</v>
      </c>
      <c r="AI110" t="s">
        <v>8967</v>
      </c>
      <c r="AJ110" t="s">
        <v>8966</v>
      </c>
      <c r="AK110" t="s">
        <v>8965</v>
      </c>
      <c r="AL110">
        <v>0</v>
      </c>
      <c r="AM110" s="5">
        <f t="shared" si="11"/>
        <v>0</v>
      </c>
      <c r="AN110" s="4">
        <f t="shared" si="12"/>
        <v>0</v>
      </c>
      <c r="AO110" s="3"/>
      <c r="AP110">
        <v>0</v>
      </c>
      <c r="AR110" t="s">
        <v>1</v>
      </c>
      <c r="AT110" s="2" t="s">
        <v>0</v>
      </c>
      <c r="AU110" s="1" t="e">
        <f t="shared" si="13"/>
        <v>#VALUE!</v>
      </c>
      <c r="AV110" s="1" t="e">
        <f t="shared" si="14"/>
        <v>#VALUE!</v>
      </c>
      <c r="AW110" s="1" t="e">
        <f t="shared" si="15"/>
        <v>#VALUE!</v>
      </c>
    </row>
    <row r="111" spans="1:49" x14ac:dyDescent="0.2">
      <c r="A111">
        <v>109</v>
      </c>
      <c r="B111" t="s">
        <v>8964</v>
      </c>
      <c r="C111" t="s">
        <v>8963</v>
      </c>
      <c r="F111" t="s">
        <v>8962</v>
      </c>
      <c r="G111" t="s">
        <v>9</v>
      </c>
      <c r="H111" t="s">
        <v>8</v>
      </c>
      <c r="I111" t="s">
        <v>8961</v>
      </c>
      <c r="J111">
        <v>60008724</v>
      </c>
      <c r="K111" t="s">
        <v>8960</v>
      </c>
      <c r="L111" t="s">
        <v>8959</v>
      </c>
      <c r="M111" t="s">
        <v>5</v>
      </c>
      <c r="N111">
        <v>2</v>
      </c>
      <c r="O111" t="s">
        <v>8958</v>
      </c>
      <c r="P111" t="s">
        <v>8957</v>
      </c>
      <c r="Q111" t="s">
        <v>8956</v>
      </c>
      <c r="R111" s="7">
        <v>36861</v>
      </c>
      <c r="S111" s="8">
        <f t="shared" si="8"/>
        <v>2000</v>
      </c>
      <c r="T111" s="8">
        <v>2000</v>
      </c>
      <c r="U111" s="8">
        <f t="shared" si="9"/>
        <v>22</v>
      </c>
      <c r="V111" s="7">
        <v>2000</v>
      </c>
      <c r="W111" t="s">
        <v>473</v>
      </c>
      <c r="X111" s="2">
        <v>0.88100000000000001</v>
      </c>
      <c r="Y111" s="6">
        <f t="shared" si="10"/>
        <v>2.3517791836843653E-2</v>
      </c>
      <c r="AA111">
        <v>10459243</v>
      </c>
      <c r="AB111">
        <v>17248</v>
      </c>
      <c r="AD111" t="s">
        <v>3</v>
      </c>
      <c r="AE111">
        <v>42</v>
      </c>
      <c r="AF111">
        <v>3</v>
      </c>
      <c r="AH111" t="s">
        <v>8955</v>
      </c>
      <c r="AJ111" t="s">
        <v>8954</v>
      </c>
      <c r="AL111">
        <v>19</v>
      </c>
      <c r="AM111" s="5">
        <f t="shared" si="11"/>
        <v>0.86363636363636365</v>
      </c>
      <c r="AN111" s="4">
        <f t="shared" si="12"/>
        <v>1.3080444735120995E-3</v>
      </c>
      <c r="AO111" s="3"/>
      <c r="AP111">
        <v>0</v>
      </c>
      <c r="AR111" t="s">
        <v>1</v>
      </c>
      <c r="AT111" s="2" t="s">
        <v>0</v>
      </c>
      <c r="AU111" s="1">
        <f t="shared" si="13"/>
        <v>1.6854867627844186</v>
      </c>
      <c r="AV111" s="1">
        <f t="shared" si="14"/>
        <v>1.2412918155177877</v>
      </c>
      <c r="AW111" s="1">
        <f t="shared" si="15"/>
        <v>0.79709686825115644</v>
      </c>
    </row>
    <row r="112" spans="1:49" x14ac:dyDescent="0.2">
      <c r="A112">
        <v>110</v>
      </c>
      <c r="B112" t="s">
        <v>8953</v>
      </c>
      <c r="F112" t="s">
        <v>8952</v>
      </c>
      <c r="G112" t="s">
        <v>9</v>
      </c>
      <c r="H112" t="s">
        <v>8</v>
      </c>
      <c r="I112" t="s">
        <v>8951</v>
      </c>
      <c r="J112">
        <v>60010513</v>
      </c>
      <c r="K112" t="s">
        <v>8950</v>
      </c>
      <c r="L112" t="s">
        <v>189</v>
      </c>
      <c r="M112" t="s">
        <v>105</v>
      </c>
      <c r="N112">
        <v>2</v>
      </c>
      <c r="O112" t="s">
        <v>8949</v>
      </c>
      <c r="P112" t="s">
        <v>8948</v>
      </c>
      <c r="Q112" t="s">
        <v>8947</v>
      </c>
      <c r="R112" s="7">
        <v>36861</v>
      </c>
      <c r="S112" s="8">
        <f t="shared" si="8"/>
        <v>2000</v>
      </c>
      <c r="T112" s="8">
        <v>2000</v>
      </c>
      <c r="U112" s="8">
        <f t="shared" si="9"/>
        <v>22</v>
      </c>
      <c r="V112" s="7">
        <v>2000</v>
      </c>
      <c r="W112" t="s">
        <v>6308</v>
      </c>
      <c r="X112" s="2">
        <v>2.137</v>
      </c>
      <c r="Y112" s="6">
        <f t="shared" si="10"/>
        <v>5.7045994500947654E-2</v>
      </c>
      <c r="AA112">
        <v>46361</v>
      </c>
      <c r="AB112">
        <v>26750</v>
      </c>
      <c r="AD112" t="s">
        <v>3</v>
      </c>
      <c r="AE112">
        <v>359</v>
      </c>
      <c r="AF112">
        <v>1</v>
      </c>
      <c r="AH112" t="s">
        <v>8946</v>
      </c>
      <c r="AI112" t="s">
        <v>8945</v>
      </c>
      <c r="AJ112" t="s">
        <v>8944</v>
      </c>
      <c r="AK112" t="s">
        <v>8943</v>
      </c>
      <c r="AL112">
        <v>12</v>
      </c>
      <c r="AM112" s="5">
        <f t="shared" si="11"/>
        <v>0.54545454545454541</v>
      </c>
      <c r="AN112" s="4">
        <f t="shared" si="12"/>
        <v>8.2613335169185224E-4</v>
      </c>
      <c r="AO112" s="3"/>
      <c r="AP112">
        <v>0</v>
      </c>
      <c r="AR112" t="s">
        <v>1</v>
      </c>
      <c r="AT112" s="2" t="s">
        <v>0</v>
      </c>
      <c r="AU112" s="1">
        <f t="shared" si="13"/>
        <v>4.0180036156170909</v>
      </c>
      <c r="AV112" s="1">
        <f t="shared" si="14"/>
        <v>2.8936063926319751</v>
      </c>
      <c r="AW112" s="1">
        <f t="shared" si="15"/>
        <v>1.769209169646859</v>
      </c>
    </row>
    <row r="113" spans="1:49" x14ac:dyDescent="0.2">
      <c r="A113">
        <v>111</v>
      </c>
      <c r="B113" t="s">
        <v>8942</v>
      </c>
      <c r="F113" t="s">
        <v>8941</v>
      </c>
      <c r="G113" t="s">
        <v>9</v>
      </c>
      <c r="H113" t="s">
        <v>8</v>
      </c>
      <c r="I113" t="s">
        <v>8940</v>
      </c>
      <c r="J113" t="s">
        <v>8939</v>
      </c>
      <c r="K113" t="s">
        <v>8938</v>
      </c>
      <c r="L113" t="s">
        <v>8937</v>
      </c>
      <c r="M113" t="s">
        <v>8936</v>
      </c>
      <c r="N113">
        <v>5</v>
      </c>
      <c r="O113" t="s">
        <v>8935</v>
      </c>
      <c r="P113" t="s">
        <v>8934</v>
      </c>
      <c r="Q113" t="s">
        <v>8933</v>
      </c>
      <c r="R113" s="7">
        <v>36861</v>
      </c>
      <c r="S113" s="8">
        <f t="shared" si="8"/>
        <v>2000</v>
      </c>
      <c r="T113" s="8">
        <v>2000</v>
      </c>
      <c r="U113" s="8">
        <f t="shared" si="9"/>
        <v>22</v>
      </c>
      <c r="V113" s="7">
        <v>2000</v>
      </c>
      <c r="W113" t="s">
        <v>6308</v>
      </c>
      <c r="X113" s="2">
        <v>2.137</v>
      </c>
      <c r="Y113" s="6">
        <f t="shared" si="10"/>
        <v>5.7045994500947654E-2</v>
      </c>
      <c r="AA113">
        <v>46361</v>
      </c>
      <c r="AB113">
        <v>26750</v>
      </c>
      <c r="AD113" t="s">
        <v>3</v>
      </c>
      <c r="AE113">
        <v>357</v>
      </c>
      <c r="AF113">
        <v>2</v>
      </c>
      <c r="AH113" t="s">
        <v>307</v>
      </c>
      <c r="AI113" t="s">
        <v>8932</v>
      </c>
      <c r="AJ113" t="s">
        <v>8931</v>
      </c>
      <c r="AK113" t="s">
        <v>8930</v>
      </c>
      <c r="AL113">
        <v>7</v>
      </c>
      <c r="AM113" s="5">
        <f t="shared" si="11"/>
        <v>0.31818181818181818</v>
      </c>
      <c r="AN113" s="4">
        <f t="shared" si="12"/>
        <v>4.8191112182024716E-4</v>
      </c>
      <c r="AO113" s="3"/>
      <c r="AP113">
        <v>0</v>
      </c>
      <c r="AR113" t="s">
        <v>1</v>
      </c>
      <c r="AT113" s="2" t="s">
        <v>0</v>
      </c>
      <c r="AU113" s="1">
        <f t="shared" si="13"/>
        <v>4.0076769487209427</v>
      </c>
      <c r="AV113" s="1">
        <f t="shared" si="14"/>
        <v>2.8763952811383953</v>
      </c>
      <c r="AW113" s="1">
        <f t="shared" si="15"/>
        <v>1.7451136135558467</v>
      </c>
    </row>
    <row r="114" spans="1:49" x14ac:dyDescent="0.2">
      <c r="A114">
        <v>112</v>
      </c>
      <c r="B114" t="s">
        <v>8929</v>
      </c>
      <c r="C114" t="s">
        <v>8928</v>
      </c>
      <c r="F114" t="s">
        <v>8927</v>
      </c>
      <c r="G114" t="s">
        <v>9</v>
      </c>
      <c r="H114" t="s">
        <v>8</v>
      </c>
      <c r="I114" t="s">
        <v>8926</v>
      </c>
      <c r="J114" t="s">
        <v>8925</v>
      </c>
      <c r="K114" t="s">
        <v>8924</v>
      </c>
      <c r="L114" t="s">
        <v>8923</v>
      </c>
      <c r="M114" t="s">
        <v>8922</v>
      </c>
      <c r="N114">
        <v>4</v>
      </c>
      <c r="O114" t="s">
        <v>8921</v>
      </c>
      <c r="P114" t="s">
        <v>8920</v>
      </c>
      <c r="Q114" t="s">
        <v>8919</v>
      </c>
      <c r="R114" s="7">
        <v>36861</v>
      </c>
      <c r="S114" s="8">
        <f t="shared" si="8"/>
        <v>2000</v>
      </c>
      <c r="T114" s="8">
        <v>2000</v>
      </c>
      <c r="U114" s="8">
        <f t="shared" si="9"/>
        <v>22</v>
      </c>
      <c r="V114" s="7">
        <v>36861</v>
      </c>
      <c r="W114" t="s">
        <v>680</v>
      </c>
      <c r="X114" s="2">
        <v>0</v>
      </c>
      <c r="Y114" s="6">
        <f t="shared" si="10"/>
        <v>0</v>
      </c>
      <c r="AB114">
        <v>21101038512</v>
      </c>
      <c r="AC114">
        <v>21699402</v>
      </c>
      <c r="AD114" t="s">
        <v>3</v>
      </c>
      <c r="AE114">
        <v>105</v>
      </c>
      <c r="AF114" t="s">
        <v>8918</v>
      </c>
      <c r="AG114" t="s">
        <v>8917</v>
      </c>
      <c r="AH114" t="s">
        <v>8916</v>
      </c>
      <c r="AI114" t="s">
        <v>8915</v>
      </c>
      <c r="AK114" t="s">
        <v>8914</v>
      </c>
      <c r="AL114">
        <v>3</v>
      </c>
      <c r="AM114" s="5">
        <f t="shared" si="11"/>
        <v>0.13636363636363635</v>
      </c>
      <c r="AN114" s="4">
        <f t="shared" si="12"/>
        <v>2.0653333792296306E-4</v>
      </c>
      <c r="AO114" s="3"/>
      <c r="AP114">
        <v>0</v>
      </c>
      <c r="AR114" t="s">
        <v>1</v>
      </c>
      <c r="AT114" s="2" t="s">
        <v>0</v>
      </c>
      <c r="AU114" s="1">
        <f t="shared" si="13"/>
        <v>6.1960001376888917E-3</v>
      </c>
      <c r="AV114" s="1">
        <f t="shared" si="14"/>
        <v>1.0326666896148152E-2</v>
      </c>
      <c r="AW114" s="1">
        <f t="shared" si="15"/>
        <v>1.4457333654607413E-2</v>
      </c>
    </row>
    <row r="115" spans="1:49" x14ac:dyDescent="0.2">
      <c r="A115">
        <v>113</v>
      </c>
      <c r="B115" t="s">
        <v>8913</v>
      </c>
      <c r="C115" t="s">
        <v>8912</v>
      </c>
      <c r="F115" t="s">
        <v>8911</v>
      </c>
      <c r="G115" t="s">
        <v>9</v>
      </c>
      <c r="H115" t="s">
        <v>8</v>
      </c>
      <c r="I115" t="s">
        <v>149</v>
      </c>
      <c r="J115">
        <v>60001439</v>
      </c>
      <c r="K115" t="s">
        <v>120</v>
      </c>
      <c r="L115" t="s">
        <v>119</v>
      </c>
      <c r="M115" t="s">
        <v>5</v>
      </c>
      <c r="N115">
        <v>1</v>
      </c>
      <c r="O115" t="s">
        <v>8910</v>
      </c>
      <c r="P115">
        <v>55925714300</v>
      </c>
      <c r="Q115">
        <v>60001439</v>
      </c>
      <c r="R115" s="7">
        <v>36861</v>
      </c>
      <c r="S115" s="8">
        <f t="shared" si="8"/>
        <v>2000</v>
      </c>
      <c r="T115" s="8">
        <v>2000</v>
      </c>
      <c r="U115" s="8">
        <f t="shared" si="9"/>
        <v>22</v>
      </c>
      <c r="V115" s="7">
        <v>2000</v>
      </c>
      <c r="W115" t="s">
        <v>8909</v>
      </c>
      <c r="X115" s="2">
        <v>0.437</v>
      </c>
      <c r="Y115" s="6">
        <f t="shared" si="10"/>
        <v>1.1665465417367396E-2</v>
      </c>
      <c r="AA115">
        <v>10704698</v>
      </c>
      <c r="AB115">
        <v>5300152513</v>
      </c>
      <c r="AC115">
        <v>15598985</v>
      </c>
      <c r="AD115" t="s">
        <v>3</v>
      </c>
      <c r="AE115">
        <v>28</v>
      </c>
      <c r="AH115" t="s">
        <v>8908</v>
      </c>
      <c r="AL115">
        <v>11</v>
      </c>
      <c r="AM115" s="5">
        <f t="shared" si="11"/>
        <v>0.5</v>
      </c>
      <c r="AN115" s="4">
        <f t="shared" si="12"/>
        <v>7.572889057175312E-4</v>
      </c>
      <c r="AO115" s="3"/>
      <c r="AP115">
        <v>1</v>
      </c>
      <c r="AR115" t="s">
        <v>1</v>
      </c>
      <c r="AT115" s="2" t="s">
        <v>0</v>
      </c>
      <c r="AU115" s="1">
        <f t="shared" si="13"/>
        <v>0.83930124638724357</v>
      </c>
      <c r="AV115" s="1">
        <f t="shared" si="14"/>
        <v>0.62113771615424629</v>
      </c>
      <c r="AW115" s="1">
        <f t="shared" si="15"/>
        <v>0.40297418592124912</v>
      </c>
    </row>
    <row r="116" spans="1:49" x14ac:dyDescent="0.2">
      <c r="A116">
        <v>114</v>
      </c>
      <c r="B116" t="s">
        <v>8907</v>
      </c>
      <c r="F116" t="s">
        <v>8906</v>
      </c>
      <c r="G116" t="s">
        <v>9</v>
      </c>
      <c r="H116" t="s">
        <v>8</v>
      </c>
      <c r="I116" t="s">
        <v>8905</v>
      </c>
      <c r="J116">
        <v>60017750</v>
      </c>
      <c r="K116" t="s">
        <v>8904</v>
      </c>
      <c r="L116" t="s">
        <v>8903</v>
      </c>
      <c r="M116" t="s">
        <v>637</v>
      </c>
      <c r="N116">
        <v>1</v>
      </c>
      <c r="O116" t="s">
        <v>8902</v>
      </c>
      <c r="P116">
        <v>18337228800</v>
      </c>
      <c r="Q116">
        <v>60017750</v>
      </c>
      <c r="R116" s="7">
        <v>36861</v>
      </c>
      <c r="S116" s="8">
        <f t="shared" si="8"/>
        <v>2000</v>
      </c>
      <c r="T116" s="8">
        <v>2000</v>
      </c>
      <c r="U116" s="8">
        <f t="shared" si="9"/>
        <v>22</v>
      </c>
      <c r="V116" s="7">
        <v>2000</v>
      </c>
      <c r="W116" t="s">
        <v>8901</v>
      </c>
      <c r="X116" s="2" t="s">
        <v>0</v>
      </c>
      <c r="Y116" s="6" t="e">
        <f t="shared" si="10"/>
        <v>#VALUE!</v>
      </c>
      <c r="AA116" t="s">
        <v>8900</v>
      </c>
      <c r="AB116">
        <v>4800152307</v>
      </c>
      <c r="AD116" t="s">
        <v>3</v>
      </c>
      <c r="AE116">
        <v>42</v>
      </c>
      <c r="AH116" t="s">
        <v>8899</v>
      </c>
      <c r="AI116" t="s">
        <v>8898</v>
      </c>
      <c r="AJ116" t="s">
        <v>8897</v>
      </c>
      <c r="AK116" t="s">
        <v>8896</v>
      </c>
      <c r="AL116">
        <v>1</v>
      </c>
      <c r="AM116" s="5">
        <f t="shared" si="11"/>
        <v>4.5454545454545456E-2</v>
      </c>
      <c r="AN116" s="4">
        <f t="shared" si="12"/>
        <v>6.8844445974321024E-5</v>
      </c>
      <c r="AO116" s="3"/>
      <c r="AP116">
        <v>0</v>
      </c>
      <c r="AR116" t="s">
        <v>1</v>
      </c>
      <c r="AT116" s="2" t="s">
        <v>0</v>
      </c>
      <c r="AU116" s="1" t="e">
        <f t="shared" si="13"/>
        <v>#VALUE!</v>
      </c>
      <c r="AV116" s="1" t="e">
        <f t="shared" si="14"/>
        <v>#VALUE!</v>
      </c>
      <c r="AW116" s="1" t="e">
        <f t="shared" si="15"/>
        <v>#VALUE!</v>
      </c>
    </row>
    <row r="117" spans="1:49" x14ac:dyDescent="0.2">
      <c r="A117">
        <v>115</v>
      </c>
      <c r="B117" t="s">
        <v>8895</v>
      </c>
      <c r="F117" t="s">
        <v>8894</v>
      </c>
      <c r="G117" t="s">
        <v>9</v>
      </c>
      <c r="H117" t="s">
        <v>8</v>
      </c>
      <c r="I117" t="s">
        <v>8893</v>
      </c>
      <c r="J117">
        <v>60019106</v>
      </c>
      <c r="K117" t="s">
        <v>796</v>
      </c>
      <c r="L117" t="s">
        <v>795</v>
      </c>
      <c r="M117" t="s">
        <v>251</v>
      </c>
      <c r="N117">
        <v>2</v>
      </c>
      <c r="O117" t="s">
        <v>8892</v>
      </c>
      <c r="P117" t="s">
        <v>8891</v>
      </c>
      <c r="Q117" t="s">
        <v>794</v>
      </c>
      <c r="R117" s="7">
        <v>36861</v>
      </c>
      <c r="S117" s="8">
        <f t="shared" si="8"/>
        <v>2000</v>
      </c>
      <c r="T117" s="8">
        <v>2000</v>
      </c>
      <c r="U117" s="8">
        <f t="shared" si="9"/>
        <v>22</v>
      </c>
      <c r="V117" s="7">
        <v>36861</v>
      </c>
      <c r="W117" t="s">
        <v>8882</v>
      </c>
      <c r="X117" s="2">
        <v>0.112</v>
      </c>
      <c r="Y117" s="6">
        <f t="shared" si="10"/>
        <v>2.9897760337417581E-3</v>
      </c>
      <c r="AA117">
        <v>3678393</v>
      </c>
      <c r="AB117">
        <v>4800153103</v>
      </c>
      <c r="AD117" t="s">
        <v>3</v>
      </c>
      <c r="AE117">
        <v>29</v>
      </c>
      <c r="AF117">
        <v>6</v>
      </c>
      <c r="AH117" t="s">
        <v>8890</v>
      </c>
      <c r="AI117" t="s">
        <v>8889</v>
      </c>
      <c r="AK117" t="s">
        <v>8888</v>
      </c>
      <c r="AL117">
        <v>0</v>
      </c>
      <c r="AM117" s="5">
        <f t="shared" si="11"/>
        <v>0</v>
      </c>
      <c r="AN117" s="4">
        <f t="shared" si="12"/>
        <v>0</v>
      </c>
      <c r="AO117" s="3"/>
      <c r="AP117">
        <v>0</v>
      </c>
      <c r="AR117" t="s">
        <v>1</v>
      </c>
      <c r="AT117" s="2" t="s">
        <v>0</v>
      </c>
      <c r="AU117" s="1">
        <f t="shared" si="13"/>
        <v>0.20928432236192304</v>
      </c>
      <c r="AV117" s="1">
        <f t="shared" si="14"/>
        <v>0.14948880168708789</v>
      </c>
      <c r="AW117" s="1">
        <f t="shared" si="15"/>
        <v>8.969328101225274E-2</v>
      </c>
    </row>
    <row r="118" spans="1:49" x14ac:dyDescent="0.2">
      <c r="A118">
        <v>116</v>
      </c>
      <c r="B118" t="s">
        <v>8887</v>
      </c>
      <c r="F118" t="s">
        <v>8886</v>
      </c>
      <c r="G118" t="s">
        <v>9</v>
      </c>
      <c r="H118" t="s">
        <v>8</v>
      </c>
      <c r="I118" t="s">
        <v>8885</v>
      </c>
      <c r="J118">
        <v>60019106</v>
      </c>
      <c r="K118" t="s">
        <v>796</v>
      </c>
      <c r="L118" t="s">
        <v>795</v>
      </c>
      <c r="M118" t="s">
        <v>251</v>
      </c>
      <c r="N118">
        <v>2</v>
      </c>
      <c r="O118" t="s">
        <v>8884</v>
      </c>
      <c r="P118" t="s">
        <v>8883</v>
      </c>
      <c r="Q118" t="s">
        <v>794</v>
      </c>
      <c r="R118" s="7">
        <v>36861</v>
      </c>
      <c r="S118" s="8">
        <f t="shared" si="8"/>
        <v>2000</v>
      </c>
      <c r="T118" s="8">
        <v>2000</v>
      </c>
      <c r="U118" s="8">
        <f t="shared" si="9"/>
        <v>22</v>
      </c>
      <c r="V118" s="7">
        <v>36861</v>
      </c>
      <c r="W118" t="s">
        <v>8882</v>
      </c>
      <c r="X118" s="2">
        <v>0.112</v>
      </c>
      <c r="Y118" s="6">
        <f t="shared" si="10"/>
        <v>2.9897760337417581E-3</v>
      </c>
      <c r="AA118">
        <v>3678393</v>
      </c>
      <c r="AB118">
        <v>4800153103</v>
      </c>
      <c r="AD118" t="s">
        <v>3</v>
      </c>
      <c r="AE118">
        <v>29</v>
      </c>
      <c r="AF118">
        <v>6</v>
      </c>
      <c r="AH118" t="s">
        <v>8881</v>
      </c>
      <c r="AI118" t="s">
        <v>8880</v>
      </c>
      <c r="AK118" t="s">
        <v>8879</v>
      </c>
      <c r="AL118">
        <v>2</v>
      </c>
      <c r="AM118" s="5">
        <f t="shared" si="11"/>
        <v>9.0909090909090912E-2</v>
      </c>
      <c r="AN118" s="4">
        <f t="shared" si="12"/>
        <v>1.3768889194864205E-4</v>
      </c>
      <c r="AO118" s="3"/>
      <c r="AP118">
        <v>0</v>
      </c>
      <c r="AR118" t="s">
        <v>1</v>
      </c>
      <c r="AT118" s="2" t="s">
        <v>0</v>
      </c>
      <c r="AU118" s="1">
        <f t="shared" si="13"/>
        <v>0.21341498912038231</v>
      </c>
      <c r="AV118" s="1">
        <f t="shared" si="14"/>
        <v>0.15637324628452001</v>
      </c>
      <c r="AW118" s="1">
        <f t="shared" si="15"/>
        <v>9.9331503448657682E-2</v>
      </c>
    </row>
    <row r="119" spans="1:49" x14ac:dyDescent="0.2">
      <c r="A119">
        <v>117</v>
      </c>
      <c r="B119" t="s">
        <v>8878</v>
      </c>
      <c r="C119" t="s">
        <v>8877</v>
      </c>
      <c r="F119" t="s">
        <v>8876</v>
      </c>
      <c r="G119" t="s">
        <v>9</v>
      </c>
      <c r="H119" t="s">
        <v>8</v>
      </c>
      <c r="I119" t="s">
        <v>696</v>
      </c>
      <c r="J119">
        <v>100435610</v>
      </c>
      <c r="K119" t="s">
        <v>8875</v>
      </c>
      <c r="L119" t="s">
        <v>8874</v>
      </c>
      <c r="M119" t="s">
        <v>5</v>
      </c>
      <c r="N119">
        <v>1</v>
      </c>
      <c r="O119" t="s">
        <v>695</v>
      </c>
      <c r="P119">
        <v>56212355200</v>
      </c>
      <c r="Q119">
        <v>100435610</v>
      </c>
      <c r="R119" s="7">
        <v>36861</v>
      </c>
      <c r="S119" s="8">
        <f t="shared" si="8"/>
        <v>2000</v>
      </c>
      <c r="T119" s="8">
        <v>2000</v>
      </c>
      <c r="U119" s="8">
        <f t="shared" si="9"/>
        <v>22</v>
      </c>
      <c r="V119" s="7">
        <v>2000</v>
      </c>
      <c r="W119" t="s">
        <v>473</v>
      </c>
      <c r="X119" s="2">
        <v>0.88100000000000001</v>
      </c>
      <c r="Y119" s="6">
        <f t="shared" si="10"/>
        <v>2.3517791836843653E-2</v>
      </c>
      <c r="AA119">
        <v>10459243</v>
      </c>
      <c r="AB119">
        <v>17248</v>
      </c>
      <c r="AD119" t="s">
        <v>3</v>
      </c>
      <c r="AE119">
        <v>42</v>
      </c>
      <c r="AF119">
        <v>1</v>
      </c>
      <c r="AH119" t="s">
        <v>8873</v>
      </c>
      <c r="AJ119" t="s">
        <v>8872</v>
      </c>
      <c r="AL119">
        <v>4</v>
      </c>
      <c r="AM119" s="5">
        <f t="shared" si="11"/>
        <v>0.18181818181818182</v>
      </c>
      <c r="AN119" s="4">
        <f t="shared" si="12"/>
        <v>2.753777838972841E-4</v>
      </c>
      <c r="AO119" s="3"/>
      <c r="AP119">
        <v>0</v>
      </c>
      <c r="AR119" t="s">
        <v>1</v>
      </c>
      <c r="AT119" s="2" t="s">
        <v>0</v>
      </c>
      <c r="AU119" s="1">
        <f t="shared" si="13"/>
        <v>1.6545067620959741</v>
      </c>
      <c r="AV119" s="1">
        <f t="shared" si="14"/>
        <v>1.189658481037047</v>
      </c>
      <c r="AW119" s="1">
        <f t="shared" si="15"/>
        <v>0.72481019997811946</v>
      </c>
    </row>
    <row r="120" spans="1:49" x14ac:dyDescent="0.2">
      <c r="A120">
        <v>118</v>
      </c>
      <c r="B120" t="s">
        <v>8871</v>
      </c>
      <c r="C120" t="s">
        <v>8870</v>
      </c>
      <c r="D120" t="s">
        <v>8869</v>
      </c>
      <c r="F120" t="s">
        <v>8868</v>
      </c>
      <c r="G120" t="s">
        <v>9</v>
      </c>
      <c r="H120" t="s">
        <v>8</v>
      </c>
      <c r="I120" t="s">
        <v>1231</v>
      </c>
      <c r="J120" t="s">
        <v>1230</v>
      </c>
      <c r="K120" t="s">
        <v>1229</v>
      </c>
      <c r="L120" t="s">
        <v>1228</v>
      </c>
      <c r="M120" t="s">
        <v>1227</v>
      </c>
      <c r="N120">
        <v>4</v>
      </c>
      <c r="O120" t="s">
        <v>1226</v>
      </c>
      <c r="P120" t="s">
        <v>1225</v>
      </c>
      <c r="Q120" t="s">
        <v>8867</v>
      </c>
      <c r="R120" s="7">
        <v>36861</v>
      </c>
      <c r="S120" s="8">
        <f t="shared" si="8"/>
        <v>2000</v>
      </c>
      <c r="T120" s="8">
        <v>2000</v>
      </c>
      <c r="U120" s="8">
        <f t="shared" si="9"/>
        <v>22</v>
      </c>
      <c r="V120" s="7">
        <v>2000</v>
      </c>
      <c r="W120" t="s">
        <v>1223</v>
      </c>
      <c r="X120" s="2">
        <v>0.62</v>
      </c>
      <c r="Y120" s="6">
        <f t="shared" si="10"/>
        <v>1.6550545901070447E-2</v>
      </c>
      <c r="AA120">
        <v>189464</v>
      </c>
      <c r="AB120">
        <v>17364</v>
      </c>
      <c r="AD120" t="s">
        <v>3</v>
      </c>
      <c r="AE120">
        <v>36</v>
      </c>
      <c r="AF120" t="s">
        <v>6653</v>
      </c>
      <c r="AH120" t="s">
        <v>8866</v>
      </c>
      <c r="AI120" t="s">
        <v>8865</v>
      </c>
      <c r="AJ120" t="s">
        <v>8864</v>
      </c>
      <c r="AK120" t="s">
        <v>1219</v>
      </c>
      <c r="AL120">
        <v>6</v>
      </c>
      <c r="AM120" s="5">
        <f t="shared" si="11"/>
        <v>0.27272727272727271</v>
      </c>
      <c r="AN120" s="4">
        <f t="shared" si="12"/>
        <v>4.1306667584592612E-4</v>
      </c>
      <c r="AO120" s="3"/>
      <c r="AP120">
        <v>0</v>
      </c>
      <c r="AR120" t="s">
        <v>1</v>
      </c>
      <c r="AT120" s="2">
        <v>1.7</v>
      </c>
      <c r="AU120" s="1">
        <f t="shared" si="13"/>
        <v>1.170930213350309</v>
      </c>
      <c r="AV120" s="1">
        <f t="shared" si="14"/>
        <v>0.84818062884581857</v>
      </c>
      <c r="AW120" s="1">
        <f t="shared" si="15"/>
        <v>0.52543104434132826</v>
      </c>
    </row>
    <row r="121" spans="1:49" x14ac:dyDescent="0.2">
      <c r="A121">
        <v>119</v>
      </c>
      <c r="B121" t="s">
        <v>8863</v>
      </c>
      <c r="C121" t="s">
        <v>8862</v>
      </c>
      <c r="D121" t="s">
        <v>8861</v>
      </c>
      <c r="F121" t="s">
        <v>1254</v>
      </c>
      <c r="G121" t="s">
        <v>9</v>
      </c>
      <c r="H121" t="s">
        <v>8</v>
      </c>
      <c r="I121" t="s">
        <v>8860</v>
      </c>
      <c r="J121">
        <v>60026134</v>
      </c>
      <c r="K121" t="s">
        <v>593</v>
      </c>
      <c r="L121" t="s">
        <v>592</v>
      </c>
      <c r="M121" t="s">
        <v>109</v>
      </c>
      <c r="N121">
        <v>3</v>
      </c>
      <c r="O121" t="s">
        <v>1252</v>
      </c>
      <c r="P121" t="s">
        <v>1251</v>
      </c>
      <c r="Q121" t="s">
        <v>717</v>
      </c>
      <c r="R121" s="7">
        <v>36861</v>
      </c>
      <c r="S121" s="8">
        <f t="shared" si="8"/>
        <v>2000</v>
      </c>
      <c r="T121" s="8">
        <v>2000</v>
      </c>
      <c r="U121" s="8">
        <f t="shared" si="9"/>
        <v>22</v>
      </c>
      <c r="V121" s="7">
        <v>2000</v>
      </c>
      <c r="W121" t="s">
        <v>1223</v>
      </c>
      <c r="X121" s="2">
        <v>0.62</v>
      </c>
      <c r="Y121" s="6">
        <f t="shared" si="10"/>
        <v>1.6550545901070447E-2</v>
      </c>
      <c r="AA121">
        <v>189464</v>
      </c>
      <c r="AB121">
        <v>17364</v>
      </c>
      <c r="AD121" t="s">
        <v>3</v>
      </c>
      <c r="AE121">
        <v>36</v>
      </c>
      <c r="AF121" t="s">
        <v>6653</v>
      </c>
      <c r="AH121" t="s">
        <v>8859</v>
      </c>
      <c r="AI121" t="s">
        <v>8858</v>
      </c>
      <c r="AJ121" t="s">
        <v>8857</v>
      </c>
      <c r="AK121" t="s">
        <v>1248</v>
      </c>
      <c r="AL121">
        <v>1</v>
      </c>
      <c r="AM121" s="5">
        <f t="shared" si="11"/>
        <v>4.5454545454545456E-2</v>
      </c>
      <c r="AN121" s="4">
        <f t="shared" si="12"/>
        <v>6.8844445974321024E-5</v>
      </c>
      <c r="AO121" s="3"/>
      <c r="AP121">
        <v>0</v>
      </c>
      <c r="AR121" t="s">
        <v>1</v>
      </c>
      <c r="AT121" s="2">
        <v>1.7</v>
      </c>
      <c r="AU121" s="1">
        <f t="shared" si="13"/>
        <v>1.1606035464541609</v>
      </c>
      <c r="AV121" s="1">
        <f t="shared" si="14"/>
        <v>0.83096951735223845</v>
      </c>
      <c r="AW121" s="1">
        <f t="shared" si="15"/>
        <v>0.50133548825031582</v>
      </c>
    </row>
    <row r="122" spans="1:49" x14ac:dyDescent="0.2">
      <c r="A122">
        <v>120</v>
      </c>
      <c r="B122" t="s">
        <v>8856</v>
      </c>
      <c r="C122" t="s">
        <v>8855</v>
      </c>
      <c r="D122" t="s">
        <v>8854</v>
      </c>
      <c r="F122" t="s">
        <v>1245</v>
      </c>
      <c r="G122" t="s">
        <v>9</v>
      </c>
      <c r="H122" t="s">
        <v>8</v>
      </c>
      <c r="I122" t="s">
        <v>1244</v>
      </c>
      <c r="J122">
        <v>60030981</v>
      </c>
      <c r="K122" t="s">
        <v>8853</v>
      </c>
      <c r="L122" t="s">
        <v>8852</v>
      </c>
      <c r="M122" t="s">
        <v>105</v>
      </c>
      <c r="N122">
        <v>3</v>
      </c>
      <c r="O122" t="s">
        <v>1240</v>
      </c>
      <c r="P122" t="s">
        <v>1239</v>
      </c>
      <c r="Q122" t="s">
        <v>8851</v>
      </c>
      <c r="R122" s="7">
        <v>36861</v>
      </c>
      <c r="S122" s="8">
        <f t="shared" si="8"/>
        <v>2000</v>
      </c>
      <c r="T122" s="8">
        <v>2000</v>
      </c>
      <c r="U122" s="8">
        <f t="shared" si="9"/>
        <v>22</v>
      </c>
      <c r="V122" s="7">
        <v>2000</v>
      </c>
      <c r="W122" t="s">
        <v>1223</v>
      </c>
      <c r="X122" s="2">
        <v>0.62</v>
      </c>
      <c r="Y122" s="6">
        <f t="shared" si="10"/>
        <v>1.6550545901070447E-2</v>
      </c>
      <c r="AA122">
        <v>189464</v>
      </c>
      <c r="AB122">
        <v>17364</v>
      </c>
      <c r="AD122" t="s">
        <v>3</v>
      </c>
      <c r="AE122">
        <v>36</v>
      </c>
      <c r="AF122" t="s">
        <v>6653</v>
      </c>
      <c r="AH122" t="s">
        <v>8850</v>
      </c>
      <c r="AI122" t="s">
        <v>8849</v>
      </c>
      <c r="AJ122" t="s">
        <v>6818</v>
      </c>
      <c r="AK122" t="s">
        <v>1235</v>
      </c>
      <c r="AL122">
        <v>1</v>
      </c>
      <c r="AM122" s="5">
        <f t="shared" si="11"/>
        <v>4.5454545454545456E-2</v>
      </c>
      <c r="AN122" s="4">
        <f t="shared" si="12"/>
        <v>6.8844445974321024E-5</v>
      </c>
      <c r="AO122" s="3"/>
      <c r="AP122">
        <v>0</v>
      </c>
      <c r="AR122" t="s">
        <v>1</v>
      </c>
      <c r="AT122" s="2">
        <v>1.7</v>
      </c>
      <c r="AU122" s="1">
        <f t="shared" si="13"/>
        <v>1.1606035464541609</v>
      </c>
      <c r="AV122" s="1">
        <f t="shared" si="14"/>
        <v>0.83096951735223845</v>
      </c>
      <c r="AW122" s="1">
        <f t="shared" si="15"/>
        <v>0.50133548825031582</v>
      </c>
    </row>
    <row r="123" spans="1:49" x14ac:dyDescent="0.2">
      <c r="A123">
        <v>121</v>
      </c>
      <c r="B123" t="s">
        <v>8848</v>
      </c>
      <c r="C123" t="s">
        <v>8847</v>
      </c>
      <c r="D123" t="s">
        <v>8846</v>
      </c>
      <c r="F123" t="s">
        <v>8845</v>
      </c>
      <c r="G123" t="s">
        <v>9</v>
      </c>
      <c r="H123" t="s">
        <v>8</v>
      </c>
      <c r="I123" t="s">
        <v>8844</v>
      </c>
      <c r="J123" t="s">
        <v>8843</v>
      </c>
      <c r="K123" t="s">
        <v>8842</v>
      </c>
      <c r="L123" t="s">
        <v>8344</v>
      </c>
      <c r="M123" t="s">
        <v>63</v>
      </c>
      <c r="N123">
        <v>4</v>
      </c>
      <c r="O123" t="s">
        <v>8841</v>
      </c>
      <c r="P123" t="s">
        <v>8840</v>
      </c>
      <c r="Q123" t="s">
        <v>8839</v>
      </c>
      <c r="R123" s="7">
        <v>36861</v>
      </c>
      <c r="S123" s="8">
        <f t="shared" si="8"/>
        <v>2000</v>
      </c>
      <c r="T123" s="8">
        <v>2000</v>
      </c>
      <c r="U123" s="8">
        <f t="shared" si="9"/>
        <v>22</v>
      </c>
      <c r="V123" s="7">
        <v>2000</v>
      </c>
      <c r="W123" t="s">
        <v>1223</v>
      </c>
      <c r="X123" s="2">
        <v>0.62</v>
      </c>
      <c r="Y123" s="6">
        <f t="shared" si="10"/>
        <v>1.6550545901070447E-2</v>
      </c>
      <c r="AA123">
        <v>189464</v>
      </c>
      <c r="AB123">
        <v>17364</v>
      </c>
      <c r="AD123" t="s">
        <v>3</v>
      </c>
      <c r="AE123">
        <v>36</v>
      </c>
      <c r="AF123" t="s">
        <v>6653</v>
      </c>
      <c r="AH123" t="s">
        <v>8838</v>
      </c>
      <c r="AI123" t="s">
        <v>8837</v>
      </c>
      <c r="AJ123" t="s">
        <v>8836</v>
      </c>
      <c r="AK123" t="s">
        <v>8835</v>
      </c>
      <c r="AL123">
        <v>0</v>
      </c>
      <c r="AM123" s="5">
        <f t="shared" si="11"/>
        <v>0</v>
      </c>
      <c r="AN123" s="4">
        <f t="shared" si="12"/>
        <v>0</v>
      </c>
      <c r="AO123" s="3"/>
      <c r="AP123">
        <v>0</v>
      </c>
      <c r="AR123" t="s">
        <v>1</v>
      </c>
      <c r="AT123" s="2">
        <v>1.7</v>
      </c>
      <c r="AU123" s="1">
        <f t="shared" si="13"/>
        <v>1.1585382130749313</v>
      </c>
      <c r="AV123" s="1">
        <f t="shared" si="14"/>
        <v>0.8275272950535224</v>
      </c>
      <c r="AW123" s="1">
        <f t="shared" si="15"/>
        <v>0.49651637703211338</v>
      </c>
    </row>
    <row r="124" spans="1:49" x14ac:dyDescent="0.2">
      <c r="A124">
        <v>122</v>
      </c>
      <c r="B124" t="s">
        <v>8834</v>
      </c>
      <c r="C124" t="s">
        <v>8833</v>
      </c>
      <c r="F124" t="s">
        <v>8832</v>
      </c>
      <c r="G124" t="s">
        <v>9</v>
      </c>
      <c r="H124" t="s">
        <v>8</v>
      </c>
      <c r="I124" t="s">
        <v>8831</v>
      </c>
      <c r="J124">
        <v>60032784</v>
      </c>
      <c r="K124" t="s">
        <v>8830</v>
      </c>
      <c r="L124" t="s">
        <v>8829</v>
      </c>
      <c r="M124" t="s">
        <v>5</v>
      </c>
      <c r="N124">
        <v>1</v>
      </c>
      <c r="O124" t="s">
        <v>8828</v>
      </c>
      <c r="P124">
        <v>7003514705</v>
      </c>
      <c r="Q124">
        <v>60032784</v>
      </c>
      <c r="R124" s="7">
        <v>36861</v>
      </c>
      <c r="S124" s="8">
        <f t="shared" si="8"/>
        <v>2000</v>
      </c>
      <c r="T124" s="8">
        <v>2000</v>
      </c>
      <c r="U124" s="8">
        <f t="shared" si="9"/>
        <v>22</v>
      </c>
      <c r="V124" s="7">
        <v>2000</v>
      </c>
      <c r="W124" t="s">
        <v>473</v>
      </c>
      <c r="X124" s="2">
        <v>0.88100000000000001</v>
      </c>
      <c r="Y124" s="6">
        <f t="shared" si="10"/>
        <v>2.3517791836843653E-2</v>
      </c>
      <c r="AA124">
        <v>10459243</v>
      </c>
      <c r="AB124">
        <v>17248</v>
      </c>
      <c r="AD124" t="s">
        <v>3</v>
      </c>
      <c r="AE124">
        <v>42</v>
      </c>
      <c r="AF124">
        <v>4</v>
      </c>
      <c r="AH124" t="s">
        <v>8827</v>
      </c>
      <c r="AJ124" t="s">
        <v>8826</v>
      </c>
      <c r="AL124">
        <v>1</v>
      </c>
      <c r="AM124" s="5">
        <f t="shared" si="11"/>
        <v>4.5454545454545456E-2</v>
      </c>
      <c r="AN124" s="4">
        <f t="shared" si="12"/>
        <v>6.8844445974321024E-5</v>
      </c>
      <c r="AO124" s="3"/>
      <c r="AP124">
        <v>0</v>
      </c>
      <c r="AR124" t="s">
        <v>1</v>
      </c>
      <c r="AT124" s="2" t="s">
        <v>0</v>
      </c>
      <c r="AU124" s="1">
        <f t="shared" si="13"/>
        <v>1.6483107619582851</v>
      </c>
      <c r="AV124" s="1">
        <f t="shared" si="14"/>
        <v>1.1793318141408988</v>
      </c>
      <c r="AW124" s="1">
        <f t="shared" si="15"/>
        <v>0.71035286632351202</v>
      </c>
    </row>
    <row r="125" spans="1:49" x14ac:dyDescent="0.2">
      <c r="A125">
        <v>123</v>
      </c>
      <c r="B125" t="s">
        <v>8825</v>
      </c>
      <c r="C125" t="s">
        <v>8824</v>
      </c>
      <c r="D125" t="s">
        <v>8823</v>
      </c>
      <c r="F125" t="s">
        <v>926</v>
      </c>
      <c r="G125" t="s">
        <v>9</v>
      </c>
      <c r="H125" t="s">
        <v>8</v>
      </c>
      <c r="I125" t="s">
        <v>925</v>
      </c>
      <c r="J125" t="s">
        <v>8822</v>
      </c>
      <c r="K125" t="s">
        <v>8821</v>
      </c>
      <c r="L125" t="s">
        <v>8820</v>
      </c>
      <c r="M125" t="s">
        <v>8819</v>
      </c>
      <c r="N125">
        <v>4</v>
      </c>
      <c r="O125" t="s">
        <v>924</v>
      </c>
      <c r="P125" t="s">
        <v>923</v>
      </c>
      <c r="Q125" t="s">
        <v>8818</v>
      </c>
      <c r="R125" s="7">
        <v>36861</v>
      </c>
      <c r="S125" s="8">
        <f t="shared" si="8"/>
        <v>2000</v>
      </c>
      <c r="T125" s="8">
        <v>2000</v>
      </c>
      <c r="U125" s="8">
        <f t="shared" si="9"/>
        <v>22</v>
      </c>
      <c r="V125" s="7">
        <v>2000</v>
      </c>
      <c r="W125" t="s">
        <v>297</v>
      </c>
      <c r="X125" s="2">
        <v>1.3720000000000001</v>
      </c>
      <c r="Y125" s="6">
        <f t="shared" si="10"/>
        <v>3.662475641333654E-2</v>
      </c>
      <c r="AA125">
        <v>189480</v>
      </c>
      <c r="AB125">
        <v>17366</v>
      </c>
      <c r="AD125" t="s">
        <v>3</v>
      </c>
      <c r="AE125">
        <v>48</v>
      </c>
      <c r="AF125">
        <v>6</v>
      </c>
      <c r="AH125" t="s">
        <v>8817</v>
      </c>
      <c r="AI125" t="s">
        <v>8816</v>
      </c>
      <c r="AJ125" t="s">
        <v>8815</v>
      </c>
      <c r="AK125" t="s">
        <v>922</v>
      </c>
      <c r="AL125">
        <v>4</v>
      </c>
      <c r="AM125" s="5">
        <f t="shared" si="11"/>
        <v>0.18181818181818182</v>
      </c>
      <c r="AN125" s="4">
        <f t="shared" si="12"/>
        <v>2.753777838972841E-4</v>
      </c>
      <c r="AO125" s="3"/>
      <c r="AP125">
        <v>0</v>
      </c>
      <c r="AR125" t="s">
        <v>1</v>
      </c>
      <c r="AT125" s="2" t="s">
        <v>0</v>
      </c>
      <c r="AU125" s="1">
        <f t="shared" si="13"/>
        <v>2.571994282450476</v>
      </c>
      <c r="AV125" s="1">
        <f t="shared" si="14"/>
        <v>1.8450067098616911</v>
      </c>
      <c r="AW125" s="1">
        <f t="shared" si="15"/>
        <v>1.1180191372729062</v>
      </c>
    </row>
    <row r="126" spans="1:49" x14ac:dyDescent="0.2">
      <c r="A126">
        <v>124</v>
      </c>
      <c r="B126" t="s">
        <v>8814</v>
      </c>
      <c r="C126" t="s">
        <v>920</v>
      </c>
      <c r="D126" t="s">
        <v>8813</v>
      </c>
      <c r="F126" t="s">
        <v>8812</v>
      </c>
      <c r="G126" t="s">
        <v>9</v>
      </c>
      <c r="H126" t="s">
        <v>8</v>
      </c>
      <c r="I126" t="s">
        <v>932</v>
      </c>
      <c r="J126" t="s">
        <v>8811</v>
      </c>
      <c r="K126" t="s">
        <v>8810</v>
      </c>
      <c r="L126" t="s">
        <v>8809</v>
      </c>
      <c r="M126" t="s">
        <v>19</v>
      </c>
      <c r="N126">
        <v>4</v>
      </c>
      <c r="O126" t="s">
        <v>931</v>
      </c>
      <c r="P126" t="s">
        <v>930</v>
      </c>
      <c r="Q126" t="s">
        <v>8808</v>
      </c>
      <c r="R126" s="7">
        <v>36861</v>
      </c>
      <c r="S126" s="8">
        <f t="shared" si="8"/>
        <v>2000</v>
      </c>
      <c r="T126" s="8">
        <v>2000</v>
      </c>
      <c r="U126" s="8">
        <f t="shared" si="9"/>
        <v>22</v>
      </c>
      <c r="V126" s="7">
        <v>2000</v>
      </c>
      <c r="W126" t="s">
        <v>297</v>
      </c>
      <c r="X126" s="2">
        <v>1.3720000000000001</v>
      </c>
      <c r="Y126" s="6">
        <f t="shared" si="10"/>
        <v>3.662475641333654E-2</v>
      </c>
      <c r="AA126">
        <v>189480</v>
      </c>
      <c r="AB126">
        <v>17366</v>
      </c>
      <c r="AD126" t="s">
        <v>3</v>
      </c>
      <c r="AE126">
        <v>48</v>
      </c>
      <c r="AF126">
        <v>6</v>
      </c>
      <c r="AH126" t="s">
        <v>919</v>
      </c>
      <c r="AI126" t="s">
        <v>8807</v>
      </c>
      <c r="AJ126" t="s">
        <v>8806</v>
      </c>
      <c r="AK126" t="s">
        <v>929</v>
      </c>
      <c r="AL126">
        <v>3</v>
      </c>
      <c r="AM126" s="5">
        <f t="shared" si="11"/>
        <v>0.13636363636363635</v>
      </c>
      <c r="AN126" s="4">
        <f t="shared" si="12"/>
        <v>2.0653333792296306E-4</v>
      </c>
      <c r="AO126" s="3"/>
      <c r="AP126">
        <v>0</v>
      </c>
      <c r="AR126" t="s">
        <v>1</v>
      </c>
      <c r="AT126" s="2" t="s">
        <v>0</v>
      </c>
      <c r="AU126" s="1">
        <f t="shared" si="13"/>
        <v>2.5699289490712465</v>
      </c>
      <c r="AV126" s="1">
        <f t="shared" si="14"/>
        <v>1.8415644875629751</v>
      </c>
      <c r="AW126" s="1">
        <f t="shared" si="15"/>
        <v>1.1132000260547037</v>
      </c>
    </row>
    <row r="127" spans="1:49" x14ac:dyDescent="0.2">
      <c r="A127">
        <v>125</v>
      </c>
      <c r="B127" t="s">
        <v>8805</v>
      </c>
      <c r="C127" t="s">
        <v>8804</v>
      </c>
      <c r="D127" t="s">
        <v>8803</v>
      </c>
      <c r="F127" t="s">
        <v>8802</v>
      </c>
      <c r="G127" t="s">
        <v>9</v>
      </c>
      <c r="H127" t="s">
        <v>8</v>
      </c>
      <c r="I127" t="s">
        <v>918</v>
      </c>
      <c r="J127" t="s">
        <v>917</v>
      </c>
      <c r="K127" t="s">
        <v>916</v>
      </c>
      <c r="L127" t="s">
        <v>915</v>
      </c>
      <c r="M127" t="s">
        <v>899</v>
      </c>
      <c r="N127">
        <v>4</v>
      </c>
      <c r="O127" t="s">
        <v>8801</v>
      </c>
      <c r="P127" t="s">
        <v>8800</v>
      </c>
      <c r="Q127" t="s">
        <v>8799</v>
      </c>
      <c r="R127" s="7">
        <v>36861</v>
      </c>
      <c r="S127" s="8">
        <f t="shared" si="8"/>
        <v>2000</v>
      </c>
      <c r="T127" s="8">
        <v>2000</v>
      </c>
      <c r="U127" s="8">
        <f t="shared" si="9"/>
        <v>22</v>
      </c>
      <c r="V127" s="7">
        <v>2000</v>
      </c>
      <c r="W127" t="s">
        <v>297</v>
      </c>
      <c r="X127" s="2">
        <v>1.3720000000000001</v>
      </c>
      <c r="Y127" s="6">
        <f t="shared" si="10"/>
        <v>3.662475641333654E-2</v>
      </c>
      <c r="AA127">
        <v>189480</v>
      </c>
      <c r="AB127">
        <v>17366</v>
      </c>
      <c r="AD127" t="s">
        <v>3</v>
      </c>
      <c r="AE127">
        <v>48</v>
      </c>
      <c r="AF127">
        <v>6</v>
      </c>
      <c r="AH127" t="s">
        <v>8798</v>
      </c>
      <c r="AI127" t="s">
        <v>8797</v>
      </c>
      <c r="AJ127" t="s">
        <v>8796</v>
      </c>
      <c r="AK127" t="s">
        <v>8795</v>
      </c>
      <c r="AL127">
        <v>0</v>
      </c>
      <c r="AM127" s="5">
        <f t="shared" si="11"/>
        <v>0</v>
      </c>
      <c r="AN127" s="4">
        <f t="shared" si="12"/>
        <v>0</v>
      </c>
      <c r="AO127" s="3"/>
      <c r="AP127">
        <v>0</v>
      </c>
      <c r="AR127" t="s">
        <v>1</v>
      </c>
      <c r="AT127" s="2" t="s">
        <v>0</v>
      </c>
      <c r="AU127" s="1">
        <f t="shared" si="13"/>
        <v>2.5637329489335574</v>
      </c>
      <c r="AV127" s="1">
        <f t="shared" si="14"/>
        <v>1.8312378206668269</v>
      </c>
      <c r="AW127" s="1">
        <f t="shared" si="15"/>
        <v>1.0987426924000963</v>
      </c>
    </row>
    <row r="128" spans="1:49" x14ac:dyDescent="0.2">
      <c r="A128">
        <v>126</v>
      </c>
      <c r="B128" t="s">
        <v>8794</v>
      </c>
      <c r="D128" t="s">
        <v>8767</v>
      </c>
      <c r="F128" t="s">
        <v>8793</v>
      </c>
      <c r="G128" t="s">
        <v>9</v>
      </c>
      <c r="H128" t="s">
        <v>8</v>
      </c>
      <c r="I128" t="s">
        <v>8792</v>
      </c>
      <c r="J128">
        <v>60016005</v>
      </c>
      <c r="K128" t="s">
        <v>8791</v>
      </c>
      <c r="L128" t="s">
        <v>8790</v>
      </c>
      <c r="M128" t="s">
        <v>16</v>
      </c>
      <c r="N128">
        <v>2</v>
      </c>
      <c r="O128" t="s">
        <v>8789</v>
      </c>
      <c r="P128" t="s">
        <v>8788</v>
      </c>
      <c r="Q128" t="s">
        <v>8787</v>
      </c>
      <c r="R128" s="7">
        <v>36861</v>
      </c>
      <c r="S128" s="8">
        <f t="shared" si="8"/>
        <v>2000</v>
      </c>
      <c r="T128" s="8">
        <v>2000</v>
      </c>
      <c r="U128" s="8">
        <f t="shared" si="9"/>
        <v>22</v>
      </c>
      <c r="V128" s="7">
        <v>2000</v>
      </c>
      <c r="W128" t="s">
        <v>365</v>
      </c>
      <c r="X128" s="2">
        <v>1.468</v>
      </c>
      <c r="Y128" s="6">
        <f t="shared" si="10"/>
        <v>3.9187421585115186E-2</v>
      </c>
      <c r="AA128">
        <v>906778</v>
      </c>
      <c r="AB128">
        <v>18931</v>
      </c>
      <c r="AD128" t="s">
        <v>3</v>
      </c>
      <c r="AE128">
        <v>48</v>
      </c>
      <c r="AF128">
        <v>12</v>
      </c>
      <c r="AH128">
        <v>2150</v>
      </c>
      <c r="AI128" t="s">
        <v>8786</v>
      </c>
      <c r="AK128" t="s">
        <v>8785</v>
      </c>
      <c r="AL128">
        <v>0</v>
      </c>
      <c r="AM128" s="5">
        <f t="shared" si="11"/>
        <v>0</v>
      </c>
      <c r="AN128" s="4">
        <f t="shared" si="12"/>
        <v>0</v>
      </c>
      <c r="AO128" s="3"/>
      <c r="AP128">
        <v>0</v>
      </c>
      <c r="AR128" t="s">
        <v>1</v>
      </c>
      <c r="AT128" s="2">
        <v>5.0830000000000002</v>
      </c>
      <c r="AU128" s="1">
        <f t="shared" si="13"/>
        <v>2.7431195109580626</v>
      </c>
      <c r="AV128" s="1">
        <f t="shared" si="14"/>
        <v>1.9593710792557593</v>
      </c>
      <c r="AW128" s="1">
        <f t="shared" si="15"/>
        <v>1.1756226475534557</v>
      </c>
    </row>
    <row r="129" spans="1:49" x14ac:dyDescent="0.2">
      <c r="A129">
        <v>127</v>
      </c>
      <c r="B129" t="s">
        <v>8784</v>
      </c>
      <c r="D129" t="s">
        <v>8783</v>
      </c>
      <c r="F129" t="s">
        <v>7877</v>
      </c>
      <c r="G129" t="s">
        <v>9</v>
      </c>
      <c r="H129" t="s">
        <v>8</v>
      </c>
      <c r="I129" t="s">
        <v>8782</v>
      </c>
      <c r="J129">
        <v>60021378</v>
      </c>
      <c r="K129" t="s">
        <v>557</v>
      </c>
      <c r="L129" t="s">
        <v>556</v>
      </c>
      <c r="M129" t="s">
        <v>5</v>
      </c>
      <c r="N129">
        <v>2</v>
      </c>
      <c r="O129" t="s">
        <v>8781</v>
      </c>
      <c r="P129" t="s">
        <v>8780</v>
      </c>
      <c r="Q129" t="s">
        <v>7874</v>
      </c>
      <c r="R129" s="7">
        <v>36861</v>
      </c>
      <c r="S129" s="8">
        <f t="shared" si="8"/>
        <v>2000</v>
      </c>
      <c r="T129" s="8">
        <v>2000</v>
      </c>
      <c r="U129" s="8">
        <f t="shared" si="9"/>
        <v>22</v>
      </c>
      <c r="V129" s="7">
        <v>2000</v>
      </c>
      <c r="W129" t="s">
        <v>365</v>
      </c>
      <c r="X129" s="2">
        <v>1.468</v>
      </c>
      <c r="Y129" s="6">
        <f t="shared" si="10"/>
        <v>3.9187421585115186E-2</v>
      </c>
      <c r="AA129">
        <v>906778</v>
      </c>
      <c r="AB129">
        <v>18931</v>
      </c>
      <c r="AD129" t="s">
        <v>3</v>
      </c>
      <c r="AE129">
        <v>48</v>
      </c>
      <c r="AF129">
        <v>11</v>
      </c>
      <c r="AH129">
        <v>1955</v>
      </c>
      <c r="AI129" t="s">
        <v>8779</v>
      </c>
      <c r="AK129" t="s">
        <v>8778</v>
      </c>
      <c r="AL129">
        <v>152</v>
      </c>
      <c r="AM129" s="5">
        <f t="shared" si="11"/>
        <v>6.9090909090909092</v>
      </c>
      <c r="AN129" s="4">
        <f t="shared" si="12"/>
        <v>1.0464355788096796E-2</v>
      </c>
      <c r="AO129" s="3"/>
      <c r="AP129">
        <v>0</v>
      </c>
      <c r="AR129" t="s">
        <v>1</v>
      </c>
      <c r="AT129" s="2">
        <v>5.0830000000000002</v>
      </c>
      <c r="AU129" s="1">
        <f t="shared" si="13"/>
        <v>3.0570501846009663</v>
      </c>
      <c r="AV129" s="1">
        <f t="shared" si="14"/>
        <v>2.4825888686605992</v>
      </c>
      <c r="AW129" s="1">
        <f t="shared" si="15"/>
        <v>1.908127552720231</v>
      </c>
    </row>
    <row r="130" spans="1:49" x14ac:dyDescent="0.2">
      <c r="A130">
        <v>128</v>
      </c>
      <c r="B130" t="s">
        <v>8777</v>
      </c>
      <c r="C130" t="s">
        <v>8776</v>
      </c>
      <c r="D130" t="s">
        <v>8775</v>
      </c>
      <c r="F130" t="s">
        <v>3811</v>
      </c>
      <c r="G130" t="s">
        <v>9</v>
      </c>
      <c r="H130" t="s">
        <v>8</v>
      </c>
      <c r="I130" t="s">
        <v>3810</v>
      </c>
      <c r="J130">
        <v>60019228</v>
      </c>
      <c r="K130" t="s">
        <v>8774</v>
      </c>
      <c r="L130" t="s">
        <v>8773</v>
      </c>
      <c r="M130" t="s">
        <v>5</v>
      </c>
      <c r="N130">
        <v>11</v>
      </c>
      <c r="O130" t="s">
        <v>3806</v>
      </c>
      <c r="P130" t="s">
        <v>3805</v>
      </c>
      <c r="Q130" t="s">
        <v>8772</v>
      </c>
      <c r="R130" s="7">
        <v>36861</v>
      </c>
      <c r="S130" s="8">
        <f t="shared" ref="S130:S193" si="16">YEAR(R130)</f>
        <v>2000</v>
      </c>
      <c r="T130" s="8">
        <v>2000</v>
      </c>
      <c r="U130" s="8">
        <f t="shared" ref="U130:U193" si="17">2022-T130</f>
        <v>22</v>
      </c>
      <c r="V130" s="7">
        <v>2000</v>
      </c>
      <c r="W130" t="s">
        <v>3803</v>
      </c>
      <c r="X130" s="2">
        <v>0.46</v>
      </c>
      <c r="Y130" s="6">
        <f t="shared" ref="Y130:Y193" si="18">(X130-$Z$3)/($Z$2-$Z$3)</f>
        <v>1.2279437281439364E-2</v>
      </c>
      <c r="AA130">
        <v>933813</v>
      </c>
      <c r="AB130">
        <v>28031</v>
      </c>
      <c r="AD130" t="s">
        <v>3</v>
      </c>
      <c r="AE130">
        <v>28</v>
      </c>
      <c r="AF130">
        <v>5</v>
      </c>
      <c r="AH130" t="s">
        <v>8771</v>
      </c>
      <c r="AI130" t="s">
        <v>8770</v>
      </c>
      <c r="AJ130" t="s">
        <v>8769</v>
      </c>
      <c r="AK130" t="s">
        <v>3800</v>
      </c>
      <c r="AL130">
        <v>6</v>
      </c>
      <c r="AM130" s="5">
        <f t="shared" ref="AM130:AM193" si="19">AL130/U130</f>
        <v>0.27272727272727271</v>
      </c>
      <c r="AN130" s="4">
        <f t="shared" ref="AN130:AN193" si="20">(AM130-$AO$3)/($AO$2-$AO$3)</f>
        <v>4.1306667584592612E-4</v>
      </c>
      <c r="AO130" s="3"/>
      <c r="AP130">
        <v>0</v>
      </c>
      <c r="AR130" t="s">
        <v>1</v>
      </c>
      <c r="AT130" s="2">
        <v>1.222</v>
      </c>
      <c r="AU130" s="1">
        <f t="shared" ref="AU130:AU193" si="21">(Y130*0.7+AN130*0.3)*100</f>
        <v>0.87195260997613311</v>
      </c>
      <c r="AV130" s="1">
        <f t="shared" ref="AV130:AV193" si="22">(Y130*0.5+AN130*0.5)*100</f>
        <v>0.63462519786426452</v>
      </c>
      <c r="AW130" s="1">
        <f t="shared" ref="AW130:AW193" si="23">(Y130*0.3+AN130*0.7)*100</f>
        <v>0.39729778575239572</v>
      </c>
    </row>
    <row r="131" spans="1:49" x14ac:dyDescent="0.2">
      <c r="A131">
        <v>129</v>
      </c>
      <c r="B131" t="s">
        <v>8768</v>
      </c>
      <c r="D131" t="s">
        <v>8767</v>
      </c>
      <c r="F131" t="s">
        <v>8766</v>
      </c>
      <c r="G131" t="s">
        <v>9</v>
      </c>
      <c r="H131" t="s">
        <v>8</v>
      </c>
      <c r="I131" t="s">
        <v>8765</v>
      </c>
      <c r="J131">
        <v>60003269</v>
      </c>
      <c r="K131" t="s">
        <v>123</v>
      </c>
      <c r="L131" t="s">
        <v>122</v>
      </c>
      <c r="M131" t="s">
        <v>5</v>
      </c>
      <c r="N131">
        <v>2</v>
      </c>
      <c r="O131" t="s">
        <v>8764</v>
      </c>
      <c r="P131" t="s">
        <v>8763</v>
      </c>
      <c r="Q131" t="s">
        <v>121</v>
      </c>
      <c r="R131" s="7">
        <v>36861</v>
      </c>
      <c r="S131" s="8">
        <f t="shared" si="16"/>
        <v>2000</v>
      </c>
      <c r="T131" s="8">
        <v>2000</v>
      </c>
      <c r="U131" s="8">
        <f t="shared" si="17"/>
        <v>22</v>
      </c>
      <c r="V131" s="7">
        <v>2000</v>
      </c>
      <c r="W131" t="s">
        <v>365</v>
      </c>
      <c r="X131" s="2">
        <v>1.468</v>
      </c>
      <c r="Y131" s="6">
        <f t="shared" si="18"/>
        <v>3.9187421585115186E-2</v>
      </c>
      <c r="AA131">
        <v>906778</v>
      </c>
      <c r="AB131">
        <v>18931</v>
      </c>
      <c r="AD131" t="s">
        <v>3</v>
      </c>
      <c r="AE131">
        <v>48</v>
      </c>
      <c r="AF131">
        <v>12</v>
      </c>
      <c r="AH131">
        <v>2150</v>
      </c>
      <c r="AI131" t="s">
        <v>8762</v>
      </c>
      <c r="AK131" t="s">
        <v>8761</v>
      </c>
      <c r="AL131">
        <v>0</v>
      </c>
      <c r="AM131" s="5">
        <f t="shared" si="19"/>
        <v>0</v>
      </c>
      <c r="AN131" s="4">
        <f t="shared" si="20"/>
        <v>0</v>
      </c>
      <c r="AO131" s="3"/>
      <c r="AP131">
        <v>0</v>
      </c>
      <c r="AR131" t="s">
        <v>1</v>
      </c>
      <c r="AT131" s="2">
        <v>5.0830000000000002</v>
      </c>
      <c r="AU131" s="1">
        <f t="shared" si="21"/>
        <v>2.7431195109580626</v>
      </c>
      <c r="AV131" s="1">
        <f t="shared" si="22"/>
        <v>1.9593710792557593</v>
      </c>
      <c r="AW131" s="1">
        <f t="shared" si="23"/>
        <v>1.1756226475534557</v>
      </c>
    </row>
    <row r="132" spans="1:49" x14ac:dyDescent="0.2">
      <c r="A132">
        <v>130</v>
      </c>
      <c r="B132" t="s">
        <v>8760</v>
      </c>
      <c r="C132" t="s">
        <v>3812</v>
      </c>
      <c r="D132" t="s">
        <v>8759</v>
      </c>
      <c r="F132" t="s">
        <v>3867</v>
      </c>
      <c r="G132" t="s">
        <v>9</v>
      </c>
      <c r="H132" t="s">
        <v>8</v>
      </c>
      <c r="I132" t="s">
        <v>8758</v>
      </c>
      <c r="J132">
        <v>60015710</v>
      </c>
      <c r="K132" t="s">
        <v>8757</v>
      </c>
      <c r="L132" t="s">
        <v>8756</v>
      </c>
      <c r="M132" t="s">
        <v>5</v>
      </c>
      <c r="N132">
        <v>5</v>
      </c>
      <c r="O132" t="s">
        <v>3862</v>
      </c>
      <c r="P132" t="s">
        <v>8755</v>
      </c>
      <c r="Q132" t="s">
        <v>8754</v>
      </c>
      <c r="R132" s="7">
        <v>36861</v>
      </c>
      <c r="S132" s="8">
        <f t="shared" si="16"/>
        <v>2000</v>
      </c>
      <c r="T132" s="8">
        <v>2000</v>
      </c>
      <c r="U132" s="8">
        <f t="shared" si="17"/>
        <v>22</v>
      </c>
      <c r="V132" s="7">
        <v>2000</v>
      </c>
      <c r="W132" t="s">
        <v>3803</v>
      </c>
      <c r="X132" s="2">
        <v>0.46</v>
      </c>
      <c r="Y132" s="6">
        <f t="shared" si="18"/>
        <v>1.2279437281439364E-2</v>
      </c>
      <c r="AA132">
        <v>933813</v>
      </c>
      <c r="AB132">
        <v>28031</v>
      </c>
      <c r="AD132" t="s">
        <v>3</v>
      </c>
      <c r="AE132">
        <v>28</v>
      </c>
      <c r="AF132">
        <v>5</v>
      </c>
      <c r="AH132" t="s">
        <v>3802</v>
      </c>
      <c r="AI132" t="s">
        <v>8753</v>
      </c>
      <c r="AJ132" t="s">
        <v>8752</v>
      </c>
      <c r="AK132" t="s">
        <v>3857</v>
      </c>
      <c r="AL132">
        <v>17</v>
      </c>
      <c r="AM132" s="5">
        <f t="shared" si="19"/>
        <v>0.77272727272727271</v>
      </c>
      <c r="AN132" s="4">
        <f t="shared" si="20"/>
        <v>1.1703555815634574E-3</v>
      </c>
      <c r="AO132" s="3"/>
      <c r="AP132">
        <v>0</v>
      </c>
      <c r="AR132" t="s">
        <v>1</v>
      </c>
      <c r="AT132" s="2">
        <v>1.222</v>
      </c>
      <c r="AU132" s="1">
        <f t="shared" si="21"/>
        <v>0.89467127714765904</v>
      </c>
      <c r="AV132" s="1">
        <f t="shared" si="22"/>
        <v>0.67248964315014104</v>
      </c>
      <c r="AW132" s="1">
        <f t="shared" si="23"/>
        <v>0.45030800915262287</v>
      </c>
    </row>
    <row r="133" spans="1:49" x14ac:dyDescent="0.2">
      <c r="A133">
        <v>131</v>
      </c>
      <c r="B133" t="s">
        <v>8751</v>
      </c>
      <c r="C133" t="s">
        <v>8750</v>
      </c>
      <c r="D133" t="s">
        <v>8749</v>
      </c>
      <c r="F133" t="s">
        <v>8748</v>
      </c>
      <c r="G133" t="s">
        <v>9</v>
      </c>
      <c r="H133" t="s">
        <v>8</v>
      </c>
      <c r="I133" t="s">
        <v>8747</v>
      </c>
      <c r="J133">
        <v>60026134</v>
      </c>
      <c r="K133" t="s">
        <v>593</v>
      </c>
      <c r="L133" t="s">
        <v>592</v>
      </c>
      <c r="M133" t="s">
        <v>109</v>
      </c>
      <c r="N133">
        <v>2</v>
      </c>
      <c r="O133" t="s">
        <v>8746</v>
      </c>
      <c r="P133" t="s">
        <v>8745</v>
      </c>
      <c r="Q133" t="s">
        <v>591</v>
      </c>
      <c r="R133" s="7">
        <v>36861</v>
      </c>
      <c r="S133" s="8">
        <f t="shared" si="16"/>
        <v>2000</v>
      </c>
      <c r="T133" s="8">
        <v>2000</v>
      </c>
      <c r="U133" s="8">
        <f t="shared" si="17"/>
        <v>22</v>
      </c>
      <c r="V133" s="7">
        <v>2000</v>
      </c>
      <c r="W133" t="s">
        <v>590</v>
      </c>
      <c r="X133" s="2">
        <v>0.78200000000000003</v>
      </c>
      <c r="Y133" s="6">
        <f t="shared" si="18"/>
        <v>2.0875043378446919E-2</v>
      </c>
      <c r="AA133">
        <v>189316</v>
      </c>
      <c r="AB133">
        <v>19901</v>
      </c>
      <c r="AD133" t="s">
        <v>3</v>
      </c>
      <c r="AE133">
        <v>46</v>
      </c>
      <c r="AF133">
        <v>2</v>
      </c>
      <c r="AH133" t="s">
        <v>8744</v>
      </c>
      <c r="AI133" t="s">
        <v>8743</v>
      </c>
      <c r="AJ133" t="s">
        <v>8742</v>
      </c>
      <c r="AK133" t="s">
        <v>8741</v>
      </c>
      <c r="AL133">
        <v>4</v>
      </c>
      <c r="AM133" s="5">
        <f t="shared" si="19"/>
        <v>0.18181818181818182</v>
      </c>
      <c r="AN133" s="4">
        <f t="shared" si="20"/>
        <v>2.753777838972841E-4</v>
      </c>
      <c r="AO133" s="3"/>
      <c r="AP133">
        <v>0</v>
      </c>
      <c r="AQ133" t="s">
        <v>6635</v>
      </c>
      <c r="AR133" t="s">
        <v>8740</v>
      </c>
      <c r="AS133" t="s">
        <v>6633</v>
      </c>
      <c r="AT133" s="2">
        <v>3.863</v>
      </c>
      <c r="AU133" s="1">
        <f t="shared" si="21"/>
        <v>1.4695143700082025</v>
      </c>
      <c r="AV133" s="1">
        <f t="shared" si="22"/>
        <v>1.0575210581172101</v>
      </c>
      <c r="AW133" s="1">
        <f t="shared" si="23"/>
        <v>0.64552774622621745</v>
      </c>
    </row>
    <row r="134" spans="1:49" x14ac:dyDescent="0.2">
      <c r="A134">
        <v>132</v>
      </c>
      <c r="B134" t="s">
        <v>8739</v>
      </c>
      <c r="F134" t="s">
        <v>8512</v>
      </c>
      <c r="G134" t="s">
        <v>9</v>
      </c>
      <c r="H134" t="s">
        <v>8</v>
      </c>
      <c r="I134" t="s">
        <v>8511</v>
      </c>
      <c r="J134">
        <v>101765510</v>
      </c>
      <c r="K134" t="s">
        <v>8738</v>
      </c>
      <c r="N134">
        <v>1</v>
      </c>
      <c r="O134" t="s">
        <v>8510</v>
      </c>
      <c r="P134">
        <v>7005266466</v>
      </c>
      <c r="Q134">
        <v>101765510</v>
      </c>
      <c r="R134" s="7">
        <v>36861</v>
      </c>
      <c r="S134" s="8">
        <f t="shared" si="16"/>
        <v>2000</v>
      </c>
      <c r="T134" s="8">
        <v>2000</v>
      </c>
      <c r="U134" s="8">
        <f t="shared" si="17"/>
        <v>22</v>
      </c>
      <c r="V134" s="7">
        <v>36861</v>
      </c>
      <c r="W134" t="s">
        <v>8509</v>
      </c>
      <c r="X134" s="2" t="s">
        <v>0</v>
      </c>
      <c r="Y134" s="6" t="e">
        <f t="shared" si="18"/>
        <v>#VALUE!</v>
      </c>
      <c r="AA134">
        <v>134902</v>
      </c>
      <c r="AB134">
        <v>32898</v>
      </c>
      <c r="AD134" t="s">
        <v>3</v>
      </c>
      <c r="AE134">
        <v>72</v>
      </c>
      <c r="AF134">
        <v>887</v>
      </c>
      <c r="AH134" t="s">
        <v>4507</v>
      </c>
      <c r="AI134" t="s">
        <v>8737</v>
      </c>
      <c r="AK134" t="s">
        <v>8507</v>
      </c>
      <c r="AL134">
        <v>0</v>
      </c>
      <c r="AM134" s="5">
        <f t="shared" si="19"/>
        <v>0</v>
      </c>
      <c r="AN134" s="4">
        <f t="shared" si="20"/>
        <v>0</v>
      </c>
      <c r="AO134" s="3"/>
      <c r="AP134">
        <v>0</v>
      </c>
      <c r="AR134" t="s">
        <v>1</v>
      </c>
      <c r="AT134" s="2" t="s">
        <v>0</v>
      </c>
      <c r="AU134" s="1" t="e">
        <f t="shared" si="21"/>
        <v>#VALUE!</v>
      </c>
      <c r="AV134" s="1" t="e">
        <f t="shared" si="22"/>
        <v>#VALUE!</v>
      </c>
      <c r="AW134" s="1" t="e">
        <f t="shared" si="23"/>
        <v>#VALUE!</v>
      </c>
    </row>
    <row r="135" spans="1:49" x14ac:dyDescent="0.2">
      <c r="A135">
        <v>133</v>
      </c>
      <c r="B135" t="s">
        <v>8736</v>
      </c>
      <c r="C135" t="s">
        <v>8735</v>
      </c>
      <c r="F135" t="s">
        <v>8734</v>
      </c>
      <c r="G135" t="s">
        <v>9</v>
      </c>
      <c r="H135" t="s">
        <v>8</v>
      </c>
      <c r="I135" t="s">
        <v>8733</v>
      </c>
      <c r="J135" t="s">
        <v>8732</v>
      </c>
      <c r="K135" t="s">
        <v>8731</v>
      </c>
      <c r="L135" t="s">
        <v>8730</v>
      </c>
      <c r="M135" t="s">
        <v>8729</v>
      </c>
      <c r="N135">
        <v>5</v>
      </c>
      <c r="O135" t="s">
        <v>8728</v>
      </c>
      <c r="P135" t="s">
        <v>8727</v>
      </c>
      <c r="Q135" t="s">
        <v>8726</v>
      </c>
      <c r="R135" s="7">
        <v>36861</v>
      </c>
      <c r="S135" s="8">
        <f t="shared" si="16"/>
        <v>2000</v>
      </c>
      <c r="T135" s="8">
        <v>2000</v>
      </c>
      <c r="U135" s="8">
        <f t="shared" si="17"/>
        <v>22</v>
      </c>
      <c r="V135" s="7">
        <v>36861</v>
      </c>
      <c r="W135" t="s">
        <v>473</v>
      </c>
      <c r="X135" s="2">
        <v>0.88100000000000001</v>
      </c>
      <c r="Y135" s="6">
        <f t="shared" si="18"/>
        <v>2.3517791836843653E-2</v>
      </c>
      <c r="AA135">
        <v>10459243</v>
      </c>
      <c r="AB135">
        <v>17248</v>
      </c>
      <c r="AD135" t="s">
        <v>3</v>
      </c>
      <c r="AE135">
        <v>42</v>
      </c>
      <c r="AF135">
        <v>6</v>
      </c>
      <c r="AH135" t="s">
        <v>2138</v>
      </c>
      <c r="AI135" t="s">
        <v>8725</v>
      </c>
      <c r="AJ135" t="s">
        <v>8724</v>
      </c>
      <c r="AK135" t="s">
        <v>8723</v>
      </c>
      <c r="AL135">
        <v>30</v>
      </c>
      <c r="AM135" s="5">
        <f t="shared" si="19"/>
        <v>1.3636363636363635</v>
      </c>
      <c r="AN135" s="4">
        <f t="shared" si="20"/>
        <v>2.0653333792296307E-3</v>
      </c>
      <c r="AO135" s="3"/>
      <c r="AP135">
        <v>0</v>
      </c>
      <c r="AR135" t="s">
        <v>1</v>
      </c>
      <c r="AT135" s="2" t="s">
        <v>0</v>
      </c>
      <c r="AU135" s="1">
        <f t="shared" si="21"/>
        <v>1.7082054299559446</v>
      </c>
      <c r="AV135" s="1">
        <f t="shared" si="22"/>
        <v>1.2791562608036642</v>
      </c>
      <c r="AW135" s="1">
        <f t="shared" si="23"/>
        <v>0.85010709165138365</v>
      </c>
    </row>
    <row r="136" spans="1:49" x14ac:dyDescent="0.2">
      <c r="A136">
        <v>134</v>
      </c>
      <c r="B136" t="s">
        <v>8722</v>
      </c>
      <c r="C136" t="s">
        <v>8721</v>
      </c>
      <c r="F136" t="s">
        <v>8720</v>
      </c>
      <c r="G136" t="s">
        <v>9</v>
      </c>
      <c r="H136" t="s">
        <v>8</v>
      </c>
      <c r="I136" t="s">
        <v>8719</v>
      </c>
      <c r="J136" t="s">
        <v>8718</v>
      </c>
      <c r="K136" t="s">
        <v>8717</v>
      </c>
      <c r="L136" t="s">
        <v>8716</v>
      </c>
      <c r="M136" t="s">
        <v>200</v>
      </c>
      <c r="N136">
        <v>3</v>
      </c>
      <c r="O136" t="s">
        <v>8715</v>
      </c>
      <c r="P136" t="s">
        <v>8714</v>
      </c>
      <c r="Q136" t="s">
        <v>8713</v>
      </c>
      <c r="R136" s="7">
        <v>36861</v>
      </c>
      <c r="S136" s="8">
        <f t="shared" si="16"/>
        <v>2000</v>
      </c>
      <c r="T136" s="8">
        <v>2000</v>
      </c>
      <c r="U136" s="8">
        <f t="shared" si="17"/>
        <v>22</v>
      </c>
      <c r="V136" s="7">
        <v>2000</v>
      </c>
      <c r="W136" t="s">
        <v>473</v>
      </c>
      <c r="X136" s="2">
        <v>0.88100000000000001</v>
      </c>
      <c r="Y136" s="6">
        <f t="shared" si="18"/>
        <v>2.3517791836843653E-2</v>
      </c>
      <c r="AA136">
        <v>10459243</v>
      </c>
      <c r="AB136">
        <v>17248</v>
      </c>
      <c r="AD136" t="s">
        <v>3</v>
      </c>
      <c r="AE136">
        <v>42</v>
      </c>
      <c r="AF136">
        <v>1</v>
      </c>
      <c r="AH136" t="s">
        <v>8712</v>
      </c>
      <c r="AJ136" t="s">
        <v>8711</v>
      </c>
      <c r="AL136">
        <v>6</v>
      </c>
      <c r="AM136" s="5">
        <f t="shared" si="19"/>
        <v>0.27272727272727271</v>
      </c>
      <c r="AN136" s="4">
        <f t="shared" si="20"/>
        <v>4.1306667584592612E-4</v>
      </c>
      <c r="AO136" s="3"/>
      <c r="AP136">
        <v>0</v>
      </c>
      <c r="AR136" t="s">
        <v>1</v>
      </c>
      <c r="AT136" s="2" t="s">
        <v>0</v>
      </c>
      <c r="AU136" s="1">
        <f t="shared" si="21"/>
        <v>1.6586374288544334</v>
      </c>
      <c r="AV136" s="1">
        <f t="shared" si="22"/>
        <v>1.1965429256344788</v>
      </c>
      <c r="AW136" s="1">
        <f t="shared" si="23"/>
        <v>0.73444842241452446</v>
      </c>
    </row>
    <row r="137" spans="1:49" x14ac:dyDescent="0.2">
      <c r="A137">
        <v>135</v>
      </c>
      <c r="B137" t="s">
        <v>8710</v>
      </c>
      <c r="F137" t="s">
        <v>8709</v>
      </c>
      <c r="G137" t="s">
        <v>9</v>
      </c>
      <c r="H137" t="s">
        <v>8</v>
      </c>
      <c r="I137" t="s">
        <v>8708</v>
      </c>
      <c r="J137" t="s">
        <v>8702</v>
      </c>
      <c r="K137" t="s">
        <v>8707</v>
      </c>
      <c r="L137" t="s">
        <v>8706</v>
      </c>
      <c r="M137" t="s">
        <v>8705</v>
      </c>
      <c r="N137">
        <v>2</v>
      </c>
      <c r="O137" t="s">
        <v>8704</v>
      </c>
      <c r="P137" t="s">
        <v>8703</v>
      </c>
      <c r="Q137" t="s">
        <v>8702</v>
      </c>
      <c r="R137" s="7">
        <v>36861</v>
      </c>
      <c r="S137" s="8">
        <f t="shared" si="16"/>
        <v>2000</v>
      </c>
      <c r="T137" s="8">
        <v>2000</v>
      </c>
      <c r="U137" s="8">
        <f t="shared" si="17"/>
        <v>22</v>
      </c>
      <c r="V137" s="7">
        <v>2000</v>
      </c>
      <c r="W137" t="s">
        <v>8648</v>
      </c>
      <c r="X137" s="2">
        <v>0.1</v>
      </c>
      <c r="Y137" s="6">
        <f t="shared" si="18"/>
        <v>2.6694428872694269E-3</v>
      </c>
      <c r="AA137">
        <v>9633308</v>
      </c>
      <c r="AB137">
        <v>17917</v>
      </c>
      <c r="AD137" t="s">
        <v>3</v>
      </c>
      <c r="AF137">
        <v>65</v>
      </c>
      <c r="AI137" t="s">
        <v>8701</v>
      </c>
      <c r="AK137" t="s">
        <v>8700</v>
      </c>
      <c r="AL137">
        <v>0</v>
      </c>
      <c r="AM137" s="5">
        <f t="shared" si="19"/>
        <v>0</v>
      </c>
      <c r="AN137" s="4">
        <f t="shared" si="20"/>
        <v>0</v>
      </c>
      <c r="AO137" s="3"/>
      <c r="AP137">
        <v>0</v>
      </c>
      <c r="AR137" t="s">
        <v>1</v>
      </c>
      <c r="AT137" s="2" t="s">
        <v>0</v>
      </c>
      <c r="AU137" s="1">
        <f t="shared" si="21"/>
        <v>0.18686100210885986</v>
      </c>
      <c r="AV137" s="1">
        <f t="shared" si="22"/>
        <v>0.13347214436347135</v>
      </c>
      <c r="AW137" s="1">
        <f t="shared" si="23"/>
        <v>8.0083286618082811E-2</v>
      </c>
    </row>
    <row r="138" spans="1:49" x14ac:dyDescent="0.2">
      <c r="A138">
        <v>136</v>
      </c>
      <c r="B138" t="s">
        <v>8699</v>
      </c>
      <c r="F138" t="s">
        <v>8698</v>
      </c>
      <c r="G138" t="s">
        <v>9</v>
      </c>
      <c r="H138" t="s">
        <v>8</v>
      </c>
      <c r="I138" t="s">
        <v>8697</v>
      </c>
      <c r="J138">
        <v>60020730</v>
      </c>
      <c r="K138" t="s">
        <v>8696</v>
      </c>
      <c r="L138" t="s">
        <v>8695</v>
      </c>
      <c r="M138" t="s">
        <v>87</v>
      </c>
      <c r="N138">
        <v>1</v>
      </c>
      <c r="O138" t="s">
        <v>8694</v>
      </c>
      <c r="P138">
        <v>7003566126</v>
      </c>
      <c r="Q138">
        <v>60020730</v>
      </c>
      <c r="R138" s="7">
        <v>36861</v>
      </c>
      <c r="S138" s="8">
        <f t="shared" si="16"/>
        <v>2000</v>
      </c>
      <c r="T138" s="8">
        <v>2000</v>
      </c>
      <c r="U138" s="8">
        <f t="shared" si="17"/>
        <v>22</v>
      </c>
      <c r="V138" s="7">
        <v>2000</v>
      </c>
      <c r="W138" t="s">
        <v>8648</v>
      </c>
      <c r="X138" s="2">
        <v>0.1</v>
      </c>
      <c r="Y138" s="6">
        <f t="shared" si="18"/>
        <v>2.6694428872694269E-3</v>
      </c>
      <c r="AA138">
        <v>9633308</v>
      </c>
      <c r="AB138">
        <v>17917</v>
      </c>
      <c r="AD138" t="s">
        <v>3</v>
      </c>
      <c r="AF138">
        <v>65</v>
      </c>
      <c r="AL138">
        <v>0</v>
      </c>
      <c r="AM138" s="5">
        <f t="shared" si="19"/>
        <v>0</v>
      </c>
      <c r="AN138" s="4">
        <f t="shared" si="20"/>
        <v>0</v>
      </c>
      <c r="AO138" s="3"/>
      <c r="AP138">
        <v>0</v>
      </c>
      <c r="AR138" t="s">
        <v>1</v>
      </c>
      <c r="AT138" s="2" t="s">
        <v>0</v>
      </c>
      <c r="AU138" s="1">
        <f t="shared" si="21"/>
        <v>0.18686100210885986</v>
      </c>
      <c r="AV138" s="1">
        <f t="shared" si="22"/>
        <v>0.13347214436347135</v>
      </c>
      <c r="AW138" s="1">
        <f t="shared" si="23"/>
        <v>8.0083286618082811E-2</v>
      </c>
    </row>
    <row r="139" spans="1:49" x14ac:dyDescent="0.2">
      <c r="A139">
        <v>137</v>
      </c>
      <c r="B139" t="s">
        <v>8693</v>
      </c>
      <c r="F139" t="s">
        <v>8692</v>
      </c>
      <c r="G139" t="s">
        <v>9</v>
      </c>
      <c r="H139" t="s">
        <v>8</v>
      </c>
      <c r="I139" t="s">
        <v>8691</v>
      </c>
      <c r="J139" t="s">
        <v>8690</v>
      </c>
      <c r="K139" t="s">
        <v>8689</v>
      </c>
      <c r="L139" t="s">
        <v>8688</v>
      </c>
      <c r="M139" t="s">
        <v>436</v>
      </c>
      <c r="N139">
        <v>7</v>
      </c>
      <c r="O139" t="s">
        <v>8687</v>
      </c>
      <c r="P139" t="s">
        <v>8686</v>
      </c>
      <c r="Q139" t="s">
        <v>8685</v>
      </c>
      <c r="R139" s="7">
        <v>36861</v>
      </c>
      <c r="S139" s="8">
        <f t="shared" si="16"/>
        <v>2000</v>
      </c>
      <c r="T139" s="8">
        <v>2000</v>
      </c>
      <c r="U139" s="8">
        <f t="shared" si="17"/>
        <v>22</v>
      </c>
      <c r="V139" s="7">
        <v>2000</v>
      </c>
      <c r="W139" t="s">
        <v>8648</v>
      </c>
      <c r="X139" s="2">
        <v>0.1</v>
      </c>
      <c r="Y139" s="6">
        <f t="shared" si="18"/>
        <v>2.6694428872694269E-3</v>
      </c>
      <c r="AA139">
        <v>9633308</v>
      </c>
      <c r="AB139">
        <v>17917</v>
      </c>
      <c r="AD139" t="s">
        <v>3</v>
      </c>
      <c r="AF139">
        <v>65</v>
      </c>
      <c r="AI139" t="s">
        <v>8684</v>
      </c>
      <c r="AK139" t="s">
        <v>8683</v>
      </c>
      <c r="AL139">
        <v>0</v>
      </c>
      <c r="AM139" s="5">
        <f t="shared" si="19"/>
        <v>0</v>
      </c>
      <c r="AN139" s="4">
        <f t="shared" si="20"/>
        <v>0</v>
      </c>
      <c r="AO139" s="3"/>
      <c r="AP139">
        <v>0</v>
      </c>
      <c r="AR139" t="s">
        <v>1</v>
      </c>
      <c r="AT139" s="2" t="s">
        <v>0</v>
      </c>
      <c r="AU139" s="1">
        <f t="shared" si="21"/>
        <v>0.18686100210885986</v>
      </c>
      <c r="AV139" s="1">
        <f t="shared" si="22"/>
        <v>0.13347214436347135</v>
      </c>
      <c r="AW139" s="1">
        <f t="shared" si="23"/>
        <v>8.0083286618082811E-2</v>
      </c>
    </row>
    <row r="140" spans="1:49" x14ac:dyDescent="0.2">
      <c r="A140">
        <v>138</v>
      </c>
      <c r="B140" t="s">
        <v>8682</v>
      </c>
      <c r="F140" t="s">
        <v>8681</v>
      </c>
      <c r="G140" t="s">
        <v>9</v>
      </c>
      <c r="H140" t="s">
        <v>8</v>
      </c>
      <c r="I140" t="s">
        <v>729</v>
      </c>
      <c r="J140" t="s">
        <v>2897</v>
      </c>
      <c r="K140" t="s">
        <v>2896</v>
      </c>
      <c r="L140" t="s">
        <v>2895</v>
      </c>
      <c r="M140" t="s">
        <v>2894</v>
      </c>
      <c r="N140">
        <v>4</v>
      </c>
      <c r="O140" t="s">
        <v>8680</v>
      </c>
      <c r="P140" t="s">
        <v>8679</v>
      </c>
      <c r="Q140" t="s">
        <v>2893</v>
      </c>
      <c r="R140" s="7">
        <v>36861</v>
      </c>
      <c r="S140" s="8">
        <f t="shared" si="16"/>
        <v>2000</v>
      </c>
      <c r="T140" s="8">
        <v>2000</v>
      </c>
      <c r="U140" s="8">
        <f t="shared" si="17"/>
        <v>22</v>
      </c>
      <c r="V140" s="7">
        <v>2000</v>
      </c>
      <c r="W140" t="s">
        <v>8648</v>
      </c>
      <c r="X140" s="2">
        <v>0.1</v>
      </c>
      <c r="Y140" s="6">
        <f t="shared" si="18"/>
        <v>2.6694428872694269E-3</v>
      </c>
      <c r="AA140">
        <v>9633308</v>
      </c>
      <c r="AB140">
        <v>17917</v>
      </c>
      <c r="AD140" t="s">
        <v>3</v>
      </c>
      <c r="AF140">
        <v>65</v>
      </c>
      <c r="AL140">
        <v>1</v>
      </c>
      <c r="AM140" s="5">
        <f t="shared" si="19"/>
        <v>4.5454545454545456E-2</v>
      </c>
      <c r="AN140" s="4">
        <f t="shared" si="20"/>
        <v>6.8844445974321024E-5</v>
      </c>
      <c r="AO140" s="3"/>
      <c r="AP140">
        <v>0</v>
      </c>
      <c r="AR140" t="s">
        <v>1</v>
      </c>
      <c r="AT140" s="2" t="s">
        <v>0</v>
      </c>
      <c r="AU140" s="1">
        <f t="shared" si="21"/>
        <v>0.18892633548808951</v>
      </c>
      <c r="AV140" s="1">
        <f t="shared" si="22"/>
        <v>0.1369143666621874</v>
      </c>
      <c r="AW140" s="1">
        <f t="shared" si="23"/>
        <v>8.4902397836285268E-2</v>
      </c>
    </row>
    <row r="141" spans="1:49" x14ac:dyDescent="0.2">
      <c r="A141">
        <v>139</v>
      </c>
      <c r="B141" t="s">
        <v>8678</v>
      </c>
      <c r="F141" t="s">
        <v>8677</v>
      </c>
      <c r="G141" t="s">
        <v>9</v>
      </c>
      <c r="H141" t="s">
        <v>8</v>
      </c>
      <c r="I141" t="s">
        <v>8676</v>
      </c>
      <c r="J141" t="s">
        <v>8675</v>
      </c>
      <c r="K141" t="s">
        <v>8674</v>
      </c>
      <c r="L141" t="s">
        <v>8673</v>
      </c>
      <c r="M141" t="s">
        <v>604</v>
      </c>
      <c r="N141">
        <v>4</v>
      </c>
      <c r="O141" t="s">
        <v>8672</v>
      </c>
      <c r="P141" t="s">
        <v>8671</v>
      </c>
      <c r="Q141" t="s">
        <v>8670</v>
      </c>
      <c r="R141" s="7">
        <v>36861</v>
      </c>
      <c r="S141" s="8">
        <f t="shared" si="16"/>
        <v>2000</v>
      </c>
      <c r="T141" s="8">
        <v>2000</v>
      </c>
      <c r="U141" s="8">
        <f t="shared" si="17"/>
        <v>22</v>
      </c>
      <c r="V141" s="7">
        <v>2000</v>
      </c>
      <c r="W141" t="s">
        <v>8648</v>
      </c>
      <c r="X141" s="2">
        <v>0.1</v>
      </c>
      <c r="Y141" s="6">
        <f t="shared" si="18"/>
        <v>2.6694428872694269E-3</v>
      </c>
      <c r="AA141">
        <v>9633308</v>
      </c>
      <c r="AB141">
        <v>17917</v>
      </c>
      <c r="AD141" t="s">
        <v>3</v>
      </c>
      <c r="AF141">
        <v>65</v>
      </c>
      <c r="AI141" t="s">
        <v>8669</v>
      </c>
      <c r="AK141" t="s">
        <v>8668</v>
      </c>
      <c r="AL141">
        <v>0</v>
      </c>
      <c r="AM141" s="5">
        <f t="shared" si="19"/>
        <v>0</v>
      </c>
      <c r="AN141" s="4">
        <f t="shared" si="20"/>
        <v>0</v>
      </c>
      <c r="AO141" s="3"/>
      <c r="AP141">
        <v>0</v>
      </c>
      <c r="AR141" t="s">
        <v>1</v>
      </c>
      <c r="AT141" s="2" t="s">
        <v>0</v>
      </c>
      <c r="AU141" s="1">
        <f t="shared" si="21"/>
        <v>0.18686100210885986</v>
      </c>
      <c r="AV141" s="1">
        <f t="shared" si="22"/>
        <v>0.13347214436347135</v>
      </c>
      <c r="AW141" s="1">
        <f t="shared" si="23"/>
        <v>8.0083286618082811E-2</v>
      </c>
    </row>
    <row r="142" spans="1:49" x14ac:dyDescent="0.2">
      <c r="A142">
        <v>140</v>
      </c>
      <c r="B142" t="s">
        <v>8667</v>
      </c>
      <c r="F142" t="s">
        <v>8666</v>
      </c>
      <c r="G142" t="s">
        <v>9</v>
      </c>
      <c r="H142" t="s">
        <v>8</v>
      </c>
      <c r="I142" t="s">
        <v>478</v>
      </c>
      <c r="J142">
        <v>60029738</v>
      </c>
      <c r="K142" t="s">
        <v>255</v>
      </c>
      <c r="L142" t="s">
        <v>254</v>
      </c>
      <c r="M142" t="s">
        <v>87</v>
      </c>
      <c r="N142">
        <v>3</v>
      </c>
      <c r="O142" t="s">
        <v>8665</v>
      </c>
      <c r="P142" t="s">
        <v>8664</v>
      </c>
      <c r="Q142" t="s">
        <v>477</v>
      </c>
      <c r="R142" s="7">
        <v>36861</v>
      </c>
      <c r="S142" s="8">
        <f t="shared" si="16"/>
        <v>2000</v>
      </c>
      <c r="T142" s="8">
        <v>2000</v>
      </c>
      <c r="U142" s="8">
        <f t="shared" si="17"/>
        <v>22</v>
      </c>
      <c r="V142" s="7">
        <v>2000</v>
      </c>
      <c r="W142" t="s">
        <v>8648</v>
      </c>
      <c r="X142" s="2">
        <v>0.1</v>
      </c>
      <c r="Y142" s="6">
        <f t="shared" si="18"/>
        <v>2.6694428872694269E-3</v>
      </c>
      <c r="AA142">
        <v>9633308</v>
      </c>
      <c r="AB142">
        <v>17917</v>
      </c>
      <c r="AD142" t="s">
        <v>3</v>
      </c>
      <c r="AF142">
        <v>65</v>
      </c>
      <c r="AI142" t="s">
        <v>8663</v>
      </c>
      <c r="AK142" t="s">
        <v>8662</v>
      </c>
      <c r="AL142">
        <v>2</v>
      </c>
      <c r="AM142" s="5">
        <f t="shared" si="19"/>
        <v>9.0909090909090912E-2</v>
      </c>
      <c r="AN142" s="4">
        <f t="shared" si="20"/>
        <v>1.3768889194864205E-4</v>
      </c>
      <c r="AO142" s="3"/>
      <c r="AP142">
        <v>0</v>
      </c>
      <c r="AR142" t="s">
        <v>1</v>
      </c>
      <c r="AT142" s="2" t="s">
        <v>0</v>
      </c>
      <c r="AU142" s="1">
        <f t="shared" si="21"/>
        <v>0.19099166886731914</v>
      </c>
      <c r="AV142" s="1">
        <f t="shared" si="22"/>
        <v>0.14035658896090344</v>
      </c>
      <c r="AW142" s="1">
        <f t="shared" si="23"/>
        <v>8.9721509054487752E-2</v>
      </c>
    </row>
    <row r="143" spans="1:49" x14ac:dyDescent="0.2">
      <c r="A143">
        <v>141</v>
      </c>
      <c r="B143" t="s">
        <v>8661</v>
      </c>
      <c r="F143" t="s">
        <v>8660</v>
      </c>
      <c r="G143" t="s">
        <v>9</v>
      </c>
      <c r="H143" t="s">
        <v>8</v>
      </c>
      <c r="I143" t="s">
        <v>158</v>
      </c>
      <c r="J143">
        <v>60003771</v>
      </c>
      <c r="K143" t="s">
        <v>726</v>
      </c>
      <c r="L143" t="s">
        <v>725</v>
      </c>
      <c r="M143" t="s">
        <v>87</v>
      </c>
      <c r="N143">
        <v>1</v>
      </c>
      <c r="O143" t="s">
        <v>8659</v>
      </c>
      <c r="P143">
        <v>17435967100</v>
      </c>
      <c r="Q143">
        <v>60003771</v>
      </c>
      <c r="R143" s="7">
        <v>36861</v>
      </c>
      <c r="S143" s="8">
        <f t="shared" si="16"/>
        <v>2000</v>
      </c>
      <c r="T143" s="8">
        <v>2000</v>
      </c>
      <c r="U143" s="8">
        <f t="shared" si="17"/>
        <v>22</v>
      </c>
      <c r="V143" s="7">
        <v>2000</v>
      </c>
      <c r="W143" t="s">
        <v>8648</v>
      </c>
      <c r="X143" s="2">
        <v>0.1</v>
      </c>
      <c r="Y143" s="6">
        <f t="shared" si="18"/>
        <v>2.6694428872694269E-3</v>
      </c>
      <c r="AA143">
        <v>9633308</v>
      </c>
      <c r="AB143">
        <v>17917</v>
      </c>
      <c r="AD143" t="s">
        <v>3</v>
      </c>
      <c r="AF143">
        <v>65</v>
      </c>
      <c r="AL143">
        <v>0</v>
      </c>
      <c r="AM143" s="5">
        <f t="shared" si="19"/>
        <v>0</v>
      </c>
      <c r="AN143" s="4">
        <f t="shared" si="20"/>
        <v>0</v>
      </c>
      <c r="AO143" s="3"/>
      <c r="AP143">
        <v>0</v>
      </c>
      <c r="AR143" t="s">
        <v>1</v>
      </c>
      <c r="AT143" s="2" t="s">
        <v>0</v>
      </c>
      <c r="AU143" s="1">
        <f t="shared" si="21"/>
        <v>0.18686100210885986</v>
      </c>
      <c r="AV143" s="1">
        <f t="shared" si="22"/>
        <v>0.13347214436347135</v>
      </c>
      <c r="AW143" s="1">
        <f t="shared" si="23"/>
        <v>8.0083286618082811E-2</v>
      </c>
    </row>
    <row r="144" spans="1:49" x14ac:dyDescent="0.2">
      <c r="A144">
        <v>142</v>
      </c>
      <c r="B144" t="s">
        <v>8658</v>
      </c>
      <c r="F144" t="s">
        <v>8657</v>
      </c>
      <c r="G144" t="s">
        <v>9</v>
      </c>
      <c r="H144" t="s">
        <v>8</v>
      </c>
      <c r="I144" t="s">
        <v>8656</v>
      </c>
      <c r="J144" t="s">
        <v>8655</v>
      </c>
      <c r="K144" t="s">
        <v>8654</v>
      </c>
      <c r="L144" t="s">
        <v>8653</v>
      </c>
      <c r="M144" t="s">
        <v>8652</v>
      </c>
      <c r="N144">
        <v>5</v>
      </c>
      <c r="O144" t="s">
        <v>8651</v>
      </c>
      <c r="P144" t="s">
        <v>8650</v>
      </c>
      <c r="Q144" t="s">
        <v>8649</v>
      </c>
      <c r="R144" s="7">
        <v>36861</v>
      </c>
      <c r="S144" s="8">
        <f t="shared" si="16"/>
        <v>2000</v>
      </c>
      <c r="T144" s="8">
        <v>2000</v>
      </c>
      <c r="U144" s="8">
        <f t="shared" si="17"/>
        <v>22</v>
      </c>
      <c r="V144" s="7">
        <v>2000</v>
      </c>
      <c r="W144" t="s">
        <v>8648</v>
      </c>
      <c r="X144" s="2">
        <v>0.1</v>
      </c>
      <c r="Y144" s="6">
        <f t="shared" si="18"/>
        <v>2.6694428872694269E-3</v>
      </c>
      <c r="AA144">
        <v>9633308</v>
      </c>
      <c r="AB144">
        <v>17917</v>
      </c>
      <c r="AD144" t="s">
        <v>3</v>
      </c>
      <c r="AF144">
        <v>65</v>
      </c>
      <c r="AI144" t="s">
        <v>8647</v>
      </c>
      <c r="AK144" t="s">
        <v>8646</v>
      </c>
      <c r="AL144">
        <v>0</v>
      </c>
      <c r="AM144" s="5">
        <f t="shared" si="19"/>
        <v>0</v>
      </c>
      <c r="AN144" s="4">
        <f t="shared" si="20"/>
        <v>0</v>
      </c>
      <c r="AO144" s="3"/>
      <c r="AP144">
        <v>0</v>
      </c>
      <c r="AR144" t="s">
        <v>1</v>
      </c>
      <c r="AT144" s="2" t="s">
        <v>0</v>
      </c>
      <c r="AU144" s="1">
        <f t="shared" si="21"/>
        <v>0.18686100210885986</v>
      </c>
      <c r="AV144" s="1">
        <f t="shared" si="22"/>
        <v>0.13347214436347135</v>
      </c>
      <c r="AW144" s="1">
        <f t="shared" si="23"/>
        <v>8.0083286618082811E-2</v>
      </c>
    </row>
    <row r="145" spans="1:49" x14ac:dyDescent="0.2">
      <c r="A145">
        <v>143</v>
      </c>
      <c r="B145" t="s">
        <v>8645</v>
      </c>
      <c r="F145" t="s">
        <v>8644</v>
      </c>
      <c r="G145" t="s">
        <v>9</v>
      </c>
      <c r="H145" t="s">
        <v>8</v>
      </c>
      <c r="I145" t="s">
        <v>8643</v>
      </c>
      <c r="J145">
        <v>60019715</v>
      </c>
      <c r="K145" t="s">
        <v>8642</v>
      </c>
      <c r="L145" t="s">
        <v>8641</v>
      </c>
      <c r="M145" t="s">
        <v>8640</v>
      </c>
      <c r="N145">
        <v>2</v>
      </c>
      <c r="O145" t="s">
        <v>8639</v>
      </c>
      <c r="P145" t="s">
        <v>8638</v>
      </c>
      <c r="Q145" t="s">
        <v>8637</v>
      </c>
      <c r="R145" s="7">
        <v>36861</v>
      </c>
      <c r="S145" s="8">
        <f t="shared" si="16"/>
        <v>2000</v>
      </c>
      <c r="T145" s="8">
        <v>2000</v>
      </c>
      <c r="U145" s="8">
        <f t="shared" si="17"/>
        <v>22</v>
      </c>
      <c r="V145" s="7">
        <v>2000</v>
      </c>
      <c r="W145" t="s">
        <v>8636</v>
      </c>
      <c r="X145" s="2" t="s">
        <v>0</v>
      </c>
      <c r="Y145" s="6" t="e">
        <f t="shared" si="18"/>
        <v>#VALUE!</v>
      </c>
      <c r="AA145">
        <v>15167399</v>
      </c>
      <c r="AB145">
        <v>4700152267</v>
      </c>
      <c r="AD145" t="s">
        <v>3</v>
      </c>
      <c r="AE145">
        <v>2</v>
      </c>
      <c r="AF145">
        <v>1</v>
      </c>
      <c r="AH145" s="9">
        <v>41275</v>
      </c>
      <c r="AI145" t="s">
        <v>8635</v>
      </c>
      <c r="AK145" t="s">
        <v>8634</v>
      </c>
      <c r="AL145">
        <v>8</v>
      </c>
      <c r="AM145" s="5">
        <f t="shared" si="19"/>
        <v>0.36363636363636365</v>
      </c>
      <c r="AN145" s="4">
        <f t="shared" si="20"/>
        <v>5.5075556779456819E-4</v>
      </c>
      <c r="AO145" s="3"/>
      <c r="AP145">
        <v>0</v>
      </c>
      <c r="AR145" t="s">
        <v>1</v>
      </c>
      <c r="AT145" s="2" t="s">
        <v>0</v>
      </c>
      <c r="AU145" s="1" t="e">
        <f t="shared" si="21"/>
        <v>#VALUE!</v>
      </c>
      <c r="AV145" s="1" t="e">
        <f t="shared" si="22"/>
        <v>#VALUE!</v>
      </c>
      <c r="AW145" s="1" t="e">
        <f t="shared" si="23"/>
        <v>#VALUE!</v>
      </c>
    </row>
    <row r="146" spans="1:49" x14ac:dyDescent="0.2">
      <c r="A146">
        <v>144</v>
      </c>
      <c r="B146" t="s">
        <v>8633</v>
      </c>
      <c r="C146" t="s">
        <v>8632</v>
      </c>
      <c r="D146" t="s">
        <v>8631</v>
      </c>
      <c r="F146" t="s">
        <v>8630</v>
      </c>
      <c r="G146" t="s">
        <v>9</v>
      </c>
      <c r="H146" t="s">
        <v>8</v>
      </c>
      <c r="I146" t="s">
        <v>8629</v>
      </c>
      <c r="J146">
        <v>60001881</v>
      </c>
      <c r="K146" t="s">
        <v>857</v>
      </c>
      <c r="L146" t="s">
        <v>856</v>
      </c>
      <c r="M146" t="s">
        <v>87</v>
      </c>
      <c r="N146">
        <v>1</v>
      </c>
      <c r="O146" t="s">
        <v>8628</v>
      </c>
      <c r="P146">
        <v>6603451186</v>
      </c>
      <c r="Q146">
        <v>60001881</v>
      </c>
      <c r="R146" s="7">
        <v>36861</v>
      </c>
      <c r="S146" s="8">
        <f t="shared" si="16"/>
        <v>2000</v>
      </c>
      <c r="T146" s="8">
        <v>2000</v>
      </c>
      <c r="U146" s="8">
        <f t="shared" si="17"/>
        <v>22</v>
      </c>
      <c r="V146" s="7">
        <v>2000</v>
      </c>
      <c r="W146" t="s">
        <v>291</v>
      </c>
      <c r="X146" s="2">
        <v>1.6519999999999999</v>
      </c>
      <c r="Y146" s="6">
        <f t="shared" si="18"/>
        <v>4.409919649769093E-2</v>
      </c>
      <c r="AA146" t="s">
        <v>290</v>
      </c>
      <c r="AB146">
        <v>17337</v>
      </c>
      <c r="AD146" t="s">
        <v>3</v>
      </c>
      <c r="AE146">
        <v>48</v>
      </c>
      <c r="AF146">
        <v>3</v>
      </c>
      <c r="AH146" t="s">
        <v>8627</v>
      </c>
      <c r="AI146" t="s">
        <v>8626</v>
      </c>
      <c r="AJ146" t="s">
        <v>8625</v>
      </c>
      <c r="AK146" t="s">
        <v>8624</v>
      </c>
      <c r="AL146">
        <v>33</v>
      </c>
      <c r="AM146" s="5">
        <f t="shared" si="19"/>
        <v>1.5</v>
      </c>
      <c r="AN146" s="4">
        <f t="shared" si="20"/>
        <v>2.2718667171525938E-3</v>
      </c>
      <c r="AO146" s="3"/>
      <c r="AP146">
        <v>0</v>
      </c>
      <c r="AR146" t="s">
        <v>1</v>
      </c>
      <c r="AT146" s="2" t="s">
        <v>0</v>
      </c>
      <c r="AU146" s="1">
        <f t="shared" si="21"/>
        <v>3.1550997563529428</v>
      </c>
      <c r="AV146" s="1">
        <f t="shared" si="22"/>
        <v>2.3185531607421761</v>
      </c>
      <c r="AW146" s="1">
        <f t="shared" si="23"/>
        <v>1.4820065651314094</v>
      </c>
    </row>
    <row r="147" spans="1:49" x14ac:dyDescent="0.2">
      <c r="A147">
        <v>145</v>
      </c>
      <c r="B147" t="s">
        <v>8623</v>
      </c>
      <c r="F147" t="s">
        <v>8622</v>
      </c>
      <c r="G147" t="s">
        <v>9</v>
      </c>
      <c r="H147" t="s">
        <v>8</v>
      </c>
      <c r="I147" t="s">
        <v>585</v>
      </c>
      <c r="J147">
        <v>60019656</v>
      </c>
      <c r="K147" t="s">
        <v>584</v>
      </c>
      <c r="L147" t="s">
        <v>316</v>
      </c>
      <c r="M147" t="s">
        <v>87</v>
      </c>
      <c r="N147">
        <v>1</v>
      </c>
      <c r="O147" t="s">
        <v>8621</v>
      </c>
      <c r="P147">
        <v>35605547500</v>
      </c>
      <c r="Q147">
        <v>60019656</v>
      </c>
      <c r="R147" s="7">
        <v>36861</v>
      </c>
      <c r="S147" s="8">
        <f t="shared" si="16"/>
        <v>2000</v>
      </c>
      <c r="T147" s="8">
        <v>2000</v>
      </c>
      <c r="U147" s="8">
        <f t="shared" si="17"/>
        <v>22</v>
      </c>
      <c r="V147" s="7">
        <v>2000</v>
      </c>
      <c r="W147" t="s">
        <v>8620</v>
      </c>
      <c r="X147" s="2">
        <v>1.0029999999999999</v>
      </c>
      <c r="Y147" s="6">
        <f t="shared" si="18"/>
        <v>2.6774512159312348E-2</v>
      </c>
      <c r="AA147">
        <v>10197168</v>
      </c>
      <c r="AB147">
        <v>28041</v>
      </c>
      <c r="AD147" t="s">
        <v>3</v>
      </c>
      <c r="AE147">
        <v>12</v>
      </c>
      <c r="AF147" s="10">
        <v>44257</v>
      </c>
      <c r="AH147" t="s">
        <v>8619</v>
      </c>
      <c r="AI147" t="s">
        <v>8618</v>
      </c>
      <c r="AJ147" t="s">
        <v>8617</v>
      </c>
      <c r="AK147" t="s">
        <v>8616</v>
      </c>
      <c r="AL147">
        <v>13</v>
      </c>
      <c r="AM147" s="5">
        <f t="shared" si="19"/>
        <v>0.59090909090909094</v>
      </c>
      <c r="AN147" s="4">
        <f t="shared" si="20"/>
        <v>8.9497779766617338E-4</v>
      </c>
      <c r="AO147" s="3"/>
      <c r="AP147">
        <v>0</v>
      </c>
      <c r="AR147" t="s">
        <v>1</v>
      </c>
      <c r="AT147" s="2" t="s">
        <v>0</v>
      </c>
      <c r="AU147" s="1">
        <f t="shared" si="21"/>
        <v>1.9010651850818496</v>
      </c>
      <c r="AV147" s="1">
        <f t="shared" si="22"/>
        <v>1.3834744978489262</v>
      </c>
      <c r="AW147" s="1">
        <f t="shared" si="23"/>
        <v>0.8658838106160025</v>
      </c>
    </row>
    <row r="148" spans="1:49" x14ac:dyDescent="0.2">
      <c r="A148">
        <v>146</v>
      </c>
      <c r="B148" t="s">
        <v>8615</v>
      </c>
      <c r="C148" t="s">
        <v>8614</v>
      </c>
      <c r="D148" t="s">
        <v>8613</v>
      </c>
      <c r="F148" t="s">
        <v>8612</v>
      </c>
      <c r="G148" t="s">
        <v>9</v>
      </c>
      <c r="H148" t="s">
        <v>8</v>
      </c>
      <c r="I148" t="s">
        <v>8611</v>
      </c>
      <c r="J148" t="s">
        <v>8610</v>
      </c>
      <c r="K148" t="s">
        <v>8609</v>
      </c>
      <c r="L148" t="s">
        <v>8608</v>
      </c>
      <c r="M148" t="s">
        <v>47</v>
      </c>
      <c r="N148">
        <v>5</v>
      </c>
      <c r="O148" t="s">
        <v>8607</v>
      </c>
      <c r="P148" t="s">
        <v>8606</v>
      </c>
      <c r="Q148" t="s">
        <v>8605</v>
      </c>
      <c r="R148" s="7">
        <v>36861</v>
      </c>
      <c r="S148" s="8">
        <f t="shared" si="16"/>
        <v>2000</v>
      </c>
      <c r="T148" s="8">
        <v>2000</v>
      </c>
      <c r="U148" s="8">
        <f t="shared" si="17"/>
        <v>22</v>
      </c>
      <c r="V148" s="7">
        <v>36861</v>
      </c>
      <c r="W148" t="s">
        <v>8604</v>
      </c>
      <c r="X148" s="2">
        <v>0.54400000000000004</v>
      </c>
      <c r="Y148" s="6">
        <f t="shared" si="18"/>
        <v>1.4521769306745683E-2</v>
      </c>
      <c r="AA148">
        <v>406090</v>
      </c>
      <c r="AB148">
        <v>12347</v>
      </c>
      <c r="AD148" t="s">
        <v>3</v>
      </c>
      <c r="AE148" t="s">
        <v>8603</v>
      </c>
      <c r="AH148" t="s">
        <v>8602</v>
      </c>
      <c r="AI148" t="s">
        <v>8601</v>
      </c>
      <c r="AK148" t="s">
        <v>8600</v>
      </c>
      <c r="AL148">
        <v>1</v>
      </c>
      <c r="AM148" s="5">
        <f t="shared" si="19"/>
        <v>4.5454545454545456E-2</v>
      </c>
      <c r="AN148" s="4">
        <f t="shared" si="20"/>
        <v>6.8844445974321024E-5</v>
      </c>
      <c r="AO148" s="3"/>
      <c r="AP148">
        <v>0</v>
      </c>
      <c r="AR148" t="s">
        <v>1</v>
      </c>
      <c r="AT148" s="2">
        <v>2.1829999999999998</v>
      </c>
      <c r="AU148" s="1">
        <f t="shared" si="21"/>
        <v>1.0185891848514272</v>
      </c>
      <c r="AV148" s="1">
        <f t="shared" si="22"/>
        <v>0.72953068763600015</v>
      </c>
      <c r="AW148" s="1">
        <f t="shared" si="23"/>
        <v>0.4404721904205729</v>
      </c>
    </row>
    <row r="149" spans="1:49" x14ac:dyDescent="0.2">
      <c r="A149">
        <v>147</v>
      </c>
      <c r="B149" t="s">
        <v>8599</v>
      </c>
      <c r="F149" t="s">
        <v>8598</v>
      </c>
      <c r="G149" t="s">
        <v>9</v>
      </c>
      <c r="H149" t="s">
        <v>8</v>
      </c>
      <c r="I149" t="s">
        <v>8597</v>
      </c>
      <c r="J149">
        <v>60000145</v>
      </c>
      <c r="K149" t="s">
        <v>6787</v>
      </c>
      <c r="L149" t="s">
        <v>457</v>
      </c>
      <c r="M149" t="s">
        <v>317</v>
      </c>
      <c r="N149">
        <v>2</v>
      </c>
      <c r="O149" t="s">
        <v>8596</v>
      </c>
      <c r="P149" t="s">
        <v>8595</v>
      </c>
      <c r="Q149" t="s">
        <v>8594</v>
      </c>
      <c r="R149" s="7">
        <v>36861</v>
      </c>
      <c r="S149" s="8">
        <f t="shared" si="16"/>
        <v>2000</v>
      </c>
      <c r="T149" s="8">
        <v>2000</v>
      </c>
      <c r="U149" s="8">
        <f t="shared" si="17"/>
        <v>22</v>
      </c>
      <c r="V149" s="7">
        <v>2000</v>
      </c>
      <c r="W149" t="s">
        <v>8593</v>
      </c>
      <c r="X149" s="2" t="s">
        <v>0</v>
      </c>
      <c r="Y149" s="6" t="e">
        <f t="shared" si="18"/>
        <v>#VALUE!</v>
      </c>
      <c r="AA149">
        <v>63088</v>
      </c>
      <c r="AB149">
        <v>9500154033</v>
      </c>
      <c r="AD149" t="s">
        <v>3</v>
      </c>
      <c r="AE149">
        <v>55</v>
      </c>
      <c r="AF149">
        <v>5</v>
      </c>
      <c r="AH149" t="s">
        <v>8592</v>
      </c>
      <c r="AI149" t="s">
        <v>8591</v>
      </c>
      <c r="AJ149" t="s">
        <v>8590</v>
      </c>
      <c r="AK149" t="s">
        <v>8589</v>
      </c>
      <c r="AL149">
        <v>5</v>
      </c>
      <c r="AM149" s="5">
        <f t="shared" si="19"/>
        <v>0.22727272727272727</v>
      </c>
      <c r="AN149" s="4">
        <f t="shared" si="20"/>
        <v>3.4422222987160508E-4</v>
      </c>
      <c r="AO149" s="3"/>
      <c r="AP149">
        <v>0</v>
      </c>
      <c r="AR149" t="s">
        <v>1</v>
      </c>
      <c r="AT149" s="2">
        <v>1.35</v>
      </c>
      <c r="AU149" s="1" t="e">
        <f t="shared" si="21"/>
        <v>#VALUE!</v>
      </c>
      <c r="AV149" s="1" t="e">
        <f t="shared" si="22"/>
        <v>#VALUE!</v>
      </c>
      <c r="AW149" s="1" t="e">
        <f t="shared" si="23"/>
        <v>#VALUE!</v>
      </c>
    </row>
    <row r="150" spans="1:49" x14ac:dyDescent="0.2">
      <c r="A150">
        <v>148</v>
      </c>
      <c r="B150" t="s">
        <v>8588</v>
      </c>
      <c r="C150" t="s">
        <v>8587</v>
      </c>
      <c r="D150" t="s">
        <v>8586</v>
      </c>
      <c r="F150" t="s">
        <v>8585</v>
      </c>
      <c r="G150" t="s">
        <v>9</v>
      </c>
      <c r="H150" t="s">
        <v>8</v>
      </c>
      <c r="I150" t="s">
        <v>320</v>
      </c>
      <c r="J150">
        <v>60000874</v>
      </c>
      <c r="K150" t="s">
        <v>319</v>
      </c>
      <c r="L150" t="s">
        <v>318</v>
      </c>
      <c r="M150" t="s">
        <v>317</v>
      </c>
      <c r="N150">
        <v>1</v>
      </c>
      <c r="O150" t="s">
        <v>8584</v>
      </c>
      <c r="P150">
        <v>6602959756</v>
      </c>
      <c r="Q150">
        <v>60000874</v>
      </c>
      <c r="R150" s="7">
        <v>36861</v>
      </c>
      <c r="S150" s="8">
        <f t="shared" si="16"/>
        <v>2000</v>
      </c>
      <c r="T150" s="8">
        <v>2000</v>
      </c>
      <c r="U150" s="8">
        <f t="shared" si="17"/>
        <v>22</v>
      </c>
      <c r="V150" s="7">
        <v>2000</v>
      </c>
      <c r="W150" t="s">
        <v>291</v>
      </c>
      <c r="X150" s="2">
        <v>1.6519999999999999</v>
      </c>
      <c r="Y150" s="6">
        <f t="shared" si="18"/>
        <v>4.409919649769093E-2</v>
      </c>
      <c r="AA150" t="s">
        <v>290</v>
      </c>
      <c r="AB150">
        <v>17337</v>
      </c>
      <c r="AD150" t="s">
        <v>3</v>
      </c>
      <c r="AE150">
        <v>48</v>
      </c>
      <c r="AF150">
        <v>3</v>
      </c>
      <c r="AH150" t="s">
        <v>8583</v>
      </c>
      <c r="AI150" t="s">
        <v>8582</v>
      </c>
      <c r="AJ150" t="s">
        <v>8581</v>
      </c>
      <c r="AK150" t="s">
        <v>8580</v>
      </c>
      <c r="AL150">
        <v>19</v>
      </c>
      <c r="AM150" s="5">
        <f t="shared" si="19"/>
        <v>0.86363636363636365</v>
      </c>
      <c r="AN150" s="4">
        <f t="shared" si="20"/>
        <v>1.3080444735120995E-3</v>
      </c>
      <c r="AO150" s="3"/>
      <c r="AP150">
        <v>0</v>
      </c>
      <c r="AR150" t="s">
        <v>1</v>
      </c>
      <c r="AT150" s="2" t="s">
        <v>0</v>
      </c>
      <c r="AU150" s="1">
        <f t="shared" si="21"/>
        <v>3.1261850890437279</v>
      </c>
      <c r="AV150" s="1">
        <f t="shared" si="22"/>
        <v>2.2703620485601514</v>
      </c>
      <c r="AW150" s="1">
        <f t="shared" si="23"/>
        <v>1.4145390080765747</v>
      </c>
    </row>
    <row r="151" spans="1:49" x14ac:dyDescent="0.2">
      <c r="A151">
        <v>149</v>
      </c>
      <c r="B151" t="s">
        <v>8579</v>
      </c>
      <c r="C151" t="s">
        <v>8578</v>
      </c>
      <c r="F151" t="s">
        <v>8577</v>
      </c>
      <c r="G151" t="s">
        <v>9</v>
      </c>
      <c r="H151" t="s">
        <v>8</v>
      </c>
      <c r="I151" t="s">
        <v>8576</v>
      </c>
      <c r="J151" t="s">
        <v>8575</v>
      </c>
      <c r="K151" t="s">
        <v>8574</v>
      </c>
      <c r="L151" t="s">
        <v>154</v>
      </c>
      <c r="M151" t="s">
        <v>19</v>
      </c>
      <c r="N151">
        <v>3</v>
      </c>
      <c r="O151" t="s">
        <v>8573</v>
      </c>
      <c r="P151" t="s">
        <v>8572</v>
      </c>
      <c r="Q151" t="s">
        <v>8571</v>
      </c>
      <c r="R151" s="7">
        <v>36861</v>
      </c>
      <c r="S151" s="8">
        <f t="shared" si="16"/>
        <v>2000</v>
      </c>
      <c r="T151" s="8">
        <v>2000</v>
      </c>
      <c r="U151" s="8">
        <f t="shared" si="17"/>
        <v>22</v>
      </c>
      <c r="V151" s="7">
        <v>2000</v>
      </c>
      <c r="W151" t="s">
        <v>8570</v>
      </c>
      <c r="X151" s="2">
        <v>0.86199999999999999</v>
      </c>
      <c r="Y151" s="6">
        <f t="shared" si="18"/>
        <v>2.3010597688262462E-2</v>
      </c>
      <c r="AA151">
        <v>10735623</v>
      </c>
      <c r="AB151">
        <v>27356</v>
      </c>
      <c r="AD151" t="s">
        <v>3</v>
      </c>
      <c r="AE151">
        <v>31</v>
      </c>
      <c r="AF151">
        <v>13</v>
      </c>
      <c r="AH151" t="s">
        <v>8569</v>
      </c>
      <c r="AI151" t="s">
        <v>8568</v>
      </c>
      <c r="AK151" t="s">
        <v>8567</v>
      </c>
      <c r="AL151">
        <v>59</v>
      </c>
      <c r="AM151" s="5">
        <f t="shared" si="19"/>
        <v>2.6818181818181817</v>
      </c>
      <c r="AN151" s="4">
        <f t="shared" si="20"/>
        <v>4.0618223124849404E-3</v>
      </c>
      <c r="AO151" s="3"/>
      <c r="AP151">
        <v>0</v>
      </c>
      <c r="AR151" t="s">
        <v>1</v>
      </c>
      <c r="AT151" s="2" t="s">
        <v>0</v>
      </c>
      <c r="AU151" s="1">
        <f t="shared" si="21"/>
        <v>1.7325965075529204</v>
      </c>
      <c r="AV151" s="1">
        <f t="shared" si="22"/>
        <v>1.3536210000373701</v>
      </c>
      <c r="AW151" s="1">
        <f t="shared" si="23"/>
        <v>0.97464549252181953</v>
      </c>
    </row>
    <row r="152" spans="1:49" x14ac:dyDescent="0.2">
      <c r="A152">
        <v>150</v>
      </c>
      <c r="B152" t="s">
        <v>8566</v>
      </c>
      <c r="F152" t="s">
        <v>8565</v>
      </c>
      <c r="G152" t="s">
        <v>9</v>
      </c>
      <c r="H152" t="s">
        <v>8</v>
      </c>
      <c r="I152" t="s">
        <v>8564</v>
      </c>
      <c r="J152">
        <v>60000854</v>
      </c>
      <c r="K152" t="s">
        <v>8563</v>
      </c>
      <c r="L152" t="s">
        <v>8562</v>
      </c>
      <c r="M152" t="s">
        <v>5</v>
      </c>
      <c r="N152">
        <v>2</v>
      </c>
      <c r="O152" t="s">
        <v>8561</v>
      </c>
      <c r="P152" t="s">
        <v>8560</v>
      </c>
      <c r="Q152" t="s">
        <v>8559</v>
      </c>
      <c r="R152" s="7">
        <v>36861</v>
      </c>
      <c r="S152" s="8">
        <f t="shared" si="16"/>
        <v>2000</v>
      </c>
      <c r="T152" s="8">
        <v>2000</v>
      </c>
      <c r="U152" s="8">
        <f t="shared" si="17"/>
        <v>22</v>
      </c>
      <c r="V152" s="7">
        <v>2000</v>
      </c>
      <c r="W152" t="s">
        <v>8547</v>
      </c>
      <c r="X152" s="2" t="s">
        <v>0</v>
      </c>
      <c r="Y152" s="6" t="e">
        <f t="shared" si="18"/>
        <v>#VALUE!</v>
      </c>
      <c r="AA152">
        <v>4999320</v>
      </c>
      <c r="AB152">
        <v>13083</v>
      </c>
      <c r="AD152" t="s">
        <v>3</v>
      </c>
      <c r="AF152">
        <v>210283</v>
      </c>
      <c r="AI152" t="s">
        <v>8558</v>
      </c>
      <c r="AK152" t="s">
        <v>8557</v>
      </c>
      <c r="AL152">
        <v>0</v>
      </c>
      <c r="AM152" s="5">
        <f t="shared" si="19"/>
        <v>0</v>
      </c>
      <c r="AN152" s="4">
        <f t="shared" si="20"/>
        <v>0</v>
      </c>
      <c r="AO152" s="3"/>
      <c r="AP152">
        <v>0</v>
      </c>
      <c r="AR152" t="s">
        <v>1</v>
      </c>
      <c r="AT152" s="2" t="s">
        <v>0</v>
      </c>
      <c r="AU152" s="1" t="e">
        <f t="shared" si="21"/>
        <v>#VALUE!</v>
      </c>
      <c r="AV152" s="1" t="e">
        <f t="shared" si="22"/>
        <v>#VALUE!</v>
      </c>
      <c r="AW152" s="1" t="e">
        <f t="shared" si="23"/>
        <v>#VALUE!</v>
      </c>
    </row>
    <row r="153" spans="1:49" x14ac:dyDescent="0.2">
      <c r="A153">
        <v>151</v>
      </c>
      <c r="B153" t="s">
        <v>8556</v>
      </c>
      <c r="F153" t="s">
        <v>8555</v>
      </c>
      <c r="G153" t="s">
        <v>9</v>
      </c>
      <c r="H153" t="s">
        <v>8</v>
      </c>
      <c r="I153" t="s">
        <v>8554</v>
      </c>
      <c r="J153" t="s">
        <v>8553</v>
      </c>
      <c r="K153" t="s">
        <v>8552</v>
      </c>
      <c r="L153" t="s">
        <v>8551</v>
      </c>
      <c r="M153" t="s">
        <v>183</v>
      </c>
      <c r="N153">
        <v>3</v>
      </c>
      <c r="O153" t="s">
        <v>8550</v>
      </c>
      <c r="P153" t="s">
        <v>8549</v>
      </c>
      <c r="Q153" t="s">
        <v>8548</v>
      </c>
      <c r="R153" s="7">
        <v>36861</v>
      </c>
      <c r="S153" s="8">
        <f t="shared" si="16"/>
        <v>2000</v>
      </c>
      <c r="T153" s="8">
        <v>2000</v>
      </c>
      <c r="U153" s="8">
        <f t="shared" si="17"/>
        <v>22</v>
      </c>
      <c r="V153" s="7">
        <v>2000</v>
      </c>
      <c r="W153" t="s">
        <v>8547</v>
      </c>
      <c r="X153" s="2" t="s">
        <v>0</v>
      </c>
      <c r="Y153" s="6" t="e">
        <f t="shared" si="18"/>
        <v>#VALUE!</v>
      </c>
      <c r="AA153">
        <v>4999320</v>
      </c>
      <c r="AB153">
        <v>13083</v>
      </c>
      <c r="AD153" t="s">
        <v>3</v>
      </c>
      <c r="AF153">
        <v>210627</v>
      </c>
      <c r="AH153" s="10">
        <v>44378</v>
      </c>
      <c r="AI153" t="s">
        <v>8546</v>
      </c>
      <c r="AK153" t="s">
        <v>8545</v>
      </c>
      <c r="AL153">
        <v>5</v>
      </c>
      <c r="AM153" s="5">
        <f t="shared" si="19"/>
        <v>0.22727272727272727</v>
      </c>
      <c r="AN153" s="4">
        <f t="shared" si="20"/>
        <v>3.4422222987160508E-4</v>
      </c>
      <c r="AO153" s="3"/>
      <c r="AP153">
        <v>0</v>
      </c>
      <c r="AR153" t="s">
        <v>1</v>
      </c>
      <c r="AT153" s="2" t="s">
        <v>0</v>
      </c>
      <c r="AU153" s="1" t="e">
        <f t="shared" si="21"/>
        <v>#VALUE!</v>
      </c>
      <c r="AV153" s="1" t="e">
        <f t="shared" si="22"/>
        <v>#VALUE!</v>
      </c>
      <c r="AW153" s="1" t="e">
        <f t="shared" si="23"/>
        <v>#VALUE!</v>
      </c>
    </row>
    <row r="154" spans="1:49" x14ac:dyDescent="0.2">
      <c r="A154">
        <v>152</v>
      </c>
      <c r="B154" t="s">
        <v>8544</v>
      </c>
      <c r="C154" t="s">
        <v>8543</v>
      </c>
      <c r="F154" t="s">
        <v>8542</v>
      </c>
      <c r="G154" t="s">
        <v>9</v>
      </c>
      <c r="H154" t="s">
        <v>8</v>
      </c>
      <c r="I154" t="s">
        <v>8541</v>
      </c>
      <c r="J154" t="s">
        <v>8540</v>
      </c>
      <c r="K154" t="s">
        <v>8539</v>
      </c>
      <c r="L154" t="s">
        <v>8538</v>
      </c>
      <c r="M154" t="s">
        <v>8537</v>
      </c>
      <c r="N154">
        <v>9</v>
      </c>
      <c r="O154" t="s">
        <v>8536</v>
      </c>
      <c r="P154" t="s">
        <v>8535</v>
      </c>
      <c r="Q154" t="s">
        <v>8534</v>
      </c>
      <c r="R154" s="7">
        <v>36861</v>
      </c>
      <c r="S154" s="8">
        <f t="shared" si="16"/>
        <v>2000</v>
      </c>
      <c r="T154" s="8">
        <v>2000</v>
      </c>
      <c r="U154" s="8">
        <f t="shared" si="17"/>
        <v>22</v>
      </c>
      <c r="V154" s="7">
        <v>36861</v>
      </c>
      <c r="W154" t="s">
        <v>41</v>
      </c>
      <c r="X154" s="2">
        <v>0.61499999999999999</v>
      </c>
      <c r="Y154" s="6">
        <f t="shared" si="18"/>
        <v>1.6417073756706976E-2</v>
      </c>
      <c r="AA154">
        <v>1959271</v>
      </c>
      <c r="AB154">
        <v>12141</v>
      </c>
      <c r="AD154" t="s">
        <v>3</v>
      </c>
      <c r="AE154">
        <v>21</v>
      </c>
      <c r="AF154">
        <v>12</v>
      </c>
      <c r="AH154" t="s">
        <v>8533</v>
      </c>
      <c r="AI154" t="s">
        <v>8532</v>
      </c>
      <c r="AK154" t="s">
        <v>8531</v>
      </c>
      <c r="AL154">
        <v>11</v>
      </c>
      <c r="AM154" s="5">
        <f t="shared" si="19"/>
        <v>0.5</v>
      </c>
      <c r="AN154" s="4">
        <f t="shared" si="20"/>
        <v>7.572889057175312E-4</v>
      </c>
      <c r="AO154" s="3"/>
      <c r="AP154">
        <v>0</v>
      </c>
      <c r="AR154" t="s">
        <v>1</v>
      </c>
      <c r="AT154" s="2" t="s">
        <v>0</v>
      </c>
      <c r="AU154" s="1">
        <f t="shared" si="21"/>
        <v>1.1719138301410141</v>
      </c>
      <c r="AV154" s="1">
        <f t="shared" si="22"/>
        <v>0.85871813312122536</v>
      </c>
      <c r="AW154" s="1">
        <f t="shared" si="23"/>
        <v>0.54552243610143636</v>
      </c>
    </row>
    <row r="155" spans="1:49" x14ac:dyDescent="0.2">
      <c r="A155">
        <v>153</v>
      </c>
      <c r="B155" t="s">
        <v>8530</v>
      </c>
      <c r="C155" t="s">
        <v>8529</v>
      </c>
      <c r="F155" t="s">
        <v>8528</v>
      </c>
      <c r="G155" t="s">
        <v>9</v>
      </c>
      <c r="H155" t="s">
        <v>8</v>
      </c>
      <c r="I155" t="s">
        <v>8527</v>
      </c>
      <c r="J155" t="s">
        <v>8526</v>
      </c>
      <c r="K155" t="s">
        <v>8525</v>
      </c>
      <c r="L155" t="s">
        <v>6451</v>
      </c>
      <c r="M155" t="s">
        <v>440</v>
      </c>
      <c r="N155">
        <v>4</v>
      </c>
      <c r="O155" t="s">
        <v>8524</v>
      </c>
      <c r="P155" t="s">
        <v>8523</v>
      </c>
      <c r="Q155" t="s">
        <v>8522</v>
      </c>
      <c r="R155" s="7">
        <v>36861</v>
      </c>
      <c r="S155" s="8">
        <f t="shared" si="16"/>
        <v>2000</v>
      </c>
      <c r="T155" s="8">
        <v>2000</v>
      </c>
      <c r="U155" s="8">
        <f t="shared" si="17"/>
        <v>22</v>
      </c>
      <c r="V155" s="7">
        <v>36861</v>
      </c>
      <c r="W155" t="s">
        <v>150</v>
      </c>
      <c r="X155" s="2">
        <v>0.30399999999999999</v>
      </c>
      <c r="Y155" s="6">
        <f t="shared" si="18"/>
        <v>8.115106377299057E-3</v>
      </c>
      <c r="AA155">
        <v>8952477</v>
      </c>
      <c r="AB155">
        <v>12250</v>
      </c>
      <c r="AD155" t="s">
        <v>3</v>
      </c>
      <c r="AE155">
        <v>27</v>
      </c>
      <c r="AF155">
        <v>6</v>
      </c>
      <c r="AH155" t="s">
        <v>8521</v>
      </c>
      <c r="AI155" t="s">
        <v>8520</v>
      </c>
      <c r="AK155" t="s">
        <v>8519</v>
      </c>
      <c r="AL155">
        <v>3</v>
      </c>
      <c r="AM155" s="5">
        <f t="shared" si="19"/>
        <v>0.13636363636363635</v>
      </c>
      <c r="AN155" s="4">
        <f t="shared" si="20"/>
        <v>2.0653333792296306E-4</v>
      </c>
      <c r="AO155" s="3"/>
      <c r="AP155">
        <v>0</v>
      </c>
      <c r="AR155" t="s">
        <v>1</v>
      </c>
      <c r="AT155" s="2" t="s">
        <v>0</v>
      </c>
      <c r="AU155" s="1">
        <f t="shared" si="21"/>
        <v>0.57425344654862287</v>
      </c>
      <c r="AV155" s="1">
        <f t="shared" si="22"/>
        <v>0.41608198576110095</v>
      </c>
      <c r="AW155" s="1">
        <f t="shared" si="23"/>
        <v>0.25791052497357914</v>
      </c>
    </row>
    <row r="156" spans="1:49" x14ac:dyDescent="0.2">
      <c r="A156">
        <v>154</v>
      </c>
      <c r="B156" t="s">
        <v>8518</v>
      </c>
      <c r="F156" t="s">
        <v>8517</v>
      </c>
      <c r="G156" t="s">
        <v>9</v>
      </c>
      <c r="H156" t="s">
        <v>8</v>
      </c>
      <c r="I156" t="s">
        <v>3706</v>
      </c>
      <c r="J156">
        <v>60022002</v>
      </c>
      <c r="K156" t="s">
        <v>3705</v>
      </c>
      <c r="L156" t="s">
        <v>3704</v>
      </c>
      <c r="M156" t="s">
        <v>66</v>
      </c>
      <c r="N156">
        <v>1</v>
      </c>
      <c r="O156" t="s">
        <v>3703</v>
      </c>
      <c r="P156">
        <v>56039766000</v>
      </c>
      <c r="Q156">
        <v>60022002</v>
      </c>
      <c r="R156" s="7">
        <v>36861</v>
      </c>
      <c r="S156" s="8">
        <f t="shared" si="16"/>
        <v>2000</v>
      </c>
      <c r="T156" s="8">
        <v>2000</v>
      </c>
      <c r="U156" s="8">
        <f t="shared" si="17"/>
        <v>22</v>
      </c>
      <c r="V156" s="7">
        <v>2000</v>
      </c>
      <c r="W156" t="s">
        <v>8236</v>
      </c>
      <c r="X156" s="2">
        <v>0.54700000000000004</v>
      </c>
      <c r="Y156" s="6">
        <f t="shared" si="18"/>
        <v>1.4601852593363766E-2</v>
      </c>
      <c r="AA156">
        <v>14348411</v>
      </c>
      <c r="AB156">
        <v>31211</v>
      </c>
      <c r="AD156" t="s">
        <v>3</v>
      </c>
      <c r="AE156">
        <v>54</v>
      </c>
      <c r="AF156">
        <v>5</v>
      </c>
      <c r="AH156" t="s">
        <v>8516</v>
      </c>
      <c r="AI156" t="s">
        <v>8515</v>
      </c>
      <c r="AK156" t="s">
        <v>8514</v>
      </c>
      <c r="AL156">
        <v>11</v>
      </c>
      <c r="AM156" s="5">
        <f t="shared" si="19"/>
        <v>0.5</v>
      </c>
      <c r="AN156" s="4">
        <f t="shared" si="20"/>
        <v>7.572889057175312E-4</v>
      </c>
      <c r="AO156" s="3"/>
      <c r="AP156">
        <v>0</v>
      </c>
      <c r="AR156" t="s">
        <v>1</v>
      </c>
      <c r="AT156" s="2" t="s">
        <v>0</v>
      </c>
      <c r="AU156" s="1">
        <f t="shared" si="21"/>
        <v>1.0448483487069895</v>
      </c>
      <c r="AV156" s="1">
        <f t="shared" si="22"/>
        <v>0.76795707495406484</v>
      </c>
      <c r="AW156" s="1">
        <f t="shared" si="23"/>
        <v>0.49106580120114013</v>
      </c>
    </row>
    <row r="157" spans="1:49" x14ac:dyDescent="0.2">
      <c r="A157">
        <v>155</v>
      </c>
      <c r="B157" t="s">
        <v>8513</v>
      </c>
      <c r="F157" t="s">
        <v>8512</v>
      </c>
      <c r="G157" t="s">
        <v>9</v>
      </c>
      <c r="H157" t="s">
        <v>8</v>
      </c>
      <c r="I157" t="s">
        <v>8511</v>
      </c>
      <c r="N157">
        <v>1</v>
      </c>
      <c r="O157" t="s">
        <v>8510</v>
      </c>
      <c r="P157">
        <v>7005266466</v>
      </c>
      <c r="R157" s="7">
        <v>36861</v>
      </c>
      <c r="S157" s="8">
        <f t="shared" si="16"/>
        <v>2000</v>
      </c>
      <c r="T157" s="8">
        <v>2000</v>
      </c>
      <c r="U157" s="8">
        <f t="shared" si="17"/>
        <v>22</v>
      </c>
      <c r="V157" s="7">
        <v>36861</v>
      </c>
      <c r="W157" t="s">
        <v>8509</v>
      </c>
      <c r="X157" s="2" t="s">
        <v>0</v>
      </c>
      <c r="Y157" s="6" t="e">
        <f t="shared" si="18"/>
        <v>#VALUE!</v>
      </c>
      <c r="AA157">
        <v>134902</v>
      </c>
      <c r="AB157">
        <v>32898</v>
      </c>
      <c r="AD157" t="s">
        <v>3</v>
      </c>
      <c r="AE157">
        <v>72</v>
      </c>
      <c r="AF157">
        <v>887</v>
      </c>
      <c r="AI157" t="s">
        <v>8508</v>
      </c>
      <c r="AK157" t="s">
        <v>8507</v>
      </c>
      <c r="AL157">
        <v>0</v>
      </c>
      <c r="AM157" s="5">
        <f t="shared" si="19"/>
        <v>0</v>
      </c>
      <c r="AN157" s="4">
        <f t="shared" si="20"/>
        <v>0</v>
      </c>
      <c r="AO157" s="3"/>
      <c r="AP157">
        <v>0</v>
      </c>
      <c r="AR157" t="s">
        <v>1</v>
      </c>
      <c r="AT157" s="2" t="s">
        <v>0</v>
      </c>
      <c r="AU157" s="1" t="e">
        <f t="shared" si="21"/>
        <v>#VALUE!</v>
      </c>
      <c r="AV157" s="1" t="e">
        <f t="shared" si="22"/>
        <v>#VALUE!</v>
      </c>
      <c r="AW157" s="1" t="e">
        <f t="shared" si="23"/>
        <v>#VALUE!</v>
      </c>
    </row>
    <row r="158" spans="1:49" x14ac:dyDescent="0.2">
      <c r="A158">
        <v>156</v>
      </c>
      <c r="B158" t="s">
        <v>8506</v>
      </c>
      <c r="C158" t="s">
        <v>8505</v>
      </c>
      <c r="D158" t="s">
        <v>8504</v>
      </c>
      <c r="F158" t="s">
        <v>8503</v>
      </c>
      <c r="G158" t="s">
        <v>9</v>
      </c>
      <c r="H158" t="s">
        <v>8</v>
      </c>
      <c r="I158" t="s">
        <v>827</v>
      </c>
      <c r="J158">
        <v>60021902</v>
      </c>
      <c r="K158" t="s">
        <v>826</v>
      </c>
      <c r="L158" t="s">
        <v>825</v>
      </c>
      <c r="M158" t="s">
        <v>474</v>
      </c>
      <c r="N158">
        <v>3</v>
      </c>
      <c r="O158" t="s">
        <v>4166</v>
      </c>
      <c r="P158" t="s">
        <v>824</v>
      </c>
      <c r="Q158" t="s">
        <v>823</v>
      </c>
      <c r="R158" s="7">
        <v>36861</v>
      </c>
      <c r="S158" s="8">
        <f t="shared" si="16"/>
        <v>2000</v>
      </c>
      <c r="T158" s="8">
        <v>2000</v>
      </c>
      <c r="U158" s="8">
        <f t="shared" si="17"/>
        <v>22</v>
      </c>
      <c r="V158" s="7">
        <v>2000</v>
      </c>
      <c r="W158" t="s">
        <v>291</v>
      </c>
      <c r="X158" s="2">
        <v>1.6519999999999999</v>
      </c>
      <c r="Y158" s="6">
        <f t="shared" si="18"/>
        <v>4.409919649769093E-2</v>
      </c>
      <c r="AA158" t="s">
        <v>290</v>
      </c>
      <c r="AB158">
        <v>17337</v>
      </c>
      <c r="AD158" t="s">
        <v>3</v>
      </c>
      <c r="AE158">
        <v>48</v>
      </c>
      <c r="AF158">
        <v>8</v>
      </c>
      <c r="AH158" t="s">
        <v>8502</v>
      </c>
      <c r="AI158" t="s">
        <v>8501</v>
      </c>
      <c r="AJ158" t="s">
        <v>8500</v>
      </c>
      <c r="AK158" t="s">
        <v>8499</v>
      </c>
      <c r="AL158">
        <v>13</v>
      </c>
      <c r="AM158" s="5">
        <f t="shared" si="19"/>
        <v>0.59090909090909094</v>
      </c>
      <c r="AN158" s="4">
        <f t="shared" si="20"/>
        <v>8.9497779766617338E-4</v>
      </c>
      <c r="AO158" s="3"/>
      <c r="AP158">
        <v>0</v>
      </c>
      <c r="AR158" t="s">
        <v>1</v>
      </c>
      <c r="AT158" s="2" t="s">
        <v>0</v>
      </c>
      <c r="AU158" s="1">
        <f t="shared" si="21"/>
        <v>3.1137930887683503</v>
      </c>
      <c r="AV158" s="1">
        <f t="shared" si="22"/>
        <v>2.2497087147678552</v>
      </c>
      <c r="AW158" s="1">
        <f t="shared" si="23"/>
        <v>1.3856243407673599</v>
      </c>
    </row>
    <row r="159" spans="1:49" x14ac:dyDescent="0.2">
      <c r="A159">
        <v>157</v>
      </c>
      <c r="B159" t="s">
        <v>8498</v>
      </c>
      <c r="C159" t="s">
        <v>8497</v>
      </c>
      <c r="D159" t="s">
        <v>8496</v>
      </c>
      <c r="F159" t="s">
        <v>8495</v>
      </c>
      <c r="G159" t="s">
        <v>9</v>
      </c>
      <c r="H159" t="s">
        <v>8</v>
      </c>
      <c r="I159" t="s">
        <v>8494</v>
      </c>
      <c r="J159" t="s">
        <v>8493</v>
      </c>
      <c r="K159" t="s">
        <v>8492</v>
      </c>
      <c r="L159" t="s">
        <v>1843</v>
      </c>
      <c r="M159" t="s">
        <v>274</v>
      </c>
      <c r="N159">
        <v>3</v>
      </c>
      <c r="O159" t="s">
        <v>8491</v>
      </c>
      <c r="P159" t="s">
        <v>8490</v>
      </c>
      <c r="Q159" t="s">
        <v>8489</v>
      </c>
      <c r="R159" s="7">
        <v>36861</v>
      </c>
      <c r="S159" s="8">
        <f t="shared" si="16"/>
        <v>2000</v>
      </c>
      <c r="T159" s="8">
        <v>2000</v>
      </c>
      <c r="U159" s="8">
        <f t="shared" si="17"/>
        <v>22</v>
      </c>
      <c r="V159" s="7">
        <v>2000</v>
      </c>
      <c r="W159" t="s">
        <v>291</v>
      </c>
      <c r="X159" s="2">
        <v>1.6519999999999999</v>
      </c>
      <c r="Y159" s="6">
        <f t="shared" si="18"/>
        <v>4.409919649769093E-2</v>
      </c>
      <c r="AA159" t="s">
        <v>290</v>
      </c>
      <c r="AB159">
        <v>17337</v>
      </c>
      <c r="AD159" t="s">
        <v>3</v>
      </c>
      <c r="AE159">
        <v>48</v>
      </c>
      <c r="AF159">
        <v>8</v>
      </c>
      <c r="AH159" t="s">
        <v>8488</v>
      </c>
      <c r="AI159" t="s">
        <v>8487</v>
      </c>
      <c r="AJ159" t="s">
        <v>8486</v>
      </c>
      <c r="AK159" t="s">
        <v>8485</v>
      </c>
      <c r="AL159">
        <v>35</v>
      </c>
      <c r="AM159" s="5">
        <f t="shared" si="19"/>
        <v>1.5909090909090908</v>
      </c>
      <c r="AN159" s="4">
        <f t="shared" si="20"/>
        <v>2.4095556091012355E-3</v>
      </c>
      <c r="AO159" s="3"/>
      <c r="AP159">
        <v>0</v>
      </c>
      <c r="AR159" t="s">
        <v>1</v>
      </c>
      <c r="AT159" s="2" t="s">
        <v>0</v>
      </c>
      <c r="AU159" s="1">
        <f t="shared" si="21"/>
        <v>3.1592304231114019</v>
      </c>
      <c r="AV159" s="1">
        <f t="shared" si="22"/>
        <v>2.3254376053396082</v>
      </c>
      <c r="AW159" s="1">
        <f t="shared" si="23"/>
        <v>1.4916447875678143</v>
      </c>
    </row>
    <row r="160" spans="1:49" x14ac:dyDescent="0.2">
      <c r="A160">
        <v>158</v>
      </c>
      <c r="B160" t="s">
        <v>8484</v>
      </c>
      <c r="C160" t="s">
        <v>8483</v>
      </c>
      <c r="D160" t="s">
        <v>8482</v>
      </c>
      <c r="F160" t="s">
        <v>8481</v>
      </c>
      <c r="G160" t="s">
        <v>9</v>
      </c>
      <c r="H160" t="s">
        <v>8</v>
      </c>
      <c r="I160" t="s">
        <v>8480</v>
      </c>
      <c r="J160" t="s">
        <v>8475</v>
      </c>
      <c r="K160" t="s">
        <v>8479</v>
      </c>
      <c r="L160" t="s">
        <v>8478</v>
      </c>
      <c r="M160" t="s">
        <v>19</v>
      </c>
      <c r="N160">
        <v>2</v>
      </c>
      <c r="O160" t="s">
        <v>8477</v>
      </c>
      <c r="P160" t="s">
        <v>8476</v>
      </c>
      <c r="Q160" t="s">
        <v>8475</v>
      </c>
      <c r="R160" s="7">
        <v>36861</v>
      </c>
      <c r="S160" s="8">
        <f t="shared" si="16"/>
        <v>2000</v>
      </c>
      <c r="T160" s="8">
        <v>2000</v>
      </c>
      <c r="U160" s="8">
        <f t="shared" si="17"/>
        <v>22</v>
      </c>
      <c r="V160" s="7">
        <v>2000</v>
      </c>
      <c r="W160" t="s">
        <v>291</v>
      </c>
      <c r="X160" s="2">
        <v>1.6519999999999999</v>
      </c>
      <c r="Y160" s="6">
        <f t="shared" si="18"/>
        <v>4.409919649769093E-2</v>
      </c>
      <c r="AA160" t="s">
        <v>290</v>
      </c>
      <c r="AB160">
        <v>17337</v>
      </c>
      <c r="AD160" t="s">
        <v>3</v>
      </c>
      <c r="AE160">
        <v>48</v>
      </c>
      <c r="AF160">
        <v>8</v>
      </c>
      <c r="AH160" t="s">
        <v>8474</v>
      </c>
      <c r="AI160" t="s">
        <v>8473</v>
      </c>
      <c r="AJ160" t="s">
        <v>8472</v>
      </c>
      <c r="AK160" t="s">
        <v>8471</v>
      </c>
      <c r="AL160">
        <v>12</v>
      </c>
      <c r="AM160" s="5">
        <f t="shared" si="19"/>
        <v>0.54545454545454541</v>
      </c>
      <c r="AN160" s="4">
        <f t="shared" si="20"/>
        <v>8.2613335169185224E-4</v>
      </c>
      <c r="AO160" s="3"/>
      <c r="AP160">
        <v>0</v>
      </c>
      <c r="AR160" t="s">
        <v>1</v>
      </c>
      <c r="AT160" s="2" t="s">
        <v>0</v>
      </c>
      <c r="AU160" s="1">
        <f t="shared" si="21"/>
        <v>3.1117277553891207</v>
      </c>
      <c r="AV160" s="1">
        <f t="shared" si="22"/>
        <v>2.2462664924691391</v>
      </c>
      <c r="AW160" s="1">
        <f t="shared" si="23"/>
        <v>1.3808052295491575</v>
      </c>
    </row>
    <row r="161" spans="1:49" x14ac:dyDescent="0.2">
      <c r="A161">
        <v>159</v>
      </c>
      <c r="B161" t="s">
        <v>8470</v>
      </c>
      <c r="F161" t="s">
        <v>8469</v>
      </c>
      <c r="G161" t="s">
        <v>9</v>
      </c>
      <c r="H161" t="s">
        <v>8</v>
      </c>
      <c r="I161" t="s">
        <v>8468</v>
      </c>
      <c r="J161" t="s">
        <v>8467</v>
      </c>
      <c r="K161" t="s">
        <v>8466</v>
      </c>
      <c r="L161" t="s">
        <v>8465</v>
      </c>
      <c r="M161" t="s">
        <v>8464</v>
      </c>
      <c r="N161">
        <v>5</v>
      </c>
      <c r="O161" t="s">
        <v>8463</v>
      </c>
      <c r="P161" t="s">
        <v>8462</v>
      </c>
      <c r="Q161" t="s">
        <v>8461</v>
      </c>
      <c r="R161" s="7">
        <v>36861</v>
      </c>
      <c r="S161" s="8">
        <f t="shared" si="16"/>
        <v>2000</v>
      </c>
      <c r="T161" s="8">
        <v>2000</v>
      </c>
      <c r="U161" s="8">
        <f t="shared" si="17"/>
        <v>22</v>
      </c>
      <c r="V161" s="7">
        <v>36861</v>
      </c>
      <c r="W161" t="s">
        <v>6230</v>
      </c>
      <c r="X161" s="2" t="s">
        <v>0</v>
      </c>
      <c r="Y161" s="6" t="e">
        <f t="shared" si="18"/>
        <v>#VALUE!</v>
      </c>
      <c r="AA161">
        <v>5777496</v>
      </c>
      <c r="AB161">
        <v>17923</v>
      </c>
      <c r="AD161" t="s">
        <v>3</v>
      </c>
      <c r="AE161">
        <v>42</v>
      </c>
      <c r="AF161">
        <v>12</v>
      </c>
      <c r="AH161" t="s">
        <v>8460</v>
      </c>
      <c r="AI161" t="s">
        <v>8459</v>
      </c>
      <c r="AJ161" t="s">
        <v>8458</v>
      </c>
      <c r="AK161" t="s">
        <v>8457</v>
      </c>
      <c r="AL161">
        <v>4</v>
      </c>
      <c r="AM161" s="5">
        <f t="shared" si="19"/>
        <v>0.18181818181818182</v>
      </c>
      <c r="AN161" s="4">
        <f t="shared" si="20"/>
        <v>2.753777838972841E-4</v>
      </c>
      <c r="AO161" s="3"/>
      <c r="AP161">
        <v>0</v>
      </c>
      <c r="AR161" t="s">
        <v>1</v>
      </c>
      <c r="AT161" s="2" t="s">
        <v>0</v>
      </c>
      <c r="AU161" s="1" t="e">
        <f t="shared" si="21"/>
        <v>#VALUE!</v>
      </c>
      <c r="AV161" s="1" t="e">
        <f t="shared" si="22"/>
        <v>#VALUE!</v>
      </c>
      <c r="AW161" s="1" t="e">
        <f t="shared" si="23"/>
        <v>#VALUE!</v>
      </c>
    </row>
    <row r="162" spans="1:49" x14ac:dyDescent="0.2">
      <c r="A162">
        <v>160</v>
      </c>
      <c r="B162" t="s">
        <v>8456</v>
      </c>
      <c r="F162" t="s">
        <v>8455</v>
      </c>
      <c r="G162" t="s">
        <v>9</v>
      </c>
      <c r="H162" t="s">
        <v>8</v>
      </c>
      <c r="I162" t="s">
        <v>8454</v>
      </c>
      <c r="J162" t="s">
        <v>8453</v>
      </c>
      <c r="K162" t="s">
        <v>8452</v>
      </c>
      <c r="L162" t="s">
        <v>6234</v>
      </c>
      <c r="M162" t="s">
        <v>607</v>
      </c>
      <c r="N162">
        <v>8</v>
      </c>
      <c r="O162" t="s">
        <v>8451</v>
      </c>
      <c r="P162" t="s">
        <v>8450</v>
      </c>
      <c r="Q162" t="s">
        <v>8449</v>
      </c>
      <c r="R162" s="7">
        <v>36861</v>
      </c>
      <c r="S162" s="8">
        <f t="shared" si="16"/>
        <v>2000</v>
      </c>
      <c r="T162" s="8">
        <v>2000</v>
      </c>
      <c r="U162" s="8">
        <f t="shared" si="17"/>
        <v>22</v>
      </c>
      <c r="V162" s="7">
        <v>36861</v>
      </c>
      <c r="W162" t="s">
        <v>6230</v>
      </c>
      <c r="X162" s="2" t="s">
        <v>0</v>
      </c>
      <c r="Y162" s="6" t="e">
        <f t="shared" si="18"/>
        <v>#VALUE!</v>
      </c>
      <c r="AA162">
        <v>5777496</v>
      </c>
      <c r="AB162">
        <v>17923</v>
      </c>
      <c r="AD162" t="s">
        <v>3</v>
      </c>
      <c r="AE162">
        <v>42</v>
      </c>
      <c r="AF162">
        <v>12</v>
      </c>
      <c r="AH162" t="s">
        <v>8448</v>
      </c>
      <c r="AI162" t="s">
        <v>8447</v>
      </c>
      <c r="AJ162" t="s">
        <v>8446</v>
      </c>
      <c r="AK162" t="s">
        <v>8445</v>
      </c>
      <c r="AL162">
        <v>11</v>
      </c>
      <c r="AM162" s="5">
        <f t="shared" si="19"/>
        <v>0.5</v>
      </c>
      <c r="AN162" s="4">
        <f t="shared" si="20"/>
        <v>7.572889057175312E-4</v>
      </c>
      <c r="AO162" s="3"/>
      <c r="AP162">
        <v>0</v>
      </c>
      <c r="AR162" t="s">
        <v>1</v>
      </c>
      <c r="AT162" s="2" t="s">
        <v>0</v>
      </c>
      <c r="AU162" s="1" t="e">
        <f t="shared" si="21"/>
        <v>#VALUE!</v>
      </c>
      <c r="AV162" s="1" t="e">
        <f t="shared" si="22"/>
        <v>#VALUE!</v>
      </c>
      <c r="AW162" s="1" t="e">
        <f t="shared" si="23"/>
        <v>#VALUE!</v>
      </c>
    </row>
    <row r="163" spans="1:49" x14ac:dyDescent="0.2">
      <c r="A163">
        <v>161</v>
      </c>
      <c r="B163" t="s">
        <v>8444</v>
      </c>
      <c r="F163" t="s">
        <v>8443</v>
      </c>
      <c r="G163" t="s">
        <v>9</v>
      </c>
      <c r="H163" t="s">
        <v>8</v>
      </c>
      <c r="I163" t="s">
        <v>8442</v>
      </c>
      <c r="J163">
        <v>60012729</v>
      </c>
      <c r="K163" t="s">
        <v>8441</v>
      </c>
      <c r="L163" t="s">
        <v>8440</v>
      </c>
      <c r="M163" t="s">
        <v>246</v>
      </c>
      <c r="N163">
        <v>3</v>
      </c>
      <c r="O163" t="s">
        <v>8439</v>
      </c>
      <c r="P163" t="s">
        <v>8438</v>
      </c>
      <c r="Q163" t="s">
        <v>8437</v>
      </c>
      <c r="R163" s="7">
        <v>36861</v>
      </c>
      <c r="S163" s="8">
        <f t="shared" si="16"/>
        <v>2000</v>
      </c>
      <c r="T163" s="8">
        <v>2000</v>
      </c>
      <c r="U163" s="8">
        <f t="shared" si="17"/>
        <v>22</v>
      </c>
      <c r="V163" s="7">
        <v>2000</v>
      </c>
      <c r="W163" t="s">
        <v>6308</v>
      </c>
      <c r="X163" s="2">
        <v>2.137</v>
      </c>
      <c r="Y163" s="6">
        <f t="shared" si="18"/>
        <v>5.7045994500947654E-2</v>
      </c>
      <c r="AA163">
        <v>46361</v>
      </c>
      <c r="AB163">
        <v>26750</v>
      </c>
      <c r="AD163" t="s">
        <v>3</v>
      </c>
      <c r="AE163">
        <v>358</v>
      </c>
      <c r="AF163">
        <v>2</v>
      </c>
      <c r="AH163" t="s">
        <v>8436</v>
      </c>
      <c r="AI163" t="s">
        <v>8435</v>
      </c>
      <c r="AJ163" t="s">
        <v>8434</v>
      </c>
      <c r="AK163" t="s">
        <v>8433</v>
      </c>
      <c r="AL163">
        <v>17</v>
      </c>
      <c r="AM163" s="5">
        <f t="shared" si="19"/>
        <v>0.77272727272727271</v>
      </c>
      <c r="AN163" s="4">
        <f t="shared" si="20"/>
        <v>1.1703555815634574E-3</v>
      </c>
      <c r="AO163" s="3"/>
      <c r="AP163">
        <v>0</v>
      </c>
      <c r="AR163" t="s">
        <v>1</v>
      </c>
      <c r="AT163" s="2" t="s">
        <v>0</v>
      </c>
      <c r="AU163" s="1">
        <f t="shared" si="21"/>
        <v>4.028330282513239</v>
      </c>
      <c r="AV163" s="1">
        <f t="shared" si="22"/>
        <v>2.9108175041255553</v>
      </c>
      <c r="AW163" s="1">
        <f t="shared" si="23"/>
        <v>1.7933047257378714</v>
      </c>
    </row>
    <row r="164" spans="1:49" x14ac:dyDescent="0.2">
      <c r="A164">
        <v>162</v>
      </c>
      <c r="B164" t="s">
        <v>8432</v>
      </c>
      <c r="C164" t="s">
        <v>8431</v>
      </c>
      <c r="D164" t="s">
        <v>8430</v>
      </c>
      <c r="F164" t="s">
        <v>8429</v>
      </c>
      <c r="G164" t="s">
        <v>9</v>
      </c>
      <c r="H164" t="s">
        <v>8</v>
      </c>
      <c r="I164" t="s">
        <v>8428</v>
      </c>
      <c r="J164" t="s">
        <v>8427</v>
      </c>
      <c r="K164" t="s">
        <v>8426</v>
      </c>
      <c r="L164" t="s">
        <v>8425</v>
      </c>
      <c r="M164" t="s">
        <v>28</v>
      </c>
      <c r="N164">
        <v>4</v>
      </c>
      <c r="O164" t="s">
        <v>8424</v>
      </c>
      <c r="P164" t="s">
        <v>8423</v>
      </c>
      <c r="Q164" t="s">
        <v>8422</v>
      </c>
      <c r="R164" s="7">
        <v>36861</v>
      </c>
      <c r="S164" s="8">
        <f t="shared" si="16"/>
        <v>2000</v>
      </c>
      <c r="T164" s="8">
        <v>2000</v>
      </c>
      <c r="U164" s="8">
        <f t="shared" si="17"/>
        <v>22</v>
      </c>
      <c r="V164" s="7">
        <v>2000</v>
      </c>
      <c r="W164" t="s">
        <v>291</v>
      </c>
      <c r="X164" s="2">
        <v>1.6519999999999999</v>
      </c>
      <c r="Y164" s="6">
        <f t="shared" si="18"/>
        <v>4.409919649769093E-2</v>
      </c>
      <c r="AA164" t="s">
        <v>290</v>
      </c>
      <c r="AB164">
        <v>17337</v>
      </c>
      <c r="AD164" t="s">
        <v>3</v>
      </c>
      <c r="AE164">
        <v>48</v>
      </c>
      <c r="AF164">
        <v>8</v>
      </c>
      <c r="AH164" t="s">
        <v>8421</v>
      </c>
      <c r="AI164" t="s">
        <v>8420</v>
      </c>
      <c r="AJ164" t="s">
        <v>8419</v>
      </c>
      <c r="AK164" t="s">
        <v>8418</v>
      </c>
      <c r="AL164">
        <v>7</v>
      </c>
      <c r="AM164" s="5">
        <f t="shared" si="19"/>
        <v>0.31818181818181818</v>
      </c>
      <c r="AN164" s="4">
        <f t="shared" si="20"/>
        <v>4.8191112182024716E-4</v>
      </c>
      <c r="AO164" s="3"/>
      <c r="AP164">
        <v>0</v>
      </c>
      <c r="AR164" t="s">
        <v>1</v>
      </c>
      <c r="AT164" s="2" t="s">
        <v>0</v>
      </c>
      <c r="AU164" s="1">
        <f t="shared" si="21"/>
        <v>3.1014010884929726</v>
      </c>
      <c r="AV164" s="1">
        <f t="shared" si="22"/>
        <v>2.2290553809755589</v>
      </c>
      <c r="AW164" s="1">
        <f t="shared" si="23"/>
        <v>1.3567096734581452</v>
      </c>
    </row>
    <row r="165" spans="1:49" x14ac:dyDescent="0.2">
      <c r="A165">
        <v>163</v>
      </c>
      <c r="B165" t="s">
        <v>8417</v>
      </c>
      <c r="E165">
        <v>11086709</v>
      </c>
      <c r="F165" t="s">
        <v>8416</v>
      </c>
      <c r="G165" t="s">
        <v>9</v>
      </c>
      <c r="H165" t="s">
        <v>8</v>
      </c>
      <c r="I165" t="s">
        <v>8415</v>
      </c>
      <c r="J165">
        <v>60027282</v>
      </c>
      <c r="K165" t="s">
        <v>8414</v>
      </c>
      <c r="L165" t="s">
        <v>224</v>
      </c>
      <c r="M165" t="s">
        <v>109</v>
      </c>
      <c r="N165">
        <v>2</v>
      </c>
      <c r="O165" t="s">
        <v>8413</v>
      </c>
      <c r="P165" t="s">
        <v>8412</v>
      </c>
      <c r="Q165" t="s">
        <v>8411</v>
      </c>
      <c r="R165" s="7">
        <v>36861</v>
      </c>
      <c r="S165" s="8">
        <f t="shared" si="16"/>
        <v>2000</v>
      </c>
      <c r="T165" s="8">
        <v>2000</v>
      </c>
      <c r="U165" s="8">
        <f t="shared" si="17"/>
        <v>22</v>
      </c>
      <c r="V165" s="7">
        <v>2000</v>
      </c>
      <c r="W165" t="s">
        <v>8410</v>
      </c>
      <c r="X165" s="2" t="s">
        <v>0</v>
      </c>
      <c r="Y165" s="6" t="e">
        <f t="shared" si="18"/>
        <v>#VALUE!</v>
      </c>
      <c r="AA165">
        <v>114529</v>
      </c>
      <c r="AB165">
        <v>18506</v>
      </c>
      <c r="AD165" t="s">
        <v>3</v>
      </c>
      <c r="AE165">
        <v>2000</v>
      </c>
      <c r="AF165">
        <v>404</v>
      </c>
      <c r="AH165" t="s">
        <v>8409</v>
      </c>
      <c r="AI165" t="s">
        <v>8408</v>
      </c>
      <c r="AJ165" t="s">
        <v>8407</v>
      </c>
      <c r="AK165" t="s">
        <v>8406</v>
      </c>
      <c r="AL165">
        <v>9</v>
      </c>
      <c r="AM165" s="5">
        <f t="shared" si="19"/>
        <v>0.40909090909090912</v>
      </c>
      <c r="AN165" s="4">
        <f t="shared" si="20"/>
        <v>6.1960001376888923E-4</v>
      </c>
      <c r="AO165" s="3"/>
      <c r="AP165">
        <v>0</v>
      </c>
      <c r="AR165" t="s">
        <v>1</v>
      </c>
      <c r="AT165" s="2" t="s">
        <v>0</v>
      </c>
      <c r="AU165" s="1" t="e">
        <f t="shared" si="21"/>
        <v>#VALUE!</v>
      </c>
      <c r="AV165" s="1" t="e">
        <f t="shared" si="22"/>
        <v>#VALUE!</v>
      </c>
      <c r="AW165" s="1" t="e">
        <f t="shared" si="23"/>
        <v>#VALUE!</v>
      </c>
    </row>
    <row r="166" spans="1:49" x14ac:dyDescent="0.2">
      <c r="A166">
        <v>164</v>
      </c>
      <c r="B166" t="s">
        <v>8405</v>
      </c>
      <c r="E166">
        <v>11355626</v>
      </c>
      <c r="F166" t="s">
        <v>8404</v>
      </c>
      <c r="G166" t="s">
        <v>9</v>
      </c>
      <c r="H166" t="s">
        <v>8</v>
      </c>
      <c r="I166" t="s">
        <v>8403</v>
      </c>
      <c r="J166" t="s">
        <v>8402</v>
      </c>
      <c r="K166" t="s">
        <v>8401</v>
      </c>
      <c r="L166" t="s">
        <v>8400</v>
      </c>
      <c r="M166" t="s">
        <v>8399</v>
      </c>
      <c r="N166">
        <v>4</v>
      </c>
      <c r="O166" t="s">
        <v>8398</v>
      </c>
      <c r="P166" t="s">
        <v>8397</v>
      </c>
      <c r="Q166" t="s">
        <v>8396</v>
      </c>
      <c r="R166" s="7">
        <v>36861</v>
      </c>
      <c r="S166" s="8">
        <f t="shared" si="16"/>
        <v>2000</v>
      </c>
      <c r="T166" s="8">
        <v>2000</v>
      </c>
      <c r="U166" s="8">
        <f t="shared" si="17"/>
        <v>22</v>
      </c>
      <c r="V166" s="7">
        <v>36861</v>
      </c>
      <c r="W166" t="s">
        <v>8382</v>
      </c>
      <c r="X166" s="2">
        <v>0.253</v>
      </c>
      <c r="Y166" s="6">
        <f t="shared" si="18"/>
        <v>6.75369050479165E-3</v>
      </c>
      <c r="AA166">
        <v>3011208</v>
      </c>
      <c r="AB166">
        <v>17537</v>
      </c>
      <c r="AD166" t="s">
        <v>3</v>
      </c>
      <c r="AE166">
        <v>37</v>
      </c>
      <c r="AF166">
        <v>6</v>
      </c>
      <c r="AH166" t="s">
        <v>8395</v>
      </c>
      <c r="AI166" t="s">
        <v>8394</v>
      </c>
      <c r="AK166" t="s">
        <v>8393</v>
      </c>
      <c r="AL166">
        <v>17</v>
      </c>
      <c r="AM166" s="5">
        <f t="shared" si="19"/>
        <v>0.77272727272727271</v>
      </c>
      <c r="AN166" s="4">
        <f t="shared" si="20"/>
        <v>1.1703555815634574E-3</v>
      </c>
      <c r="AO166" s="3"/>
      <c r="AP166">
        <v>0</v>
      </c>
      <c r="AR166" t="s">
        <v>1</v>
      </c>
      <c r="AT166" s="2" t="s">
        <v>0</v>
      </c>
      <c r="AU166" s="1">
        <f t="shared" si="21"/>
        <v>0.50786900278231917</v>
      </c>
      <c r="AV166" s="1">
        <f t="shared" si="22"/>
        <v>0.39620230431775538</v>
      </c>
      <c r="AW166" s="1">
        <f t="shared" si="23"/>
        <v>0.28453560585319154</v>
      </c>
    </row>
    <row r="167" spans="1:49" x14ac:dyDescent="0.2">
      <c r="A167">
        <v>165</v>
      </c>
      <c r="B167" t="s">
        <v>8392</v>
      </c>
      <c r="E167">
        <v>11355637</v>
      </c>
      <c r="F167" t="s">
        <v>8391</v>
      </c>
      <c r="G167" t="s">
        <v>9</v>
      </c>
      <c r="H167" t="s">
        <v>8</v>
      </c>
      <c r="I167" t="s">
        <v>8390</v>
      </c>
      <c r="J167" t="s">
        <v>8389</v>
      </c>
      <c r="K167" t="s">
        <v>8388</v>
      </c>
      <c r="L167" t="s">
        <v>8387</v>
      </c>
      <c r="M167" t="s">
        <v>8386</v>
      </c>
      <c r="N167">
        <v>5</v>
      </c>
      <c r="O167" t="s">
        <v>8385</v>
      </c>
      <c r="P167" t="s">
        <v>8384</v>
      </c>
      <c r="Q167" t="s">
        <v>8383</v>
      </c>
      <c r="R167" s="7">
        <v>36861</v>
      </c>
      <c r="S167" s="8">
        <f t="shared" si="16"/>
        <v>2000</v>
      </c>
      <c r="T167" s="8">
        <v>2000</v>
      </c>
      <c r="U167" s="8">
        <f t="shared" si="17"/>
        <v>22</v>
      </c>
      <c r="V167" s="7">
        <v>36861</v>
      </c>
      <c r="W167" t="s">
        <v>8382</v>
      </c>
      <c r="X167" s="2">
        <v>0.253</v>
      </c>
      <c r="Y167" s="6">
        <f t="shared" si="18"/>
        <v>6.75369050479165E-3</v>
      </c>
      <c r="AA167">
        <v>3011208</v>
      </c>
      <c r="AB167">
        <v>17537</v>
      </c>
      <c r="AD167" t="s">
        <v>3</v>
      </c>
      <c r="AE167">
        <v>37</v>
      </c>
      <c r="AF167">
        <v>6</v>
      </c>
      <c r="AH167" t="s">
        <v>8381</v>
      </c>
      <c r="AI167" t="s">
        <v>8380</v>
      </c>
      <c r="AK167" t="s">
        <v>8379</v>
      </c>
      <c r="AL167">
        <v>3</v>
      </c>
      <c r="AM167" s="5">
        <f t="shared" si="19"/>
        <v>0.13636363636363635</v>
      </c>
      <c r="AN167" s="4">
        <f t="shared" si="20"/>
        <v>2.0653333792296306E-4</v>
      </c>
      <c r="AO167" s="3"/>
      <c r="AP167">
        <v>0</v>
      </c>
      <c r="AR167" t="s">
        <v>1</v>
      </c>
      <c r="AT167" s="2" t="s">
        <v>0</v>
      </c>
      <c r="AU167" s="1">
        <f t="shared" si="21"/>
        <v>0.47895433547310434</v>
      </c>
      <c r="AV167" s="1">
        <f t="shared" si="22"/>
        <v>0.34801119213573067</v>
      </c>
      <c r="AW167" s="1">
        <f t="shared" si="23"/>
        <v>0.21706804879835692</v>
      </c>
    </row>
    <row r="168" spans="1:49" x14ac:dyDescent="0.2">
      <c r="A168">
        <v>166</v>
      </c>
      <c r="B168" t="s">
        <v>8378</v>
      </c>
      <c r="C168" t="s">
        <v>8377</v>
      </c>
      <c r="E168">
        <v>11173516</v>
      </c>
      <c r="F168" t="s">
        <v>8376</v>
      </c>
      <c r="G168" t="s">
        <v>9</v>
      </c>
      <c r="H168" t="s">
        <v>8</v>
      </c>
      <c r="I168" t="s">
        <v>7347</v>
      </c>
      <c r="J168">
        <v>60007457</v>
      </c>
      <c r="K168" t="s">
        <v>656</v>
      </c>
      <c r="L168" t="s">
        <v>280</v>
      </c>
      <c r="M168" t="s">
        <v>42</v>
      </c>
      <c r="N168">
        <v>1</v>
      </c>
      <c r="O168" t="s">
        <v>8375</v>
      </c>
      <c r="P168">
        <v>15049241600</v>
      </c>
      <c r="Q168">
        <v>60007457</v>
      </c>
      <c r="R168" s="7">
        <v>36861</v>
      </c>
      <c r="S168" s="8">
        <f t="shared" si="16"/>
        <v>2000</v>
      </c>
      <c r="T168" s="8">
        <v>2000</v>
      </c>
      <c r="U168" s="8">
        <f t="shared" si="17"/>
        <v>22</v>
      </c>
      <c r="V168" s="7">
        <v>36861</v>
      </c>
      <c r="W168" t="s">
        <v>8374</v>
      </c>
      <c r="X168" s="2">
        <v>0.747</v>
      </c>
      <c r="Y168" s="6">
        <f t="shared" si="18"/>
        <v>1.9940738367902621E-2</v>
      </c>
      <c r="AA168">
        <v>62979</v>
      </c>
      <c r="AB168">
        <v>16869</v>
      </c>
      <c r="AD168" t="s">
        <v>3</v>
      </c>
      <c r="AE168">
        <v>65</v>
      </c>
      <c r="AF168">
        <v>12</v>
      </c>
      <c r="AH168" t="s">
        <v>8373</v>
      </c>
      <c r="AI168" t="s">
        <v>8372</v>
      </c>
      <c r="AJ168" t="s">
        <v>8371</v>
      </c>
      <c r="AK168" t="s">
        <v>8370</v>
      </c>
      <c r="AL168">
        <v>3</v>
      </c>
      <c r="AM168" s="5">
        <f t="shared" si="19"/>
        <v>0.13636363636363635</v>
      </c>
      <c r="AN168" s="4">
        <f t="shared" si="20"/>
        <v>2.0653333792296306E-4</v>
      </c>
      <c r="AO168" s="3"/>
      <c r="AP168">
        <v>0</v>
      </c>
      <c r="AQ168" t="s">
        <v>511</v>
      </c>
      <c r="AR168" t="s">
        <v>8369</v>
      </c>
      <c r="AS168" t="s">
        <v>510</v>
      </c>
      <c r="AT168" s="2" t="s">
        <v>0</v>
      </c>
      <c r="AU168" s="1">
        <f t="shared" si="21"/>
        <v>1.4020476858908724</v>
      </c>
      <c r="AV168" s="1">
        <f t="shared" si="22"/>
        <v>1.0073635852912792</v>
      </c>
      <c r="AW168" s="1">
        <f t="shared" si="23"/>
        <v>0.61267948469168598</v>
      </c>
    </row>
    <row r="169" spans="1:49" x14ac:dyDescent="0.2">
      <c r="A169">
        <v>167</v>
      </c>
      <c r="B169" t="s">
        <v>8368</v>
      </c>
      <c r="C169" t="s">
        <v>8367</v>
      </c>
      <c r="D169" t="s">
        <v>8366</v>
      </c>
      <c r="F169" t="s">
        <v>8365</v>
      </c>
      <c r="G169" t="s">
        <v>9</v>
      </c>
      <c r="H169" t="s">
        <v>8</v>
      </c>
      <c r="I169" t="s">
        <v>8364</v>
      </c>
      <c r="J169" t="s">
        <v>8363</v>
      </c>
      <c r="K169" t="s">
        <v>8362</v>
      </c>
      <c r="L169" t="s">
        <v>415</v>
      </c>
      <c r="M169" t="s">
        <v>414</v>
      </c>
      <c r="N169">
        <v>4</v>
      </c>
      <c r="O169" t="s">
        <v>8361</v>
      </c>
      <c r="P169" t="s">
        <v>8360</v>
      </c>
      <c r="Q169" t="s">
        <v>8359</v>
      </c>
      <c r="R169" s="7">
        <v>36861</v>
      </c>
      <c r="S169" s="8">
        <f t="shared" si="16"/>
        <v>2000</v>
      </c>
      <c r="T169" s="8">
        <v>2000</v>
      </c>
      <c r="U169" s="8">
        <f t="shared" si="17"/>
        <v>22</v>
      </c>
      <c r="V169" s="7">
        <v>36861</v>
      </c>
      <c r="W169" t="s">
        <v>814</v>
      </c>
      <c r="X169" s="2">
        <v>0.44500000000000001</v>
      </c>
      <c r="Y169" s="6">
        <f t="shared" si="18"/>
        <v>1.1879020848348951E-2</v>
      </c>
      <c r="AA169">
        <v>262714</v>
      </c>
      <c r="AB169">
        <v>26717</v>
      </c>
      <c r="AD169" t="s">
        <v>3</v>
      </c>
      <c r="AE169">
        <v>40</v>
      </c>
      <c r="AF169">
        <v>12</v>
      </c>
      <c r="AH169" t="s">
        <v>8358</v>
      </c>
      <c r="AI169" t="s">
        <v>8357</v>
      </c>
      <c r="AK169" t="s">
        <v>8356</v>
      </c>
      <c r="AL169">
        <v>8</v>
      </c>
      <c r="AM169" s="5">
        <f t="shared" si="19"/>
        <v>0.36363636363636365</v>
      </c>
      <c r="AN169" s="4">
        <f t="shared" si="20"/>
        <v>5.5075556779456819E-4</v>
      </c>
      <c r="AO169" s="3"/>
      <c r="AP169">
        <v>0</v>
      </c>
      <c r="AQ169" t="s">
        <v>332</v>
      </c>
      <c r="AR169" t="s">
        <v>1</v>
      </c>
      <c r="AS169" t="s">
        <v>331</v>
      </c>
      <c r="AT169" s="2">
        <v>1.589</v>
      </c>
      <c r="AU169" s="1">
        <f t="shared" si="21"/>
        <v>0.8480541264182635</v>
      </c>
      <c r="AV169" s="1">
        <f t="shared" si="22"/>
        <v>0.62148882080717593</v>
      </c>
      <c r="AW169" s="1">
        <f t="shared" si="23"/>
        <v>0.39492351519608826</v>
      </c>
    </row>
    <row r="170" spans="1:49" x14ac:dyDescent="0.2">
      <c r="A170">
        <v>168</v>
      </c>
      <c r="B170" t="s">
        <v>8355</v>
      </c>
      <c r="F170" t="s">
        <v>8354</v>
      </c>
      <c r="G170" t="s">
        <v>9</v>
      </c>
      <c r="H170" t="s">
        <v>8</v>
      </c>
      <c r="I170" t="s">
        <v>8251</v>
      </c>
      <c r="J170">
        <v>60000990</v>
      </c>
      <c r="K170" t="s">
        <v>34</v>
      </c>
      <c r="L170" t="s">
        <v>33</v>
      </c>
      <c r="M170" t="s">
        <v>32</v>
      </c>
      <c r="N170">
        <v>1</v>
      </c>
      <c r="O170" t="s">
        <v>8353</v>
      </c>
      <c r="P170">
        <v>6701472118</v>
      </c>
      <c r="Q170">
        <v>60000990</v>
      </c>
      <c r="R170" s="7">
        <v>36861</v>
      </c>
      <c r="S170" s="8">
        <f t="shared" si="16"/>
        <v>2000</v>
      </c>
      <c r="T170" s="8">
        <v>2000</v>
      </c>
      <c r="U170" s="8">
        <f t="shared" si="17"/>
        <v>22</v>
      </c>
      <c r="V170" s="7">
        <v>2000</v>
      </c>
      <c r="W170" t="s">
        <v>139</v>
      </c>
      <c r="X170" s="2">
        <v>0.125</v>
      </c>
      <c r="Y170" s="6">
        <f t="shared" si="18"/>
        <v>3.3368036090867838E-3</v>
      </c>
      <c r="AA170" t="s">
        <v>138</v>
      </c>
      <c r="AB170">
        <v>64260</v>
      </c>
      <c r="AD170" t="s">
        <v>3</v>
      </c>
      <c r="AF170">
        <v>394</v>
      </c>
      <c r="AH170" s="10">
        <v>44287</v>
      </c>
      <c r="AI170" t="s">
        <v>8352</v>
      </c>
      <c r="AK170" t="s">
        <v>8351</v>
      </c>
      <c r="AL170">
        <v>1</v>
      </c>
      <c r="AM170" s="5">
        <f t="shared" si="19"/>
        <v>4.5454545454545456E-2</v>
      </c>
      <c r="AN170" s="4">
        <f t="shared" si="20"/>
        <v>6.8844445974321024E-5</v>
      </c>
      <c r="AO170" s="3"/>
      <c r="AP170">
        <v>0</v>
      </c>
      <c r="AR170" t="s">
        <v>1</v>
      </c>
      <c r="AT170" s="2" t="s">
        <v>0</v>
      </c>
      <c r="AU170" s="1">
        <f t="shared" si="21"/>
        <v>0.23564158601530444</v>
      </c>
      <c r="AV170" s="1">
        <f t="shared" si="22"/>
        <v>0.17028240275305523</v>
      </c>
      <c r="AW170" s="1">
        <f t="shared" si="23"/>
        <v>0.10492321949080598</v>
      </c>
    </row>
    <row r="171" spans="1:49" x14ac:dyDescent="0.2">
      <c r="A171">
        <v>169</v>
      </c>
      <c r="B171" t="s">
        <v>8350</v>
      </c>
      <c r="C171" t="s">
        <v>8349</v>
      </c>
      <c r="F171" t="s">
        <v>8348</v>
      </c>
      <c r="G171" t="s">
        <v>9</v>
      </c>
      <c r="H171" t="s">
        <v>8</v>
      </c>
      <c r="I171" t="s">
        <v>8347</v>
      </c>
      <c r="J171" t="s">
        <v>8346</v>
      </c>
      <c r="K171" t="s">
        <v>8345</v>
      </c>
      <c r="L171" t="s">
        <v>8344</v>
      </c>
      <c r="M171" t="s">
        <v>63</v>
      </c>
      <c r="N171">
        <v>4</v>
      </c>
      <c r="O171" t="s">
        <v>8343</v>
      </c>
      <c r="P171" t="s">
        <v>8342</v>
      </c>
      <c r="Q171" t="s">
        <v>8341</v>
      </c>
      <c r="R171" s="7">
        <v>36861</v>
      </c>
      <c r="S171" s="8">
        <f t="shared" si="16"/>
        <v>2000</v>
      </c>
      <c r="T171" s="8">
        <v>2000</v>
      </c>
      <c r="U171" s="8">
        <f t="shared" si="17"/>
        <v>22</v>
      </c>
      <c r="V171" s="7">
        <v>36861</v>
      </c>
      <c r="W171" t="s">
        <v>150</v>
      </c>
      <c r="X171" s="2">
        <v>0.30399999999999999</v>
      </c>
      <c r="Y171" s="6">
        <f t="shared" si="18"/>
        <v>8.115106377299057E-3</v>
      </c>
      <c r="AA171">
        <v>8952477</v>
      </c>
      <c r="AB171">
        <v>12250</v>
      </c>
      <c r="AD171" t="s">
        <v>3</v>
      </c>
      <c r="AE171">
        <v>27</v>
      </c>
      <c r="AF171">
        <v>6</v>
      </c>
      <c r="AH171" t="s">
        <v>8340</v>
      </c>
      <c r="AI171" t="s">
        <v>8339</v>
      </c>
      <c r="AK171" t="s">
        <v>8338</v>
      </c>
      <c r="AL171">
        <v>7</v>
      </c>
      <c r="AM171" s="5">
        <f t="shared" si="19"/>
        <v>0.31818181818181818</v>
      </c>
      <c r="AN171" s="4">
        <f t="shared" si="20"/>
        <v>4.8191112182024716E-4</v>
      </c>
      <c r="AO171" s="3"/>
      <c r="AP171">
        <v>0</v>
      </c>
      <c r="AR171" t="s">
        <v>1</v>
      </c>
      <c r="AT171" s="2" t="s">
        <v>0</v>
      </c>
      <c r="AU171" s="1">
        <f t="shared" si="21"/>
        <v>0.58251478006554136</v>
      </c>
      <c r="AV171" s="1">
        <f t="shared" si="22"/>
        <v>0.42985087495596519</v>
      </c>
      <c r="AW171" s="1">
        <f t="shared" si="23"/>
        <v>0.27718696984638902</v>
      </c>
    </row>
    <row r="172" spans="1:49" x14ac:dyDescent="0.2">
      <c r="A172">
        <v>170</v>
      </c>
      <c r="B172" t="s">
        <v>8337</v>
      </c>
      <c r="F172" t="s">
        <v>8336</v>
      </c>
      <c r="G172" t="s">
        <v>9</v>
      </c>
      <c r="H172" t="s">
        <v>8</v>
      </c>
      <c r="I172" t="s">
        <v>8212</v>
      </c>
      <c r="J172">
        <v>60000990</v>
      </c>
      <c r="K172" t="s">
        <v>34</v>
      </c>
      <c r="L172" t="s">
        <v>33</v>
      </c>
      <c r="M172" t="s">
        <v>32</v>
      </c>
      <c r="N172">
        <v>1</v>
      </c>
      <c r="O172" t="s">
        <v>8300</v>
      </c>
      <c r="P172">
        <v>57204162884</v>
      </c>
      <c r="Q172">
        <v>60000990</v>
      </c>
      <c r="R172" s="7">
        <v>36861</v>
      </c>
      <c r="S172" s="8">
        <f t="shared" si="16"/>
        <v>2000</v>
      </c>
      <c r="T172" s="8">
        <v>2000</v>
      </c>
      <c r="U172" s="8">
        <f t="shared" si="17"/>
        <v>22</v>
      </c>
      <c r="V172" s="7">
        <v>2000</v>
      </c>
      <c r="W172" t="s">
        <v>139</v>
      </c>
      <c r="X172" s="2">
        <v>0.125</v>
      </c>
      <c r="Y172" s="6">
        <f t="shared" si="18"/>
        <v>3.3368036090867838E-3</v>
      </c>
      <c r="AA172" t="s">
        <v>138</v>
      </c>
      <c r="AB172">
        <v>64260</v>
      </c>
      <c r="AD172" t="s">
        <v>3</v>
      </c>
      <c r="AF172">
        <v>1650</v>
      </c>
      <c r="AH172" s="9">
        <v>46023</v>
      </c>
      <c r="AI172" t="s">
        <v>8335</v>
      </c>
      <c r="AK172" t="s">
        <v>8334</v>
      </c>
      <c r="AL172">
        <v>0</v>
      </c>
      <c r="AM172" s="5">
        <f t="shared" si="19"/>
        <v>0</v>
      </c>
      <c r="AN172" s="4">
        <f t="shared" si="20"/>
        <v>0</v>
      </c>
      <c r="AO172" s="3"/>
      <c r="AP172">
        <v>0</v>
      </c>
      <c r="AR172" t="s">
        <v>1</v>
      </c>
      <c r="AT172" s="2" t="s">
        <v>0</v>
      </c>
      <c r="AU172" s="1">
        <f t="shared" si="21"/>
        <v>0.23357625263607484</v>
      </c>
      <c r="AV172" s="1">
        <f t="shared" si="22"/>
        <v>0.16684018045433918</v>
      </c>
      <c r="AW172" s="1">
        <f t="shared" si="23"/>
        <v>0.10010410827260351</v>
      </c>
    </row>
    <row r="173" spans="1:49" x14ac:dyDescent="0.2">
      <c r="A173">
        <v>171</v>
      </c>
      <c r="B173" t="s">
        <v>8333</v>
      </c>
      <c r="C173" t="s">
        <v>8332</v>
      </c>
      <c r="F173" t="s">
        <v>8331</v>
      </c>
      <c r="G173" t="s">
        <v>9</v>
      </c>
      <c r="H173" t="s">
        <v>8</v>
      </c>
      <c r="I173" t="s">
        <v>8330</v>
      </c>
      <c r="J173">
        <v>60002947</v>
      </c>
      <c r="K173" t="s">
        <v>358</v>
      </c>
      <c r="L173" t="s">
        <v>354</v>
      </c>
      <c r="M173" t="s">
        <v>357</v>
      </c>
      <c r="N173">
        <v>2</v>
      </c>
      <c r="O173" t="s">
        <v>8329</v>
      </c>
      <c r="P173" t="s">
        <v>8328</v>
      </c>
      <c r="Q173" t="s">
        <v>356</v>
      </c>
      <c r="R173" s="7">
        <v>36861</v>
      </c>
      <c r="S173" s="8">
        <f t="shared" si="16"/>
        <v>2000</v>
      </c>
      <c r="T173" s="8">
        <v>2000</v>
      </c>
      <c r="U173" s="8">
        <f t="shared" si="17"/>
        <v>22</v>
      </c>
      <c r="V173" s="7">
        <v>36861</v>
      </c>
      <c r="W173" t="s">
        <v>180</v>
      </c>
      <c r="X173" s="2">
        <v>0.30199999999999999</v>
      </c>
      <c r="Y173" s="6">
        <f t="shared" si="18"/>
        <v>8.0617175195536687E-3</v>
      </c>
      <c r="AA173">
        <v>9296212</v>
      </c>
      <c r="AB173">
        <v>20725</v>
      </c>
      <c r="AD173" t="s">
        <v>3</v>
      </c>
      <c r="AE173">
        <v>15</v>
      </c>
      <c r="AF173">
        <v>3</v>
      </c>
      <c r="AH173" t="s">
        <v>558</v>
      </c>
      <c r="AI173" t="s">
        <v>8327</v>
      </c>
      <c r="AK173" t="s">
        <v>8326</v>
      </c>
      <c r="AL173">
        <v>3</v>
      </c>
      <c r="AM173" s="5">
        <f t="shared" si="19"/>
        <v>0.13636363636363635</v>
      </c>
      <c r="AN173" s="4">
        <f t="shared" si="20"/>
        <v>2.0653333792296306E-4</v>
      </c>
      <c r="AO173" s="3"/>
      <c r="AP173">
        <v>0</v>
      </c>
      <c r="AR173" t="s">
        <v>1</v>
      </c>
      <c r="AT173" s="2">
        <v>1.671</v>
      </c>
      <c r="AU173" s="1">
        <f t="shared" si="21"/>
        <v>0.57051622650644562</v>
      </c>
      <c r="AV173" s="1">
        <f t="shared" si="22"/>
        <v>0.41341254287383156</v>
      </c>
      <c r="AW173" s="1">
        <f t="shared" si="23"/>
        <v>0.25630885924121749</v>
      </c>
    </row>
    <row r="174" spans="1:49" x14ac:dyDescent="0.2">
      <c r="A174">
        <v>172</v>
      </c>
      <c r="B174" t="s">
        <v>8325</v>
      </c>
      <c r="F174" t="s">
        <v>8324</v>
      </c>
      <c r="G174" t="s">
        <v>9</v>
      </c>
      <c r="H174" t="s">
        <v>8</v>
      </c>
      <c r="I174" t="s">
        <v>8212</v>
      </c>
      <c r="J174">
        <v>60003554</v>
      </c>
      <c r="K174" t="s">
        <v>898</v>
      </c>
      <c r="L174" t="s">
        <v>126</v>
      </c>
      <c r="M174" t="s">
        <v>32</v>
      </c>
      <c r="N174">
        <v>1</v>
      </c>
      <c r="O174" t="s">
        <v>8257</v>
      </c>
      <c r="P174">
        <v>57204162884</v>
      </c>
      <c r="Q174">
        <v>60003554</v>
      </c>
      <c r="R174" s="7">
        <v>36861</v>
      </c>
      <c r="S174" s="8">
        <f t="shared" si="16"/>
        <v>2000</v>
      </c>
      <c r="T174" s="8">
        <v>2000</v>
      </c>
      <c r="U174" s="8">
        <f t="shared" si="17"/>
        <v>22</v>
      </c>
      <c r="V174" s="7">
        <v>2000</v>
      </c>
      <c r="W174" t="s">
        <v>139</v>
      </c>
      <c r="X174" s="2">
        <v>0.125</v>
      </c>
      <c r="Y174" s="6">
        <f t="shared" si="18"/>
        <v>3.3368036090867838E-3</v>
      </c>
      <c r="AA174" t="s">
        <v>138</v>
      </c>
      <c r="AB174">
        <v>64260</v>
      </c>
      <c r="AD174" t="s">
        <v>3</v>
      </c>
      <c r="AF174">
        <v>1650</v>
      </c>
      <c r="AH174" s="9">
        <v>44562</v>
      </c>
      <c r="AI174" t="s">
        <v>8323</v>
      </c>
      <c r="AK174" t="s">
        <v>8322</v>
      </c>
      <c r="AL174">
        <v>0</v>
      </c>
      <c r="AM174" s="5">
        <f t="shared" si="19"/>
        <v>0</v>
      </c>
      <c r="AN174" s="4">
        <f t="shared" si="20"/>
        <v>0</v>
      </c>
      <c r="AO174" s="3"/>
      <c r="AP174">
        <v>0</v>
      </c>
      <c r="AR174" t="s">
        <v>1</v>
      </c>
      <c r="AT174" s="2" t="s">
        <v>0</v>
      </c>
      <c r="AU174" s="1">
        <f t="shared" si="21"/>
        <v>0.23357625263607484</v>
      </c>
      <c r="AV174" s="1">
        <f t="shared" si="22"/>
        <v>0.16684018045433918</v>
      </c>
      <c r="AW174" s="1">
        <f t="shared" si="23"/>
        <v>0.10010410827260351</v>
      </c>
    </row>
    <row r="175" spans="1:49" x14ac:dyDescent="0.2">
      <c r="A175">
        <v>173</v>
      </c>
      <c r="B175" t="s">
        <v>8321</v>
      </c>
      <c r="C175" t="s">
        <v>8320</v>
      </c>
      <c r="F175" t="s">
        <v>8319</v>
      </c>
      <c r="G175" t="s">
        <v>9</v>
      </c>
      <c r="H175" t="s">
        <v>8</v>
      </c>
      <c r="I175" t="s">
        <v>174</v>
      </c>
      <c r="J175">
        <v>60017161</v>
      </c>
      <c r="K175" t="s">
        <v>75</v>
      </c>
      <c r="L175" t="s">
        <v>74</v>
      </c>
      <c r="M175" t="s">
        <v>73</v>
      </c>
      <c r="N175">
        <v>1</v>
      </c>
      <c r="O175" t="s">
        <v>72</v>
      </c>
      <c r="P175">
        <v>7409485017</v>
      </c>
      <c r="Q175">
        <v>60017161</v>
      </c>
      <c r="R175" s="7">
        <v>36861</v>
      </c>
      <c r="S175" s="8">
        <f t="shared" si="16"/>
        <v>2000</v>
      </c>
      <c r="T175" s="8">
        <v>2000</v>
      </c>
      <c r="U175" s="8">
        <f t="shared" si="17"/>
        <v>22</v>
      </c>
      <c r="V175" s="7">
        <v>36861</v>
      </c>
      <c r="W175" t="s">
        <v>150</v>
      </c>
      <c r="X175" s="2">
        <v>0.30399999999999999</v>
      </c>
      <c r="Y175" s="6">
        <f t="shared" si="18"/>
        <v>8.115106377299057E-3</v>
      </c>
      <c r="AA175">
        <v>8952477</v>
      </c>
      <c r="AB175">
        <v>12250</v>
      </c>
      <c r="AD175" t="s">
        <v>3</v>
      </c>
      <c r="AE175">
        <v>27</v>
      </c>
      <c r="AF175">
        <v>6</v>
      </c>
      <c r="AH175" t="s">
        <v>8318</v>
      </c>
      <c r="AI175" t="s">
        <v>8317</v>
      </c>
      <c r="AK175" t="s">
        <v>8316</v>
      </c>
      <c r="AL175">
        <v>17</v>
      </c>
      <c r="AM175" s="5">
        <f t="shared" si="19"/>
        <v>0.77272727272727271</v>
      </c>
      <c r="AN175" s="4">
        <f t="shared" si="20"/>
        <v>1.1703555815634574E-3</v>
      </c>
      <c r="AO175" s="3"/>
      <c r="AP175">
        <v>0</v>
      </c>
      <c r="AR175" t="s">
        <v>1</v>
      </c>
      <c r="AT175" s="2" t="s">
        <v>0</v>
      </c>
      <c r="AU175" s="1">
        <f t="shared" si="21"/>
        <v>0.60316811385783764</v>
      </c>
      <c r="AV175" s="1">
        <f t="shared" si="22"/>
        <v>0.46427309794312571</v>
      </c>
      <c r="AW175" s="1">
        <f t="shared" si="23"/>
        <v>0.32537808202841373</v>
      </c>
    </row>
    <row r="176" spans="1:49" x14ac:dyDescent="0.2">
      <c r="A176">
        <v>174</v>
      </c>
      <c r="B176" t="s">
        <v>8315</v>
      </c>
      <c r="C176" t="s">
        <v>8314</v>
      </c>
      <c r="F176" t="s">
        <v>8313</v>
      </c>
      <c r="G176" t="s">
        <v>9</v>
      </c>
      <c r="H176" t="s">
        <v>8</v>
      </c>
      <c r="I176" t="s">
        <v>943</v>
      </c>
      <c r="J176">
        <v>60017161</v>
      </c>
      <c r="K176" t="s">
        <v>75</v>
      </c>
      <c r="L176" t="s">
        <v>74</v>
      </c>
      <c r="M176" t="s">
        <v>73</v>
      </c>
      <c r="N176">
        <v>2</v>
      </c>
      <c r="O176" t="s">
        <v>942</v>
      </c>
      <c r="P176" t="s">
        <v>941</v>
      </c>
      <c r="Q176" t="s">
        <v>171</v>
      </c>
      <c r="R176" s="7">
        <v>36861</v>
      </c>
      <c r="S176" s="8">
        <f t="shared" si="16"/>
        <v>2000</v>
      </c>
      <c r="T176" s="8">
        <v>2000</v>
      </c>
      <c r="U176" s="8">
        <f t="shared" si="17"/>
        <v>22</v>
      </c>
      <c r="V176" s="7">
        <v>36861</v>
      </c>
      <c r="W176" t="s">
        <v>150</v>
      </c>
      <c r="X176" s="2">
        <v>0.30399999999999999</v>
      </c>
      <c r="Y176" s="6">
        <f t="shared" si="18"/>
        <v>8.115106377299057E-3</v>
      </c>
      <c r="AA176">
        <v>8952477</v>
      </c>
      <c r="AB176">
        <v>12250</v>
      </c>
      <c r="AD176" t="s">
        <v>3</v>
      </c>
      <c r="AE176">
        <v>27</v>
      </c>
      <c r="AF176">
        <v>6</v>
      </c>
      <c r="AH176" t="s">
        <v>5473</v>
      </c>
      <c r="AI176" t="s">
        <v>8312</v>
      </c>
      <c r="AK176" t="s">
        <v>8311</v>
      </c>
      <c r="AL176">
        <v>2</v>
      </c>
      <c r="AM176" s="5">
        <f t="shared" si="19"/>
        <v>9.0909090909090912E-2</v>
      </c>
      <c r="AN176" s="4">
        <f t="shared" si="20"/>
        <v>1.3768889194864205E-4</v>
      </c>
      <c r="AO176" s="3"/>
      <c r="AP176">
        <v>0</v>
      </c>
      <c r="AR176" t="s">
        <v>1</v>
      </c>
      <c r="AT176" s="2" t="s">
        <v>0</v>
      </c>
      <c r="AU176" s="1">
        <f t="shared" si="21"/>
        <v>0.57218811316939311</v>
      </c>
      <c r="AV176" s="1">
        <f t="shared" si="22"/>
        <v>0.41263976346238496</v>
      </c>
      <c r="AW176" s="1">
        <f t="shared" si="23"/>
        <v>0.25309141375537664</v>
      </c>
    </row>
    <row r="177" spans="1:49" x14ac:dyDescent="0.2">
      <c r="A177">
        <v>175</v>
      </c>
      <c r="B177" t="s">
        <v>8310</v>
      </c>
      <c r="F177" t="s">
        <v>8309</v>
      </c>
      <c r="G177" t="s">
        <v>9</v>
      </c>
      <c r="H177" t="s">
        <v>8</v>
      </c>
      <c r="I177" t="s">
        <v>8308</v>
      </c>
      <c r="J177">
        <v>60000990</v>
      </c>
      <c r="K177" t="s">
        <v>34</v>
      </c>
      <c r="L177" t="s">
        <v>33</v>
      </c>
      <c r="M177" t="s">
        <v>32</v>
      </c>
      <c r="N177">
        <v>2</v>
      </c>
      <c r="O177" t="s">
        <v>8307</v>
      </c>
      <c r="P177" t="s">
        <v>8306</v>
      </c>
      <c r="Q177" t="s">
        <v>31</v>
      </c>
      <c r="R177" s="7">
        <v>36861</v>
      </c>
      <c r="S177" s="8">
        <f t="shared" si="16"/>
        <v>2000</v>
      </c>
      <c r="T177" s="8">
        <v>2000</v>
      </c>
      <c r="U177" s="8">
        <f t="shared" si="17"/>
        <v>22</v>
      </c>
      <c r="V177" s="7">
        <v>2000</v>
      </c>
      <c r="W177" t="s">
        <v>139</v>
      </c>
      <c r="X177" s="2">
        <v>0.125</v>
      </c>
      <c r="Y177" s="6">
        <f t="shared" si="18"/>
        <v>3.3368036090867838E-3</v>
      </c>
      <c r="AA177" t="s">
        <v>138</v>
      </c>
      <c r="AB177">
        <v>64260</v>
      </c>
      <c r="AD177" t="s">
        <v>3</v>
      </c>
      <c r="AF177">
        <v>394</v>
      </c>
      <c r="AH177" t="s">
        <v>8305</v>
      </c>
      <c r="AI177" t="s">
        <v>8304</v>
      </c>
      <c r="AK177" t="s">
        <v>8303</v>
      </c>
      <c r="AL177">
        <v>0</v>
      </c>
      <c r="AM177" s="5">
        <f t="shared" si="19"/>
        <v>0</v>
      </c>
      <c r="AN177" s="4">
        <f t="shared" si="20"/>
        <v>0</v>
      </c>
      <c r="AO177" s="3"/>
      <c r="AP177">
        <v>0</v>
      </c>
      <c r="AR177" t="s">
        <v>1</v>
      </c>
      <c r="AT177" s="2" t="s">
        <v>0</v>
      </c>
      <c r="AU177" s="1">
        <f t="shared" si="21"/>
        <v>0.23357625263607484</v>
      </c>
      <c r="AV177" s="1">
        <f t="shared" si="22"/>
        <v>0.16684018045433918</v>
      </c>
      <c r="AW177" s="1">
        <f t="shared" si="23"/>
        <v>0.10010410827260351</v>
      </c>
    </row>
    <row r="178" spans="1:49" x14ac:dyDescent="0.2">
      <c r="A178">
        <v>176</v>
      </c>
      <c r="B178" t="s">
        <v>8302</v>
      </c>
      <c r="F178" t="s">
        <v>8301</v>
      </c>
      <c r="G178" t="s">
        <v>9</v>
      </c>
      <c r="H178" t="s">
        <v>8</v>
      </c>
      <c r="I178" t="s">
        <v>8212</v>
      </c>
      <c r="J178">
        <v>60000990</v>
      </c>
      <c r="K178" t="s">
        <v>34</v>
      </c>
      <c r="L178" t="s">
        <v>33</v>
      </c>
      <c r="M178" t="s">
        <v>32</v>
      </c>
      <c r="N178">
        <v>1</v>
      </c>
      <c r="O178" t="s">
        <v>8300</v>
      </c>
      <c r="P178">
        <v>57204162884</v>
      </c>
      <c r="Q178">
        <v>60000990</v>
      </c>
      <c r="R178" s="7">
        <v>36861</v>
      </c>
      <c r="S178" s="8">
        <f t="shared" si="16"/>
        <v>2000</v>
      </c>
      <c r="T178" s="8">
        <v>2000</v>
      </c>
      <c r="U178" s="8">
        <f t="shared" si="17"/>
        <v>22</v>
      </c>
      <c r="V178" s="7">
        <v>2000</v>
      </c>
      <c r="W178" t="s">
        <v>139</v>
      </c>
      <c r="X178" s="2">
        <v>0.125</v>
      </c>
      <c r="Y178" s="6">
        <f t="shared" si="18"/>
        <v>3.3368036090867838E-3</v>
      </c>
      <c r="AA178" t="s">
        <v>138</v>
      </c>
      <c r="AB178">
        <v>64260</v>
      </c>
      <c r="AD178" t="s">
        <v>3</v>
      </c>
      <c r="AF178">
        <v>1650</v>
      </c>
      <c r="AH178" s="9">
        <v>14611</v>
      </c>
      <c r="AI178" t="s">
        <v>8299</v>
      </c>
      <c r="AK178" t="s">
        <v>8298</v>
      </c>
      <c r="AL178">
        <v>0</v>
      </c>
      <c r="AM178" s="5">
        <f t="shared" si="19"/>
        <v>0</v>
      </c>
      <c r="AN178" s="4">
        <f t="shared" si="20"/>
        <v>0</v>
      </c>
      <c r="AO178" s="3"/>
      <c r="AP178">
        <v>0</v>
      </c>
      <c r="AR178" t="s">
        <v>1</v>
      </c>
      <c r="AT178" s="2" t="s">
        <v>0</v>
      </c>
      <c r="AU178" s="1">
        <f t="shared" si="21"/>
        <v>0.23357625263607484</v>
      </c>
      <c r="AV178" s="1">
        <f t="shared" si="22"/>
        <v>0.16684018045433918</v>
      </c>
      <c r="AW178" s="1">
        <f t="shared" si="23"/>
        <v>0.10010410827260351</v>
      </c>
    </row>
    <row r="179" spans="1:49" x14ac:dyDescent="0.2">
      <c r="A179">
        <v>177</v>
      </c>
      <c r="B179" t="s">
        <v>8297</v>
      </c>
      <c r="C179" t="s">
        <v>8296</v>
      </c>
      <c r="F179" t="s">
        <v>8295</v>
      </c>
      <c r="G179" t="s">
        <v>9</v>
      </c>
      <c r="H179" t="s">
        <v>8</v>
      </c>
      <c r="I179" t="s">
        <v>8294</v>
      </c>
      <c r="J179">
        <v>60005510</v>
      </c>
      <c r="K179" t="s">
        <v>359</v>
      </c>
      <c r="L179" t="s">
        <v>74</v>
      </c>
      <c r="M179" t="s">
        <v>73</v>
      </c>
      <c r="N179">
        <v>4</v>
      </c>
      <c r="O179" t="s">
        <v>8293</v>
      </c>
      <c r="P179" t="s">
        <v>8292</v>
      </c>
      <c r="Q179" t="s">
        <v>8291</v>
      </c>
      <c r="R179" s="7">
        <v>36861</v>
      </c>
      <c r="S179" s="8">
        <f t="shared" si="16"/>
        <v>2000</v>
      </c>
      <c r="T179" s="8">
        <v>2000</v>
      </c>
      <c r="U179" s="8">
        <f t="shared" si="17"/>
        <v>22</v>
      </c>
      <c r="V179" s="7">
        <v>36861</v>
      </c>
      <c r="W179" t="s">
        <v>150</v>
      </c>
      <c r="X179" s="2">
        <v>0.30399999999999999</v>
      </c>
      <c r="Y179" s="6">
        <f t="shared" si="18"/>
        <v>8.115106377299057E-3</v>
      </c>
      <c r="AA179">
        <v>8952477</v>
      </c>
      <c r="AB179">
        <v>12250</v>
      </c>
      <c r="AD179" t="s">
        <v>3</v>
      </c>
      <c r="AE179">
        <v>27</v>
      </c>
      <c r="AF179">
        <v>6</v>
      </c>
      <c r="AH179" t="s">
        <v>8290</v>
      </c>
      <c r="AI179" t="s">
        <v>8289</v>
      </c>
      <c r="AK179" t="s">
        <v>8288</v>
      </c>
      <c r="AL179">
        <v>2</v>
      </c>
      <c r="AM179" s="5">
        <f t="shared" si="19"/>
        <v>9.0909090909090912E-2</v>
      </c>
      <c r="AN179" s="4">
        <f t="shared" si="20"/>
        <v>1.3768889194864205E-4</v>
      </c>
      <c r="AO179" s="3"/>
      <c r="AP179">
        <v>0</v>
      </c>
      <c r="AR179" t="s">
        <v>1</v>
      </c>
      <c r="AT179" s="2" t="s">
        <v>0</v>
      </c>
      <c r="AU179" s="1">
        <f t="shared" si="21"/>
        <v>0.57218811316939311</v>
      </c>
      <c r="AV179" s="1">
        <f t="shared" si="22"/>
        <v>0.41263976346238496</v>
      </c>
      <c r="AW179" s="1">
        <f t="shared" si="23"/>
        <v>0.25309141375537664</v>
      </c>
    </row>
    <row r="180" spans="1:49" x14ac:dyDescent="0.2">
      <c r="A180">
        <v>178</v>
      </c>
      <c r="B180" t="s">
        <v>8287</v>
      </c>
      <c r="F180" t="s">
        <v>8286</v>
      </c>
      <c r="G180" t="s">
        <v>9</v>
      </c>
      <c r="H180" t="s">
        <v>8</v>
      </c>
      <c r="I180" t="s">
        <v>8285</v>
      </c>
      <c r="J180">
        <v>60000990</v>
      </c>
      <c r="K180" t="s">
        <v>34</v>
      </c>
      <c r="L180" t="s">
        <v>33</v>
      </c>
      <c r="M180" t="s">
        <v>32</v>
      </c>
      <c r="N180">
        <v>3</v>
      </c>
      <c r="O180" t="s">
        <v>8284</v>
      </c>
      <c r="P180" t="s">
        <v>8283</v>
      </c>
      <c r="Q180" t="s">
        <v>8282</v>
      </c>
      <c r="R180" s="7">
        <v>36861</v>
      </c>
      <c r="S180" s="8">
        <f t="shared" si="16"/>
        <v>2000</v>
      </c>
      <c r="T180" s="8">
        <v>2000</v>
      </c>
      <c r="U180" s="8">
        <f t="shared" si="17"/>
        <v>22</v>
      </c>
      <c r="V180" s="7">
        <v>2000</v>
      </c>
      <c r="W180" t="s">
        <v>139</v>
      </c>
      <c r="X180" s="2">
        <v>0.125</v>
      </c>
      <c r="Y180" s="6">
        <f t="shared" si="18"/>
        <v>3.3368036090867838E-3</v>
      </c>
      <c r="AA180" t="s">
        <v>138</v>
      </c>
      <c r="AB180">
        <v>64260</v>
      </c>
      <c r="AD180" t="s">
        <v>3</v>
      </c>
      <c r="AF180">
        <v>394</v>
      </c>
      <c r="AH180" t="s">
        <v>802</v>
      </c>
      <c r="AI180" t="s">
        <v>8281</v>
      </c>
      <c r="AK180" t="s">
        <v>8280</v>
      </c>
      <c r="AL180">
        <v>0</v>
      </c>
      <c r="AM180" s="5">
        <f t="shared" si="19"/>
        <v>0</v>
      </c>
      <c r="AN180" s="4">
        <f t="shared" si="20"/>
        <v>0</v>
      </c>
      <c r="AO180" s="3"/>
      <c r="AP180">
        <v>0</v>
      </c>
      <c r="AR180" t="s">
        <v>1</v>
      </c>
      <c r="AT180" s="2" t="s">
        <v>0</v>
      </c>
      <c r="AU180" s="1">
        <f t="shared" si="21"/>
        <v>0.23357625263607484</v>
      </c>
      <c r="AV180" s="1">
        <f t="shared" si="22"/>
        <v>0.16684018045433918</v>
      </c>
      <c r="AW180" s="1">
        <f t="shared" si="23"/>
        <v>0.10010410827260351</v>
      </c>
    </row>
    <row r="181" spans="1:49" x14ac:dyDescent="0.2">
      <c r="A181">
        <v>179</v>
      </c>
      <c r="B181" t="s">
        <v>8279</v>
      </c>
      <c r="F181" t="s">
        <v>8278</v>
      </c>
      <c r="G181" t="s">
        <v>9</v>
      </c>
      <c r="H181" t="s">
        <v>8</v>
      </c>
      <c r="I181" t="s">
        <v>8277</v>
      </c>
      <c r="J181">
        <v>60009941</v>
      </c>
      <c r="K181" t="s">
        <v>8276</v>
      </c>
      <c r="L181" t="s">
        <v>8275</v>
      </c>
      <c r="M181" t="s">
        <v>13</v>
      </c>
      <c r="N181">
        <v>2</v>
      </c>
      <c r="O181" t="s">
        <v>8274</v>
      </c>
      <c r="P181" t="s">
        <v>8273</v>
      </c>
      <c r="Q181" t="s">
        <v>8272</v>
      </c>
      <c r="R181" s="7">
        <v>36861</v>
      </c>
      <c r="S181" s="8">
        <f t="shared" si="16"/>
        <v>2000</v>
      </c>
      <c r="T181" s="8">
        <v>2000</v>
      </c>
      <c r="U181" s="8">
        <f t="shared" si="17"/>
        <v>22</v>
      </c>
      <c r="V181" s="7">
        <v>2000</v>
      </c>
      <c r="W181" t="s">
        <v>8236</v>
      </c>
      <c r="X181" s="2">
        <v>0.54700000000000004</v>
      </c>
      <c r="Y181" s="6">
        <f t="shared" si="18"/>
        <v>1.4601852593363766E-2</v>
      </c>
      <c r="AA181">
        <v>14348411</v>
      </c>
      <c r="AB181">
        <v>31211</v>
      </c>
      <c r="AD181" t="s">
        <v>3</v>
      </c>
      <c r="AE181">
        <v>54</v>
      </c>
      <c r="AF181">
        <v>5</v>
      </c>
      <c r="AH181" t="s">
        <v>8271</v>
      </c>
      <c r="AI181" t="s">
        <v>8270</v>
      </c>
      <c r="AK181" t="s">
        <v>8269</v>
      </c>
      <c r="AL181">
        <v>7</v>
      </c>
      <c r="AM181" s="5">
        <f t="shared" si="19"/>
        <v>0.31818181818181818</v>
      </c>
      <c r="AN181" s="4">
        <f t="shared" si="20"/>
        <v>4.8191112182024716E-4</v>
      </c>
      <c r="AO181" s="3"/>
      <c r="AP181">
        <v>0</v>
      </c>
      <c r="AR181" t="s">
        <v>1</v>
      </c>
      <c r="AT181" s="2" t="s">
        <v>0</v>
      </c>
      <c r="AU181" s="1">
        <f t="shared" si="21"/>
        <v>1.0365870151900709</v>
      </c>
      <c r="AV181" s="1">
        <f t="shared" si="22"/>
        <v>0.75418818575920066</v>
      </c>
      <c r="AW181" s="1">
        <f t="shared" si="23"/>
        <v>0.4717893563283303</v>
      </c>
    </row>
    <row r="182" spans="1:49" x14ac:dyDescent="0.2">
      <c r="A182">
        <v>180</v>
      </c>
      <c r="B182" t="s">
        <v>8268</v>
      </c>
      <c r="C182" t="s">
        <v>8267</v>
      </c>
      <c r="F182" t="s">
        <v>8266</v>
      </c>
      <c r="G182" t="s">
        <v>9</v>
      </c>
      <c r="H182" t="s">
        <v>8</v>
      </c>
      <c r="I182" t="s">
        <v>8265</v>
      </c>
      <c r="J182">
        <v>60019544</v>
      </c>
      <c r="K182" t="s">
        <v>694</v>
      </c>
      <c r="L182" t="s">
        <v>693</v>
      </c>
      <c r="M182" t="s">
        <v>86</v>
      </c>
      <c r="N182">
        <v>2</v>
      </c>
      <c r="O182" t="s">
        <v>8264</v>
      </c>
      <c r="P182" t="s">
        <v>8263</v>
      </c>
      <c r="Q182" t="s">
        <v>692</v>
      </c>
      <c r="R182" s="7">
        <v>36861</v>
      </c>
      <c r="S182" s="8">
        <f t="shared" si="16"/>
        <v>2000</v>
      </c>
      <c r="T182" s="8">
        <v>2000</v>
      </c>
      <c r="U182" s="8">
        <f t="shared" si="17"/>
        <v>22</v>
      </c>
      <c r="V182" s="7">
        <v>36861</v>
      </c>
      <c r="W182" t="s">
        <v>150</v>
      </c>
      <c r="X182" s="2">
        <v>0.30399999999999999</v>
      </c>
      <c r="Y182" s="6">
        <f t="shared" si="18"/>
        <v>8.115106377299057E-3</v>
      </c>
      <c r="AA182">
        <v>8952477</v>
      </c>
      <c r="AB182">
        <v>12250</v>
      </c>
      <c r="AD182" t="s">
        <v>3</v>
      </c>
      <c r="AE182">
        <v>27</v>
      </c>
      <c r="AF182">
        <v>6</v>
      </c>
      <c r="AH182" t="s">
        <v>8262</v>
      </c>
      <c r="AI182" t="s">
        <v>8261</v>
      </c>
      <c r="AK182" t="s">
        <v>8260</v>
      </c>
      <c r="AL182">
        <v>1</v>
      </c>
      <c r="AM182" s="5">
        <f t="shared" si="19"/>
        <v>4.5454545454545456E-2</v>
      </c>
      <c r="AN182" s="4">
        <f t="shared" si="20"/>
        <v>6.8844445974321024E-5</v>
      </c>
      <c r="AO182" s="3"/>
      <c r="AP182">
        <v>0</v>
      </c>
      <c r="AR182" t="s">
        <v>1</v>
      </c>
      <c r="AT182" s="2" t="s">
        <v>0</v>
      </c>
      <c r="AU182" s="1">
        <f t="shared" si="21"/>
        <v>0.57012277979016357</v>
      </c>
      <c r="AV182" s="1">
        <f t="shared" si="22"/>
        <v>0.40919754116366885</v>
      </c>
      <c r="AW182" s="1">
        <f t="shared" si="23"/>
        <v>0.24827230253717419</v>
      </c>
    </row>
    <row r="183" spans="1:49" x14ac:dyDescent="0.2">
      <c r="A183">
        <v>181</v>
      </c>
      <c r="B183" t="s">
        <v>8259</v>
      </c>
      <c r="F183" t="s">
        <v>8258</v>
      </c>
      <c r="G183" t="s">
        <v>9</v>
      </c>
      <c r="H183" t="s">
        <v>8</v>
      </c>
      <c r="I183" t="s">
        <v>8212</v>
      </c>
      <c r="J183">
        <v>60003554</v>
      </c>
      <c r="K183" t="s">
        <v>898</v>
      </c>
      <c r="L183" t="s">
        <v>126</v>
      </c>
      <c r="M183" t="s">
        <v>32</v>
      </c>
      <c r="N183">
        <v>1</v>
      </c>
      <c r="O183" t="s">
        <v>8257</v>
      </c>
      <c r="P183">
        <v>57204162884</v>
      </c>
      <c r="Q183">
        <v>60003554</v>
      </c>
      <c r="R183" s="7">
        <v>36861</v>
      </c>
      <c r="S183" s="8">
        <f t="shared" si="16"/>
        <v>2000</v>
      </c>
      <c r="T183" s="8">
        <v>2000</v>
      </c>
      <c r="U183" s="8">
        <f t="shared" si="17"/>
        <v>22</v>
      </c>
      <c r="V183" s="7">
        <v>2000</v>
      </c>
      <c r="W183" t="s">
        <v>139</v>
      </c>
      <c r="X183" s="2">
        <v>0.125</v>
      </c>
      <c r="Y183" s="6">
        <f t="shared" si="18"/>
        <v>3.3368036090867838E-3</v>
      </c>
      <c r="AA183" t="s">
        <v>138</v>
      </c>
      <c r="AB183">
        <v>64260</v>
      </c>
      <c r="AD183" t="s">
        <v>3</v>
      </c>
      <c r="AF183">
        <v>1650</v>
      </c>
      <c r="AH183" t="s">
        <v>8256</v>
      </c>
      <c r="AI183" t="s">
        <v>8255</v>
      </c>
      <c r="AK183" t="s">
        <v>8254</v>
      </c>
      <c r="AL183">
        <v>7</v>
      </c>
      <c r="AM183" s="5">
        <f t="shared" si="19"/>
        <v>0.31818181818181818</v>
      </c>
      <c r="AN183" s="4">
        <f t="shared" si="20"/>
        <v>4.8191112182024716E-4</v>
      </c>
      <c r="AO183" s="3"/>
      <c r="AP183">
        <v>0</v>
      </c>
      <c r="AR183" t="s">
        <v>1</v>
      </c>
      <c r="AT183" s="2" t="s">
        <v>0</v>
      </c>
      <c r="AU183" s="1">
        <f t="shared" si="21"/>
        <v>0.24803358629068226</v>
      </c>
      <c r="AV183" s="1">
        <f t="shared" si="22"/>
        <v>0.19093573654535156</v>
      </c>
      <c r="AW183" s="1">
        <f t="shared" si="23"/>
        <v>0.13383788680002082</v>
      </c>
    </row>
    <row r="184" spans="1:49" x14ac:dyDescent="0.2">
      <c r="A184">
        <v>182</v>
      </c>
      <c r="B184" t="s">
        <v>8253</v>
      </c>
      <c r="F184" t="s">
        <v>8252</v>
      </c>
      <c r="G184" t="s">
        <v>9</v>
      </c>
      <c r="H184" t="s">
        <v>8</v>
      </c>
      <c r="I184" t="s">
        <v>8251</v>
      </c>
      <c r="J184">
        <v>60000990</v>
      </c>
      <c r="K184" t="s">
        <v>34</v>
      </c>
      <c r="L184" t="s">
        <v>33</v>
      </c>
      <c r="M184" t="s">
        <v>32</v>
      </c>
      <c r="N184">
        <v>1</v>
      </c>
      <c r="O184" t="s">
        <v>8250</v>
      </c>
      <c r="P184">
        <v>6701472118</v>
      </c>
      <c r="Q184">
        <v>60000990</v>
      </c>
      <c r="R184" s="7">
        <v>36861</v>
      </c>
      <c r="S184" s="8">
        <f t="shared" si="16"/>
        <v>2000</v>
      </c>
      <c r="T184" s="8">
        <v>2000</v>
      </c>
      <c r="U184" s="8">
        <f t="shared" si="17"/>
        <v>22</v>
      </c>
      <c r="V184" s="7">
        <v>2000</v>
      </c>
      <c r="W184" t="s">
        <v>139</v>
      </c>
      <c r="X184" s="2">
        <v>0.125</v>
      </c>
      <c r="Y184" s="6">
        <f t="shared" si="18"/>
        <v>3.3368036090867838E-3</v>
      </c>
      <c r="AA184" t="s">
        <v>138</v>
      </c>
      <c r="AB184">
        <v>64260</v>
      </c>
      <c r="AD184" t="s">
        <v>3</v>
      </c>
      <c r="AF184">
        <v>394</v>
      </c>
      <c r="AH184" t="s">
        <v>8249</v>
      </c>
      <c r="AI184" t="s">
        <v>8248</v>
      </c>
      <c r="AK184" t="s">
        <v>8247</v>
      </c>
      <c r="AL184">
        <v>0</v>
      </c>
      <c r="AM184" s="5">
        <f t="shared" si="19"/>
        <v>0</v>
      </c>
      <c r="AN184" s="4">
        <f t="shared" si="20"/>
        <v>0</v>
      </c>
      <c r="AO184" s="3"/>
      <c r="AP184">
        <v>0</v>
      </c>
      <c r="AR184" t="s">
        <v>1</v>
      </c>
      <c r="AT184" s="2" t="s">
        <v>0</v>
      </c>
      <c r="AU184" s="1">
        <f t="shared" si="21"/>
        <v>0.23357625263607484</v>
      </c>
      <c r="AV184" s="1">
        <f t="shared" si="22"/>
        <v>0.16684018045433918</v>
      </c>
      <c r="AW184" s="1">
        <f t="shared" si="23"/>
        <v>0.10010410827260351</v>
      </c>
    </row>
    <row r="185" spans="1:49" x14ac:dyDescent="0.2">
      <c r="A185">
        <v>183</v>
      </c>
      <c r="B185" t="s">
        <v>8246</v>
      </c>
      <c r="F185" t="s">
        <v>8245</v>
      </c>
      <c r="G185" t="s">
        <v>9</v>
      </c>
      <c r="H185" t="s">
        <v>8</v>
      </c>
      <c r="I185" t="s">
        <v>8244</v>
      </c>
      <c r="J185" t="s">
        <v>8243</v>
      </c>
      <c r="K185" t="s">
        <v>8242</v>
      </c>
      <c r="L185" t="s">
        <v>8241</v>
      </c>
      <c r="M185" t="s">
        <v>8240</v>
      </c>
      <c r="N185">
        <v>2</v>
      </c>
      <c r="O185" t="s">
        <v>8239</v>
      </c>
      <c r="P185" t="s">
        <v>8238</v>
      </c>
      <c r="Q185" t="s">
        <v>8237</v>
      </c>
      <c r="R185" s="7">
        <v>36861</v>
      </c>
      <c r="S185" s="8">
        <f t="shared" si="16"/>
        <v>2000</v>
      </c>
      <c r="T185" s="8">
        <v>2000</v>
      </c>
      <c r="U185" s="8">
        <f t="shared" si="17"/>
        <v>22</v>
      </c>
      <c r="V185" s="7">
        <v>2000</v>
      </c>
      <c r="W185" t="s">
        <v>8236</v>
      </c>
      <c r="X185" s="2">
        <v>0.54700000000000004</v>
      </c>
      <c r="Y185" s="6">
        <f t="shared" si="18"/>
        <v>1.4601852593363766E-2</v>
      </c>
      <c r="AA185">
        <v>14348411</v>
      </c>
      <c r="AB185">
        <v>31211</v>
      </c>
      <c r="AD185" t="s">
        <v>3</v>
      </c>
      <c r="AE185">
        <v>54</v>
      </c>
      <c r="AF185">
        <v>5</v>
      </c>
      <c r="AH185" t="s">
        <v>8235</v>
      </c>
      <c r="AI185" t="s">
        <v>8234</v>
      </c>
      <c r="AK185" t="s">
        <v>8233</v>
      </c>
      <c r="AL185">
        <v>2</v>
      </c>
      <c r="AM185" s="5">
        <f t="shared" si="19"/>
        <v>9.0909090909090912E-2</v>
      </c>
      <c r="AN185" s="4">
        <f t="shared" si="20"/>
        <v>1.3768889194864205E-4</v>
      </c>
      <c r="AO185" s="3"/>
      <c r="AP185">
        <v>0</v>
      </c>
      <c r="AR185" t="s">
        <v>1</v>
      </c>
      <c r="AT185" s="2" t="s">
        <v>0</v>
      </c>
      <c r="AU185" s="1">
        <f t="shared" si="21"/>
        <v>1.026260348293923</v>
      </c>
      <c r="AV185" s="1">
        <f t="shared" si="22"/>
        <v>0.73697707426562042</v>
      </c>
      <c r="AW185" s="1">
        <f t="shared" si="23"/>
        <v>0.44769380023731797</v>
      </c>
    </row>
    <row r="186" spans="1:49" x14ac:dyDescent="0.2">
      <c r="A186">
        <v>184</v>
      </c>
      <c r="B186" t="s">
        <v>8232</v>
      </c>
      <c r="C186" t="s">
        <v>8231</v>
      </c>
      <c r="F186" t="s">
        <v>8230</v>
      </c>
      <c r="G186" t="s">
        <v>9</v>
      </c>
      <c r="H186" t="s">
        <v>8</v>
      </c>
      <c r="I186" t="s">
        <v>8229</v>
      </c>
      <c r="J186">
        <v>60013983</v>
      </c>
      <c r="K186" t="s">
        <v>162</v>
      </c>
      <c r="L186" t="s">
        <v>161</v>
      </c>
      <c r="M186" t="s">
        <v>160</v>
      </c>
      <c r="N186">
        <v>5</v>
      </c>
      <c r="O186" t="s">
        <v>8228</v>
      </c>
      <c r="P186" t="s">
        <v>8227</v>
      </c>
      <c r="Q186" t="s">
        <v>731</v>
      </c>
      <c r="R186" s="7">
        <v>36861</v>
      </c>
      <c r="S186" s="8">
        <f t="shared" si="16"/>
        <v>2000</v>
      </c>
      <c r="T186" s="8">
        <v>2000</v>
      </c>
      <c r="U186" s="8">
        <f t="shared" si="17"/>
        <v>22</v>
      </c>
      <c r="V186" s="7">
        <v>36861</v>
      </c>
      <c r="W186" t="s">
        <v>150</v>
      </c>
      <c r="X186" s="2">
        <v>0.30399999999999999</v>
      </c>
      <c r="Y186" s="6">
        <f t="shared" si="18"/>
        <v>8.115106377299057E-3</v>
      </c>
      <c r="AA186">
        <v>8952477</v>
      </c>
      <c r="AB186">
        <v>12250</v>
      </c>
      <c r="AD186" t="s">
        <v>3</v>
      </c>
      <c r="AE186">
        <v>27</v>
      </c>
      <c r="AF186">
        <v>6</v>
      </c>
      <c r="AH186" t="s">
        <v>704</v>
      </c>
      <c r="AI186" t="s">
        <v>8226</v>
      </c>
      <c r="AK186" t="s">
        <v>8225</v>
      </c>
      <c r="AL186">
        <v>33</v>
      </c>
      <c r="AM186" s="5">
        <f t="shared" si="19"/>
        <v>1.5</v>
      </c>
      <c r="AN186" s="4">
        <f t="shared" si="20"/>
        <v>2.2718667171525938E-3</v>
      </c>
      <c r="AO186" s="3"/>
      <c r="AP186">
        <v>0</v>
      </c>
      <c r="AR186" t="s">
        <v>1</v>
      </c>
      <c r="AT186" s="2" t="s">
        <v>0</v>
      </c>
      <c r="AU186" s="1">
        <f t="shared" si="21"/>
        <v>0.63621344792551171</v>
      </c>
      <c r="AV186" s="1">
        <f t="shared" si="22"/>
        <v>0.51934865472258251</v>
      </c>
      <c r="AW186" s="1">
        <f t="shared" si="23"/>
        <v>0.40248386151965326</v>
      </c>
    </row>
    <row r="187" spans="1:49" x14ac:dyDescent="0.2">
      <c r="A187">
        <v>185</v>
      </c>
      <c r="B187" t="s">
        <v>8224</v>
      </c>
      <c r="C187" t="s">
        <v>8223</v>
      </c>
      <c r="F187" t="s">
        <v>8222</v>
      </c>
      <c r="G187" t="s">
        <v>9</v>
      </c>
      <c r="H187" t="s">
        <v>8</v>
      </c>
      <c r="I187" t="s">
        <v>8221</v>
      </c>
      <c r="J187">
        <v>60010818</v>
      </c>
      <c r="K187" t="s">
        <v>812</v>
      </c>
      <c r="L187" t="s">
        <v>811</v>
      </c>
      <c r="M187" t="s">
        <v>87</v>
      </c>
      <c r="N187">
        <v>4</v>
      </c>
      <c r="O187" t="s">
        <v>8220</v>
      </c>
      <c r="P187" t="s">
        <v>8219</v>
      </c>
      <c r="Q187" t="s">
        <v>8218</v>
      </c>
      <c r="R187" s="7">
        <v>36861</v>
      </c>
      <c r="S187" s="8">
        <f t="shared" si="16"/>
        <v>2000</v>
      </c>
      <c r="T187" s="8">
        <v>2000</v>
      </c>
      <c r="U187" s="8">
        <f t="shared" si="17"/>
        <v>22</v>
      </c>
      <c r="V187" s="7">
        <v>36861</v>
      </c>
      <c r="W187" t="s">
        <v>150</v>
      </c>
      <c r="X187" s="2">
        <v>0.30399999999999999</v>
      </c>
      <c r="Y187" s="6">
        <f t="shared" si="18"/>
        <v>8.115106377299057E-3</v>
      </c>
      <c r="AA187">
        <v>8952477</v>
      </c>
      <c r="AB187">
        <v>12250</v>
      </c>
      <c r="AD187" t="s">
        <v>3</v>
      </c>
      <c r="AE187">
        <v>27</v>
      </c>
      <c r="AF187">
        <v>6</v>
      </c>
      <c r="AH187" t="s">
        <v>8217</v>
      </c>
      <c r="AI187" t="s">
        <v>8216</v>
      </c>
      <c r="AK187" t="s">
        <v>8215</v>
      </c>
      <c r="AL187">
        <v>7</v>
      </c>
      <c r="AM187" s="5">
        <f t="shared" si="19"/>
        <v>0.31818181818181818</v>
      </c>
      <c r="AN187" s="4">
        <f t="shared" si="20"/>
        <v>4.8191112182024716E-4</v>
      </c>
      <c r="AO187" s="3"/>
      <c r="AP187">
        <v>0</v>
      </c>
      <c r="AR187" t="s">
        <v>1</v>
      </c>
      <c r="AT187" s="2" t="s">
        <v>0</v>
      </c>
      <c r="AU187" s="1">
        <f t="shared" si="21"/>
        <v>0.58251478006554136</v>
      </c>
      <c r="AV187" s="1">
        <f t="shared" si="22"/>
        <v>0.42985087495596519</v>
      </c>
      <c r="AW187" s="1">
        <f t="shared" si="23"/>
        <v>0.27718696984638902</v>
      </c>
    </row>
    <row r="188" spans="1:49" x14ac:dyDescent="0.2">
      <c r="A188">
        <v>186</v>
      </c>
      <c r="B188" t="s">
        <v>8214</v>
      </c>
      <c r="F188" t="s">
        <v>8213</v>
      </c>
      <c r="G188" t="s">
        <v>9</v>
      </c>
      <c r="H188" t="s">
        <v>8</v>
      </c>
      <c r="I188" t="s">
        <v>8212</v>
      </c>
      <c r="J188">
        <v>60003554</v>
      </c>
      <c r="K188" t="s">
        <v>898</v>
      </c>
      <c r="L188" t="s">
        <v>126</v>
      </c>
      <c r="M188" t="s">
        <v>32</v>
      </c>
      <c r="N188">
        <v>2</v>
      </c>
      <c r="O188" t="s">
        <v>8211</v>
      </c>
      <c r="P188" t="s">
        <v>8210</v>
      </c>
      <c r="Q188" t="s">
        <v>897</v>
      </c>
      <c r="R188" s="7">
        <v>36861</v>
      </c>
      <c r="S188" s="8">
        <f t="shared" si="16"/>
        <v>2000</v>
      </c>
      <c r="T188" s="8">
        <v>2000</v>
      </c>
      <c r="U188" s="8">
        <f t="shared" si="17"/>
        <v>22</v>
      </c>
      <c r="V188" s="7">
        <v>2000</v>
      </c>
      <c r="W188" t="s">
        <v>139</v>
      </c>
      <c r="X188" s="2">
        <v>0.125</v>
      </c>
      <c r="Y188" s="6">
        <f t="shared" si="18"/>
        <v>3.3368036090867838E-3</v>
      </c>
      <c r="AA188" t="s">
        <v>138</v>
      </c>
      <c r="AB188">
        <v>64260</v>
      </c>
      <c r="AD188" t="s">
        <v>3</v>
      </c>
      <c r="AF188">
        <v>1650</v>
      </c>
      <c r="AH188" s="10">
        <v>44317</v>
      </c>
      <c r="AI188" t="s">
        <v>8209</v>
      </c>
      <c r="AK188" t="s">
        <v>8208</v>
      </c>
      <c r="AL188">
        <v>0</v>
      </c>
      <c r="AM188" s="5">
        <f t="shared" si="19"/>
        <v>0</v>
      </c>
      <c r="AN188" s="4">
        <f t="shared" si="20"/>
        <v>0</v>
      </c>
      <c r="AO188" s="3"/>
      <c r="AP188">
        <v>0</v>
      </c>
      <c r="AR188" t="s">
        <v>1</v>
      </c>
      <c r="AT188" s="2" t="s">
        <v>0</v>
      </c>
      <c r="AU188" s="1">
        <f t="shared" si="21"/>
        <v>0.23357625263607484</v>
      </c>
      <c r="AV188" s="1">
        <f t="shared" si="22"/>
        <v>0.16684018045433918</v>
      </c>
      <c r="AW188" s="1">
        <f t="shared" si="23"/>
        <v>0.10010410827260351</v>
      </c>
    </row>
    <row r="189" spans="1:49" x14ac:dyDescent="0.2">
      <c r="A189">
        <v>187</v>
      </c>
      <c r="B189" t="s">
        <v>8207</v>
      </c>
      <c r="C189" t="s">
        <v>8206</v>
      </c>
      <c r="F189" t="s">
        <v>8205</v>
      </c>
      <c r="G189" t="s">
        <v>9</v>
      </c>
      <c r="H189" t="s">
        <v>8</v>
      </c>
      <c r="I189" t="s">
        <v>8204</v>
      </c>
      <c r="J189" t="s">
        <v>8203</v>
      </c>
      <c r="K189" t="s">
        <v>8202</v>
      </c>
      <c r="L189" t="s">
        <v>8201</v>
      </c>
      <c r="M189" t="s">
        <v>244</v>
      </c>
      <c r="N189">
        <v>4</v>
      </c>
      <c r="O189" t="s">
        <v>8200</v>
      </c>
      <c r="P189" t="s">
        <v>8199</v>
      </c>
      <c r="Q189" t="s">
        <v>8198</v>
      </c>
      <c r="R189" s="7">
        <v>36861</v>
      </c>
      <c r="S189" s="8">
        <f t="shared" si="16"/>
        <v>2000</v>
      </c>
      <c r="T189" s="8">
        <v>2000</v>
      </c>
      <c r="U189" s="8">
        <f t="shared" si="17"/>
        <v>22</v>
      </c>
      <c r="V189" s="7">
        <v>2000</v>
      </c>
      <c r="W189" t="s">
        <v>624</v>
      </c>
      <c r="X189" s="2">
        <v>0.755</v>
      </c>
      <c r="Y189" s="6">
        <f t="shared" si="18"/>
        <v>2.0154293798884174E-2</v>
      </c>
      <c r="AA189">
        <v>3003604</v>
      </c>
      <c r="AB189">
        <v>16515</v>
      </c>
      <c r="AD189" t="s">
        <v>3</v>
      </c>
      <c r="AE189">
        <v>38</v>
      </c>
      <c r="AF189">
        <v>2</v>
      </c>
      <c r="AH189" t="s">
        <v>788</v>
      </c>
      <c r="AI189" t="s">
        <v>8197</v>
      </c>
      <c r="AK189" t="s">
        <v>8196</v>
      </c>
      <c r="AL189">
        <v>8</v>
      </c>
      <c r="AM189" s="5">
        <f t="shared" si="19"/>
        <v>0.36363636363636365</v>
      </c>
      <c r="AN189" s="4">
        <f t="shared" si="20"/>
        <v>5.5075556779456819E-4</v>
      </c>
      <c r="AO189" s="3"/>
      <c r="AP189">
        <v>0</v>
      </c>
      <c r="AR189" t="s">
        <v>1</v>
      </c>
      <c r="AT189" s="2">
        <v>3.1890000000000001</v>
      </c>
      <c r="AU189" s="1">
        <f t="shared" si="21"/>
        <v>1.427323232955729</v>
      </c>
      <c r="AV189" s="1">
        <f t="shared" si="22"/>
        <v>1.035252468333937</v>
      </c>
      <c r="AW189" s="1">
        <f t="shared" si="23"/>
        <v>0.64318170371214489</v>
      </c>
    </row>
    <row r="190" spans="1:49" x14ac:dyDescent="0.2">
      <c r="A190">
        <v>188</v>
      </c>
      <c r="B190" t="s">
        <v>8195</v>
      </c>
      <c r="C190" t="s">
        <v>8194</v>
      </c>
      <c r="D190" t="s">
        <v>8193</v>
      </c>
      <c r="E190">
        <v>11131184</v>
      </c>
      <c r="F190" t="s">
        <v>8192</v>
      </c>
      <c r="G190" t="s">
        <v>9</v>
      </c>
      <c r="H190" t="s">
        <v>8</v>
      </c>
      <c r="I190" t="s">
        <v>8191</v>
      </c>
      <c r="J190">
        <v>60016849</v>
      </c>
      <c r="K190" t="s">
        <v>104</v>
      </c>
      <c r="L190" t="s">
        <v>103</v>
      </c>
      <c r="M190" t="s">
        <v>16</v>
      </c>
      <c r="N190">
        <v>10</v>
      </c>
      <c r="O190" t="s">
        <v>8190</v>
      </c>
      <c r="P190" t="s">
        <v>8189</v>
      </c>
      <c r="Q190" t="s">
        <v>8188</v>
      </c>
      <c r="R190" s="7">
        <v>36861</v>
      </c>
      <c r="S190" s="8">
        <f t="shared" si="16"/>
        <v>2000</v>
      </c>
      <c r="T190" s="8">
        <v>2000</v>
      </c>
      <c r="U190" s="8">
        <f t="shared" si="17"/>
        <v>22</v>
      </c>
      <c r="V190" s="7">
        <v>2000</v>
      </c>
      <c r="W190" t="s">
        <v>2810</v>
      </c>
      <c r="X190" s="2">
        <v>1.3120000000000001</v>
      </c>
      <c r="Y190" s="6">
        <f t="shared" si="18"/>
        <v>3.502309068097488E-2</v>
      </c>
      <c r="AA190">
        <v>319155</v>
      </c>
      <c r="AB190">
        <v>29203</v>
      </c>
      <c r="AD190" t="s">
        <v>3</v>
      </c>
      <c r="AE190">
        <v>45</v>
      </c>
      <c r="AF190">
        <v>12</v>
      </c>
      <c r="AH190" t="s">
        <v>8187</v>
      </c>
      <c r="AI190" t="s">
        <v>8186</v>
      </c>
      <c r="AK190" t="s">
        <v>8185</v>
      </c>
      <c r="AL190">
        <v>72</v>
      </c>
      <c r="AM190" s="5">
        <f t="shared" si="19"/>
        <v>3.2727272727272729</v>
      </c>
      <c r="AN190" s="4">
        <f t="shared" si="20"/>
        <v>4.9568001101511138E-3</v>
      </c>
      <c r="AO190" s="3"/>
      <c r="AP190">
        <v>0</v>
      </c>
      <c r="AR190" t="s">
        <v>1</v>
      </c>
      <c r="AT190" s="2">
        <v>3.609</v>
      </c>
      <c r="AU190" s="1">
        <f t="shared" si="21"/>
        <v>2.6003203509727748</v>
      </c>
      <c r="AV190" s="1">
        <f t="shared" si="22"/>
        <v>1.9989945395562998</v>
      </c>
      <c r="AW190" s="1">
        <f t="shared" si="23"/>
        <v>1.3976687281398243</v>
      </c>
    </row>
    <row r="191" spans="1:49" x14ac:dyDescent="0.2">
      <c r="A191">
        <v>189</v>
      </c>
      <c r="B191" t="s">
        <v>8184</v>
      </c>
      <c r="C191" t="s">
        <v>8183</v>
      </c>
      <c r="D191" t="s">
        <v>8182</v>
      </c>
      <c r="F191" t="s">
        <v>8181</v>
      </c>
      <c r="G191" t="s">
        <v>9</v>
      </c>
      <c r="H191" t="s">
        <v>8</v>
      </c>
      <c r="I191" t="s">
        <v>8180</v>
      </c>
      <c r="J191" t="s">
        <v>8179</v>
      </c>
      <c r="K191" t="s">
        <v>8178</v>
      </c>
      <c r="L191" t="s">
        <v>8177</v>
      </c>
      <c r="M191" t="s">
        <v>45</v>
      </c>
      <c r="N191">
        <v>2</v>
      </c>
      <c r="O191" t="s">
        <v>8176</v>
      </c>
      <c r="P191" t="s">
        <v>8175</v>
      </c>
      <c r="Q191" t="s">
        <v>8174</v>
      </c>
      <c r="R191" s="7">
        <v>36861</v>
      </c>
      <c r="S191" s="8">
        <f t="shared" si="16"/>
        <v>2000</v>
      </c>
      <c r="T191" s="8">
        <v>2000</v>
      </c>
      <c r="U191" s="8">
        <f t="shared" si="17"/>
        <v>22</v>
      </c>
      <c r="V191" s="7">
        <v>2000</v>
      </c>
      <c r="W191" t="s">
        <v>108</v>
      </c>
      <c r="X191" s="2">
        <v>0.998</v>
      </c>
      <c r="Y191" s="6">
        <f t="shared" si="18"/>
        <v>2.664104001494888E-2</v>
      </c>
      <c r="AA191">
        <v>14678039</v>
      </c>
      <c r="AB191">
        <v>19156</v>
      </c>
      <c r="AD191" t="s">
        <v>3</v>
      </c>
      <c r="AE191">
        <v>29</v>
      </c>
      <c r="AF191">
        <v>2</v>
      </c>
      <c r="AH191" t="s">
        <v>8173</v>
      </c>
      <c r="AI191" t="s">
        <v>8172</v>
      </c>
      <c r="AJ191" t="s">
        <v>8171</v>
      </c>
      <c r="AK191" t="s">
        <v>8170</v>
      </c>
      <c r="AL191">
        <v>41</v>
      </c>
      <c r="AM191" s="5">
        <f t="shared" si="19"/>
        <v>1.8636363636363635</v>
      </c>
      <c r="AN191" s="4">
        <f t="shared" si="20"/>
        <v>2.8226222849471617E-3</v>
      </c>
      <c r="AO191" s="3"/>
      <c r="AP191">
        <v>0</v>
      </c>
      <c r="AR191" t="s">
        <v>1</v>
      </c>
      <c r="AT191" s="2" t="s">
        <v>0</v>
      </c>
      <c r="AU191" s="1">
        <f t="shared" si="21"/>
        <v>1.9495514695948364</v>
      </c>
      <c r="AV191" s="1">
        <f t="shared" si="22"/>
        <v>1.473183114994802</v>
      </c>
      <c r="AW191" s="1">
        <f t="shared" si="23"/>
        <v>0.99681476039476768</v>
      </c>
    </row>
    <row r="192" spans="1:49" x14ac:dyDescent="0.2">
      <c r="A192">
        <v>190</v>
      </c>
      <c r="B192" t="s">
        <v>8169</v>
      </c>
      <c r="C192" t="s">
        <v>8168</v>
      </c>
      <c r="F192" t="s">
        <v>8167</v>
      </c>
      <c r="G192" t="s">
        <v>9</v>
      </c>
      <c r="H192" t="s">
        <v>8</v>
      </c>
      <c r="I192" t="s">
        <v>8166</v>
      </c>
      <c r="J192">
        <v>60005248</v>
      </c>
      <c r="K192" t="s">
        <v>533</v>
      </c>
      <c r="L192" t="s">
        <v>272</v>
      </c>
      <c r="M192" t="s">
        <v>5</v>
      </c>
      <c r="N192">
        <v>3</v>
      </c>
      <c r="O192" t="s">
        <v>8165</v>
      </c>
      <c r="P192" t="s">
        <v>8164</v>
      </c>
      <c r="Q192" t="s">
        <v>8163</v>
      </c>
      <c r="R192" s="7">
        <v>36861</v>
      </c>
      <c r="S192" s="8">
        <f t="shared" si="16"/>
        <v>2000</v>
      </c>
      <c r="T192" s="8">
        <v>2000</v>
      </c>
      <c r="U192" s="8">
        <f t="shared" si="17"/>
        <v>22</v>
      </c>
      <c r="V192" s="7">
        <v>2000</v>
      </c>
      <c r="W192" t="s">
        <v>8149</v>
      </c>
      <c r="X192" s="2">
        <v>0.52800000000000002</v>
      </c>
      <c r="Y192" s="6">
        <f t="shared" si="18"/>
        <v>1.4094658444782575E-2</v>
      </c>
      <c r="AA192">
        <v>9514198</v>
      </c>
      <c r="AB192">
        <v>24088</v>
      </c>
      <c r="AD192" t="s">
        <v>3</v>
      </c>
      <c r="AE192">
        <v>14</v>
      </c>
      <c r="AF192">
        <v>24</v>
      </c>
      <c r="AH192" t="s">
        <v>8162</v>
      </c>
      <c r="AI192" t="s">
        <v>8161</v>
      </c>
      <c r="AK192" t="s">
        <v>8160</v>
      </c>
      <c r="AL192">
        <v>32</v>
      </c>
      <c r="AM192" s="5">
        <f t="shared" si="19"/>
        <v>1.4545454545454546</v>
      </c>
      <c r="AN192" s="4">
        <f t="shared" si="20"/>
        <v>2.2030222711782728E-3</v>
      </c>
      <c r="AO192" s="3"/>
      <c r="AP192">
        <v>0</v>
      </c>
      <c r="AR192" t="s">
        <v>1</v>
      </c>
      <c r="AT192" s="2" t="s">
        <v>0</v>
      </c>
      <c r="AU192" s="1">
        <f t="shared" si="21"/>
        <v>1.0527167592701283</v>
      </c>
      <c r="AV192" s="1">
        <f t="shared" si="22"/>
        <v>0.81488403579804236</v>
      </c>
      <c r="AW192" s="1">
        <f t="shared" si="23"/>
        <v>0.5770513123259563</v>
      </c>
    </row>
    <row r="193" spans="1:49" x14ac:dyDescent="0.2">
      <c r="A193">
        <v>191</v>
      </c>
      <c r="B193" t="s">
        <v>8159</v>
      </c>
      <c r="C193" t="s">
        <v>8158</v>
      </c>
      <c r="E193">
        <v>11114054</v>
      </c>
      <c r="F193" t="s">
        <v>8157</v>
      </c>
      <c r="G193" t="s">
        <v>9</v>
      </c>
      <c r="H193" t="s">
        <v>8</v>
      </c>
      <c r="I193" t="s">
        <v>8156</v>
      </c>
      <c r="J193" t="s">
        <v>8155</v>
      </c>
      <c r="K193" t="s">
        <v>8154</v>
      </c>
      <c r="L193" t="s">
        <v>8153</v>
      </c>
      <c r="M193" t="s">
        <v>1791</v>
      </c>
      <c r="N193">
        <v>7</v>
      </c>
      <c r="O193" t="s">
        <v>8152</v>
      </c>
      <c r="P193" t="s">
        <v>8151</v>
      </c>
      <c r="Q193" t="s">
        <v>8150</v>
      </c>
      <c r="R193" s="7">
        <v>36861</v>
      </c>
      <c r="S193" s="8">
        <f t="shared" si="16"/>
        <v>2000</v>
      </c>
      <c r="T193" s="8">
        <v>2000</v>
      </c>
      <c r="U193" s="8">
        <f t="shared" si="17"/>
        <v>22</v>
      </c>
      <c r="V193" s="7">
        <v>2000</v>
      </c>
      <c r="W193" t="s">
        <v>8149</v>
      </c>
      <c r="X193" s="2">
        <v>0.52800000000000002</v>
      </c>
      <c r="Y193" s="6">
        <f t="shared" si="18"/>
        <v>1.4094658444782575E-2</v>
      </c>
      <c r="AA193">
        <v>9514198</v>
      </c>
      <c r="AB193">
        <v>24088</v>
      </c>
      <c r="AD193" t="s">
        <v>3</v>
      </c>
      <c r="AE193">
        <v>14</v>
      </c>
      <c r="AF193">
        <v>24</v>
      </c>
      <c r="AH193" t="s">
        <v>8148</v>
      </c>
      <c r="AI193" t="s">
        <v>8147</v>
      </c>
      <c r="AK193" t="s">
        <v>8146</v>
      </c>
      <c r="AL193">
        <v>74</v>
      </c>
      <c r="AM193" s="5">
        <f t="shared" si="19"/>
        <v>3.3636363636363638</v>
      </c>
      <c r="AN193" s="4">
        <f t="shared" si="20"/>
        <v>5.0944890020997559E-3</v>
      </c>
      <c r="AO193" s="3"/>
      <c r="AP193">
        <v>0</v>
      </c>
      <c r="AR193" t="s">
        <v>1</v>
      </c>
      <c r="AT193" s="2" t="s">
        <v>0</v>
      </c>
      <c r="AU193" s="1">
        <f t="shared" si="21"/>
        <v>1.1394607611977727</v>
      </c>
      <c r="AV193" s="1">
        <f t="shared" si="22"/>
        <v>0.95945737234411654</v>
      </c>
      <c r="AW193" s="1">
        <f t="shared" si="23"/>
        <v>0.77945398349046013</v>
      </c>
    </row>
    <row r="194" spans="1:49" x14ac:dyDescent="0.2">
      <c r="A194">
        <v>192</v>
      </c>
      <c r="B194" t="s">
        <v>8145</v>
      </c>
      <c r="C194" t="s">
        <v>8144</v>
      </c>
      <c r="D194" t="s">
        <v>8143</v>
      </c>
      <c r="F194" t="s">
        <v>8142</v>
      </c>
      <c r="G194" t="s">
        <v>9</v>
      </c>
      <c r="H194" t="s">
        <v>8</v>
      </c>
      <c r="I194" t="s">
        <v>8141</v>
      </c>
      <c r="J194" t="s">
        <v>952</v>
      </c>
      <c r="K194" t="s">
        <v>951</v>
      </c>
      <c r="L194" t="s">
        <v>950</v>
      </c>
      <c r="M194" t="s">
        <v>143</v>
      </c>
      <c r="N194">
        <v>3</v>
      </c>
      <c r="O194" t="s">
        <v>8140</v>
      </c>
      <c r="P194" t="s">
        <v>8139</v>
      </c>
      <c r="Q194" t="s">
        <v>8138</v>
      </c>
      <c r="R194" s="7">
        <v>36861</v>
      </c>
      <c r="S194" s="8">
        <f t="shared" ref="S194:S257" si="24">YEAR(R194)</f>
        <v>2000</v>
      </c>
      <c r="T194" s="8">
        <v>2000</v>
      </c>
      <c r="U194" s="8">
        <f t="shared" ref="U194:U257" si="25">2022-T194</f>
        <v>22</v>
      </c>
      <c r="V194" s="7">
        <v>2000</v>
      </c>
      <c r="W194" t="s">
        <v>108</v>
      </c>
      <c r="X194" s="2">
        <v>0.998</v>
      </c>
      <c r="Y194" s="6">
        <f t="shared" ref="Y194:Y257" si="26">(X194-$Z$3)/($Z$2-$Z$3)</f>
        <v>2.664104001494888E-2</v>
      </c>
      <c r="AA194">
        <v>14678039</v>
      </c>
      <c r="AB194">
        <v>19156</v>
      </c>
      <c r="AD194" t="s">
        <v>3</v>
      </c>
      <c r="AE194">
        <v>29</v>
      </c>
      <c r="AF194">
        <v>2</v>
      </c>
      <c r="AH194" t="s">
        <v>8137</v>
      </c>
      <c r="AI194" t="s">
        <v>8136</v>
      </c>
      <c r="AJ194" t="s">
        <v>8135</v>
      </c>
      <c r="AK194" t="s">
        <v>8134</v>
      </c>
      <c r="AL194">
        <v>1</v>
      </c>
      <c r="AM194" s="5">
        <f t="shared" ref="AM194:AM257" si="27">AL194/U194</f>
        <v>4.5454545454545456E-2</v>
      </c>
      <c r="AN194" s="4">
        <f t="shared" ref="AN194:AN257" si="28">(AM194-$AO$3)/($AO$2-$AO$3)</f>
        <v>6.8844445974321024E-5</v>
      </c>
      <c r="AO194" s="3"/>
      <c r="AP194">
        <v>0</v>
      </c>
      <c r="AQ194" t="s">
        <v>453</v>
      </c>
      <c r="AR194" t="s">
        <v>8133</v>
      </c>
      <c r="AS194" t="s">
        <v>8132</v>
      </c>
      <c r="AT194" s="2" t="s">
        <v>0</v>
      </c>
      <c r="AU194" s="1">
        <f t="shared" ref="AU194:AU257" si="29">(Y194*0.7+AN194*0.3)*100</f>
        <v>1.866938134425651</v>
      </c>
      <c r="AV194" s="1">
        <f t="shared" ref="AV194:AV257" si="30">(Y194*0.5+AN194*0.5)*100</f>
        <v>1.3354942230461602</v>
      </c>
      <c r="AW194" s="1">
        <f t="shared" ref="AW194:AW257" si="31">(Y194*0.3+AN194*0.7)*100</f>
        <v>0.80405031166666896</v>
      </c>
    </row>
    <row r="195" spans="1:49" x14ac:dyDescent="0.2">
      <c r="A195">
        <v>193</v>
      </c>
      <c r="B195" t="s">
        <v>8131</v>
      </c>
      <c r="C195" t="s">
        <v>8130</v>
      </c>
      <c r="D195" t="s">
        <v>8129</v>
      </c>
      <c r="E195">
        <v>11125836</v>
      </c>
      <c r="F195" t="s">
        <v>8128</v>
      </c>
      <c r="G195" t="s">
        <v>9</v>
      </c>
      <c r="H195" t="s">
        <v>8</v>
      </c>
      <c r="I195" t="s">
        <v>8127</v>
      </c>
      <c r="J195" t="s">
        <v>8126</v>
      </c>
      <c r="K195" t="s">
        <v>8125</v>
      </c>
      <c r="L195" t="s">
        <v>8124</v>
      </c>
      <c r="M195" t="s">
        <v>899</v>
      </c>
      <c r="N195">
        <v>5</v>
      </c>
      <c r="O195" t="s">
        <v>8123</v>
      </c>
      <c r="P195" t="s">
        <v>8122</v>
      </c>
      <c r="Q195" t="s">
        <v>8121</v>
      </c>
      <c r="R195" s="7">
        <v>36861</v>
      </c>
      <c r="S195" s="8">
        <f t="shared" si="24"/>
        <v>2000</v>
      </c>
      <c r="T195" s="8">
        <v>2000</v>
      </c>
      <c r="U195" s="8">
        <f t="shared" si="25"/>
        <v>22</v>
      </c>
      <c r="V195" s="7">
        <v>36861</v>
      </c>
      <c r="W195" t="s">
        <v>8120</v>
      </c>
      <c r="X195" s="2">
        <v>0.46500000000000002</v>
      </c>
      <c r="Y195" s="6">
        <f t="shared" si="26"/>
        <v>1.2412909425802835E-2</v>
      </c>
      <c r="AA195">
        <v>86215</v>
      </c>
      <c r="AB195">
        <v>25803</v>
      </c>
      <c r="AD195" t="s">
        <v>3</v>
      </c>
      <c r="AE195">
        <v>329</v>
      </c>
      <c r="AF195">
        <v>4</v>
      </c>
      <c r="AH195" t="s">
        <v>8119</v>
      </c>
      <c r="AI195" t="s">
        <v>8118</v>
      </c>
      <c r="AJ195" t="s">
        <v>8117</v>
      </c>
      <c r="AK195" t="s">
        <v>8116</v>
      </c>
      <c r="AL195">
        <v>8</v>
      </c>
      <c r="AM195" s="5">
        <f t="shared" si="27"/>
        <v>0.36363636363636365</v>
      </c>
      <c r="AN195" s="4">
        <f t="shared" si="28"/>
        <v>5.5075556779456819E-4</v>
      </c>
      <c r="AO195" s="3"/>
      <c r="AP195">
        <v>0</v>
      </c>
      <c r="AR195" t="s">
        <v>1</v>
      </c>
      <c r="AT195" s="2">
        <v>2.1040000000000001</v>
      </c>
      <c r="AU195" s="1">
        <f t="shared" si="29"/>
        <v>0.88542632684003553</v>
      </c>
      <c r="AV195" s="1">
        <f t="shared" si="30"/>
        <v>0.64818324967987018</v>
      </c>
      <c r="AW195" s="1">
        <f t="shared" si="31"/>
        <v>0.41094017251970477</v>
      </c>
    </row>
    <row r="196" spans="1:49" x14ac:dyDescent="0.2">
      <c r="A196">
        <v>194</v>
      </c>
      <c r="B196" t="s">
        <v>8115</v>
      </c>
      <c r="C196" t="s">
        <v>8114</v>
      </c>
      <c r="F196" t="s">
        <v>8113</v>
      </c>
      <c r="G196" t="s">
        <v>9</v>
      </c>
      <c r="H196" t="s">
        <v>8</v>
      </c>
      <c r="I196" t="s">
        <v>8112</v>
      </c>
      <c r="J196" t="s">
        <v>8111</v>
      </c>
      <c r="K196" t="s">
        <v>8110</v>
      </c>
      <c r="L196" t="s">
        <v>8109</v>
      </c>
      <c r="M196" t="s">
        <v>88</v>
      </c>
      <c r="N196">
        <v>4</v>
      </c>
      <c r="O196" t="s">
        <v>8108</v>
      </c>
      <c r="P196" t="s">
        <v>8107</v>
      </c>
      <c r="Q196" t="s">
        <v>8106</v>
      </c>
      <c r="R196" s="7">
        <v>36861</v>
      </c>
      <c r="S196" s="8">
        <f t="shared" si="24"/>
        <v>2000</v>
      </c>
      <c r="T196" s="8">
        <v>2000</v>
      </c>
      <c r="U196" s="8">
        <f t="shared" si="25"/>
        <v>22</v>
      </c>
      <c r="V196" s="7">
        <v>2000</v>
      </c>
      <c r="W196" t="s">
        <v>8105</v>
      </c>
      <c r="X196" s="2">
        <v>1.351</v>
      </c>
      <c r="Y196" s="6">
        <f t="shared" si="26"/>
        <v>3.6064173407009958E-2</v>
      </c>
      <c r="AA196">
        <v>319317</v>
      </c>
      <c r="AB196">
        <v>16530</v>
      </c>
      <c r="AD196" t="s">
        <v>3</v>
      </c>
      <c r="AE196">
        <v>110</v>
      </c>
      <c r="AF196">
        <v>4</v>
      </c>
      <c r="AH196" t="s">
        <v>8104</v>
      </c>
      <c r="AI196" t="s">
        <v>8103</v>
      </c>
      <c r="AK196" t="s">
        <v>8102</v>
      </c>
      <c r="AL196">
        <v>49</v>
      </c>
      <c r="AM196" s="5">
        <f t="shared" si="27"/>
        <v>2.2272727272727271</v>
      </c>
      <c r="AN196" s="4">
        <f t="shared" si="28"/>
        <v>3.3733778527417295E-3</v>
      </c>
      <c r="AO196" s="3"/>
      <c r="AP196">
        <v>0</v>
      </c>
      <c r="AR196" t="s">
        <v>1</v>
      </c>
      <c r="AT196" s="2">
        <v>4.5</v>
      </c>
      <c r="AU196" s="1">
        <f t="shared" si="29"/>
        <v>2.625693474072949</v>
      </c>
      <c r="AV196" s="1">
        <f t="shared" si="30"/>
        <v>1.9718775629875844</v>
      </c>
      <c r="AW196" s="1">
        <f t="shared" si="31"/>
        <v>1.3180616519022197</v>
      </c>
    </row>
    <row r="197" spans="1:49" x14ac:dyDescent="0.2">
      <c r="A197">
        <v>195</v>
      </c>
      <c r="B197" t="s">
        <v>8101</v>
      </c>
      <c r="C197" t="s">
        <v>8100</v>
      </c>
      <c r="E197">
        <v>11122467</v>
      </c>
      <c r="F197" t="s">
        <v>8099</v>
      </c>
      <c r="G197" t="s">
        <v>9</v>
      </c>
      <c r="H197" t="s">
        <v>8</v>
      </c>
      <c r="I197" t="s">
        <v>8098</v>
      </c>
      <c r="J197">
        <v>60000745</v>
      </c>
      <c r="K197" t="s">
        <v>350</v>
      </c>
      <c r="L197" t="s">
        <v>349</v>
      </c>
      <c r="M197" t="s">
        <v>5</v>
      </c>
      <c r="N197">
        <v>3</v>
      </c>
      <c r="O197" t="s">
        <v>8097</v>
      </c>
      <c r="P197" t="s">
        <v>8096</v>
      </c>
      <c r="Q197" t="s">
        <v>874</v>
      </c>
      <c r="R197" s="7">
        <v>36861</v>
      </c>
      <c r="S197" s="8">
        <f t="shared" si="24"/>
        <v>2000</v>
      </c>
      <c r="T197" s="8">
        <v>2000</v>
      </c>
      <c r="U197" s="8">
        <f t="shared" si="25"/>
        <v>22</v>
      </c>
      <c r="V197" s="7">
        <v>2000</v>
      </c>
      <c r="W197" t="s">
        <v>8095</v>
      </c>
      <c r="X197" s="2">
        <v>0.95499999999999996</v>
      </c>
      <c r="Y197" s="6">
        <f t="shared" si="26"/>
        <v>2.5493179573423026E-2</v>
      </c>
      <c r="AA197">
        <v>9621075</v>
      </c>
      <c r="AB197">
        <v>20386</v>
      </c>
      <c r="AD197" t="s">
        <v>3</v>
      </c>
      <c r="AE197">
        <v>9</v>
      </c>
      <c r="AF197">
        <v>6</v>
      </c>
      <c r="AH197" t="s">
        <v>8094</v>
      </c>
      <c r="AI197" t="s">
        <v>8093</v>
      </c>
      <c r="AJ197" t="s">
        <v>8092</v>
      </c>
      <c r="AK197" t="s">
        <v>8091</v>
      </c>
      <c r="AL197">
        <v>64</v>
      </c>
      <c r="AM197" s="5">
        <f t="shared" si="27"/>
        <v>2.9090909090909092</v>
      </c>
      <c r="AN197" s="4">
        <f t="shared" si="28"/>
        <v>4.4060445423565455E-3</v>
      </c>
      <c r="AO197" s="3"/>
      <c r="AP197">
        <v>0</v>
      </c>
      <c r="AR197" t="s">
        <v>1</v>
      </c>
      <c r="AT197" s="2">
        <v>3.585</v>
      </c>
      <c r="AU197" s="1">
        <f t="shared" si="29"/>
        <v>1.9167039064103082</v>
      </c>
      <c r="AV197" s="1">
        <f t="shared" si="30"/>
        <v>1.4949612057889785</v>
      </c>
      <c r="AW197" s="1">
        <f t="shared" si="31"/>
        <v>1.0732185051676491</v>
      </c>
    </row>
    <row r="198" spans="1:49" x14ac:dyDescent="0.2">
      <c r="A198">
        <v>196</v>
      </c>
      <c r="B198" t="s">
        <v>8090</v>
      </c>
      <c r="F198" t="s">
        <v>8089</v>
      </c>
      <c r="G198" t="s">
        <v>9</v>
      </c>
      <c r="H198" t="s">
        <v>8</v>
      </c>
      <c r="I198" t="s">
        <v>8088</v>
      </c>
      <c r="J198">
        <v>60013682</v>
      </c>
      <c r="K198" t="s">
        <v>12</v>
      </c>
      <c r="L198" t="s">
        <v>11</v>
      </c>
      <c r="M198" t="s">
        <v>10</v>
      </c>
      <c r="N198">
        <v>4</v>
      </c>
      <c r="O198" t="s">
        <v>8087</v>
      </c>
      <c r="P198" t="s">
        <v>8086</v>
      </c>
      <c r="Q198" t="s">
        <v>8085</v>
      </c>
      <c r="R198" s="7">
        <v>36861</v>
      </c>
      <c r="S198" s="8">
        <f t="shared" si="24"/>
        <v>2000</v>
      </c>
      <c r="T198" s="8">
        <v>2000</v>
      </c>
      <c r="U198" s="8">
        <f t="shared" si="25"/>
        <v>22</v>
      </c>
      <c r="V198" s="7">
        <v>2000</v>
      </c>
      <c r="W198" t="s">
        <v>8084</v>
      </c>
      <c r="X198" s="2">
        <v>0.60099999999999998</v>
      </c>
      <c r="Y198" s="6">
        <f t="shared" si="26"/>
        <v>1.6043351752489256E-2</v>
      </c>
      <c r="AA198">
        <v>10177825</v>
      </c>
      <c r="AB198">
        <v>16086</v>
      </c>
      <c r="AD198" t="s">
        <v>3</v>
      </c>
      <c r="AE198">
        <v>10</v>
      </c>
      <c r="AF198">
        <v>6</v>
      </c>
      <c r="AH198" t="s">
        <v>8083</v>
      </c>
      <c r="AI198" t="s">
        <v>8082</v>
      </c>
      <c r="AJ198" t="s">
        <v>8081</v>
      </c>
      <c r="AK198" t="s">
        <v>8080</v>
      </c>
      <c r="AL198">
        <v>0</v>
      </c>
      <c r="AM198" s="5">
        <f t="shared" si="27"/>
        <v>0</v>
      </c>
      <c r="AN198" s="4">
        <f t="shared" si="28"/>
        <v>0</v>
      </c>
      <c r="AO198" s="3"/>
      <c r="AP198">
        <v>0</v>
      </c>
      <c r="AR198" t="s">
        <v>1</v>
      </c>
      <c r="AT198" s="2" t="s">
        <v>0</v>
      </c>
      <c r="AU198" s="1">
        <f t="shared" si="29"/>
        <v>1.1230346226742478</v>
      </c>
      <c r="AV198" s="1">
        <f t="shared" si="30"/>
        <v>0.80216758762446283</v>
      </c>
      <c r="AW198" s="1">
        <f t="shared" si="31"/>
        <v>0.48130055257467763</v>
      </c>
    </row>
    <row r="199" spans="1:49" x14ac:dyDescent="0.2">
      <c r="A199">
        <v>197</v>
      </c>
      <c r="B199" t="s">
        <v>8079</v>
      </c>
      <c r="C199" t="s">
        <v>8078</v>
      </c>
      <c r="F199" t="s">
        <v>8077</v>
      </c>
      <c r="G199" t="s">
        <v>9</v>
      </c>
      <c r="H199" t="s">
        <v>8</v>
      </c>
      <c r="I199" t="s">
        <v>8076</v>
      </c>
      <c r="J199">
        <v>60025997</v>
      </c>
      <c r="K199" t="s">
        <v>537</v>
      </c>
      <c r="L199" t="s">
        <v>163</v>
      </c>
      <c r="M199" t="s">
        <v>43</v>
      </c>
      <c r="N199">
        <v>2</v>
      </c>
      <c r="O199" t="s">
        <v>8075</v>
      </c>
      <c r="P199" t="s">
        <v>8074</v>
      </c>
      <c r="Q199" t="s">
        <v>8073</v>
      </c>
      <c r="R199" s="7">
        <v>36861</v>
      </c>
      <c r="S199" s="8">
        <f t="shared" si="24"/>
        <v>2000</v>
      </c>
      <c r="T199" s="8">
        <v>2000</v>
      </c>
      <c r="U199" s="8">
        <f t="shared" si="25"/>
        <v>22</v>
      </c>
      <c r="V199" s="7">
        <v>2000</v>
      </c>
      <c r="W199" t="s">
        <v>164</v>
      </c>
      <c r="X199" s="2">
        <v>0.111</v>
      </c>
      <c r="Y199" s="6">
        <f t="shared" si="26"/>
        <v>2.9630816048690639E-3</v>
      </c>
      <c r="AA199">
        <v>87566621</v>
      </c>
      <c r="AB199">
        <v>24890</v>
      </c>
      <c r="AD199" t="s">
        <v>3</v>
      </c>
      <c r="AE199">
        <v>83</v>
      </c>
      <c r="AF199">
        <v>3</v>
      </c>
      <c r="AH199" t="s">
        <v>8072</v>
      </c>
      <c r="AI199" t="s">
        <v>8071</v>
      </c>
      <c r="AK199" t="s">
        <v>8070</v>
      </c>
      <c r="AL199">
        <v>1</v>
      </c>
      <c r="AM199" s="5">
        <f t="shared" si="27"/>
        <v>4.5454545454545456E-2</v>
      </c>
      <c r="AN199" s="4">
        <f t="shared" si="28"/>
        <v>6.8844445974321024E-5</v>
      </c>
      <c r="AO199" s="3"/>
      <c r="AP199">
        <v>0</v>
      </c>
      <c r="AR199" t="s">
        <v>1</v>
      </c>
      <c r="AT199" s="2" t="s">
        <v>0</v>
      </c>
      <c r="AU199" s="1">
        <f t="shared" si="29"/>
        <v>0.20948104572006404</v>
      </c>
      <c r="AV199" s="1">
        <f t="shared" si="30"/>
        <v>0.15159630254216924</v>
      </c>
      <c r="AW199" s="1">
        <f t="shared" si="31"/>
        <v>9.3711559364274374E-2</v>
      </c>
    </row>
    <row r="200" spans="1:49" x14ac:dyDescent="0.2">
      <c r="A200">
        <v>198</v>
      </c>
      <c r="B200" t="s">
        <v>8069</v>
      </c>
      <c r="F200" t="s">
        <v>8068</v>
      </c>
      <c r="G200" t="s">
        <v>9</v>
      </c>
      <c r="H200" t="s">
        <v>8</v>
      </c>
      <c r="I200" t="s">
        <v>8067</v>
      </c>
      <c r="J200">
        <v>60029378</v>
      </c>
      <c r="K200" t="s">
        <v>8066</v>
      </c>
      <c r="L200" t="s">
        <v>8065</v>
      </c>
      <c r="M200" t="s">
        <v>5</v>
      </c>
      <c r="N200">
        <v>2</v>
      </c>
      <c r="O200" t="s">
        <v>8064</v>
      </c>
      <c r="P200" t="s">
        <v>8063</v>
      </c>
      <c r="Q200" t="s">
        <v>8062</v>
      </c>
      <c r="R200" s="7">
        <v>36861</v>
      </c>
      <c r="S200" s="8">
        <f t="shared" si="24"/>
        <v>2000</v>
      </c>
      <c r="T200" s="8">
        <v>2000</v>
      </c>
      <c r="U200" s="8">
        <f t="shared" si="25"/>
        <v>22</v>
      </c>
      <c r="V200" s="7">
        <v>2000</v>
      </c>
      <c r="W200" t="s">
        <v>8061</v>
      </c>
      <c r="X200" s="2" t="s">
        <v>0</v>
      </c>
      <c r="Y200" s="6" t="e">
        <f t="shared" si="26"/>
        <v>#VALUE!</v>
      </c>
      <c r="AA200">
        <v>2329298</v>
      </c>
      <c r="AB200">
        <v>27375</v>
      </c>
      <c r="AD200" t="s">
        <v>3</v>
      </c>
      <c r="AE200">
        <v>38</v>
      </c>
      <c r="AF200">
        <v>2</v>
      </c>
      <c r="AH200" t="s">
        <v>8060</v>
      </c>
      <c r="AI200" t="s">
        <v>8059</v>
      </c>
      <c r="AK200" t="s">
        <v>8058</v>
      </c>
      <c r="AL200">
        <v>0</v>
      </c>
      <c r="AM200" s="5">
        <f t="shared" si="27"/>
        <v>0</v>
      </c>
      <c r="AN200" s="4">
        <f t="shared" si="28"/>
        <v>0</v>
      </c>
      <c r="AO200" s="3"/>
      <c r="AP200">
        <v>0</v>
      </c>
      <c r="AR200" t="s">
        <v>1</v>
      </c>
      <c r="AT200" s="2" t="s">
        <v>0</v>
      </c>
      <c r="AU200" s="1" t="e">
        <f t="shared" si="29"/>
        <v>#VALUE!</v>
      </c>
      <c r="AV200" s="1" t="e">
        <f t="shared" si="30"/>
        <v>#VALUE!</v>
      </c>
      <c r="AW200" s="1" t="e">
        <f t="shared" si="31"/>
        <v>#VALUE!</v>
      </c>
    </row>
    <row r="201" spans="1:49" x14ac:dyDescent="0.2">
      <c r="A201">
        <v>199</v>
      </c>
      <c r="B201" t="s">
        <v>8057</v>
      </c>
      <c r="C201" t="s">
        <v>8056</v>
      </c>
      <c r="F201" t="s">
        <v>8055</v>
      </c>
      <c r="G201" t="s">
        <v>9</v>
      </c>
      <c r="H201" t="s">
        <v>8</v>
      </c>
      <c r="I201" t="s">
        <v>6373</v>
      </c>
      <c r="J201">
        <v>60107350</v>
      </c>
      <c r="K201" t="s">
        <v>5388</v>
      </c>
      <c r="L201" t="s">
        <v>632</v>
      </c>
      <c r="M201" t="s">
        <v>43</v>
      </c>
      <c r="N201">
        <v>2</v>
      </c>
      <c r="O201" t="s">
        <v>8054</v>
      </c>
      <c r="P201" t="s">
        <v>8053</v>
      </c>
      <c r="Q201" t="s">
        <v>8052</v>
      </c>
      <c r="R201" s="7">
        <v>36861</v>
      </c>
      <c r="S201" s="8">
        <f t="shared" si="24"/>
        <v>2000</v>
      </c>
      <c r="T201" s="8">
        <v>2000</v>
      </c>
      <c r="U201" s="8">
        <f t="shared" si="25"/>
        <v>22</v>
      </c>
      <c r="V201" s="7">
        <v>2000</v>
      </c>
      <c r="W201" t="s">
        <v>164</v>
      </c>
      <c r="X201" s="2">
        <v>0.111</v>
      </c>
      <c r="Y201" s="6">
        <f t="shared" si="26"/>
        <v>2.9630816048690639E-3</v>
      </c>
      <c r="AA201">
        <v>87566621</v>
      </c>
      <c r="AB201">
        <v>24890</v>
      </c>
      <c r="AD201" t="s">
        <v>3</v>
      </c>
      <c r="AE201">
        <v>83</v>
      </c>
      <c r="AF201">
        <v>3</v>
      </c>
      <c r="AH201" t="s">
        <v>8051</v>
      </c>
      <c r="AI201" t="s">
        <v>8050</v>
      </c>
      <c r="AK201" t="s">
        <v>8049</v>
      </c>
      <c r="AL201">
        <v>4</v>
      </c>
      <c r="AM201" s="5">
        <f t="shared" si="27"/>
        <v>0.18181818181818182</v>
      </c>
      <c r="AN201" s="4">
        <f t="shared" si="28"/>
        <v>2.753777838972841E-4</v>
      </c>
      <c r="AO201" s="3"/>
      <c r="AP201">
        <v>0</v>
      </c>
      <c r="AR201" t="s">
        <v>1</v>
      </c>
      <c r="AT201" s="2" t="s">
        <v>0</v>
      </c>
      <c r="AU201" s="1">
        <f t="shared" si="29"/>
        <v>0.21567704585775299</v>
      </c>
      <c r="AV201" s="1">
        <f t="shared" si="30"/>
        <v>0.16192296943831741</v>
      </c>
      <c r="AW201" s="1">
        <f t="shared" si="31"/>
        <v>0.1081688930188818</v>
      </c>
    </row>
    <row r="202" spans="1:49" x14ac:dyDescent="0.2">
      <c r="A202">
        <v>200</v>
      </c>
      <c r="B202" t="s">
        <v>8048</v>
      </c>
      <c r="C202" t="s">
        <v>8047</v>
      </c>
      <c r="F202" t="s">
        <v>8046</v>
      </c>
      <c r="G202" t="s">
        <v>9</v>
      </c>
      <c r="H202" t="s">
        <v>8</v>
      </c>
      <c r="I202" t="s">
        <v>8045</v>
      </c>
      <c r="J202" t="s">
        <v>8044</v>
      </c>
      <c r="K202" t="s">
        <v>8043</v>
      </c>
      <c r="L202" t="s">
        <v>8042</v>
      </c>
      <c r="M202" t="s">
        <v>8041</v>
      </c>
      <c r="N202">
        <v>7</v>
      </c>
      <c r="O202" t="s">
        <v>8040</v>
      </c>
      <c r="P202" t="s">
        <v>8039</v>
      </c>
      <c r="Q202" t="s">
        <v>8038</v>
      </c>
      <c r="R202" s="7">
        <v>36861</v>
      </c>
      <c r="S202" s="8">
        <f t="shared" si="24"/>
        <v>2000</v>
      </c>
      <c r="T202" s="8">
        <v>2000</v>
      </c>
      <c r="U202" s="8">
        <f t="shared" si="25"/>
        <v>22</v>
      </c>
      <c r="V202" s="7">
        <v>36861</v>
      </c>
      <c r="W202" t="s">
        <v>41</v>
      </c>
      <c r="X202" s="2">
        <v>0.61499999999999999</v>
      </c>
      <c r="Y202" s="6">
        <f t="shared" si="26"/>
        <v>1.6417073756706976E-2</v>
      </c>
      <c r="AA202">
        <v>1959271</v>
      </c>
      <c r="AB202">
        <v>12141</v>
      </c>
      <c r="AD202" t="s">
        <v>3</v>
      </c>
      <c r="AE202">
        <v>21</v>
      </c>
      <c r="AF202">
        <v>12</v>
      </c>
      <c r="AH202" t="s">
        <v>8037</v>
      </c>
      <c r="AI202" t="s">
        <v>8036</v>
      </c>
      <c r="AK202" t="s">
        <v>8035</v>
      </c>
      <c r="AL202">
        <v>26</v>
      </c>
      <c r="AM202" s="5">
        <f t="shared" si="27"/>
        <v>1.1818181818181819</v>
      </c>
      <c r="AN202" s="4">
        <f t="shared" si="28"/>
        <v>1.7899555953323468E-3</v>
      </c>
      <c r="AO202" s="3"/>
      <c r="AP202">
        <v>0</v>
      </c>
      <c r="AR202" t="s">
        <v>1</v>
      </c>
      <c r="AT202" s="2" t="s">
        <v>0</v>
      </c>
      <c r="AU202" s="1">
        <f t="shared" si="29"/>
        <v>1.2028938308294586</v>
      </c>
      <c r="AV202" s="1">
        <f t="shared" si="30"/>
        <v>0.91035146760196606</v>
      </c>
      <c r="AW202" s="1">
        <f t="shared" si="31"/>
        <v>0.61780910437447356</v>
      </c>
    </row>
    <row r="203" spans="1:49" x14ac:dyDescent="0.2">
      <c r="A203">
        <v>201</v>
      </c>
      <c r="B203" t="s">
        <v>8034</v>
      </c>
      <c r="F203" t="s">
        <v>8033</v>
      </c>
      <c r="G203" t="s">
        <v>9</v>
      </c>
      <c r="H203" t="s">
        <v>8</v>
      </c>
      <c r="I203" t="s">
        <v>8032</v>
      </c>
      <c r="J203">
        <v>60026796</v>
      </c>
      <c r="K203" t="s">
        <v>878</v>
      </c>
      <c r="L203" t="s">
        <v>224</v>
      </c>
      <c r="M203" t="s">
        <v>109</v>
      </c>
      <c r="N203">
        <v>2</v>
      </c>
      <c r="O203" t="s">
        <v>8031</v>
      </c>
      <c r="P203" t="s">
        <v>8030</v>
      </c>
      <c r="Q203" t="s">
        <v>8029</v>
      </c>
      <c r="R203" s="7">
        <v>36861</v>
      </c>
      <c r="S203" s="8">
        <f t="shared" si="24"/>
        <v>2000</v>
      </c>
      <c r="T203" s="8">
        <v>2000</v>
      </c>
      <c r="U203" s="8">
        <f t="shared" si="25"/>
        <v>22</v>
      </c>
      <c r="V203" s="7">
        <v>2000</v>
      </c>
      <c r="W203" t="s">
        <v>437</v>
      </c>
      <c r="X203" s="2">
        <v>0.218</v>
      </c>
      <c r="Y203" s="6">
        <f t="shared" si="26"/>
        <v>5.8193854942473512E-3</v>
      </c>
      <c r="AA203">
        <v>79723</v>
      </c>
      <c r="AB203">
        <v>13868</v>
      </c>
      <c r="AD203" t="s">
        <v>3</v>
      </c>
      <c r="AE203">
        <v>41</v>
      </c>
      <c r="AF203">
        <v>4</v>
      </c>
      <c r="AH203" t="s">
        <v>8028</v>
      </c>
      <c r="AI203" t="s">
        <v>8027</v>
      </c>
      <c r="AJ203" t="s">
        <v>8026</v>
      </c>
      <c r="AK203" t="s">
        <v>8025</v>
      </c>
      <c r="AL203">
        <v>21</v>
      </c>
      <c r="AM203" s="5">
        <f t="shared" si="27"/>
        <v>0.95454545454545459</v>
      </c>
      <c r="AN203" s="4">
        <f t="shared" si="28"/>
        <v>1.4457333654607416E-3</v>
      </c>
      <c r="AO203" s="3"/>
      <c r="AP203">
        <v>0</v>
      </c>
      <c r="AR203" t="s">
        <v>1</v>
      </c>
      <c r="AT203" s="2">
        <v>0.52700000000000002</v>
      </c>
      <c r="AU203" s="1">
        <f t="shared" si="29"/>
        <v>0.45072898556113683</v>
      </c>
      <c r="AV203" s="1">
        <f t="shared" si="30"/>
        <v>0.36325594298540465</v>
      </c>
      <c r="AW203" s="1">
        <f t="shared" si="31"/>
        <v>0.27578290040967246</v>
      </c>
    </row>
    <row r="204" spans="1:49" x14ac:dyDescent="0.2">
      <c r="A204">
        <v>202</v>
      </c>
      <c r="B204" t="s">
        <v>8024</v>
      </c>
      <c r="C204" t="s">
        <v>8023</v>
      </c>
      <c r="F204" t="s">
        <v>8022</v>
      </c>
      <c r="G204" t="s">
        <v>9</v>
      </c>
      <c r="H204" t="s">
        <v>8</v>
      </c>
      <c r="I204" t="s">
        <v>8021</v>
      </c>
      <c r="J204">
        <v>60108318</v>
      </c>
      <c r="K204" t="s">
        <v>880</v>
      </c>
      <c r="L204" t="s">
        <v>199</v>
      </c>
      <c r="M204" t="s">
        <v>5</v>
      </c>
      <c r="N204">
        <v>3</v>
      </c>
      <c r="O204" t="s">
        <v>8020</v>
      </c>
      <c r="P204" t="s">
        <v>8019</v>
      </c>
      <c r="Q204" t="s">
        <v>8018</v>
      </c>
      <c r="R204" s="7">
        <v>36861</v>
      </c>
      <c r="S204" s="8">
        <f t="shared" si="24"/>
        <v>2000</v>
      </c>
      <c r="T204" s="8">
        <v>2000</v>
      </c>
      <c r="U204" s="8">
        <f t="shared" si="25"/>
        <v>22</v>
      </c>
      <c r="V204" s="7">
        <v>36861</v>
      </c>
      <c r="W204" t="s">
        <v>322</v>
      </c>
      <c r="X204" s="2">
        <v>1.6379999999999999</v>
      </c>
      <c r="Y204" s="6">
        <f t="shared" si="26"/>
        <v>4.3725474493473214E-2</v>
      </c>
      <c r="AA204" t="s">
        <v>321</v>
      </c>
      <c r="AB204">
        <v>17391</v>
      </c>
      <c r="AD204" t="s">
        <v>3</v>
      </c>
      <c r="AE204">
        <v>48</v>
      </c>
      <c r="AF204">
        <v>12</v>
      </c>
      <c r="AH204" t="s">
        <v>8017</v>
      </c>
      <c r="AI204" t="s">
        <v>8016</v>
      </c>
      <c r="AK204" t="s">
        <v>8015</v>
      </c>
      <c r="AL204">
        <v>50</v>
      </c>
      <c r="AM204" s="5">
        <f t="shared" si="27"/>
        <v>2.2727272727272729</v>
      </c>
      <c r="AN204" s="4">
        <f t="shared" si="28"/>
        <v>3.4422222987160515E-3</v>
      </c>
      <c r="AO204" s="3"/>
      <c r="AP204">
        <v>0</v>
      </c>
      <c r="AQ204" t="s">
        <v>476</v>
      </c>
      <c r="AR204" t="s">
        <v>8014</v>
      </c>
      <c r="AS204" t="s">
        <v>475</v>
      </c>
      <c r="AT204" s="2">
        <v>4.931</v>
      </c>
      <c r="AU204" s="1">
        <f t="shared" si="29"/>
        <v>3.1640498835046063</v>
      </c>
      <c r="AV204" s="1">
        <f t="shared" si="30"/>
        <v>2.3583848396094633</v>
      </c>
      <c r="AW204" s="1">
        <f t="shared" si="31"/>
        <v>1.55271979571432</v>
      </c>
    </row>
    <row r="205" spans="1:49" x14ac:dyDescent="0.2">
      <c r="A205">
        <v>203</v>
      </c>
      <c r="B205" t="s">
        <v>8013</v>
      </c>
      <c r="C205" t="s">
        <v>8012</v>
      </c>
      <c r="F205" t="s">
        <v>8011</v>
      </c>
      <c r="G205" t="s">
        <v>9</v>
      </c>
      <c r="H205" t="s">
        <v>8</v>
      </c>
      <c r="I205" t="s">
        <v>8010</v>
      </c>
      <c r="J205">
        <v>60021378</v>
      </c>
      <c r="K205" t="s">
        <v>557</v>
      </c>
      <c r="L205" t="s">
        <v>556</v>
      </c>
      <c r="M205" t="s">
        <v>5</v>
      </c>
      <c r="N205">
        <v>1</v>
      </c>
      <c r="O205" t="s">
        <v>8009</v>
      </c>
      <c r="P205">
        <v>8751989500</v>
      </c>
      <c r="Q205">
        <v>60021378</v>
      </c>
      <c r="R205" s="7">
        <v>36861</v>
      </c>
      <c r="S205" s="8">
        <f t="shared" si="24"/>
        <v>2000</v>
      </c>
      <c r="T205" s="8">
        <v>2000</v>
      </c>
      <c r="U205" s="8">
        <f t="shared" si="25"/>
        <v>22</v>
      </c>
      <c r="V205" s="7">
        <v>36861</v>
      </c>
      <c r="W205" t="s">
        <v>322</v>
      </c>
      <c r="X205" s="2">
        <v>1.6379999999999999</v>
      </c>
      <c r="Y205" s="6">
        <f t="shared" si="26"/>
        <v>4.3725474493473214E-2</v>
      </c>
      <c r="AA205" t="s">
        <v>321</v>
      </c>
      <c r="AB205">
        <v>17391</v>
      </c>
      <c r="AD205" t="s">
        <v>3</v>
      </c>
      <c r="AE205">
        <v>48</v>
      </c>
      <c r="AF205">
        <v>12</v>
      </c>
      <c r="AH205" t="s">
        <v>8008</v>
      </c>
      <c r="AI205" t="s">
        <v>8007</v>
      </c>
      <c r="AK205" t="s">
        <v>8006</v>
      </c>
      <c r="AL205">
        <v>127</v>
      </c>
      <c r="AM205" s="5">
        <f t="shared" si="27"/>
        <v>5.7727272727272725</v>
      </c>
      <c r="AN205" s="4">
        <f t="shared" si="28"/>
        <v>8.7432446387387692E-3</v>
      </c>
      <c r="AO205" s="3"/>
      <c r="AP205">
        <v>0</v>
      </c>
      <c r="AR205" t="s">
        <v>1</v>
      </c>
      <c r="AT205" s="2">
        <v>4.931</v>
      </c>
      <c r="AU205" s="1">
        <f t="shared" si="29"/>
        <v>3.3230805537052879</v>
      </c>
      <c r="AV205" s="1">
        <f t="shared" si="30"/>
        <v>2.6234359566105989</v>
      </c>
      <c r="AW205" s="1">
        <f t="shared" si="31"/>
        <v>1.9237913595159102</v>
      </c>
    </row>
    <row r="206" spans="1:49" x14ac:dyDescent="0.2">
      <c r="A206">
        <v>204</v>
      </c>
      <c r="B206" t="s">
        <v>8005</v>
      </c>
      <c r="C206" t="s">
        <v>8004</v>
      </c>
      <c r="D206" t="s">
        <v>8003</v>
      </c>
      <c r="E206">
        <v>11233641</v>
      </c>
      <c r="F206" t="s">
        <v>8002</v>
      </c>
      <c r="G206" t="s">
        <v>9</v>
      </c>
      <c r="H206" t="s">
        <v>8</v>
      </c>
      <c r="I206" t="s">
        <v>456</v>
      </c>
      <c r="J206" t="s">
        <v>610</v>
      </c>
      <c r="K206" t="s">
        <v>609</v>
      </c>
      <c r="L206" t="s">
        <v>608</v>
      </c>
      <c r="M206" t="s">
        <v>607</v>
      </c>
      <c r="N206">
        <v>7</v>
      </c>
      <c r="O206" t="s">
        <v>8001</v>
      </c>
      <c r="P206" t="s">
        <v>8000</v>
      </c>
      <c r="Q206" t="s">
        <v>7999</v>
      </c>
      <c r="R206" s="7">
        <v>36861</v>
      </c>
      <c r="S206" s="8">
        <f t="shared" si="24"/>
        <v>2000</v>
      </c>
      <c r="T206" s="8">
        <v>2000</v>
      </c>
      <c r="U206" s="8">
        <f t="shared" si="25"/>
        <v>22</v>
      </c>
      <c r="V206" s="7">
        <v>2000</v>
      </c>
      <c r="W206" t="s">
        <v>734</v>
      </c>
      <c r="X206" s="2">
        <v>0.9</v>
      </c>
      <c r="Y206" s="6">
        <f t="shared" si="26"/>
        <v>2.4024985985424845E-2</v>
      </c>
      <c r="AA206">
        <v>10111344</v>
      </c>
      <c r="AB206">
        <v>17622</v>
      </c>
      <c r="AD206" t="s">
        <v>3</v>
      </c>
      <c r="AE206">
        <v>58</v>
      </c>
      <c r="AF206" s="10">
        <v>44257</v>
      </c>
      <c r="AH206" t="s">
        <v>7998</v>
      </c>
      <c r="AI206" t="s">
        <v>7997</v>
      </c>
      <c r="AJ206" t="s">
        <v>7996</v>
      </c>
      <c r="AK206" t="s">
        <v>7995</v>
      </c>
      <c r="AL206">
        <v>11</v>
      </c>
      <c r="AM206" s="5">
        <f t="shared" si="27"/>
        <v>0.5</v>
      </c>
      <c r="AN206" s="4">
        <f t="shared" si="28"/>
        <v>7.572889057175312E-4</v>
      </c>
      <c r="AO206" s="3"/>
      <c r="AP206">
        <v>0</v>
      </c>
      <c r="AQ206" t="s">
        <v>467</v>
      </c>
      <c r="AR206" t="s">
        <v>606</v>
      </c>
      <c r="AS206" t="s">
        <v>466</v>
      </c>
      <c r="AT206" s="2" t="s">
        <v>0</v>
      </c>
      <c r="AU206" s="1">
        <f t="shared" si="29"/>
        <v>1.7044676861512651</v>
      </c>
      <c r="AV206" s="1">
        <f t="shared" si="30"/>
        <v>1.2391137445571188</v>
      </c>
      <c r="AW206" s="1">
        <f t="shared" si="31"/>
        <v>0.77375980296297253</v>
      </c>
    </row>
    <row r="207" spans="1:49" x14ac:dyDescent="0.2">
      <c r="A207">
        <v>205</v>
      </c>
      <c r="B207" t="s">
        <v>7994</v>
      </c>
      <c r="C207" t="s">
        <v>7993</v>
      </c>
      <c r="D207" t="s">
        <v>7992</v>
      </c>
      <c r="F207" t="s">
        <v>7991</v>
      </c>
      <c r="G207" t="s">
        <v>9</v>
      </c>
      <c r="H207" t="s">
        <v>8</v>
      </c>
      <c r="I207" t="s">
        <v>7990</v>
      </c>
      <c r="J207">
        <v>60012954</v>
      </c>
      <c r="K207" t="s">
        <v>1750</v>
      </c>
      <c r="L207" t="s">
        <v>1522</v>
      </c>
      <c r="M207" t="s">
        <v>22</v>
      </c>
      <c r="N207">
        <v>1</v>
      </c>
      <c r="O207" t="s">
        <v>7989</v>
      </c>
      <c r="P207">
        <v>7004547745</v>
      </c>
      <c r="Q207">
        <v>60012954</v>
      </c>
      <c r="R207" s="7">
        <v>36861</v>
      </c>
      <c r="S207" s="8">
        <f t="shared" si="24"/>
        <v>2000</v>
      </c>
      <c r="T207" s="8">
        <v>2000</v>
      </c>
      <c r="U207" s="8">
        <f t="shared" si="25"/>
        <v>22</v>
      </c>
      <c r="V207" s="7">
        <v>36861</v>
      </c>
      <c r="W207" t="s">
        <v>965</v>
      </c>
      <c r="X207" s="2">
        <v>1.601</v>
      </c>
      <c r="Y207" s="6">
        <f t="shared" si="26"/>
        <v>4.2737780625183526E-2</v>
      </c>
      <c r="AA207">
        <v>9254005</v>
      </c>
      <c r="AB207">
        <v>25236</v>
      </c>
      <c r="AD207" t="s">
        <v>3</v>
      </c>
      <c r="AE207">
        <v>71</v>
      </c>
      <c r="AF207">
        <v>3</v>
      </c>
      <c r="AH207" t="s">
        <v>7988</v>
      </c>
      <c r="AI207" t="s">
        <v>7987</v>
      </c>
      <c r="AK207" t="s">
        <v>7986</v>
      </c>
      <c r="AL207">
        <v>32</v>
      </c>
      <c r="AM207" s="5">
        <f t="shared" si="27"/>
        <v>1.4545454545454546</v>
      </c>
      <c r="AN207" s="4">
        <f t="shared" si="28"/>
        <v>2.2030222711782728E-3</v>
      </c>
      <c r="AO207" s="3"/>
      <c r="AP207">
        <v>0</v>
      </c>
      <c r="AR207" t="s">
        <v>1</v>
      </c>
      <c r="AT207" s="2" t="s">
        <v>0</v>
      </c>
      <c r="AU207" s="1">
        <f t="shared" si="29"/>
        <v>3.0577353118981949</v>
      </c>
      <c r="AV207" s="1">
        <f t="shared" si="30"/>
        <v>2.2470401448180901</v>
      </c>
      <c r="AW207" s="1">
        <f t="shared" si="31"/>
        <v>1.4363449777379849</v>
      </c>
    </row>
    <row r="208" spans="1:49" x14ac:dyDescent="0.2">
      <c r="A208">
        <v>206</v>
      </c>
      <c r="B208" t="s">
        <v>7985</v>
      </c>
      <c r="C208" t="s">
        <v>7984</v>
      </c>
      <c r="F208" t="s">
        <v>7983</v>
      </c>
      <c r="G208" t="s">
        <v>9</v>
      </c>
      <c r="H208" t="s">
        <v>8</v>
      </c>
      <c r="I208" t="s">
        <v>7982</v>
      </c>
      <c r="J208">
        <v>60001439</v>
      </c>
      <c r="K208" t="s">
        <v>120</v>
      </c>
      <c r="L208" t="s">
        <v>119</v>
      </c>
      <c r="M208" t="s">
        <v>5</v>
      </c>
      <c r="N208">
        <v>5</v>
      </c>
      <c r="O208" t="s">
        <v>7981</v>
      </c>
      <c r="P208" t="s">
        <v>7980</v>
      </c>
      <c r="Q208" t="s">
        <v>7979</v>
      </c>
      <c r="R208" s="7">
        <v>36861</v>
      </c>
      <c r="S208" s="8">
        <f t="shared" si="24"/>
        <v>2000</v>
      </c>
      <c r="T208" s="8">
        <v>2000</v>
      </c>
      <c r="U208" s="8">
        <f t="shared" si="25"/>
        <v>22</v>
      </c>
      <c r="V208" s="7">
        <v>36861</v>
      </c>
      <c r="W208" t="s">
        <v>2243</v>
      </c>
      <c r="X208" s="2">
        <v>0.89800000000000002</v>
      </c>
      <c r="Y208" s="6">
        <f t="shared" si="26"/>
        <v>2.3971597127679455E-2</v>
      </c>
      <c r="AA208">
        <v>9641726</v>
      </c>
      <c r="AB208">
        <v>29859</v>
      </c>
      <c r="AD208" t="s">
        <v>3</v>
      </c>
      <c r="AE208">
        <v>9</v>
      </c>
      <c r="AF208">
        <v>6</v>
      </c>
      <c r="AH208" t="s">
        <v>7978</v>
      </c>
      <c r="AI208" t="s">
        <v>7977</v>
      </c>
      <c r="AK208" t="s">
        <v>7976</v>
      </c>
      <c r="AL208">
        <v>12</v>
      </c>
      <c r="AM208" s="5">
        <f t="shared" si="27"/>
        <v>0.54545454545454541</v>
      </c>
      <c r="AN208" s="4">
        <f t="shared" si="28"/>
        <v>8.2613335169185224E-4</v>
      </c>
      <c r="AO208" s="3"/>
      <c r="AP208">
        <v>0</v>
      </c>
      <c r="AR208" t="s">
        <v>1</v>
      </c>
      <c r="AT208" s="2">
        <v>3.585</v>
      </c>
      <c r="AU208" s="1">
        <f t="shared" si="29"/>
        <v>1.7027957994883172</v>
      </c>
      <c r="AV208" s="1">
        <f t="shared" si="30"/>
        <v>1.2398865239685652</v>
      </c>
      <c r="AW208" s="1">
        <f t="shared" si="31"/>
        <v>0.77697724844881322</v>
      </c>
    </row>
    <row r="209" spans="1:49" x14ac:dyDescent="0.2">
      <c r="A209">
        <v>207</v>
      </c>
      <c r="B209" t="s">
        <v>7975</v>
      </c>
      <c r="F209" t="s">
        <v>7974</v>
      </c>
      <c r="G209" t="s">
        <v>9</v>
      </c>
      <c r="H209" t="s">
        <v>8</v>
      </c>
      <c r="I209" t="s">
        <v>7973</v>
      </c>
      <c r="J209">
        <v>60013071</v>
      </c>
      <c r="K209" t="s">
        <v>7972</v>
      </c>
      <c r="L209" t="s">
        <v>7971</v>
      </c>
      <c r="M209" t="s">
        <v>66</v>
      </c>
      <c r="N209">
        <v>2</v>
      </c>
      <c r="O209" t="s">
        <v>7970</v>
      </c>
      <c r="P209" t="s">
        <v>7969</v>
      </c>
      <c r="Q209" t="s">
        <v>7968</v>
      </c>
      <c r="R209" s="7">
        <v>36861</v>
      </c>
      <c r="S209" s="8">
        <f t="shared" si="24"/>
        <v>2000</v>
      </c>
      <c r="T209" s="8">
        <v>2000</v>
      </c>
      <c r="U209" s="8">
        <f t="shared" si="25"/>
        <v>22</v>
      </c>
      <c r="V209" s="7">
        <v>2000</v>
      </c>
      <c r="W209" t="s">
        <v>7967</v>
      </c>
      <c r="X209" s="2">
        <v>0.22500000000000001</v>
      </c>
      <c r="Y209" s="6">
        <f t="shared" si="26"/>
        <v>6.0062464963562111E-3</v>
      </c>
      <c r="AA209">
        <v>13000632</v>
      </c>
      <c r="AB209">
        <v>22933</v>
      </c>
      <c r="AD209" t="s">
        <v>3</v>
      </c>
      <c r="AE209">
        <v>8</v>
      </c>
      <c r="AF209">
        <v>2</v>
      </c>
      <c r="AH209" t="s">
        <v>7966</v>
      </c>
      <c r="AI209" t="s">
        <v>7965</v>
      </c>
      <c r="AK209" t="s">
        <v>7964</v>
      </c>
      <c r="AL209">
        <v>1</v>
      </c>
      <c r="AM209" s="5">
        <f t="shared" si="27"/>
        <v>4.5454545454545456E-2</v>
      </c>
      <c r="AN209" s="4">
        <f t="shared" si="28"/>
        <v>6.8844445974321024E-5</v>
      </c>
      <c r="AO209" s="3"/>
      <c r="AP209">
        <v>0</v>
      </c>
      <c r="AR209" t="s">
        <v>1</v>
      </c>
      <c r="AT209" s="2" t="s">
        <v>0</v>
      </c>
      <c r="AU209" s="1">
        <f t="shared" si="29"/>
        <v>0.42250258812416441</v>
      </c>
      <c r="AV209" s="1">
        <f t="shared" si="30"/>
        <v>0.30375454711652661</v>
      </c>
      <c r="AW209" s="1">
        <f t="shared" si="31"/>
        <v>0.1850065061088888</v>
      </c>
    </row>
    <row r="210" spans="1:49" x14ac:dyDescent="0.2">
      <c r="A210">
        <v>208</v>
      </c>
      <c r="B210" t="s">
        <v>7963</v>
      </c>
      <c r="C210" t="s">
        <v>7962</v>
      </c>
      <c r="F210" t="s">
        <v>7961</v>
      </c>
      <c r="G210" t="s">
        <v>9</v>
      </c>
      <c r="H210" t="s">
        <v>8</v>
      </c>
      <c r="I210" t="s">
        <v>243</v>
      </c>
      <c r="J210" t="s">
        <v>242</v>
      </c>
      <c r="K210" t="s">
        <v>241</v>
      </c>
      <c r="L210" t="s">
        <v>240</v>
      </c>
      <c r="M210" t="s">
        <v>239</v>
      </c>
      <c r="N210">
        <v>2</v>
      </c>
      <c r="O210" t="s">
        <v>238</v>
      </c>
      <c r="P210" t="s">
        <v>237</v>
      </c>
      <c r="Q210" t="s">
        <v>236</v>
      </c>
      <c r="R210" s="7">
        <v>36861</v>
      </c>
      <c r="S210" s="8">
        <f t="shared" si="24"/>
        <v>2000</v>
      </c>
      <c r="T210" s="8">
        <v>2000</v>
      </c>
      <c r="U210" s="8">
        <f t="shared" si="25"/>
        <v>22</v>
      </c>
      <c r="V210" s="7">
        <v>36861</v>
      </c>
      <c r="W210" t="s">
        <v>41</v>
      </c>
      <c r="X210" s="2">
        <v>0.61499999999999999</v>
      </c>
      <c r="Y210" s="6">
        <f t="shared" si="26"/>
        <v>1.6417073756706976E-2</v>
      </c>
      <c r="AA210">
        <v>1959271</v>
      </c>
      <c r="AB210">
        <v>12141</v>
      </c>
      <c r="AD210" t="s">
        <v>3</v>
      </c>
      <c r="AE210">
        <v>21</v>
      </c>
      <c r="AF210">
        <v>12</v>
      </c>
      <c r="AH210" t="s">
        <v>7960</v>
      </c>
      <c r="AI210" t="s">
        <v>7959</v>
      </c>
      <c r="AK210" t="s">
        <v>7958</v>
      </c>
      <c r="AL210">
        <v>4</v>
      </c>
      <c r="AM210" s="5">
        <f t="shared" si="27"/>
        <v>0.18181818181818182</v>
      </c>
      <c r="AN210" s="4">
        <f t="shared" si="28"/>
        <v>2.753777838972841E-4</v>
      </c>
      <c r="AO210" s="3"/>
      <c r="AP210">
        <v>0</v>
      </c>
      <c r="AR210" t="s">
        <v>1</v>
      </c>
      <c r="AT210" s="2" t="s">
        <v>0</v>
      </c>
      <c r="AU210" s="1">
        <f t="shared" si="29"/>
        <v>1.1574564964864067</v>
      </c>
      <c r="AV210" s="1">
        <f t="shared" si="30"/>
        <v>0.83462257703021303</v>
      </c>
      <c r="AW210" s="1">
        <f t="shared" si="31"/>
        <v>0.51178865757401915</v>
      </c>
    </row>
    <row r="211" spans="1:49" x14ac:dyDescent="0.2">
      <c r="A211">
        <v>209</v>
      </c>
      <c r="B211" t="s">
        <v>7957</v>
      </c>
      <c r="C211" t="s">
        <v>7956</v>
      </c>
      <c r="F211" t="s">
        <v>7955</v>
      </c>
      <c r="G211" t="s">
        <v>9</v>
      </c>
      <c r="H211" t="s">
        <v>8</v>
      </c>
      <c r="I211" t="s">
        <v>7954</v>
      </c>
      <c r="J211">
        <v>60006299</v>
      </c>
      <c r="K211" t="s">
        <v>7953</v>
      </c>
      <c r="M211" t="s">
        <v>43</v>
      </c>
      <c r="N211">
        <v>3</v>
      </c>
      <c r="O211" t="s">
        <v>7952</v>
      </c>
      <c r="P211" t="s">
        <v>7951</v>
      </c>
      <c r="Q211" t="s">
        <v>7950</v>
      </c>
      <c r="R211" s="7">
        <v>36861</v>
      </c>
      <c r="S211" s="8">
        <f t="shared" si="24"/>
        <v>2000</v>
      </c>
      <c r="T211" s="8">
        <v>2000</v>
      </c>
      <c r="U211" s="8">
        <f t="shared" si="25"/>
        <v>22</v>
      </c>
      <c r="V211" s="7">
        <v>2000</v>
      </c>
      <c r="W211" t="s">
        <v>164</v>
      </c>
      <c r="X211" s="2">
        <v>0.111</v>
      </c>
      <c r="Y211" s="6">
        <f t="shared" si="26"/>
        <v>2.9630816048690639E-3</v>
      </c>
      <c r="AA211">
        <v>87566621</v>
      </c>
      <c r="AB211">
        <v>24890</v>
      </c>
      <c r="AD211" t="s">
        <v>3</v>
      </c>
      <c r="AE211">
        <v>83</v>
      </c>
      <c r="AF211">
        <v>3</v>
      </c>
      <c r="AH211" t="s">
        <v>7949</v>
      </c>
      <c r="AI211" t="s">
        <v>7948</v>
      </c>
      <c r="AK211" t="s">
        <v>7947</v>
      </c>
      <c r="AL211">
        <v>0</v>
      </c>
      <c r="AM211" s="5">
        <f t="shared" si="27"/>
        <v>0</v>
      </c>
      <c r="AN211" s="4">
        <f t="shared" si="28"/>
        <v>0</v>
      </c>
      <c r="AO211" s="3"/>
      <c r="AP211">
        <v>0</v>
      </c>
      <c r="AR211" t="s">
        <v>1</v>
      </c>
      <c r="AT211" s="2" t="s">
        <v>0</v>
      </c>
      <c r="AU211" s="1">
        <f t="shared" si="29"/>
        <v>0.20741571234083445</v>
      </c>
      <c r="AV211" s="1">
        <f t="shared" si="30"/>
        <v>0.1481540802434532</v>
      </c>
      <c r="AW211" s="1">
        <f t="shared" si="31"/>
        <v>8.8892448146071903E-2</v>
      </c>
    </row>
    <row r="212" spans="1:49" x14ac:dyDescent="0.2">
      <c r="A212">
        <v>210</v>
      </c>
      <c r="B212" t="s">
        <v>7946</v>
      </c>
      <c r="C212" t="s">
        <v>7945</v>
      </c>
      <c r="F212" t="s">
        <v>7944</v>
      </c>
      <c r="G212" t="s">
        <v>9</v>
      </c>
      <c r="H212" t="s">
        <v>8</v>
      </c>
      <c r="I212" t="s">
        <v>7943</v>
      </c>
      <c r="J212">
        <v>60014982</v>
      </c>
      <c r="K212" t="s">
        <v>792</v>
      </c>
      <c r="L212" t="s">
        <v>791</v>
      </c>
      <c r="M212" t="s">
        <v>214</v>
      </c>
      <c r="N212">
        <v>5</v>
      </c>
      <c r="O212" t="s">
        <v>7942</v>
      </c>
      <c r="P212" t="s">
        <v>7941</v>
      </c>
      <c r="Q212" t="s">
        <v>875</v>
      </c>
      <c r="R212" s="7">
        <v>36861</v>
      </c>
      <c r="S212" s="8">
        <f t="shared" si="24"/>
        <v>2000</v>
      </c>
      <c r="T212" s="8">
        <v>2000</v>
      </c>
      <c r="U212" s="8">
        <f t="shared" si="25"/>
        <v>22</v>
      </c>
      <c r="V212" s="7">
        <v>36861</v>
      </c>
      <c r="W212" t="s">
        <v>7940</v>
      </c>
      <c r="X212" s="2">
        <v>0.81299999999999994</v>
      </c>
      <c r="Y212" s="6">
        <f t="shared" si="26"/>
        <v>2.170257067350044E-2</v>
      </c>
      <c r="AA212">
        <v>222461</v>
      </c>
      <c r="AB212">
        <v>21162</v>
      </c>
      <c r="AD212" t="s">
        <v>3</v>
      </c>
      <c r="AE212">
        <v>35</v>
      </c>
      <c r="AF212">
        <v>23</v>
      </c>
      <c r="AH212" t="s">
        <v>7939</v>
      </c>
      <c r="AI212" t="s">
        <v>7938</v>
      </c>
      <c r="AK212" t="s">
        <v>7937</v>
      </c>
      <c r="AL212">
        <v>17</v>
      </c>
      <c r="AM212" s="5">
        <f t="shared" si="27"/>
        <v>0.77272727272727271</v>
      </c>
      <c r="AN212" s="4">
        <f t="shared" si="28"/>
        <v>1.1703555815634574E-3</v>
      </c>
      <c r="AO212" s="3"/>
      <c r="AP212">
        <v>0</v>
      </c>
      <c r="AQ212" t="s">
        <v>332</v>
      </c>
      <c r="AR212" t="s">
        <v>1623</v>
      </c>
      <c r="AS212" t="s">
        <v>331</v>
      </c>
      <c r="AT212" s="2">
        <v>4.22</v>
      </c>
      <c r="AU212" s="1">
        <f t="shared" si="29"/>
        <v>1.5542906145919344</v>
      </c>
      <c r="AV212" s="1">
        <f t="shared" si="30"/>
        <v>1.1436463127531948</v>
      </c>
      <c r="AW212" s="1">
        <f t="shared" si="31"/>
        <v>0.73300201091445527</v>
      </c>
    </row>
    <row r="213" spans="1:49" x14ac:dyDescent="0.2">
      <c r="A213">
        <v>211</v>
      </c>
      <c r="B213" t="s">
        <v>7936</v>
      </c>
      <c r="C213" t="s">
        <v>7935</v>
      </c>
      <c r="F213" t="s">
        <v>7934</v>
      </c>
      <c r="G213" t="s">
        <v>9</v>
      </c>
      <c r="H213" t="s">
        <v>8</v>
      </c>
      <c r="I213" t="s">
        <v>7933</v>
      </c>
      <c r="J213">
        <v>60016561</v>
      </c>
      <c r="K213" t="s">
        <v>7932</v>
      </c>
      <c r="L213" t="s">
        <v>872</v>
      </c>
      <c r="M213" t="s">
        <v>29</v>
      </c>
      <c r="N213">
        <v>1</v>
      </c>
      <c r="O213" t="s">
        <v>7931</v>
      </c>
      <c r="P213">
        <v>55950880800</v>
      </c>
      <c r="Q213">
        <v>60016561</v>
      </c>
      <c r="R213" s="7">
        <v>36861</v>
      </c>
      <c r="S213" s="8">
        <f t="shared" si="24"/>
        <v>2000</v>
      </c>
      <c r="T213" s="8">
        <v>2000</v>
      </c>
      <c r="U213" s="8">
        <f t="shared" si="25"/>
        <v>22</v>
      </c>
      <c r="V213" s="7">
        <v>36861</v>
      </c>
      <c r="W213" t="s">
        <v>322</v>
      </c>
      <c r="X213" s="2">
        <v>1.6379999999999999</v>
      </c>
      <c r="Y213" s="6">
        <f t="shared" si="26"/>
        <v>4.3725474493473214E-2</v>
      </c>
      <c r="AA213" t="s">
        <v>321</v>
      </c>
      <c r="AB213">
        <v>17391</v>
      </c>
      <c r="AD213" t="s">
        <v>3</v>
      </c>
      <c r="AE213">
        <v>48</v>
      </c>
      <c r="AF213">
        <v>12</v>
      </c>
      <c r="AH213" t="s">
        <v>7930</v>
      </c>
      <c r="AI213" t="s">
        <v>7929</v>
      </c>
      <c r="AK213" t="s">
        <v>7928</v>
      </c>
      <c r="AL213">
        <v>9</v>
      </c>
      <c r="AM213" s="5">
        <f t="shared" si="27"/>
        <v>0.40909090909090912</v>
      </c>
      <c r="AN213" s="4">
        <f t="shared" si="28"/>
        <v>6.1960001376888923E-4</v>
      </c>
      <c r="AO213" s="3"/>
      <c r="AP213">
        <v>0</v>
      </c>
      <c r="AR213" t="s">
        <v>1</v>
      </c>
      <c r="AT213" s="2">
        <v>4.931</v>
      </c>
      <c r="AU213" s="1">
        <f t="shared" si="29"/>
        <v>3.0793712149561916</v>
      </c>
      <c r="AV213" s="1">
        <f t="shared" si="30"/>
        <v>2.217253725362105</v>
      </c>
      <c r="AW213" s="1">
        <f t="shared" si="31"/>
        <v>1.3551362357680186</v>
      </c>
    </row>
    <row r="214" spans="1:49" x14ac:dyDescent="0.2">
      <c r="A214">
        <v>212</v>
      </c>
      <c r="B214" t="s">
        <v>7927</v>
      </c>
      <c r="F214" t="s">
        <v>7926</v>
      </c>
      <c r="G214" t="s">
        <v>9</v>
      </c>
      <c r="H214" t="s">
        <v>8</v>
      </c>
      <c r="I214" t="s">
        <v>7925</v>
      </c>
      <c r="J214">
        <v>60008435</v>
      </c>
      <c r="K214" t="s">
        <v>266</v>
      </c>
      <c r="L214" t="s">
        <v>265</v>
      </c>
      <c r="M214" t="s">
        <v>43</v>
      </c>
      <c r="N214">
        <v>2</v>
      </c>
      <c r="O214" t="s">
        <v>7924</v>
      </c>
      <c r="P214" t="s">
        <v>7923</v>
      </c>
      <c r="Q214" t="s">
        <v>723</v>
      </c>
      <c r="R214" s="7">
        <v>36861</v>
      </c>
      <c r="S214" s="8">
        <f t="shared" si="24"/>
        <v>2000</v>
      </c>
      <c r="T214" s="8">
        <v>2000</v>
      </c>
      <c r="U214" s="8">
        <f t="shared" si="25"/>
        <v>22</v>
      </c>
      <c r="V214" s="7">
        <v>36861</v>
      </c>
      <c r="W214" t="s">
        <v>79</v>
      </c>
      <c r="X214" s="2">
        <v>0.182</v>
      </c>
      <c r="Y214" s="6">
        <f t="shared" si="26"/>
        <v>4.8583860548303574E-3</v>
      </c>
      <c r="AA214">
        <v>9168524</v>
      </c>
      <c r="AB214">
        <v>26075</v>
      </c>
      <c r="AD214" t="s">
        <v>3</v>
      </c>
      <c r="AE214" t="s">
        <v>78</v>
      </c>
      <c r="AF214">
        <v>12</v>
      </c>
      <c r="AH214" t="s">
        <v>7922</v>
      </c>
      <c r="AI214" t="s">
        <v>7921</v>
      </c>
      <c r="AK214" t="s">
        <v>7920</v>
      </c>
      <c r="AL214">
        <v>17</v>
      </c>
      <c r="AM214" s="5">
        <f t="shared" si="27"/>
        <v>0.77272727272727271</v>
      </c>
      <c r="AN214" s="4">
        <f t="shared" si="28"/>
        <v>1.1703555815634574E-3</v>
      </c>
      <c r="AO214" s="3"/>
      <c r="AP214">
        <v>0</v>
      </c>
      <c r="AR214" t="s">
        <v>1</v>
      </c>
      <c r="AT214" s="2">
        <v>0.35199999999999998</v>
      </c>
      <c r="AU214" s="1">
        <f t="shared" si="29"/>
        <v>0.37519769128502872</v>
      </c>
      <c r="AV214" s="1">
        <f t="shared" si="30"/>
        <v>0.30143708181969076</v>
      </c>
      <c r="AW214" s="1">
        <f t="shared" si="31"/>
        <v>0.22767647235435273</v>
      </c>
    </row>
    <row r="215" spans="1:49" x14ac:dyDescent="0.2">
      <c r="A215">
        <v>213</v>
      </c>
      <c r="B215" t="s">
        <v>7919</v>
      </c>
      <c r="C215" t="s">
        <v>7918</v>
      </c>
      <c r="F215" t="s">
        <v>7917</v>
      </c>
      <c r="G215" t="s">
        <v>9</v>
      </c>
      <c r="H215" t="s">
        <v>8</v>
      </c>
      <c r="I215" t="s">
        <v>2247</v>
      </c>
      <c r="J215">
        <v>60001439</v>
      </c>
      <c r="K215" t="s">
        <v>120</v>
      </c>
      <c r="L215" t="s">
        <v>119</v>
      </c>
      <c r="M215" t="s">
        <v>5</v>
      </c>
      <c r="N215">
        <v>2</v>
      </c>
      <c r="O215" t="s">
        <v>7916</v>
      </c>
      <c r="P215" t="s">
        <v>7915</v>
      </c>
      <c r="Q215" t="s">
        <v>118</v>
      </c>
      <c r="R215" s="7">
        <v>36861</v>
      </c>
      <c r="S215" s="8">
        <f t="shared" si="24"/>
        <v>2000</v>
      </c>
      <c r="T215" s="8">
        <v>2000</v>
      </c>
      <c r="U215" s="8">
        <f t="shared" si="25"/>
        <v>22</v>
      </c>
      <c r="V215" s="7">
        <v>36861</v>
      </c>
      <c r="W215" t="s">
        <v>2243</v>
      </c>
      <c r="X215" s="2">
        <v>0.89800000000000002</v>
      </c>
      <c r="Y215" s="6">
        <f t="shared" si="26"/>
        <v>2.3971597127679455E-2</v>
      </c>
      <c r="AA215">
        <v>9641726</v>
      </c>
      <c r="AB215">
        <v>29859</v>
      </c>
      <c r="AD215" t="s">
        <v>3</v>
      </c>
      <c r="AE215">
        <v>9</v>
      </c>
      <c r="AF215">
        <v>6</v>
      </c>
      <c r="AH215" t="s">
        <v>7914</v>
      </c>
      <c r="AI215" t="s">
        <v>7913</v>
      </c>
      <c r="AK215" t="s">
        <v>7912</v>
      </c>
      <c r="AL215">
        <v>112</v>
      </c>
      <c r="AM215" s="5">
        <f t="shared" si="27"/>
        <v>5.0909090909090908</v>
      </c>
      <c r="AN215" s="4">
        <f t="shared" si="28"/>
        <v>7.7105779491239545E-3</v>
      </c>
      <c r="AO215" s="3"/>
      <c r="AP215">
        <v>0</v>
      </c>
      <c r="AR215" t="s">
        <v>1</v>
      </c>
      <c r="AT215" s="2">
        <v>3.585</v>
      </c>
      <c r="AU215" s="1">
        <f t="shared" si="29"/>
        <v>1.9093291374112802</v>
      </c>
      <c r="AV215" s="1">
        <f t="shared" si="30"/>
        <v>1.5841087538401706</v>
      </c>
      <c r="AW215" s="1">
        <f t="shared" si="31"/>
        <v>1.2588883702690603</v>
      </c>
    </row>
    <row r="216" spans="1:49" x14ac:dyDescent="0.2">
      <c r="A216">
        <v>214</v>
      </c>
      <c r="B216" t="s">
        <v>7911</v>
      </c>
      <c r="C216" t="s">
        <v>7910</v>
      </c>
      <c r="D216" t="s">
        <v>7909</v>
      </c>
      <c r="F216" t="s">
        <v>7908</v>
      </c>
      <c r="G216" t="s">
        <v>9</v>
      </c>
      <c r="H216" t="s">
        <v>8</v>
      </c>
      <c r="I216" t="s">
        <v>7907</v>
      </c>
      <c r="J216">
        <v>60008592</v>
      </c>
      <c r="K216" t="s">
        <v>412</v>
      </c>
      <c r="L216" t="s">
        <v>160</v>
      </c>
      <c r="M216" t="s">
        <v>160</v>
      </c>
      <c r="N216">
        <v>2</v>
      </c>
      <c r="O216" t="s">
        <v>7906</v>
      </c>
      <c r="P216" t="s">
        <v>7905</v>
      </c>
      <c r="Q216" t="s">
        <v>411</v>
      </c>
      <c r="R216" s="7">
        <v>36861</v>
      </c>
      <c r="S216" s="8">
        <f t="shared" si="24"/>
        <v>2000</v>
      </c>
      <c r="T216" s="8">
        <v>2000</v>
      </c>
      <c r="U216" s="8">
        <f t="shared" si="25"/>
        <v>22</v>
      </c>
      <c r="V216" s="7">
        <v>2000</v>
      </c>
      <c r="W216" t="s">
        <v>365</v>
      </c>
      <c r="X216" s="2">
        <v>1.468</v>
      </c>
      <c r="Y216" s="6">
        <f t="shared" si="26"/>
        <v>3.9187421585115186E-2</v>
      </c>
      <c r="AA216">
        <v>906778</v>
      </c>
      <c r="AB216">
        <v>18931</v>
      </c>
      <c r="AD216" t="s">
        <v>3</v>
      </c>
      <c r="AE216">
        <v>48</v>
      </c>
      <c r="AF216">
        <v>12</v>
      </c>
      <c r="AH216" t="s">
        <v>7904</v>
      </c>
      <c r="AI216" t="s">
        <v>7903</v>
      </c>
      <c r="AJ216" t="s">
        <v>7902</v>
      </c>
      <c r="AK216" t="s">
        <v>7901</v>
      </c>
      <c r="AL216">
        <v>14</v>
      </c>
      <c r="AM216" s="5">
        <f t="shared" si="27"/>
        <v>0.63636363636363635</v>
      </c>
      <c r="AN216" s="4">
        <f t="shared" si="28"/>
        <v>9.6382224364049431E-4</v>
      </c>
      <c r="AO216" s="3"/>
      <c r="AP216">
        <v>0</v>
      </c>
      <c r="AR216" t="s">
        <v>1</v>
      </c>
      <c r="AT216" s="2">
        <v>5.0830000000000002</v>
      </c>
      <c r="AU216" s="1">
        <f t="shared" si="29"/>
        <v>2.7720341782672775</v>
      </c>
      <c r="AV216" s="1">
        <f t="shared" si="30"/>
        <v>2.0075621914377839</v>
      </c>
      <c r="AW216" s="1">
        <f t="shared" si="31"/>
        <v>1.2430902046082901</v>
      </c>
    </row>
    <row r="217" spans="1:49" x14ac:dyDescent="0.2">
      <c r="A217">
        <v>215</v>
      </c>
      <c r="B217" t="s">
        <v>7900</v>
      </c>
      <c r="E217">
        <v>11108559</v>
      </c>
      <c r="F217" t="s">
        <v>7899</v>
      </c>
      <c r="G217" t="s">
        <v>9</v>
      </c>
      <c r="H217" t="s">
        <v>8</v>
      </c>
      <c r="I217" t="s">
        <v>7898</v>
      </c>
      <c r="J217">
        <v>100609306</v>
      </c>
      <c r="K217" t="s">
        <v>7897</v>
      </c>
      <c r="L217" t="s">
        <v>761</v>
      </c>
      <c r="M217" t="s">
        <v>32</v>
      </c>
      <c r="N217">
        <v>2</v>
      </c>
      <c r="O217" t="s">
        <v>7896</v>
      </c>
      <c r="P217" t="s">
        <v>7895</v>
      </c>
      <c r="Q217" t="s">
        <v>7894</v>
      </c>
      <c r="R217" s="7">
        <v>36861</v>
      </c>
      <c r="S217" s="8">
        <f t="shared" si="24"/>
        <v>2000</v>
      </c>
      <c r="T217" s="8">
        <v>2000</v>
      </c>
      <c r="U217" s="8">
        <f t="shared" si="25"/>
        <v>22</v>
      </c>
      <c r="V217" s="7">
        <v>2000</v>
      </c>
      <c r="W217" t="s">
        <v>7846</v>
      </c>
      <c r="X217" s="2" t="s">
        <v>0</v>
      </c>
      <c r="Y217" s="6" t="e">
        <f t="shared" si="26"/>
        <v>#VALUE!</v>
      </c>
      <c r="AA217">
        <v>10793259</v>
      </c>
      <c r="AB217">
        <v>35421</v>
      </c>
      <c r="AD217" t="s">
        <v>3</v>
      </c>
      <c r="AE217">
        <v>6</v>
      </c>
      <c r="AF217">
        <v>4</v>
      </c>
      <c r="AH217" t="s">
        <v>759</v>
      </c>
      <c r="AI217" t="s">
        <v>7893</v>
      </c>
      <c r="AJ217" t="s">
        <v>7892</v>
      </c>
      <c r="AK217" t="s">
        <v>7891</v>
      </c>
      <c r="AL217">
        <v>6</v>
      </c>
      <c r="AM217" s="5">
        <f t="shared" si="27"/>
        <v>0.27272727272727271</v>
      </c>
      <c r="AN217" s="4">
        <f t="shared" si="28"/>
        <v>4.1306667584592612E-4</v>
      </c>
      <c r="AO217" s="3"/>
      <c r="AP217">
        <v>0</v>
      </c>
      <c r="AR217" t="s">
        <v>1</v>
      </c>
      <c r="AT217" s="2" t="s">
        <v>0</v>
      </c>
      <c r="AU217" s="1" t="e">
        <f t="shared" si="29"/>
        <v>#VALUE!</v>
      </c>
      <c r="AV217" s="1" t="e">
        <f t="shared" si="30"/>
        <v>#VALUE!</v>
      </c>
      <c r="AW217" s="1" t="e">
        <f t="shared" si="31"/>
        <v>#VALUE!</v>
      </c>
    </row>
    <row r="218" spans="1:49" x14ac:dyDescent="0.2">
      <c r="A218">
        <v>216</v>
      </c>
      <c r="B218" t="s">
        <v>7890</v>
      </c>
      <c r="C218" t="s">
        <v>7889</v>
      </c>
      <c r="F218" t="s">
        <v>7888</v>
      </c>
      <c r="G218" t="s">
        <v>9</v>
      </c>
      <c r="H218" t="s">
        <v>8</v>
      </c>
      <c r="I218" t="s">
        <v>566</v>
      </c>
      <c r="J218">
        <v>60080958</v>
      </c>
      <c r="K218" t="s">
        <v>7887</v>
      </c>
      <c r="L218" t="s">
        <v>7886</v>
      </c>
      <c r="M218" t="s">
        <v>10</v>
      </c>
      <c r="N218">
        <v>2</v>
      </c>
      <c r="O218" t="s">
        <v>7885</v>
      </c>
      <c r="P218" t="s">
        <v>7884</v>
      </c>
      <c r="Q218" t="s">
        <v>7883</v>
      </c>
      <c r="R218" s="7">
        <v>36861</v>
      </c>
      <c r="S218" s="8">
        <f t="shared" si="24"/>
        <v>2000</v>
      </c>
      <c r="T218" s="8">
        <v>2000</v>
      </c>
      <c r="U218" s="8">
        <f t="shared" si="25"/>
        <v>22</v>
      </c>
      <c r="V218" s="7">
        <v>2000</v>
      </c>
      <c r="W218" t="s">
        <v>612</v>
      </c>
      <c r="X218" s="2">
        <v>0.27800000000000002</v>
      </c>
      <c r="Y218" s="6">
        <f t="shared" si="26"/>
        <v>7.4210512266090073E-3</v>
      </c>
      <c r="AA218" t="s">
        <v>611</v>
      </c>
      <c r="AB218">
        <v>21402</v>
      </c>
      <c r="AD218" t="s">
        <v>3</v>
      </c>
      <c r="AE218">
        <v>73</v>
      </c>
      <c r="AF218">
        <v>4</v>
      </c>
      <c r="AH218" t="s">
        <v>7882</v>
      </c>
      <c r="AI218" t="s">
        <v>7881</v>
      </c>
      <c r="AK218" t="s">
        <v>7880</v>
      </c>
      <c r="AL218">
        <v>2</v>
      </c>
      <c r="AM218" s="5">
        <f t="shared" si="27"/>
        <v>9.0909090909090912E-2</v>
      </c>
      <c r="AN218" s="4">
        <f t="shared" si="28"/>
        <v>1.3768889194864205E-4</v>
      </c>
      <c r="AO218" s="3"/>
      <c r="AP218">
        <v>0</v>
      </c>
      <c r="AR218" t="s">
        <v>1</v>
      </c>
      <c r="AT218" s="2">
        <v>0.52900000000000003</v>
      </c>
      <c r="AU218" s="1">
        <f t="shared" si="29"/>
        <v>0.52360425262108967</v>
      </c>
      <c r="AV218" s="1">
        <f t="shared" si="30"/>
        <v>0.37793700592788249</v>
      </c>
      <c r="AW218" s="1">
        <f t="shared" si="31"/>
        <v>0.23226975923467513</v>
      </c>
    </row>
    <row r="219" spans="1:49" x14ac:dyDescent="0.2">
      <c r="A219">
        <v>217</v>
      </c>
      <c r="B219" t="s">
        <v>7879</v>
      </c>
      <c r="C219" t="s">
        <v>7878</v>
      </c>
      <c r="F219" t="s">
        <v>7877</v>
      </c>
      <c r="G219" t="s">
        <v>9</v>
      </c>
      <c r="H219" t="s">
        <v>8</v>
      </c>
      <c r="I219" t="s">
        <v>383</v>
      </c>
      <c r="J219">
        <v>60021378</v>
      </c>
      <c r="K219" t="s">
        <v>557</v>
      </c>
      <c r="L219" t="s">
        <v>556</v>
      </c>
      <c r="M219" t="s">
        <v>5</v>
      </c>
      <c r="N219">
        <v>2</v>
      </c>
      <c r="O219" t="s">
        <v>7876</v>
      </c>
      <c r="P219" t="s">
        <v>7875</v>
      </c>
      <c r="Q219" t="s">
        <v>7874</v>
      </c>
      <c r="R219" s="7">
        <v>36861</v>
      </c>
      <c r="S219" s="8">
        <f t="shared" si="24"/>
        <v>2000</v>
      </c>
      <c r="T219" s="8">
        <v>2000</v>
      </c>
      <c r="U219" s="8">
        <f t="shared" si="25"/>
        <v>22</v>
      </c>
      <c r="V219" s="7">
        <v>36861</v>
      </c>
      <c r="W219" t="s">
        <v>365</v>
      </c>
      <c r="X219" s="2">
        <v>1.468</v>
      </c>
      <c r="Y219" s="6">
        <f t="shared" si="26"/>
        <v>3.9187421585115186E-2</v>
      </c>
      <c r="AA219">
        <v>906778</v>
      </c>
      <c r="AB219">
        <v>18931</v>
      </c>
      <c r="AD219" t="s">
        <v>3</v>
      </c>
      <c r="AE219">
        <v>48</v>
      </c>
      <c r="AF219">
        <v>12</v>
      </c>
      <c r="AH219" t="s">
        <v>7873</v>
      </c>
      <c r="AI219" t="s">
        <v>7872</v>
      </c>
      <c r="AK219" t="s">
        <v>7871</v>
      </c>
      <c r="AL219">
        <v>610</v>
      </c>
      <c r="AM219" s="5">
        <f t="shared" si="27"/>
        <v>27.727272727272727</v>
      </c>
      <c r="AN219" s="4">
        <f t="shared" si="28"/>
        <v>4.1995112044335821E-2</v>
      </c>
      <c r="AO219" s="3"/>
      <c r="AP219">
        <v>0</v>
      </c>
      <c r="AR219" t="s">
        <v>1</v>
      </c>
      <c r="AT219" s="2">
        <v>5.0830000000000002</v>
      </c>
      <c r="AU219" s="1">
        <f t="shared" si="29"/>
        <v>4.0029728722881375</v>
      </c>
      <c r="AV219" s="1">
        <f t="shared" si="30"/>
        <v>4.0591266814725504</v>
      </c>
      <c r="AW219" s="1">
        <f t="shared" si="31"/>
        <v>4.1152804906569624</v>
      </c>
    </row>
    <row r="220" spans="1:49" x14ac:dyDescent="0.2">
      <c r="A220">
        <v>218</v>
      </c>
      <c r="B220" t="s">
        <v>7870</v>
      </c>
      <c r="C220" t="s">
        <v>7869</v>
      </c>
      <c r="F220" t="s">
        <v>7868</v>
      </c>
      <c r="G220" t="s">
        <v>9</v>
      </c>
      <c r="H220" t="s">
        <v>8</v>
      </c>
      <c r="I220" t="s">
        <v>7867</v>
      </c>
      <c r="J220" t="s">
        <v>7866</v>
      </c>
      <c r="K220" t="s">
        <v>7865</v>
      </c>
      <c r="L220" t="s">
        <v>7864</v>
      </c>
      <c r="M220" t="s">
        <v>2514</v>
      </c>
      <c r="N220">
        <v>2</v>
      </c>
      <c r="O220" t="s">
        <v>7863</v>
      </c>
      <c r="P220" t="s">
        <v>7862</v>
      </c>
      <c r="Q220" t="s">
        <v>7861</v>
      </c>
      <c r="R220" s="7">
        <v>36861</v>
      </c>
      <c r="S220" s="8">
        <f t="shared" si="24"/>
        <v>2000</v>
      </c>
      <c r="T220" s="8">
        <v>2000</v>
      </c>
      <c r="U220" s="8">
        <f t="shared" si="25"/>
        <v>22</v>
      </c>
      <c r="V220" s="7">
        <v>36861</v>
      </c>
      <c r="W220" t="s">
        <v>365</v>
      </c>
      <c r="X220" s="2">
        <v>1.468</v>
      </c>
      <c r="Y220" s="6">
        <f t="shared" si="26"/>
        <v>3.9187421585115186E-2</v>
      </c>
      <c r="AA220">
        <v>906778</v>
      </c>
      <c r="AB220">
        <v>18931</v>
      </c>
      <c r="AD220" t="s">
        <v>3</v>
      </c>
      <c r="AE220">
        <v>48</v>
      </c>
      <c r="AF220">
        <v>12</v>
      </c>
      <c r="AH220" t="s">
        <v>7860</v>
      </c>
      <c r="AI220" t="s">
        <v>7859</v>
      </c>
      <c r="AK220" t="s">
        <v>7858</v>
      </c>
      <c r="AL220">
        <v>0</v>
      </c>
      <c r="AM220" s="5">
        <f t="shared" si="27"/>
        <v>0</v>
      </c>
      <c r="AN220" s="4">
        <f t="shared" si="28"/>
        <v>0</v>
      </c>
      <c r="AO220" s="3"/>
      <c r="AP220">
        <v>0</v>
      </c>
      <c r="AQ220" t="s">
        <v>15</v>
      </c>
      <c r="AR220" t="s">
        <v>1</v>
      </c>
      <c r="AS220" t="s">
        <v>14</v>
      </c>
      <c r="AT220" s="2">
        <v>5.0830000000000002</v>
      </c>
      <c r="AU220" s="1">
        <f t="shared" si="29"/>
        <v>2.7431195109580626</v>
      </c>
      <c r="AV220" s="1">
        <f t="shared" si="30"/>
        <v>1.9593710792557593</v>
      </c>
      <c r="AW220" s="1">
        <f t="shared" si="31"/>
        <v>1.1756226475534557</v>
      </c>
    </row>
    <row r="221" spans="1:49" x14ac:dyDescent="0.2">
      <c r="A221">
        <v>219</v>
      </c>
      <c r="B221" t="s">
        <v>7857</v>
      </c>
      <c r="F221" t="s">
        <v>7856</v>
      </c>
      <c r="G221" t="s">
        <v>9</v>
      </c>
      <c r="H221" t="s">
        <v>8</v>
      </c>
      <c r="I221" t="s">
        <v>631</v>
      </c>
      <c r="J221">
        <v>60001950</v>
      </c>
      <c r="K221" t="s">
        <v>822</v>
      </c>
      <c r="L221" t="s">
        <v>126</v>
      </c>
      <c r="M221" t="s">
        <v>32</v>
      </c>
      <c r="N221">
        <v>1</v>
      </c>
      <c r="O221" t="s">
        <v>630</v>
      </c>
      <c r="P221">
        <v>7102175069</v>
      </c>
      <c r="Q221">
        <v>60001950</v>
      </c>
      <c r="R221" s="7">
        <v>36861</v>
      </c>
      <c r="S221" s="8">
        <f t="shared" si="24"/>
        <v>2000</v>
      </c>
      <c r="T221" s="8">
        <v>2000</v>
      </c>
      <c r="U221" s="8">
        <f t="shared" si="25"/>
        <v>22</v>
      </c>
      <c r="V221" s="7">
        <v>2000</v>
      </c>
      <c r="W221" t="s">
        <v>201</v>
      </c>
      <c r="X221" s="2">
        <v>1.1579999999999999</v>
      </c>
      <c r="Y221" s="6">
        <f t="shared" si="26"/>
        <v>3.0912148634579962E-2</v>
      </c>
      <c r="AA221">
        <v>1668595</v>
      </c>
      <c r="AB221">
        <v>14223</v>
      </c>
      <c r="AD221" t="s">
        <v>3</v>
      </c>
      <c r="AE221">
        <v>64</v>
      </c>
      <c r="AF221">
        <v>1</v>
      </c>
      <c r="AH221" t="s">
        <v>629</v>
      </c>
      <c r="AI221" t="s">
        <v>7855</v>
      </c>
      <c r="AJ221" t="s">
        <v>7854</v>
      </c>
      <c r="AK221" t="s">
        <v>628</v>
      </c>
      <c r="AL221">
        <v>1</v>
      </c>
      <c r="AM221" s="5">
        <f t="shared" si="27"/>
        <v>4.5454545454545456E-2</v>
      </c>
      <c r="AN221" s="4">
        <f t="shared" si="28"/>
        <v>6.8844445974321024E-5</v>
      </c>
      <c r="AO221" s="3"/>
      <c r="AP221">
        <v>0</v>
      </c>
      <c r="AR221" t="s">
        <v>1</v>
      </c>
      <c r="AT221" s="2">
        <v>3.573</v>
      </c>
      <c r="AU221" s="1">
        <f t="shared" si="29"/>
        <v>2.1659157377998266</v>
      </c>
      <c r="AV221" s="1">
        <f t="shared" si="30"/>
        <v>1.5490496540277141</v>
      </c>
      <c r="AW221" s="1">
        <f t="shared" si="31"/>
        <v>0.93218357025560139</v>
      </c>
    </row>
    <row r="222" spans="1:49" x14ac:dyDescent="0.2">
      <c r="A222">
        <v>220</v>
      </c>
      <c r="B222" t="s">
        <v>7853</v>
      </c>
      <c r="E222">
        <v>11108561</v>
      </c>
      <c r="F222" t="s">
        <v>7852</v>
      </c>
      <c r="G222" t="s">
        <v>9</v>
      </c>
      <c r="H222" t="s">
        <v>8</v>
      </c>
      <c r="I222" t="s">
        <v>7851</v>
      </c>
      <c r="J222">
        <v>60002573</v>
      </c>
      <c r="K222" t="s">
        <v>7850</v>
      </c>
      <c r="L222" t="s">
        <v>30</v>
      </c>
      <c r="M222" t="s">
        <v>29</v>
      </c>
      <c r="N222">
        <v>4</v>
      </c>
      <c r="O222" t="s">
        <v>7849</v>
      </c>
      <c r="P222" t="s">
        <v>7848</v>
      </c>
      <c r="Q222" t="s">
        <v>7847</v>
      </c>
      <c r="R222" s="7">
        <v>36861</v>
      </c>
      <c r="S222" s="8">
        <f t="shared" si="24"/>
        <v>2000</v>
      </c>
      <c r="T222" s="8">
        <v>2000</v>
      </c>
      <c r="U222" s="8">
        <f t="shared" si="25"/>
        <v>22</v>
      </c>
      <c r="V222" s="7">
        <v>2000</v>
      </c>
      <c r="W222" t="s">
        <v>7846</v>
      </c>
      <c r="X222" s="2" t="s">
        <v>0</v>
      </c>
      <c r="Y222" s="6" t="e">
        <f t="shared" si="26"/>
        <v>#VALUE!</v>
      </c>
      <c r="AA222">
        <v>10793259</v>
      </c>
      <c r="AB222">
        <v>35421</v>
      </c>
      <c r="AD222" t="s">
        <v>3</v>
      </c>
      <c r="AE222">
        <v>6</v>
      </c>
      <c r="AF222">
        <v>4</v>
      </c>
      <c r="AH222" t="s">
        <v>7845</v>
      </c>
      <c r="AI222" t="s">
        <v>7844</v>
      </c>
      <c r="AJ222" t="s">
        <v>7843</v>
      </c>
      <c r="AK222" t="s">
        <v>7842</v>
      </c>
      <c r="AL222">
        <v>4</v>
      </c>
      <c r="AM222" s="5">
        <f t="shared" si="27"/>
        <v>0.18181818181818182</v>
      </c>
      <c r="AN222" s="4">
        <f t="shared" si="28"/>
        <v>2.753777838972841E-4</v>
      </c>
      <c r="AO222" s="3"/>
      <c r="AP222">
        <v>0</v>
      </c>
      <c r="AR222" t="s">
        <v>1</v>
      </c>
      <c r="AT222" s="2" t="s">
        <v>0</v>
      </c>
      <c r="AU222" s="1" t="e">
        <f t="shared" si="29"/>
        <v>#VALUE!</v>
      </c>
      <c r="AV222" s="1" t="e">
        <f t="shared" si="30"/>
        <v>#VALUE!</v>
      </c>
      <c r="AW222" s="1" t="e">
        <f t="shared" si="31"/>
        <v>#VALUE!</v>
      </c>
    </row>
    <row r="223" spans="1:49" x14ac:dyDescent="0.2">
      <c r="A223">
        <v>221</v>
      </c>
      <c r="B223" t="s">
        <v>7841</v>
      </c>
      <c r="C223" t="s">
        <v>7840</v>
      </c>
      <c r="F223" t="s">
        <v>7839</v>
      </c>
      <c r="G223" t="s">
        <v>9</v>
      </c>
      <c r="H223" t="s">
        <v>8</v>
      </c>
      <c r="I223" t="s">
        <v>7838</v>
      </c>
      <c r="J223" t="s">
        <v>7837</v>
      </c>
      <c r="K223" t="s">
        <v>7836</v>
      </c>
      <c r="L223" t="s">
        <v>7835</v>
      </c>
      <c r="M223" t="s">
        <v>7834</v>
      </c>
      <c r="N223">
        <v>2</v>
      </c>
      <c r="O223" t="s">
        <v>7833</v>
      </c>
      <c r="P223" t="s">
        <v>7832</v>
      </c>
      <c r="Q223" t="s">
        <v>7831</v>
      </c>
      <c r="R223" s="7">
        <v>36861</v>
      </c>
      <c r="S223" s="8">
        <f t="shared" si="24"/>
        <v>2000</v>
      </c>
      <c r="T223" s="8">
        <v>2000</v>
      </c>
      <c r="U223" s="8">
        <f t="shared" si="25"/>
        <v>22</v>
      </c>
      <c r="V223" s="7">
        <v>36861</v>
      </c>
      <c r="W223" t="s">
        <v>7791</v>
      </c>
      <c r="X223" s="2">
        <v>3.2160000000000002</v>
      </c>
      <c r="Y223" s="6">
        <f t="shared" si="26"/>
        <v>8.5849283254584782E-2</v>
      </c>
      <c r="AA223">
        <v>10709916</v>
      </c>
      <c r="AB223">
        <v>80015</v>
      </c>
      <c r="AD223" t="s">
        <v>3</v>
      </c>
      <c r="AE223">
        <v>7</v>
      </c>
      <c r="AF223">
        <v>6</v>
      </c>
      <c r="AH223" t="s">
        <v>7830</v>
      </c>
      <c r="AI223" t="s">
        <v>7829</v>
      </c>
      <c r="AK223" t="s">
        <v>7828</v>
      </c>
      <c r="AL223">
        <v>8</v>
      </c>
      <c r="AM223" s="5">
        <f t="shared" si="27"/>
        <v>0.36363636363636365</v>
      </c>
      <c r="AN223" s="4">
        <f t="shared" si="28"/>
        <v>5.5075556779456819E-4</v>
      </c>
      <c r="AO223" s="3"/>
      <c r="AP223">
        <v>0</v>
      </c>
      <c r="AR223" t="s">
        <v>1</v>
      </c>
      <c r="AT223" s="2" t="s">
        <v>0</v>
      </c>
      <c r="AU223" s="1">
        <f t="shared" si="29"/>
        <v>6.0259724948547717</v>
      </c>
      <c r="AV223" s="1">
        <f t="shared" si="30"/>
        <v>4.3200019411189672</v>
      </c>
      <c r="AW223" s="1">
        <f t="shared" si="31"/>
        <v>2.6140313873831635</v>
      </c>
    </row>
    <row r="224" spans="1:49" x14ac:dyDescent="0.2">
      <c r="A224">
        <v>222</v>
      </c>
      <c r="B224" t="s">
        <v>7827</v>
      </c>
      <c r="C224" t="s">
        <v>7826</v>
      </c>
      <c r="F224" t="s">
        <v>7825</v>
      </c>
      <c r="G224" t="s">
        <v>9</v>
      </c>
      <c r="H224" t="s">
        <v>8</v>
      </c>
      <c r="I224" t="s">
        <v>7824</v>
      </c>
      <c r="J224" t="s">
        <v>7823</v>
      </c>
      <c r="K224" t="s">
        <v>7822</v>
      </c>
      <c r="L224" t="s">
        <v>7821</v>
      </c>
      <c r="M224" t="s">
        <v>7820</v>
      </c>
      <c r="N224">
        <v>4</v>
      </c>
      <c r="O224" t="s">
        <v>7819</v>
      </c>
      <c r="P224" t="s">
        <v>7818</v>
      </c>
      <c r="Q224" t="s">
        <v>7817</v>
      </c>
      <c r="R224" s="7">
        <v>36861</v>
      </c>
      <c r="S224" s="8">
        <f t="shared" si="24"/>
        <v>2000</v>
      </c>
      <c r="T224" s="8">
        <v>2000</v>
      </c>
      <c r="U224" s="8">
        <f t="shared" si="25"/>
        <v>22</v>
      </c>
      <c r="V224" s="7">
        <v>36861</v>
      </c>
      <c r="W224" t="s">
        <v>7791</v>
      </c>
      <c r="X224" s="2">
        <v>3.2160000000000002</v>
      </c>
      <c r="Y224" s="6">
        <f t="shared" si="26"/>
        <v>8.5849283254584782E-2</v>
      </c>
      <c r="AA224">
        <v>10709916</v>
      </c>
      <c r="AB224">
        <v>80015</v>
      </c>
      <c r="AD224" t="s">
        <v>3</v>
      </c>
      <c r="AE224">
        <v>7</v>
      </c>
      <c r="AF224">
        <v>6</v>
      </c>
      <c r="AH224" s="9">
        <v>42522</v>
      </c>
      <c r="AI224" t="s">
        <v>7816</v>
      </c>
      <c r="AK224" t="s">
        <v>7815</v>
      </c>
      <c r="AL224">
        <v>36</v>
      </c>
      <c r="AM224" s="5">
        <f t="shared" si="27"/>
        <v>1.6363636363636365</v>
      </c>
      <c r="AN224" s="4">
        <f t="shared" si="28"/>
        <v>2.4784000550755569E-3</v>
      </c>
      <c r="AO224" s="3"/>
      <c r="AP224">
        <v>0</v>
      </c>
      <c r="AR224" t="s">
        <v>1</v>
      </c>
      <c r="AT224" s="2" t="s">
        <v>0</v>
      </c>
      <c r="AU224" s="1">
        <f t="shared" si="29"/>
        <v>6.0838018294732006</v>
      </c>
      <c r="AV224" s="1">
        <f t="shared" si="30"/>
        <v>4.4163841654830174</v>
      </c>
      <c r="AW224" s="1">
        <f t="shared" si="31"/>
        <v>2.7489665014928324</v>
      </c>
    </row>
    <row r="225" spans="1:49" x14ac:dyDescent="0.2">
      <c r="A225">
        <v>223</v>
      </c>
      <c r="B225" t="s">
        <v>7814</v>
      </c>
      <c r="C225" t="s">
        <v>7813</v>
      </c>
      <c r="F225" t="s">
        <v>7812</v>
      </c>
      <c r="G225" t="s">
        <v>9</v>
      </c>
      <c r="H225" t="s">
        <v>8</v>
      </c>
      <c r="I225" t="s">
        <v>7811</v>
      </c>
      <c r="J225">
        <v>60011480</v>
      </c>
      <c r="K225" t="s">
        <v>7810</v>
      </c>
      <c r="L225" t="s">
        <v>889</v>
      </c>
      <c r="M225" t="s">
        <v>5</v>
      </c>
      <c r="N225">
        <v>4</v>
      </c>
      <c r="O225" t="s">
        <v>7809</v>
      </c>
      <c r="P225" t="s">
        <v>7808</v>
      </c>
      <c r="Q225" t="s">
        <v>7807</v>
      </c>
      <c r="R225" s="7">
        <v>36861</v>
      </c>
      <c r="S225" s="8">
        <f t="shared" si="24"/>
        <v>2000</v>
      </c>
      <c r="T225" s="8">
        <v>2000</v>
      </c>
      <c r="U225" s="8">
        <f t="shared" si="25"/>
        <v>22</v>
      </c>
      <c r="V225" s="7">
        <v>2000</v>
      </c>
      <c r="W225" t="s">
        <v>7806</v>
      </c>
      <c r="X225" s="2">
        <v>1.429</v>
      </c>
      <c r="Y225" s="6">
        <f t="shared" si="26"/>
        <v>3.8146338859080114E-2</v>
      </c>
      <c r="AA225">
        <v>218898</v>
      </c>
      <c r="AB225">
        <v>24693</v>
      </c>
      <c r="AD225" t="s">
        <v>3</v>
      </c>
      <c r="AE225">
        <v>33</v>
      </c>
      <c r="AF225">
        <v>2</v>
      </c>
      <c r="AH225" t="s">
        <v>7805</v>
      </c>
      <c r="AI225" t="s">
        <v>7804</v>
      </c>
      <c r="AK225" t="s">
        <v>7803</v>
      </c>
      <c r="AL225">
        <v>1</v>
      </c>
      <c r="AM225" s="5">
        <f t="shared" si="27"/>
        <v>4.5454545454545456E-2</v>
      </c>
      <c r="AN225" s="4">
        <f t="shared" si="28"/>
        <v>6.8844445974321024E-5</v>
      </c>
      <c r="AO225" s="3"/>
      <c r="AP225">
        <v>0</v>
      </c>
      <c r="AR225" t="s">
        <v>1</v>
      </c>
      <c r="AT225" s="2">
        <v>3.3039999999999998</v>
      </c>
      <c r="AU225" s="1">
        <f t="shared" si="29"/>
        <v>2.6723090535148373</v>
      </c>
      <c r="AV225" s="1">
        <f t="shared" si="30"/>
        <v>1.9107591652527216</v>
      </c>
      <c r="AW225" s="1">
        <f t="shared" si="31"/>
        <v>1.1492092769906059</v>
      </c>
    </row>
    <row r="226" spans="1:49" x14ac:dyDescent="0.2">
      <c r="A226">
        <v>224</v>
      </c>
      <c r="B226" t="s">
        <v>7802</v>
      </c>
      <c r="C226" t="s">
        <v>7801</v>
      </c>
      <c r="F226" t="s">
        <v>7800</v>
      </c>
      <c r="G226" t="s">
        <v>9</v>
      </c>
      <c r="H226" t="s">
        <v>8</v>
      </c>
      <c r="I226" t="s">
        <v>7799</v>
      </c>
      <c r="J226" t="s">
        <v>7798</v>
      </c>
      <c r="K226" t="s">
        <v>7797</v>
      </c>
      <c r="L226" t="s">
        <v>7796</v>
      </c>
      <c r="M226" t="s">
        <v>7795</v>
      </c>
      <c r="N226">
        <v>2</v>
      </c>
      <c r="O226" t="s">
        <v>7794</v>
      </c>
      <c r="P226" t="s">
        <v>7793</v>
      </c>
      <c r="Q226" t="s">
        <v>7792</v>
      </c>
      <c r="R226" s="7">
        <v>36861</v>
      </c>
      <c r="S226" s="8">
        <f t="shared" si="24"/>
        <v>2000</v>
      </c>
      <c r="T226" s="8">
        <v>2000</v>
      </c>
      <c r="U226" s="8">
        <f t="shared" si="25"/>
        <v>22</v>
      </c>
      <c r="V226" s="7">
        <v>36861</v>
      </c>
      <c r="W226" t="s">
        <v>7791</v>
      </c>
      <c r="X226" s="2">
        <v>3.2160000000000002</v>
      </c>
      <c r="Y226" s="6">
        <f t="shared" si="26"/>
        <v>8.5849283254584782E-2</v>
      </c>
      <c r="AA226">
        <v>10709916</v>
      </c>
      <c r="AB226">
        <v>80015</v>
      </c>
      <c r="AD226" t="s">
        <v>3</v>
      </c>
      <c r="AE226">
        <v>7</v>
      </c>
      <c r="AF226">
        <v>6</v>
      </c>
      <c r="AH226" t="s">
        <v>7790</v>
      </c>
      <c r="AI226" t="s">
        <v>7789</v>
      </c>
      <c r="AK226" t="s">
        <v>7788</v>
      </c>
      <c r="AL226">
        <v>23</v>
      </c>
      <c r="AM226" s="5">
        <f t="shared" si="27"/>
        <v>1.0454545454545454</v>
      </c>
      <c r="AN226" s="4">
        <f t="shared" si="28"/>
        <v>1.5834222574093834E-3</v>
      </c>
      <c r="AO226" s="3"/>
      <c r="AP226">
        <v>0</v>
      </c>
      <c r="AR226" t="s">
        <v>1</v>
      </c>
      <c r="AT226" s="2" t="s">
        <v>0</v>
      </c>
      <c r="AU226" s="1">
        <f t="shared" si="29"/>
        <v>6.0569524955432152</v>
      </c>
      <c r="AV226" s="1">
        <f t="shared" si="30"/>
        <v>4.3716352755997088</v>
      </c>
      <c r="AW226" s="1">
        <f t="shared" si="31"/>
        <v>2.6863180556562001</v>
      </c>
    </row>
    <row r="227" spans="1:49" x14ac:dyDescent="0.2">
      <c r="A227">
        <v>225</v>
      </c>
      <c r="B227" t="s">
        <v>7787</v>
      </c>
      <c r="C227" t="s">
        <v>7786</v>
      </c>
      <c r="F227" t="s">
        <v>7785</v>
      </c>
      <c r="G227" t="s">
        <v>9</v>
      </c>
      <c r="H227" t="s">
        <v>8</v>
      </c>
      <c r="I227" t="s">
        <v>7784</v>
      </c>
      <c r="J227" t="s">
        <v>7783</v>
      </c>
      <c r="K227" t="s">
        <v>7782</v>
      </c>
      <c r="L227" t="s">
        <v>7781</v>
      </c>
      <c r="M227" t="s">
        <v>642</v>
      </c>
      <c r="N227">
        <v>6</v>
      </c>
      <c r="O227" t="s">
        <v>7780</v>
      </c>
      <c r="P227" t="s">
        <v>7779</v>
      </c>
      <c r="Q227" t="s">
        <v>7778</v>
      </c>
      <c r="R227" s="7">
        <v>36861</v>
      </c>
      <c r="S227" s="8">
        <f t="shared" si="24"/>
        <v>2000</v>
      </c>
      <c r="T227" s="8">
        <v>2000</v>
      </c>
      <c r="U227" s="8">
        <f t="shared" si="25"/>
        <v>22</v>
      </c>
      <c r="V227" s="7">
        <v>2000</v>
      </c>
      <c r="W227" t="s">
        <v>64</v>
      </c>
      <c r="X227" s="2">
        <v>2.0070000000000001</v>
      </c>
      <c r="Y227" s="6">
        <f t="shared" si="26"/>
        <v>5.3575718747497406E-2</v>
      </c>
      <c r="AA227">
        <v>948276</v>
      </c>
      <c r="AB227">
        <v>27962</v>
      </c>
      <c r="AD227" t="s">
        <v>3</v>
      </c>
      <c r="AE227">
        <v>27</v>
      </c>
      <c r="AF227">
        <v>23</v>
      </c>
      <c r="AH227" t="s">
        <v>7777</v>
      </c>
      <c r="AI227" t="s">
        <v>7776</v>
      </c>
      <c r="AK227" t="s">
        <v>7775</v>
      </c>
      <c r="AL227">
        <v>29</v>
      </c>
      <c r="AM227" s="5">
        <f t="shared" si="27"/>
        <v>1.3181818181818181</v>
      </c>
      <c r="AN227" s="4">
        <f t="shared" si="28"/>
        <v>1.9964889332553097E-3</v>
      </c>
      <c r="AO227" s="3"/>
      <c r="AP227">
        <v>1</v>
      </c>
      <c r="AR227" t="s">
        <v>1</v>
      </c>
      <c r="AT227" s="2">
        <v>4.72</v>
      </c>
      <c r="AU227" s="1">
        <f t="shared" si="29"/>
        <v>3.8101949803224775</v>
      </c>
      <c r="AV227" s="1">
        <f t="shared" si="30"/>
        <v>2.7786103840376359</v>
      </c>
      <c r="AW227" s="1">
        <f t="shared" si="31"/>
        <v>1.7470257877527935</v>
      </c>
    </row>
    <row r="228" spans="1:49" x14ac:dyDescent="0.2">
      <c r="A228">
        <v>226</v>
      </c>
      <c r="B228" t="s">
        <v>7774</v>
      </c>
      <c r="C228" t="s">
        <v>7773</v>
      </c>
      <c r="F228" t="s">
        <v>7772</v>
      </c>
      <c r="G228" t="s">
        <v>9</v>
      </c>
      <c r="H228" t="s">
        <v>8</v>
      </c>
      <c r="I228" t="s">
        <v>1373</v>
      </c>
      <c r="J228" t="s">
        <v>7771</v>
      </c>
      <c r="K228" t="s">
        <v>7770</v>
      </c>
      <c r="L228" t="s">
        <v>7769</v>
      </c>
      <c r="M228" t="s">
        <v>7768</v>
      </c>
      <c r="N228">
        <v>5</v>
      </c>
      <c r="O228" t="s">
        <v>7767</v>
      </c>
      <c r="P228" t="s">
        <v>7766</v>
      </c>
      <c r="Q228" t="s">
        <v>7765</v>
      </c>
      <c r="R228" s="7">
        <v>36861</v>
      </c>
      <c r="S228" s="8">
        <f t="shared" si="24"/>
        <v>2000</v>
      </c>
      <c r="T228" s="8">
        <v>2000</v>
      </c>
      <c r="U228" s="8">
        <f t="shared" si="25"/>
        <v>22</v>
      </c>
      <c r="V228" s="7">
        <v>36861</v>
      </c>
      <c r="W228" t="s">
        <v>7764</v>
      </c>
      <c r="X228" s="2">
        <v>2.5710000000000002</v>
      </c>
      <c r="Y228" s="6">
        <f t="shared" si="26"/>
        <v>6.8631376631696966E-2</v>
      </c>
      <c r="AA228">
        <v>189200</v>
      </c>
      <c r="AB228">
        <v>17278</v>
      </c>
      <c r="AD228" t="s">
        <v>3</v>
      </c>
      <c r="AE228">
        <v>35</v>
      </c>
      <c r="AF228">
        <v>12</v>
      </c>
      <c r="AH228" t="s">
        <v>7763</v>
      </c>
      <c r="AI228" t="s">
        <v>7762</v>
      </c>
      <c r="AK228" t="s">
        <v>7761</v>
      </c>
      <c r="AL228">
        <v>78</v>
      </c>
      <c r="AM228" s="5">
        <f t="shared" si="27"/>
        <v>3.5454545454545454</v>
      </c>
      <c r="AN228" s="4">
        <f t="shared" si="28"/>
        <v>5.3698667859970392E-3</v>
      </c>
      <c r="AO228" s="3"/>
      <c r="AP228">
        <v>0</v>
      </c>
      <c r="AR228" t="s">
        <v>1</v>
      </c>
      <c r="AT228" s="2">
        <v>5.0129999999999999</v>
      </c>
      <c r="AU228" s="1">
        <f t="shared" si="29"/>
        <v>4.9652923677986989</v>
      </c>
      <c r="AV228" s="1">
        <f t="shared" si="30"/>
        <v>3.7000621708847006</v>
      </c>
      <c r="AW228" s="1">
        <f t="shared" si="31"/>
        <v>2.4348319739707018</v>
      </c>
    </row>
    <row r="229" spans="1:49" x14ac:dyDescent="0.2">
      <c r="A229">
        <v>227</v>
      </c>
      <c r="B229" t="s">
        <v>7760</v>
      </c>
      <c r="C229" t="s">
        <v>7759</v>
      </c>
      <c r="D229" t="s">
        <v>7758</v>
      </c>
      <c r="E229">
        <v>10833031</v>
      </c>
      <c r="F229" t="s">
        <v>7757</v>
      </c>
      <c r="G229" t="s">
        <v>9</v>
      </c>
      <c r="H229" t="s">
        <v>8</v>
      </c>
      <c r="I229" t="s">
        <v>5875</v>
      </c>
      <c r="J229">
        <v>60002634</v>
      </c>
      <c r="K229" t="s">
        <v>5874</v>
      </c>
      <c r="L229" t="s">
        <v>4211</v>
      </c>
      <c r="M229" t="s">
        <v>87</v>
      </c>
      <c r="N229">
        <v>1</v>
      </c>
      <c r="O229" t="s">
        <v>7756</v>
      </c>
      <c r="P229">
        <v>7202064593</v>
      </c>
      <c r="Q229">
        <v>60002634</v>
      </c>
      <c r="R229" s="7">
        <v>36861</v>
      </c>
      <c r="S229" s="8">
        <f t="shared" si="24"/>
        <v>2000</v>
      </c>
      <c r="T229" s="8">
        <v>2000</v>
      </c>
      <c r="U229" s="8">
        <f t="shared" si="25"/>
        <v>22</v>
      </c>
      <c r="V229" s="7">
        <v>2000</v>
      </c>
      <c r="W229" t="s">
        <v>7745</v>
      </c>
      <c r="X229" s="2">
        <v>0.96099999999999997</v>
      </c>
      <c r="Y229" s="6">
        <f t="shared" si="26"/>
        <v>2.5653346146659192E-2</v>
      </c>
      <c r="AA229">
        <v>10440305</v>
      </c>
      <c r="AB229">
        <v>29591</v>
      </c>
      <c r="AD229" t="s">
        <v>3</v>
      </c>
      <c r="AE229">
        <v>11</v>
      </c>
      <c r="AF229">
        <v>6</v>
      </c>
      <c r="AH229" t="s">
        <v>7755</v>
      </c>
      <c r="AI229" t="s">
        <v>7754</v>
      </c>
      <c r="AK229" t="s">
        <v>7753</v>
      </c>
      <c r="AL229">
        <v>36</v>
      </c>
      <c r="AM229" s="5">
        <f t="shared" si="27"/>
        <v>1.6363636363636365</v>
      </c>
      <c r="AN229" s="4">
        <f t="shared" si="28"/>
        <v>2.4784000550755569E-3</v>
      </c>
      <c r="AO229" s="3"/>
      <c r="AP229">
        <v>0</v>
      </c>
      <c r="AQ229" t="s">
        <v>55</v>
      </c>
      <c r="AR229" t="s">
        <v>1</v>
      </c>
      <c r="AS229" t="s">
        <v>605</v>
      </c>
      <c r="AT229" s="2" t="s">
        <v>0</v>
      </c>
      <c r="AU229" s="1">
        <f t="shared" si="29"/>
        <v>1.8700862319184097</v>
      </c>
      <c r="AV229" s="1">
        <f t="shared" si="30"/>
        <v>1.4065873100867374</v>
      </c>
      <c r="AW229" s="1">
        <f t="shared" si="31"/>
        <v>0.94308838825506469</v>
      </c>
    </row>
    <row r="230" spans="1:49" x14ac:dyDescent="0.2">
      <c r="A230">
        <v>228</v>
      </c>
      <c r="B230" t="s">
        <v>7752</v>
      </c>
      <c r="C230" t="s">
        <v>7751</v>
      </c>
      <c r="D230" t="s">
        <v>7750</v>
      </c>
      <c r="E230">
        <v>10833030</v>
      </c>
      <c r="F230" t="s">
        <v>7749</v>
      </c>
      <c r="G230" t="s">
        <v>9</v>
      </c>
      <c r="H230" t="s">
        <v>8</v>
      </c>
      <c r="I230" t="s">
        <v>5875</v>
      </c>
      <c r="J230">
        <v>60002634</v>
      </c>
      <c r="K230" t="s">
        <v>5874</v>
      </c>
      <c r="L230" t="s">
        <v>4211</v>
      </c>
      <c r="M230" t="s">
        <v>87</v>
      </c>
      <c r="N230">
        <v>4</v>
      </c>
      <c r="O230" t="s">
        <v>7748</v>
      </c>
      <c r="P230" t="s">
        <v>7747</v>
      </c>
      <c r="Q230" t="s">
        <v>7746</v>
      </c>
      <c r="R230" s="7">
        <v>36861</v>
      </c>
      <c r="S230" s="8">
        <f t="shared" si="24"/>
        <v>2000</v>
      </c>
      <c r="T230" s="8">
        <v>2000</v>
      </c>
      <c r="U230" s="8">
        <f t="shared" si="25"/>
        <v>22</v>
      </c>
      <c r="V230" s="7">
        <v>2000</v>
      </c>
      <c r="W230" t="s">
        <v>7745</v>
      </c>
      <c r="X230" s="2">
        <v>0.96099999999999997</v>
      </c>
      <c r="Y230" s="6">
        <f t="shared" si="26"/>
        <v>2.5653346146659192E-2</v>
      </c>
      <c r="AA230">
        <v>10440305</v>
      </c>
      <c r="AB230">
        <v>29591</v>
      </c>
      <c r="AD230" t="s">
        <v>3</v>
      </c>
      <c r="AE230">
        <v>11</v>
      </c>
      <c r="AF230">
        <v>6</v>
      </c>
      <c r="AH230" t="s">
        <v>7744</v>
      </c>
      <c r="AI230" t="s">
        <v>7743</v>
      </c>
      <c r="AK230" t="s">
        <v>7742</v>
      </c>
      <c r="AL230">
        <v>186</v>
      </c>
      <c r="AM230" s="5">
        <f t="shared" si="27"/>
        <v>8.454545454545455</v>
      </c>
      <c r="AN230" s="4">
        <f t="shared" si="28"/>
        <v>1.2805066951223711E-2</v>
      </c>
      <c r="AO230" s="3"/>
      <c r="AP230">
        <v>0</v>
      </c>
      <c r="AQ230" t="s">
        <v>55</v>
      </c>
      <c r="AR230" t="s">
        <v>7741</v>
      </c>
      <c r="AS230" t="s">
        <v>7740</v>
      </c>
      <c r="AT230" s="2" t="s">
        <v>0</v>
      </c>
      <c r="AU230" s="1">
        <f t="shared" si="29"/>
        <v>2.1798862388028546</v>
      </c>
      <c r="AV230" s="1">
        <f t="shared" si="30"/>
        <v>1.9229206548941453</v>
      </c>
      <c r="AW230" s="1">
        <f t="shared" si="31"/>
        <v>1.6659550709854354</v>
      </c>
    </row>
    <row r="231" spans="1:49" x14ac:dyDescent="0.2">
      <c r="A231">
        <v>229</v>
      </c>
      <c r="B231" t="s">
        <v>7739</v>
      </c>
      <c r="C231" t="s">
        <v>7738</v>
      </c>
      <c r="F231" t="s">
        <v>7737</v>
      </c>
      <c r="G231" t="s">
        <v>9</v>
      </c>
      <c r="H231" t="s">
        <v>8</v>
      </c>
      <c r="I231" t="s">
        <v>7736</v>
      </c>
      <c r="J231" t="s">
        <v>7735</v>
      </c>
      <c r="K231" t="s">
        <v>7734</v>
      </c>
      <c r="L231" t="s">
        <v>7733</v>
      </c>
      <c r="M231" t="s">
        <v>28</v>
      </c>
      <c r="N231">
        <v>4</v>
      </c>
      <c r="O231" t="s">
        <v>7732</v>
      </c>
      <c r="P231" t="s">
        <v>7731</v>
      </c>
      <c r="Q231" t="s">
        <v>7730</v>
      </c>
      <c r="R231" s="7">
        <v>36861</v>
      </c>
      <c r="S231" s="8">
        <f t="shared" si="24"/>
        <v>2000</v>
      </c>
      <c r="T231" s="8">
        <v>2000</v>
      </c>
      <c r="U231" s="8">
        <f t="shared" si="25"/>
        <v>22</v>
      </c>
      <c r="V231" s="7">
        <v>36861</v>
      </c>
      <c r="W231" t="s">
        <v>454</v>
      </c>
      <c r="X231" s="2">
        <v>0.44400000000000001</v>
      </c>
      <c r="Y231" s="6">
        <f t="shared" si="26"/>
        <v>1.1852326419476256E-2</v>
      </c>
      <c r="AA231">
        <v>15273342</v>
      </c>
      <c r="AB231">
        <v>17296</v>
      </c>
      <c r="AD231" t="s">
        <v>3</v>
      </c>
      <c r="AE231">
        <v>1</v>
      </c>
      <c r="AF231">
        <v>4</v>
      </c>
      <c r="AH231" t="s">
        <v>7729</v>
      </c>
      <c r="AI231" t="s">
        <v>7728</v>
      </c>
      <c r="AK231" t="s">
        <v>7727</v>
      </c>
      <c r="AL231">
        <v>65</v>
      </c>
      <c r="AM231" s="5">
        <f t="shared" si="27"/>
        <v>2.9545454545454546</v>
      </c>
      <c r="AN231" s="4">
        <f t="shared" si="28"/>
        <v>4.4748889883308666E-3</v>
      </c>
      <c r="AO231" s="3"/>
      <c r="AP231">
        <v>0</v>
      </c>
      <c r="AR231" t="s">
        <v>1</v>
      </c>
      <c r="AT231" s="2">
        <v>2.714</v>
      </c>
      <c r="AU231" s="1">
        <f t="shared" si="29"/>
        <v>0.96390951901326372</v>
      </c>
      <c r="AV231" s="1">
        <f t="shared" si="30"/>
        <v>0.81636077039035604</v>
      </c>
      <c r="AW231" s="1">
        <f t="shared" si="31"/>
        <v>0.66881202176744836</v>
      </c>
    </row>
    <row r="232" spans="1:49" x14ac:dyDescent="0.2">
      <c r="A232">
        <v>230</v>
      </c>
      <c r="B232" t="s">
        <v>7726</v>
      </c>
      <c r="F232" t="s">
        <v>7725</v>
      </c>
      <c r="G232" t="s">
        <v>9</v>
      </c>
      <c r="H232" t="s">
        <v>8</v>
      </c>
      <c r="I232" t="s">
        <v>7724</v>
      </c>
      <c r="J232">
        <v>60068756</v>
      </c>
      <c r="K232" t="s">
        <v>7723</v>
      </c>
      <c r="L232" t="s">
        <v>7722</v>
      </c>
      <c r="M232" t="s">
        <v>101</v>
      </c>
      <c r="N232">
        <v>2</v>
      </c>
      <c r="O232" t="s">
        <v>7721</v>
      </c>
      <c r="P232" t="s">
        <v>7720</v>
      </c>
      <c r="Q232" t="s">
        <v>7719</v>
      </c>
      <c r="R232" s="7">
        <v>36861</v>
      </c>
      <c r="S232" s="8">
        <f t="shared" si="24"/>
        <v>2000</v>
      </c>
      <c r="T232" s="8">
        <v>2000</v>
      </c>
      <c r="U232" s="8">
        <f t="shared" si="25"/>
        <v>22</v>
      </c>
      <c r="V232" s="7">
        <v>2000</v>
      </c>
      <c r="W232" t="s">
        <v>7707</v>
      </c>
      <c r="X232" s="2" t="s">
        <v>0</v>
      </c>
      <c r="Y232" s="6" t="e">
        <f t="shared" si="26"/>
        <v>#VALUE!</v>
      </c>
      <c r="AA232">
        <v>12595985</v>
      </c>
      <c r="AB232">
        <v>28513</v>
      </c>
      <c r="AD232" t="s">
        <v>3</v>
      </c>
      <c r="AE232">
        <v>73</v>
      </c>
      <c r="AF232" s="10">
        <v>44228</v>
      </c>
      <c r="AH232" t="s">
        <v>7718</v>
      </c>
      <c r="AI232" t="s">
        <v>7717</v>
      </c>
      <c r="AK232" t="s">
        <v>7716</v>
      </c>
      <c r="AL232">
        <v>0</v>
      </c>
      <c r="AM232" s="5">
        <f t="shared" si="27"/>
        <v>0</v>
      </c>
      <c r="AN232" s="4">
        <f t="shared" si="28"/>
        <v>0</v>
      </c>
      <c r="AO232" s="3"/>
      <c r="AP232">
        <v>0</v>
      </c>
      <c r="AR232" t="s">
        <v>1</v>
      </c>
      <c r="AT232" s="2" t="s">
        <v>0</v>
      </c>
      <c r="AU232" s="1" t="e">
        <f t="shared" si="29"/>
        <v>#VALUE!</v>
      </c>
      <c r="AV232" s="1" t="e">
        <f t="shared" si="30"/>
        <v>#VALUE!</v>
      </c>
      <c r="AW232" s="1" t="e">
        <f t="shared" si="31"/>
        <v>#VALUE!</v>
      </c>
    </row>
    <row r="233" spans="1:49" x14ac:dyDescent="0.2">
      <c r="A233">
        <v>231</v>
      </c>
      <c r="B233" t="s">
        <v>7715</v>
      </c>
      <c r="F233" t="s">
        <v>7714</v>
      </c>
      <c r="G233" t="s">
        <v>9</v>
      </c>
      <c r="H233" t="s">
        <v>8</v>
      </c>
      <c r="I233" t="s">
        <v>7713</v>
      </c>
      <c r="J233">
        <v>60081053</v>
      </c>
      <c r="K233" t="s">
        <v>7712</v>
      </c>
      <c r="L233" t="s">
        <v>7711</v>
      </c>
      <c r="M233" t="s">
        <v>251</v>
      </c>
      <c r="N233">
        <v>5</v>
      </c>
      <c r="O233" t="s">
        <v>7710</v>
      </c>
      <c r="P233" t="s">
        <v>7709</v>
      </c>
      <c r="Q233" t="s">
        <v>7708</v>
      </c>
      <c r="R233" s="7">
        <v>36861</v>
      </c>
      <c r="S233" s="8">
        <f t="shared" si="24"/>
        <v>2000</v>
      </c>
      <c r="T233" s="8">
        <v>2000</v>
      </c>
      <c r="U233" s="8">
        <f t="shared" si="25"/>
        <v>22</v>
      </c>
      <c r="V233" s="7">
        <v>2000</v>
      </c>
      <c r="W233" t="s">
        <v>7707</v>
      </c>
      <c r="X233" s="2" t="s">
        <v>0</v>
      </c>
      <c r="Y233" s="6" t="e">
        <f t="shared" si="26"/>
        <v>#VALUE!</v>
      </c>
      <c r="AA233">
        <v>12595985</v>
      </c>
      <c r="AB233">
        <v>28513</v>
      </c>
      <c r="AD233" t="s">
        <v>3</v>
      </c>
      <c r="AE233">
        <v>73</v>
      </c>
      <c r="AF233" s="10">
        <v>44228</v>
      </c>
      <c r="AH233" s="10">
        <v>44409</v>
      </c>
      <c r="AI233" t="s">
        <v>7706</v>
      </c>
      <c r="AK233" t="s">
        <v>7705</v>
      </c>
      <c r="AL233">
        <v>1</v>
      </c>
      <c r="AM233" s="5">
        <f t="shared" si="27"/>
        <v>4.5454545454545456E-2</v>
      </c>
      <c r="AN233" s="4">
        <f t="shared" si="28"/>
        <v>6.8844445974321024E-5</v>
      </c>
      <c r="AO233" s="3"/>
      <c r="AP233">
        <v>0</v>
      </c>
      <c r="AR233" t="s">
        <v>1</v>
      </c>
      <c r="AT233" s="2" t="s">
        <v>0</v>
      </c>
      <c r="AU233" s="1" t="e">
        <f t="shared" si="29"/>
        <v>#VALUE!</v>
      </c>
      <c r="AV233" s="1" t="e">
        <f t="shared" si="30"/>
        <v>#VALUE!</v>
      </c>
      <c r="AW233" s="1" t="e">
        <f t="shared" si="31"/>
        <v>#VALUE!</v>
      </c>
    </row>
    <row r="234" spans="1:49" x14ac:dyDescent="0.2">
      <c r="A234">
        <v>232</v>
      </c>
      <c r="B234" t="s">
        <v>7704</v>
      </c>
      <c r="C234" t="s">
        <v>7703</v>
      </c>
      <c r="F234" t="s">
        <v>7702</v>
      </c>
      <c r="G234" t="s">
        <v>9</v>
      </c>
      <c r="H234" t="s">
        <v>8</v>
      </c>
      <c r="I234" t="s">
        <v>7701</v>
      </c>
      <c r="J234">
        <v>60000891</v>
      </c>
      <c r="K234" t="s">
        <v>7700</v>
      </c>
      <c r="L234" t="s">
        <v>7699</v>
      </c>
      <c r="M234" t="s">
        <v>87</v>
      </c>
      <c r="N234">
        <v>4</v>
      </c>
      <c r="O234" t="s">
        <v>7698</v>
      </c>
      <c r="P234" t="s">
        <v>7697</v>
      </c>
      <c r="Q234" t="s">
        <v>7696</v>
      </c>
      <c r="R234" s="7">
        <v>36861</v>
      </c>
      <c r="S234" s="8">
        <f t="shared" si="24"/>
        <v>2000</v>
      </c>
      <c r="T234" s="8">
        <v>2000</v>
      </c>
      <c r="U234" s="8">
        <f t="shared" si="25"/>
        <v>22</v>
      </c>
      <c r="V234" s="7">
        <v>36861</v>
      </c>
      <c r="W234" s="11" t="s">
        <v>7695</v>
      </c>
      <c r="X234" s="2">
        <v>2.383</v>
      </c>
      <c r="Y234" s="6">
        <f t="shared" si="26"/>
        <v>6.3612824003630442E-2</v>
      </c>
      <c r="AA234">
        <v>13502433</v>
      </c>
      <c r="AB234">
        <v>9500153902</v>
      </c>
      <c r="AD234" t="s">
        <v>3</v>
      </c>
      <c r="AE234">
        <v>147</v>
      </c>
      <c r="AF234">
        <v>6</v>
      </c>
      <c r="AH234" t="s">
        <v>7694</v>
      </c>
      <c r="AI234" t="s">
        <v>7693</v>
      </c>
      <c r="AK234" t="s">
        <v>7692</v>
      </c>
      <c r="AL234">
        <v>32</v>
      </c>
      <c r="AM234" s="5">
        <f t="shared" si="27"/>
        <v>1.4545454545454546</v>
      </c>
      <c r="AN234" s="4">
        <f t="shared" si="28"/>
        <v>2.2030222711782728E-3</v>
      </c>
      <c r="AO234" s="3"/>
      <c r="AP234">
        <v>0</v>
      </c>
      <c r="AR234" t="s">
        <v>1</v>
      </c>
      <c r="AT234" s="2" t="s">
        <v>0</v>
      </c>
      <c r="AU234" s="1">
        <f t="shared" si="29"/>
        <v>4.5189883483894793</v>
      </c>
      <c r="AV234" s="1">
        <f t="shared" si="30"/>
        <v>3.2907923137404356</v>
      </c>
      <c r="AW234" s="1">
        <f t="shared" si="31"/>
        <v>2.0625962790913923</v>
      </c>
    </row>
    <row r="235" spans="1:49" x14ac:dyDescent="0.2">
      <c r="A235">
        <v>233</v>
      </c>
      <c r="B235" t="s">
        <v>7691</v>
      </c>
      <c r="C235" t="s">
        <v>7690</v>
      </c>
      <c r="F235" t="s">
        <v>7689</v>
      </c>
      <c r="G235" t="s">
        <v>9</v>
      </c>
      <c r="H235" t="s">
        <v>8</v>
      </c>
      <c r="I235" t="s">
        <v>7688</v>
      </c>
      <c r="J235">
        <v>60159811</v>
      </c>
      <c r="K235" t="s">
        <v>7687</v>
      </c>
      <c r="L235" t="s">
        <v>7686</v>
      </c>
      <c r="M235" t="s">
        <v>5</v>
      </c>
      <c r="N235">
        <v>3</v>
      </c>
      <c r="O235" t="s">
        <v>7685</v>
      </c>
      <c r="P235" t="s">
        <v>7684</v>
      </c>
      <c r="Q235" t="s">
        <v>7683</v>
      </c>
      <c r="R235" s="7">
        <v>36861</v>
      </c>
      <c r="S235" s="8">
        <f t="shared" si="24"/>
        <v>2000</v>
      </c>
      <c r="T235" s="8">
        <v>2000</v>
      </c>
      <c r="U235" s="8">
        <f t="shared" si="25"/>
        <v>22</v>
      </c>
      <c r="V235" s="7">
        <v>36861</v>
      </c>
      <c r="W235" t="s">
        <v>473</v>
      </c>
      <c r="X235" s="2">
        <v>0.88100000000000001</v>
      </c>
      <c r="Y235" s="6">
        <f t="shared" si="26"/>
        <v>2.3517791836843653E-2</v>
      </c>
      <c r="AA235">
        <v>10459243</v>
      </c>
      <c r="AB235">
        <v>17248</v>
      </c>
      <c r="AD235" t="s">
        <v>3</v>
      </c>
      <c r="AE235">
        <v>42</v>
      </c>
      <c r="AF235">
        <v>6</v>
      </c>
      <c r="AH235" t="s">
        <v>7682</v>
      </c>
      <c r="AI235" t="s">
        <v>7681</v>
      </c>
      <c r="AJ235" t="s">
        <v>7680</v>
      </c>
      <c r="AK235" t="s">
        <v>7679</v>
      </c>
      <c r="AL235">
        <v>1</v>
      </c>
      <c r="AM235" s="5">
        <f t="shared" si="27"/>
        <v>4.5454545454545456E-2</v>
      </c>
      <c r="AN235" s="4">
        <f t="shared" si="28"/>
        <v>6.8844445974321024E-5</v>
      </c>
      <c r="AO235" s="3"/>
      <c r="AP235">
        <v>0</v>
      </c>
      <c r="AR235" t="s">
        <v>1</v>
      </c>
      <c r="AT235" s="2" t="s">
        <v>0</v>
      </c>
      <c r="AU235" s="1">
        <f t="shared" si="29"/>
        <v>1.6483107619582851</v>
      </c>
      <c r="AV235" s="1">
        <f t="shared" si="30"/>
        <v>1.1793318141408988</v>
      </c>
      <c r="AW235" s="1">
        <f t="shared" si="31"/>
        <v>0.71035286632351202</v>
      </c>
    </row>
    <row r="236" spans="1:49" x14ac:dyDescent="0.2">
      <c r="A236">
        <v>234</v>
      </c>
      <c r="B236" t="s">
        <v>7678</v>
      </c>
      <c r="C236" t="s">
        <v>7677</v>
      </c>
      <c r="F236" t="s">
        <v>7676</v>
      </c>
      <c r="G236" t="s">
        <v>9</v>
      </c>
      <c r="H236" t="s">
        <v>8</v>
      </c>
      <c r="I236" t="s">
        <v>7675</v>
      </c>
      <c r="J236">
        <v>60028419</v>
      </c>
      <c r="K236" t="s">
        <v>227</v>
      </c>
      <c r="L236" t="s">
        <v>226</v>
      </c>
      <c r="M236" t="s">
        <v>109</v>
      </c>
      <c r="N236">
        <v>3</v>
      </c>
      <c r="O236" t="s">
        <v>7674</v>
      </c>
      <c r="P236" t="s">
        <v>7673</v>
      </c>
      <c r="Q236" t="s">
        <v>1686</v>
      </c>
      <c r="R236" s="7">
        <v>36861</v>
      </c>
      <c r="S236" s="8">
        <f t="shared" si="24"/>
        <v>2000</v>
      </c>
      <c r="T236" s="8">
        <v>2000</v>
      </c>
      <c r="U236" s="8">
        <f t="shared" si="25"/>
        <v>22</v>
      </c>
      <c r="V236" s="7">
        <v>36861</v>
      </c>
      <c r="W236" t="s">
        <v>473</v>
      </c>
      <c r="X236" s="2">
        <v>0.88100000000000001</v>
      </c>
      <c r="Y236" s="6">
        <f t="shared" si="26"/>
        <v>2.3517791836843653E-2</v>
      </c>
      <c r="AA236">
        <v>10459243</v>
      </c>
      <c r="AB236">
        <v>17248</v>
      </c>
      <c r="AD236" t="s">
        <v>3</v>
      </c>
      <c r="AE236">
        <v>42</v>
      </c>
      <c r="AF236">
        <v>6</v>
      </c>
      <c r="AH236" t="s">
        <v>7672</v>
      </c>
      <c r="AI236" t="s">
        <v>7671</v>
      </c>
      <c r="AK236" t="s">
        <v>7670</v>
      </c>
      <c r="AL236">
        <v>23</v>
      </c>
      <c r="AM236" s="5">
        <f t="shared" si="27"/>
        <v>1.0454545454545454</v>
      </c>
      <c r="AN236" s="4">
        <f t="shared" si="28"/>
        <v>1.5834222574093834E-3</v>
      </c>
      <c r="AO236" s="3"/>
      <c r="AP236">
        <v>0</v>
      </c>
      <c r="AR236" t="s">
        <v>7669</v>
      </c>
      <c r="AS236" t="s">
        <v>7668</v>
      </c>
      <c r="AT236" s="2" t="s">
        <v>0</v>
      </c>
      <c r="AU236" s="1">
        <f t="shared" si="29"/>
        <v>1.6937480963013372</v>
      </c>
      <c r="AV236" s="1">
        <f t="shared" si="30"/>
        <v>1.2550607047126519</v>
      </c>
      <c r="AW236" s="1">
        <f t="shared" si="31"/>
        <v>0.81637331312396644</v>
      </c>
    </row>
    <row r="237" spans="1:49" x14ac:dyDescent="0.2">
      <c r="A237">
        <v>235</v>
      </c>
      <c r="B237" t="s">
        <v>7667</v>
      </c>
      <c r="C237" t="s">
        <v>7666</v>
      </c>
      <c r="F237" t="s">
        <v>7665</v>
      </c>
      <c r="G237" t="s">
        <v>9</v>
      </c>
      <c r="H237" t="s">
        <v>8</v>
      </c>
      <c r="I237" t="s">
        <v>7664</v>
      </c>
      <c r="J237" t="s">
        <v>7663</v>
      </c>
      <c r="K237" t="s">
        <v>7662</v>
      </c>
      <c r="L237" t="s">
        <v>7661</v>
      </c>
      <c r="M237" t="s">
        <v>7660</v>
      </c>
      <c r="N237">
        <v>2</v>
      </c>
      <c r="O237" t="s">
        <v>7659</v>
      </c>
      <c r="P237" t="s">
        <v>7658</v>
      </c>
      <c r="Q237" t="s">
        <v>7657</v>
      </c>
      <c r="R237" s="7">
        <v>36861</v>
      </c>
      <c r="S237" s="8">
        <f t="shared" si="24"/>
        <v>2000</v>
      </c>
      <c r="T237" s="8">
        <v>2000</v>
      </c>
      <c r="U237" s="8">
        <f t="shared" si="25"/>
        <v>22</v>
      </c>
      <c r="V237" s="7">
        <v>36861</v>
      </c>
      <c r="W237" t="s">
        <v>473</v>
      </c>
      <c r="X237" s="2">
        <v>0.88100000000000001</v>
      </c>
      <c r="Y237" s="6">
        <f t="shared" si="26"/>
        <v>2.3517791836843653E-2</v>
      </c>
      <c r="AA237">
        <v>10459243</v>
      </c>
      <c r="AB237">
        <v>17248</v>
      </c>
      <c r="AD237" t="s">
        <v>3</v>
      </c>
      <c r="AE237">
        <v>42</v>
      </c>
      <c r="AF237">
        <v>6</v>
      </c>
      <c r="AH237" t="s">
        <v>7656</v>
      </c>
      <c r="AI237" t="s">
        <v>7655</v>
      </c>
      <c r="AK237" t="s">
        <v>7654</v>
      </c>
      <c r="AL237">
        <v>8</v>
      </c>
      <c r="AM237" s="5">
        <f t="shared" si="27"/>
        <v>0.36363636363636365</v>
      </c>
      <c r="AN237" s="4">
        <f t="shared" si="28"/>
        <v>5.5075556779456819E-4</v>
      </c>
      <c r="AO237" s="3"/>
      <c r="AP237">
        <v>0</v>
      </c>
      <c r="AR237" t="s">
        <v>1</v>
      </c>
      <c r="AT237" s="2" t="s">
        <v>0</v>
      </c>
      <c r="AU237" s="1">
        <f t="shared" si="29"/>
        <v>1.6627680956128925</v>
      </c>
      <c r="AV237" s="1">
        <f t="shared" si="30"/>
        <v>1.2034273702319112</v>
      </c>
      <c r="AW237" s="1">
        <f t="shared" si="31"/>
        <v>0.74408664485092935</v>
      </c>
    </row>
    <row r="238" spans="1:49" x14ac:dyDescent="0.2">
      <c r="A238">
        <v>236</v>
      </c>
      <c r="B238" t="s">
        <v>7653</v>
      </c>
      <c r="C238" t="s">
        <v>7652</v>
      </c>
      <c r="E238">
        <v>11251397</v>
      </c>
      <c r="F238" t="s">
        <v>7651</v>
      </c>
      <c r="G238" t="s">
        <v>9</v>
      </c>
      <c r="H238" t="s">
        <v>8</v>
      </c>
      <c r="I238" t="s">
        <v>7650</v>
      </c>
      <c r="J238">
        <v>60006792</v>
      </c>
      <c r="K238" t="s">
        <v>7649</v>
      </c>
      <c r="L238" t="s">
        <v>163</v>
      </c>
      <c r="M238" t="s">
        <v>43</v>
      </c>
      <c r="N238">
        <v>6</v>
      </c>
      <c r="O238" t="s">
        <v>7648</v>
      </c>
      <c r="P238" t="s">
        <v>7647</v>
      </c>
      <c r="Q238" t="s">
        <v>7646</v>
      </c>
      <c r="R238" s="7">
        <v>36861</v>
      </c>
      <c r="S238" s="8">
        <f t="shared" si="24"/>
        <v>2000</v>
      </c>
      <c r="T238" s="8">
        <v>2000</v>
      </c>
      <c r="U238" s="8">
        <f t="shared" si="25"/>
        <v>22</v>
      </c>
      <c r="V238" s="7">
        <v>2000</v>
      </c>
      <c r="W238" t="s">
        <v>7645</v>
      </c>
      <c r="X238" s="2">
        <v>0.79800000000000004</v>
      </c>
      <c r="Y238" s="6">
        <f t="shared" si="26"/>
        <v>2.1302154240410029E-2</v>
      </c>
      <c r="AA238">
        <v>10116125</v>
      </c>
      <c r="AB238">
        <v>22302</v>
      </c>
      <c r="AD238" t="s">
        <v>3</v>
      </c>
      <c r="AE238">
        <v>74</v>
      </c>
      <c r="AF238">
        <v>2</v>
      </c>
      <c r="AH238" t="s">
        <v>7644</v>
      </c>
      <c r="AI238" t="s">
        <v>7643</v>
      </c>
      <c r="AJ238" t="s">
        <v>7642</v>
      </c>
      <c r="AK238" t="s">
        <v>7641</v>
      </c>
      <c r="AL238">
        <v>38</v>
      </c>
      <c r="AM238" s="5">
        <f t="shared" si="27"/>
        <v>1.7272727272727273</v>
      </c>
      <c r="AN238" s="4">
        <f t="shared" si="28"/>
        <v>2.616088947024199E-3</v>
      </c>
      <c r="AO238" s="3"/>
      <c r="AP238">
        <v>0</v>
      </c>
      <c r="AR238" t="s">
        <v>1</v>
      </c>
      <c r="AT238" s="2" t="s">
        <v>0</v>
      </c>
      <c r="AU238" s="1">
        <f t="shared" si="29"/>
        <v>1.5696334652394279</v>
      </c>
      <c r="AV238" s="1">
        <f t="shared" si="30"/>
        <v>1.1959121593717112</v>
      </c>
      <c r="AW238" s="1">
        <f t="shared" si="31"/>
        <v>0.82219085350399479</v>
      </c>
    </row>
    <row r="239" spans="1:49" x14ac:dyDescent="0.2">
      <c r="A239">
        <v>237</v>
      </c>
      <c r="B239" t="s">
        <v>7640</v>
      </c>
      <c r="C239" t="s">
        <v>7639</v>
      </c>
      <c r="D239" t="s">
        <v>7638</v>
      </c>
      <c r="E239">
        <v>11257486</v>
      </c>
      <c r="F239" t="s">
        <v>7637</v>
      </c>
      <c r="G239" t="s">
        <v>9</v>
      </c>
      <c r="H239" t="s">
        <v>8</v>
      </c>
      <c r="I239" t="s">
        <v>7636</v>
      </c>
      <c r="J239">
        <v>60011807</v>
      </c>
      <c r="K239" t="s">
        <v>7635</v>
      </c>
      <c r="L239" t="s">
        <v>7634</v>
      </c>
      <c r="M239" t="s">
        <v>13</v>
      </c>
      <c r="N239">
        <v>4</v>
      </c>
      <c r="O239" t="s">
        <v>7633</v>
      </c>
      <c r="P239" t="s">
        <v>7632</v>
      </c>
      <c r="Q239" t="s">
        <v>7631</v>
      </c>
      <c r="R239" s="7">
        <v>36861</v>
      </c>
      <c r="S239" s="8">
        <f t="shared" si="24"/>
        <v>2000</v>
      </c>
      <c r="T239" s="8">
        <v>2000</v>
      </c>
      <c r="U239" s="8">
        <f t="shared" si="25"/>
        <v>22</v>
      </c>
      <c r="V239" s="7">
        <v>2000</v>
      </c>
      <c r="W239" t="s">
        <v>7630</v>
      </c>
      <c r="X239" s="2">
        <v>0.35299999999999998</v>
      </c>
      <c r="Y239" s="6">
        <f t="shared" si="26"/>
        <v>9.4231333920610765E-3</v>
      </c>
      <c r="AA239">
        <v>10568719</v>
      </c>
      <c r="AB239">
        <v>25146</v>
      </c>
      <c r="AD239" t="s">
        <v>3</v>
      </c>
      <c r="AE239">
        <v>43</v>
      </c>
      <c r="AF239">
        <v>3</v>
      </c>
      <c r="AH239" t="s">
        <v>7629</v>
      </c>
      <c r="AI239" t="s">
        <v>7628</v>
      </c>
      <c r="AJ239" t="s">
        <v>7627</v>
      </c>
      <c r="AK239" t="s">
        <v>7626</v>
      </c>
      <c r="AL239">
        <v>28</v>
      </c>
      <c r="AM239" s="5">
        <f t="shared" si="27"/>
        <v>1.2727272727272727</v>
      </c>
      <c r="AN239" s="4">
        <f t="shared" si="28"/>
        <v>1.9276444872809886E-3</v>
      </c>
      <c r="AO239" s="3"/>
      <c r="AP239">
        <v>0</v>
      </c>
      <c r="AR239" t="s">
        <v>1</v>
      </c>
      <c r="AT239" s="2" t="s">
        <v>0</v>
      </c>
      <c r="AU239" s="1">
        <f t="shared" si="29"/>
        <v>0.71744867206270491</v>
      </c>
      <c r="AV239" s="1">
        <f t="shared" si="30"/>
        <v>0.56753889396710333</v>
      </c>
      <c r="AW239" s="1">
        <f t="shared" si="31"/>
        <v>0.41762911587150153</v>
      </c>
    </row>
    <row r="240" spans="1:49" x14ac:dyDescent="0.2">
      <c r="A240">
        <v>238</v>
      </c>
      <c r="B240" t="s">
        <v>7625</v>
      </c>
      <c r="C240" t="s">
        <v>7624</v>
      </c>
      <c r="F240" t="s">
        <v>7623</v>
      </c>
      <c r="G240" t="s">
        <v>9</v>
      </c>
      <c r="H240" t="s">
        <v>8</v>
      </c>
      <c r="I240" t="s">
        <v>6438</v>
      </c>
      <c r="J240" t="s">
        <v>7622</v>
      </c>
      <c r="K240" t="s">
        <v>7621</v>
      </c>
      <c r="L240" t="s">
        <v>7620</v>
      </c>
      <c r="M240" t="s">
        <v>815</v>
      </c>
      <c r="N240">
        <v>4</v>
      </c>
      <c r="O240" t="s">
        <v>7619</v>
      </c>
      <c r="P240" t="s">
        <v>7618</v>
      </c>
      <c r="Q240" t="s">
        <v>7617</v>
      </c>
      <c r="R240" s="7">
        <v>36861</v>
      </c>
      <c r="S240" s="8">
        <f t="shared" si="24"/>
        <v>2000</v>
      </c>
      <c r="T240" s="8">
        <v>2000</v>
      </c>
      <c r="U240" s="8">
        <f t="shared" si="25"/>
        <v>22</v>
      </c>
      <c r="V240" s="7">
        <v>36861</v>
      </c>
      <c r="W240" t="s">
        <v>473</v>
      </c>
      <c r="X240" s="2">
        <v>0.88100000000000001</v>
      </c>
      <c r="Y240" s="6">
        <f t="shared" si="26"/>
        <v>2.3517791836843653E-2</v>
      </c>
      <c r="AA240">
        <v>10459243</v>
      </c>
      <c r="AB240">
        <v>17248</v>
      </c>
      <c r="AD240" t="s">
        <v>3</v>
      </c>
      <c r="AE240">
        <v>42</v>
      </c>
      <c r="AF240">
        <v>6</v>
      </c>
      <c r="AH240" t="s">
        <v>896</v>
      </c>
      <c r="AI240" t="s">
        <v>7616</v>
      </c>
      <c r="AK240" t="s">
        <v>7615</v>
      </c>
      <c r="AL240">
        <v>40</v>
      </c>
      <c r="AM240" s="5">
        <f t="shared" si="27"/>
        <v>1.8181818181818181</v>
      </c>
      <c r="AN240" s="4">
        <f t="shared" si="28"/>
        <v>2.7537778389728406E-3</v>
      </c>
      <c r="AO240" s="3"/>
      <c r="AP240">
        <v>0</v>
      </c>
      <c r="AQ240" t="s">
        <v>210</v>
      </c>
      <c r="AR240" t="s">
        <v>1</v>
      </c>
      <c r="AS240" t="s">
        <v>209</v>
      </c>
      <c r="AT240" s="2" t="s">
        <v>0</v>
      </c>
      <c r="AU240" s="1">
        <f t="shared" si="29"/>
        <v>1.7288587637482409</v>
      </c>
      <c r="AV240" s="1">
        <f t="shared" si="30"/>
        <v>1.3135784837908246</v>
      </c>
      <c r="AW240" s="1">
        <f t="shared" si="31"/>
        <v>0.89829820383340842</v>
      </c>
    </row>
    <row r="241" spans="1:49" x14ac:dyDescent="0.2">
      <c r="A241">
        <v>239</v>
      </c>
      <c r="B241" t="s">
        <v>7614</v>
      </c>
      <c r="C241" t="s">
        <v>7613</v>
      </c>
      <c r="F241" t="s">
        <v>7612</v>
      </c>
      <c r="G241" t="s">
        <v>9</v>
      </c>
      <c r="H241" t="s">
        <v>8</v>
      </c>
      <c r="I241" t="s">
        <v>7611</v>
      </c>
      <c r="J241">
        <v>60031706</v>
      </c>
      <c r="K241" t="s">
        <v>7610</v>
      </c>
      <c r="L241" t="s">
        <v>7609</v>
      </c>
      <c r="M241" t="s">
        <v>5</v>
      </c>
      <c r="N241">
        <v>1</v>
      </c>
      <c r="O241" t="s">
        <v>7608</v>
      </c>
      <c r="P241">
        <v>7003923643</v>
      </c>
      <c r="Q241">
        <v>60031706</v>
      </c>
      <c r="R241" s="7">
        <v>36861</v>
      </c>
      <c r="S241" s="8">
        <f t="shared" si="24"/>
        <v>2000</v>
      </c>
      <c r="T241" s="8">
        <v>2000</v>
      </c>
      <c r="U241" s="8">
        <f t="shared" si="25"/>
        <v>22</v>
      </c>
      <c r="V241" s="7">
        <v>36861</v>
      </c>
      <c r="W241" t="s">
        <v>473</v>
      </c>
      <c r="X241" s="2">
        <v>0.88100000000000001</v>
      </c>
      <c r="Y241" s="6">
        <f t="shared" si="26"/>
        <v>2.3517791836843653E-2</v>
      </c>
      <c r="AA241">
        <v>10459243</v>
      </c>
      <c r="AB241">
        <v>17248</v>
      </c>
      <c r="AD241" t="s">
        <v>3</v>
      </c>
      <c r="AE241">
        <v>42</v>
      </c>
      <c r="AF241">
        <v>6</v>
      </c>
      <c r="AH241" t="s">
        <v>526</v>
      </c>
      <c r="AI241" t="s">
        <v>7607</v>
      </c>
      <c r="AK241" t="s">
        <v>7606</v>
      </c>
      <c r="AL241">
        <v>41</v>
      </c>
      <c r="AM241" s="5">
        <f t="shared" si="27"/>
        <v>1.8636363636363635</v>
      </c>
      <c r="AN241" s="4">
        <f t="shared" si="28"/>
        <v>2.8226222849471617E-3</v>
      </c>
      <c r="AO241" s="3"/>
      <c r="AP241">
        <v>0</v>
      </c>
      <c r="AR241" t="s">
        <v>1</v>
      </c>
      <c r="AT241" s="2" t="s">
        <v>0</v>
      </c>
      <c r="AU241" s="1">
        <f t="shared" si="29"/>
        <v>1.7309240971274704</v>
      </c>
      <c r="AV241" s="1">
        <f t="shared" si="30"/>
        <v>1.3170207060895407</v>
      </c>
      <c r="AW241" s="1">
        <f t="shared" si="31"/>
        <v>0.90311731505161086</v>
      </c>
    </row>
    <row r="242" spans="1:49" x14ac:dyDescent="0.2">
      <c r="A242">
        <v>240</v>
      </c>
      <c r="B242" t="s">
        <v>7605</v>
      </c>
      <c r="C242" t="s">
        <v>7604</v>
      </c>
      <c r="F242" t="s">
        <v>7603</v>
      </c>
      <c r="G242" t="s">
        <v>9</v>
      </c>
      <c r="H242" t="s">
        <v>8</v>
      </c>
      <c r="I242" t="s">
        <v>301</v>
      </c>
      <c r="J242">
        <v>60025997</v>
      </c>
      <c r="K242" t="s">
        <v>537</v>
      </c>
      <c r="L242" t="s">
        <v>163</v>
      </c>
      <c r="M242" t="s">
        <v>43</v>
      </c>
      <c r="N242">
        <v>3</v>
      </c>
      <c r="O242" t="s">
        <v>7602</v>
      </c>
      <c r="P242" t="s">
        <v>7601</v>
      </c>
      <c r="Q242" t="s">
        <v>640</v>
      </c>
      <c r="R242" s="7">
        <v>36861</v>
      </c>
      <c r="S242" s="8">
        <f t="shared" si="24"/>
        <v>2000</v>
      </c>
      <c r="T242" s="8">
        <v>2000</v>
      </c>
      <c r="U242" s="8">
        <f t="shared" si="25"/>
        <v>22</v>
      </c>
      <c r="V242" s="7">
        <v>2000</v>
      </c>
      <c r="W242" t="s">
        <v>164</v>
      </c>
      <c r="X242" s="2">
        <v>0.111</v>
      </c>
      <c r="Y242" s="6">
        <f t="shared" si="26"/>
        <v>2.9630816048690639E-3</v>
      </c>
      <c r="AA242">
        <v>87566621</v>
      </c>
      <c r="AB242">
        <v>24890</v>
      </c>
      <c r="AD242" t="s">
        <v>3</v>
      </c>
      <c r="AE242">
        <v>83</v>
      </c>
      <c r="AF242">
        <v>4</v>
      </c>
      <c r="AH242" s="9">
        <v>44166</v>
      </c>
      <c r="AI242" t="s">
        <v>7600</v>
      </c>
      <c r="AK242" t="s">
        <v>7599</v>
      </c>
      <c r="AL242">
        <v>0</v>
      </c>
      <c r="AM242" s="5">
        <f t="shared" si="27"/>
        <v>0</v>
      </c>
      <c r="AN242" s="4">
        <f t="shared" si="28"/>
        <v>0</v>
      </c>
      <c r="AO242" s="3"/>
      <c r="AP242">
        <v>0</v>
      </c>
      <c r="AR242" t="s">
        <v>1</v>
      </c>
      <c r="AT242" s="2" t="s">
        <v>0</v>
      </c>
      <c r="AU242" s="1">
        <f t="shared" si="29"/>
        <v>0.20741571234083445</v>
      </c>
      <c r="AV242" s="1">
        <f t="shared" si="30"/>
        <v>0.1481540802434532</v>
      </c>
      <c r="AW242" s="1">
        <f t="shared" si="31"/>
        <v>8.8892448146071903E-2</v>
      </c>
    </row>
    <row r="243" spans="1:49" x14ac:dyDescent="0.2">
      <c r="A243">
        <v>241</v>
      </c>
      <c r="B243" t="s">
        <v>7598</v>
      </c>
      <c r="C243" t="s">
        <v>7597</v>
      </c>
      <c r="F243" t="s">
        <v>7596</v>
      </c>
      <c r="G243" t="s">
        <v>9</v>
      </c>
      <c r="H243" t="s">
        <v>8</v>
      </c>
      <c r="I243" t="s">
        <v>7595</v>
      </c>
      <c r="J243" t="s">
        <v>7594</v>
      </c>
      <c r="K243" t="s">
        <v>7593</v>
      </c>
      <c r="L243" t="s">
        <v>7592</v>
      </c>
      <c r="M243" t="s">
        <v>520</v>
      </c>
      <c r="N243">
        <v>1</v>
      </c>
      <c r="O243" t="s">
        <v>7591</v>
      </c>
      <c r="P243">
        <v>7003780679</v>
      </c>
      <c r="Q243" t="s">
        <v>7590</v>
      </c>
      <c r="R243" s="7">
        <v>36861</v>
      </c>
      <c r="S243" s="8">
        <f t="shared" si="24"/>
        <v>2000</v>
      </c>
      <c r="T243" s="8">
        <v>2000</v>
      </c>
      <c r="U243" s="8">
        <f t="shared" si="25"/>
        <v>22</v>
      </c>
      <c r="V243" s="7">
        <v>36861</v>
      </c>
      <c r="W243" t="s">
        <v>291</v>
      </c>
      <c r="X243" s="2">
        <v>1.6519999999999999</v>
      </c>
      <c r="Y243" s="6">
        <f t="shared" si="26"/>
        <v>4.409919649769093E-2</v>
      </c>
      <c r="AA243" t="s">
        <v>290</v>
      </c>
      <c r="AB243">
        <v>17337</v>
      </c>
      <c r="AD243" t="s">
        <v>3</v>
      </c>
      <c r="AE243">
        <v>48</v>
      </c>
      <c r="AF243">
        <v>12</v>
      </c>
      <c r="AH243" t="s">
        <v>7589</v>
      </c>
      <c r="AI243" t="s">
        <v>7588</v>
      </c>
      <c r="AK243" t="s">
        <v>7587</v>
      </c>
      <c r="AL243">
        <v>24</v>
      </c>
      <c r="AM243" s="5">
        <f t="shared" si="27"/>
        <v>1.0909090909090908</v>
      </c>
      <c r="AN243" s="4">
        <f t="shared" si="28"/>
        <v>1.6522667033837045E-3</v>
      </c>
      <c r="AO243" s="3"/>
      <c r="AP243">
        <v>0</v>
      </c>
      <c r="AR243" t="s">
        <v>1</v>
      </c>
      <c r="AT243" s="2" t="s">
        <v>0</v>
      </c>
      <c r="AU243" s="1">
        <f t="shared" si="29"/>
        <v>3.1365117559398761</v>
      </c>
      <c r="AV243" s="1">
        <f t="shared" si="30"/>
        <v>2.2875731600537317</v>
      </c>
      <c r="AW243" s="1">
        <f t="shared" si="31"/>
        <v>1.4386345641675871</v>
      </c>
    </row>
    <row r="244" spans="1:49" x14ac:dyDescent="0.2">
      <c r="A244">
        <v>242</v>
      </c>
      <c r="B244" t="s">
        <v>7586</v>
      </c>
      <c r="C244" t="s">
        <v>7585</v>
      </c>
      <c r="F244" t="s">
        <v>7584</v>
      </c>
      <c r="G244" t="s">
        <v>9</v>
      </c>
      <c r="H244" t="s">
        <v>8</v>
      </c>
      <c r="I244" t="s">
        <v>7583</v>
      </c>
      <c r="J244" t="s">
        <v>7582</v>
      </c>
      <c r="K244" t="s">
        <v>7581</v>
      </c>
      <c r="L244" t="s">
        <v>7580</v>
      </c>
      <c r="M244" t="s">
        <v>899</v>
      </c>
      <c r="N244">
        <v>3</v>
      </c>
      <c r="O244" t="s">
        <v>7579</v>
      </c>
      <c r="P244" t="s">
        <v>7578</v>
      </c>
      <c r="Q244" t="s">
        <v>7577</v>
      </c>
      <c r="R244" s="7">
        <v>36861</v>
      </c>
      <c r="S244" s="8">
        <f t="shared" si="24"/>
        <v>2000</v>
      </c>
      <c r="T244" s="8">
        <v>2000</v>
      </c>
      <c r="U244" s="8">
        <f t="shared" si="25"/>
        <v>22</v>
      </c>
      <c r="V244" s="7">
        <v>36861</v>
      </c>
      <c r="W244" s="11" t="s">
        <v>253</v>
      </c>
      <c r="X244" s="2">
        <v>2.383</v>
      </c>
      <c r="Y244" s="6">
        <f t="shared" si="26"/>
        <v>6.3612824003630442E-2</v>
      </c>
      <c r="AA244">
        <v>13502417</v>
      </c>
      <c r="AB244">
        <v>17416</v>
      </c>
      <c r="AD244" t="s">
        <v>3</v>
      </c>
      <c r="AE244">
        <v>147</v>
      </c>
      <c r="AF244">
        <v>6</v>
      </c>
      <c r="AH244" t="s">
        <v>7576</v>
      </c>
      <c r="AI244" t="s">
        <v>7575</v>
      </c>
      <c r="AK244" t="s">
        <v>7574</v>
      </c>
      <c r="AL244">
        <v>76</v>
      </c>
      <c r="AM244" s="5">
        <f t="shared" si="27"/>
        <v>3.4545454545454546</v>
      </c>
      <c r="AN244" s="4">
        <f t="shared" si="28"/>
        <v>5.232177894048398E-3</v>
      </c>
      <c r="AO244" s="3"/>
      <c r="AP244">
        <v>0</v>
      </c>
      <c r="AR244" t="s">
        <v>1</v>
      </c>
      <c r="AT244" s="2" t="s">
        <v>0</v>
      </c>
      <c r="AU244" s="1">
        <f t="shared" si="29"/>
        <v>4.6098630170755825</v>
      </c>
      <c r="AV244" s="1">
        <f t="shared" si="30"/>
        <v>3.4422500948839421</v>
      </c>
      <c r="AW244" s="1">
        <f t="shared" si="31"/>
        <v>2.2746371726923007</v>
      </c>
    </row>
    <row r="245" spans="1:49" x14ac:dyDescent="0.2">
      <c r="A245">
        <v>243</v>
      </c>
      <c r="B245" t="s">
        <v>7573</v>
      </c>
      <c r="C245" t="s">
        <v>7572</v>
      </c>
      <c r="F245" t="s">
        <v>7571</v>
      </c>
      <c r="G245" t="s">
        <v>9</v>
      </c>
      <c r="H245" t="s">
        <v>8</v>
      </c>
      <c r="I245" t="s">
        <v>7570</v>
      </c>
      <c r="J245" t="s">
        <v>7569</v>
      </c>
      <c r="K245" t="s">
        <v>7568</v>
      </c>
      <c r="L245" t="s">
        <v>7567</v>
      </c>
      <c r="M245" t="s">
        <v>417</v>
      </c>
      <c r="N245">
        <v>4</v>
      </c>
      <c r="O245" t="s">
        <v>7566</v>
      </c>
      <c r="P245" t="s">
        <v>7565</v>
      </c>
      <c r="Q245" t="s">
        <v>7564</v>
      </c>
      <c r="R245" s="7">
        <v>36861</v>
      </c>
      <c r="S245" s="8">
        <f t="shared" si="24"/>
        <v>2000</v>
      </c>
      <c r="T245" s="8">
        <v>2000</v>
      </c>
      <c r="U245" s="8">
        <f t="shared" si="25"/>
        <v>22</v>
      </c>
      <c r="V245" s="7">
        <v>36861</v>
      </c>
      <c r="W245" s="11" t="s">
        <v>253</v>
      </c>
      <c r="X245" s="2">
        <v>2.383</v>
      </c>
      <c r="Y245" s="6">
        <f t="shared" si="26"/>
        <v>6.3612824003630442E-2</v>
      </c>
      <c r="AA245">
        <v>13502417</v>
      </c>
      <c r="AB245">
        <v>17416</v>
      </c>
      <c r="AD245" t="s">
        <v>3</v>
      </c>
      <c r="AE245">
        <v>147</v>
      </c>
      <c r="AF245">
        <v>6</v>
      </c>
      <c r="AH245" t="s">
        <v>7563</v>
      </c>
      <c r="AI245" t="s">
        <v>7562</v>
      </c>
      <c r="AK245" t="s">
        <v>7561</v>
      </c>
      <c r="AL245">
        <v>7</v>
      </c>
      <c r="AM245" s="5">
        <f t="shared" si="27"/>
        <v>0.31818181818181818</v>
      </c>
      <c r="AN245" s="4">
        <f t="shared" si="28"/>
        <v>4.8191112182024716E-4</v>
      </c>
      <c r="AO245" s="3"/>
      <c r="AP245">
        <v>0</v>
      </c>
      <c r="AR245" t="s">
        <v>1</v>
      </c>
      <c r="AT245" s="2" t="s">
        <v>0</v>
      </c>
      <c r="AU245" s="1">
        <f t="shared" si="29"/>
        <v>4.4673550139087377</v>
      </c>
      <c r="AV245" s="1">
        <f t="shared" si="30"/>
        <v>3.2047367562725344</v>
      </c>
      <c r="AW245" s="1">
        <f t="shared" si="31"/>
        <v>1.9421184986363305</v>
      </c>
    </row>
    <row r="246" spans="1:49" x14ac:dyDescent="0.2">
      <c r="A246">
        <v>244</v>
      </c>
      <c r="B246" t="s">
        <v>7560</v>
      </c>
      <c r="C246" t="s">
        <v>7559</v>
      </c>
      <c r="F246" t="s">
        <v>7558</v>
      </c>
      <c r="G246" t="s">
        <v>9</v>
      </c>
      <c r="H246" t="s">
        <v>8</v>
      </c>
      <c r="I246" t="s">
        <v>7557</v>
      </c>
      <c r="J246">
        <v>60029738</v>
      </c>
      <c r="K246" t="s">
        <v>255</v>
      </c>
      <c r="L246" t="s">
        <v>254</v>
      </c>
      <c r="M246" t="s">
        <v>87</v>
      </c>
      <c r="N246">
        <v>3</v>
      </c>
      <c r="O246" t="s">
        <v>7556</v>
      </c>
      <c r="P246" t="s">
        <v>7555</v>
      </c>
      <c r="Q246" t="s">
        <v>477</v>
      </c>
      <c r="R246" s="7">
        <v>36861</v>
      </c>
      <c r="S246" s="8">
        <f t="shared" si="24"/>
        <v>2000</v>
      </c>
      <c r="T246" s="8">
        <v>2000</v>
      </c>
      <c r="U246" s="8">
        <f t="shared" si="25"/>
        <v>22</v>
      </c>
      <c r="V246" s="7">
        <v>36861</v>
      </c>
      <c r="W246" s="11" t="s">
        <v>253</v>
      </c>
      <c r="X246" s="2">
        <v>2.383</v>
      </c>
      <c r="Y246" s="6">
        <f t="shared" si="26"/>
        <v>6.3612824003630442E-2</v>
      </c>
      <c r="AA246">
        <v>13502417</v>
      </c>
      <c r="AB246">
        <v>17416</v>
      </c>
      <c r="AD246" t="s">
        <v>3</v>
      </c>
      <c r="AE246">
        <v>147</v>
      </c>
      <c r="AF246">
        <v>6</v>
      </c>
      <c r="AH246" t="s">
        <v>7554</v>
      </c>
      <c r="AI246" t="s">
        <v>7553</v>
      </c>
      <c r="AK246" t="s">
        <v>7552</v>
      </c>
      <c r="AL246">
        <v>8</v>
      </c>
      <c r="AM246" s="5">
        <f t="shared" si="27"/>
        <v>0.36363636363636365</v>
      </c>
      <c r="AN246" s="4">
        <f t="shared" si="28"/>
        <v>5.5075556779456819E-4</v>
      </c>
      <c r="AO246" s="3"/>
      <c r="AP246">
        <v>0</v>
      </c>
      <c r="AR246" t="s">
        <v>1</v>
      </c>
      <c r="AT246" s="2" t="s">
        <v>0</v>
      </c>
      <c r="AU246" s="1">
        <f t="shared" si="29"/>
        <v>4.4694203472879686</v>
      </c>
      <c r="AV246" s="1">
        <f t="shared" si="30"/>
        <v>3.20817897857125</v>
      </c>
      <c r="AW246" s="1">
        <f t="shared" si="31"/>
        <v>1.9469376098545332</v>
      </c>
    </row>
    <row r="247" spans="1:49" x14ac:dyDescent="0.2">
      <c r="A247">
        <v>245</v>
      </c>
      <c r="B247" t="s">
        <v>7551</v>
      </c>
      <c r="C247" t="s">
        <v>7550</v>
      </c>
      <c r="D247" t="s">
        <v>7549</v>
      </c>
      <c r="F247" t="s">
        <v>7548</v>
      </c>
      <c r="G247" t="s">
        <v>9</v>
      </c>
      <c r="H247" t="s">
        <v>8</v>
      </c>
      <c r="I247" t="s">
        <v>7547</v>
      </c>
      <c r="J247">
        <v>60030526</v>
      </c>
      <c r="K247" t="s">
        <v>666</v>
      </c>
      <c r="L247" t="s">
        <v>163</v>
      </c>
      <c r="M247" t="s">
        <v>43</v>
      </c>
      <c r="N247">
        <v>3</v>
      </c>
      <c r="O247" t="s">
        <v>7546</v>
      </c>
      <c r="P247" t="s">
        <v>7545</v>
      </c>
      <c r="Q247" t="s">
        <v>1541</v>
      </c>
      <c r="R247" s="7">
        <v>36861</v>
      </c>
      <c r="S247" s="8">
        <f t="shared" si="24"/>
        <v>2000</v>
      </c>
      <c r="T247" s="8">
        <v>2000</v>
      </c>
      <c r="U247" s="8">
        <f t="shared" si="25"/>
        <v>22</v>
      </c>
      <c r="V247" s="7">
        <v>2000</v>
      </c>
      <c r="W247" t="s">
        <v>291</v>
      </c>
      <c r="X247" s="2">
        <v>1.6519999999999999</v>
      </c>
      <c r="Y247" s="6">
        <f t="shared" si="26"/>
        <v>4.409919649769093E-2</v>
      </c>
      <c r="AA247" t="s">
        <v>290</v>
      </c>
      <c r="AB247">
        <v>17337</v>
      </c>
      <c r="AD247" t="s">
        <v>3</v>
      </c>
      <c r="AE247">
        <v>48</v>
      </c>
      <c r="AF247">
        <v>12</v>
      </c>
      <c r="AH247" t="s">
        <v>7544</v>
      </c>
      <c r="AI247" t="s">
        <v>7543</v>
      </c>
      <c r="AJ247" t="s">
        <v>7542</v>
      </c>
      <c r="AK247" t="s">
        <v>7541</v>
      </c>
      <c r="AL247">
        <v>21</v>
      </c>
      <c r="AM247" s="5">
        <f t="shared" si="27"/>
        <v>0.95454545454545459</v>
      </c>
      <c r="AN247" s="4">
        <f t="shared" si="28"/>
        <v>1.4457333654607416E-3</v>
      </c>
      <c r="AO247" s="3"/>
      <c r="AP247">
        <v>0</v>
      </c>
      <c r="AR247" t="s">
        <v>1</v>
      </c>
      <c r="AT247" s="2" t="s">
        <v>0</v>
      </c>
      <c r="AU247" s="1">
        <f t="shared" si="29"/>
        <v>3.130315755802187</v>
      </c>
      <c r="AV247" s="1">
        <f t="shared" si="30"/>
        <v>2.2772464931575835</v>
      </c>
      <c r="AW247" s="1">
        <f t="shared" si="31"/>
        <v>1.4241772305129796</v>
      </c>
    </row>
    <row r="248" spans="1:49" x14ac:dyDescent="0.2">
      <c r="A248">
        <v>246</v>
      </c>
      <c r="B248" t="s">
        <v>7540</v>
      </c>
      <c r="C248" t="s">
        <v>7539</v>
      </c>
      <c r="D248" t="s">
        <v>7538</v>
      </c>
      <c r="F248" t="s">
        <v>7537</v>
      </c>
      <c r="G248" t="s">
        <v>9</v>
      </c>
      <c r="H248" t="s">
        <v>8</v>
      </c>
      <c r="I248" t="s">
        <v>7536</v>
      </c>
      <c r="J248" t="s">
        <v>7535</v>
      </c>
      <c r="K248" t="s">
        <v>7534</v>
      </c>
      <c r="L248" t="s">
        <v>7533</v>
      </c>
      <c r="M248" t="s">
        <v>366</v>
      </c>
      <c r="N248">
        <v>2</v>
      </c>
      <c r="O248" t="s">
        <v>7532</v>
      </c>
      <c r="P248" t="s">
        <v>7531</v>
      </c>
      <c r="Q248" t="s">
        <v>7530</v>
      </c>
      <c r="R248" s="7">
        <v>36861</v>
      </c>
      <c r="S248" s="8">
        <f t="shared" si="24"/>
        <v>2000</v>
      </c>
      <c r="T248" s="8">
        <v>2000</v>
      </c>
      <c r="U248" s="8">
        <f t="shared" si="25"/>
        <v>22</v>
      </c>
      <c r="V248" s="7">
        <v>2000</v>
      </c>
      <c r="W248" t="s">
        <v>291</v>
      </c>
      <c r="X248" s="2">
        <v>1.6519999999999999</v>
      </c>
      <c r="Y248" s="6">
        <f t="shared" si="26"/>
        <v>4.409919649769093E-2</v>
      </c>
      <c r="AA248" t="s">
        <v>290</v>
      </c>
      <c r="AB248">
        <v>17337</v>
      </c>
      <c r="AD248" t="s">
        <v>3</v>
      </c>
      <c r="AE248">
        <v>48</v>
      </c>
      <c r="AF248">
        <v>12</v>
      </c>
      <c r="AH248" t="s">
        <v>7529</v>
      </c>
      <c r="AI248" t="s">
        <v>7528</v>
      </c>
      <c r="AJ248" t="s">
        <v>7527</v>
      </c>
      <c r="AK248" t="s">
        <v>7526</v>
      </c>
      <c r="AL248">
        <v>48</v>
      </c>
      <c r="AM248" s="5">
        <f t="shared" si="27"/>
        <v>2.1818181818181817</v>
      </c>
      <c r="AN248" s="4">
        <f t="shared" si="28"/>
        <v>3.3045334067674089E-3</v>
      </c>
      <c r="AO248" s="3"/>
      <c r="AP248">
        <v>0</v>
      </c>
      <c r="AR248" t="s">
        <v>7525</v>
      </c>
      <c r="AT248" s="2" t="s">
        <v>0</v>
      </c>
      <c r="AU248" s="1">
        <f t="shared" si="29"/>
        <v>3.1860797570413872</v>
      </c>
      <c r="AV248" s="1">
        <f t="shared" si="30"/>
        <v>2.3701864952229168</v>
      </c>
      <c r="AW248" s="1">
        <f t="shared" si="31"/>
        <v>1.5542932334044464</v>
      </c>
    </row>
    <row r="249" spans="1:49" x14ac:dyDescent="0.2">
      <c r="A249">
        <v>247</v>
      </c>
      <c r="B249" t="s">
        <v>7524</v>
      </c>
      <c r="C249" t="s">
        <v>7523</v>
      </c>
      <c r="F249" t="s">
        <v>7522</v>
      </c>
      <c r="G249" t="s">
        <v>9</v>
      </c>
      <c r="H249" t="s">
        <v>8</v>
      </c>
      <c r="I249" t="s">
        <v>7521</v>
      </c>
      <c r="J249">
        <v>60012708</v>
      </c>
      <c r="K249" t="s">
        <v>579</v>
      </c>
      <c r="L249" t="s">
        <v>496</v>
      </c>
      <c r="M249" t="s">
        <v>5</v>
      </c>
      <c r="N249">
        <v>2</v>
      </c>
      <c r="O249" t="s">
        <v>7520</v>
      </c>
      <c r="P249" t="s">
        <v>7519</v>
      </c>
      <c r="Q249" t="s">
        <v>7518</v>
      </c>
      <c r="R249" s="7">
        <v>36861</v>
      </c>
      <c r="S249" s="8">
        <f t="shared" si="24"/>
        <v>2000</v>
      </c>
      <c r="T249" s="8">
        <v>2000</v>
      </c>
      <c r="U249" s="8">
        <f t="shared" si="25"/>
        <v>22</v>
      </c>
      <c r="V249" s="7">
        <v>36861</v>
      </c>
      <c r="W249" t="s">
        <v>646</v>
      </c>
      <c r="X249" s="2">
        <v>0.92900000000000005</v>
      </c>
      <c r="Y249" s="6">
        <f t="shared" si="26"/>
        <v>2.4799124422732979E-2</v>
      </c>
      <c r="AA249">
        <v>10897798</v>
      </c>
      <c r="AB249">
        <v>18896</v>
      </c>
      <c r="AD249" t="s">
        <v>3</v>
      </c>
      <c r="AE249">
        <v>4</v>
      </c>
      <c r="AF249">
        <v>12</v>
      </c>
      <c r="AH249" t="s">
        <v>7517</v>
      </c>
      <c r="AI249" t="s">
        <v>7516</v>
      </c>
      <c r="AK249" t="s">
        <v>7515</v>
      </c>
      <c r="AL249">
        <v>323</v>
      </c>
      <c r="AM249" s="5">
        <f t="shared" si="27"/>
        <v>14.681818181818182</v>
      </c>
      <c r="AN249" s="4">
        <f t="shared" si="28"/>
        <v>2.2236756049705691E-2</v>
      </c>
      <c r="AO249" s="3"/>
      <c r="AP249">
        <v>0</v>
      </c>
      <c r="AR249" t="s">
        <v>1</v>
      </c>
      <c r="AT249" s="2">
        <v>3.4359999999999999</v>
      </c>
      <c r="AU249" s="1">
        <f t="shared" si="29"/>
        <v>2.4030413910824793</v>
      </c>
      <c r="AV249" s="1">
        <f t="shared" si="30"/>
        <v>2.3517940236219337</v>
      </c>
      <c r="AW249" s="1">
        <f t="shared" si="31"/>
        <v>2.3005466561613876</v>
      </c>
    </row>
    <row r="250" spans="1:49" x14ac:dyDescent="0.2">
      <c r="A250">
        <v>248</v>
      </c>
      <c r="B250" t="s">
        <v>7514</v>
      </c>
      <c r="C250" t="s">
        <v>7513</v>
      </c>
      <c r="F250" t="s">
        <v>7512</v>
      </c>
      <c r="G250" t="s">
        <v>9</v>
      </c>
      <c r="H250" t="s">
        <v>8</v>
      </c>
      <c r="I250" t="s">
        <v>7511</v>
      </c>
      <c r="J250" t="s">
        <v>7510</v>
      </c>
      <c r="K250" t="s">
        <v>7509</v>
      </c>
      <c r="L250" t="s">
        <v>7508</v>
      </c>
      <c r="M250" t="s">
        <v>940</v>
      </c>
      <c r="N250">
        <v>3</v>
      </c>
      <c r="O250" t="s">
        <v>7507</v>
      </c>
      <c r="P250" t="s">
        <v>7506</v>
      </c>
      <c r="Q250" t="s">
        <v>7505</v>
      </c>
      <c r="R250" s="7">
        <v>36861</v>
      </c>
      <c r="S250" s="8">
        <f t="shared" si="24"/>
        <v>2000</v>
      </c>
      <c r="T250" s="8">
        <v>2000</v>
      </c>
      <c r="U250" s="8">
        <f t="shared" si="25"/>
        <v>22</v>
      </c>
      <c r="V250" s="7">
        <v>36861</v>
      </c>
      <c r="W250" s="11" t="s">
        <v>253</v>
      </c>
      <c r="X250" s="2">
        <v>2.383</v>
      </c>
      <c r="Y250" s="6">
        <f t="shared" si="26"/>
        <v>6.3612824003630442E-2</v>
      </c>
      <c r="AA250">
        <v>13502417</v>
      </c>
      <c r="AB250">
        <v>17416</v>
      </c>
      <c r="AD250" t="s">
        <v>3</v>
      </c>
      <c r="AE250">
        <v>147</v>
      </c>
      <c r="AF250">
        <v>6</v>
      </c>
      <c r="AH250" t="s">
        <v>7504</v>
      </c>
      <c r="AI250" t="s">
        <v>7503</v>
      </c>
      <c r="AK250" t="s">
        <v>7502</v>
      </c>
      <c r="AL250">
        <v>12</v>
      </c>
      <c r="AM250" s="5">
        <f t="shared" si="27"/>
        <v>0.54545454545454541</v>
      </c>
      <c r="AN250" s="4">
        <f t="shared" si="28"/>
        <v>8.2613335169185224E-4</v>
      </c>
      <c r="AO250" s="3"/>
      <c r="AP250">
        <v>0</v>
      </c>
      <c r="AR250" t="s">
        <v>1</v>
      </c>
      <c r="AT250" s="2" t="s">
        <v>0</v>
      </c>
      <c r="AU250" s="1">
        <f t="shared" si="29"/>
        <v>4.4776816808048867</v>
      </c>
      <c r="AV250" s="1">
        <f t="shared" si="30"/>
        <v>3.2219478677661146</v>
      </c>
      <c r="AW250" s="1">
        <f t="shared" si="31"/>
        <v>1.966214054727343</v>
      </c>
    </row>
    <row r="251" spans="1:49" x14ac:dyDescent="0.2">
      <c r="A251">
        <v>249</v>
      </c>
      <c r="B251" t="s">
        <v>7501</v>
      </c>
      <c r="C251" t="s">
        <v>7500</v>
      </c>
      <c r="F251" t="s">
        <v>7499</v>
      </c>
      <c r="G251" t="s">
        <v>9</v>
      </c>
      <c r="H251" t="s">
        <v>8</v>
      </c>
      <c r="I251" t="s">
        <v>890</v>
      </c>
      <c r="J251">
        <v>60018714</v>
      </c>
      <c r="K251" t="s">
        <v>707</v>
      </c>
      <c r="L251" t="s">
        <v>507</v>
      </c>
      <c r="M251" t="s">
        <v>16</v>
      </c>
      <c r="N251">
        <v>2</v>
      </c>
      <c r="O251" t="s">
        <v>7498</v>
      </c>
      <c r="P251" t="s">
        <v>7497</v>
      </c>
      <c r="Q251" t="s">
        <v>7496</v>
      </c>
      <c r="R251" s="7">
        <v>36861</v>
      </c>
      <c r="S251" s="8">
        <f t="shared" si="24"/>
        <v>2000</v>
      </c>
      <c r="T251" s="8">
        <v>2000</v>
      </c>
      <c r="U251" s="8">
        <f t="shared" si="25"/>
        <v>22</v>
      </c>
      <c r="V251" s="7">
        <v>36861</v>
      </c>
      <c r="W251" s="11" t="s">
        <v>253</v>
      </c>
      <c r="X251" s="2">
        <v>2.383</v>
      </c>
      <c r="Y251" s="6">
        <f t="shared" si="26"/>
        <v>6.3612824003630442E-2</v>
      </c>
      <c r="AA251">
        <v>13502417</v>
      </c>
      <c r="AB251">
        <v>17416</v>
      </c>
      <c r="AD251" t="s">
        <v>3</v>
      </c>
      <c r="AE251">
        <v>147</v>
      </c>
      <c r="AF251">
        <v>6</v>
      </c>
      <c r="AH251" t="s">
        <v>813</v>
      </c>
      <c r="AI251" t="s">
        <v>7495</v>
      </c>
      <c r="AK251" t="s">
        <v>7494</v>
      </c>
      <c r="AL251">
        <v>18</v>
      </c>
      <c r="AM251" s="5">
        <f t="shared" si="27"/>
        <v>0.81818181818181823</v>
      </c>
      <c r="AN251" s="4">
        <f t="shared" si="28"/>
        <v>1.2392000275377785E-3</v>
      </c>
      <c r="AO251" s="3"/>
      <c r="AP251">
        <v>0</v>
      </c>
      <c r="AR251" t="s">
        <v>1</v>
      </c>
      <c r="AT251" s="2" t="s">
        <v>0</v>
      </c>
      <c r="AU251" s="1">
        <f t="shared" si="29"/>
        <v>4.4900736810802648</v>
      </c>
      <c r="AV251" s="1">
        <f t="shared" si="30"/>
        <v>3.2426012015584109</v>
      </c>
      <c r="AW251" s="1">
        <f t="shared" si="31"/>
        <v>1.9951287220365579</v>
      </c>
    </row>
    <row r="252" spans="1:49" x14ac:dyDescent="0.2">
      <c r="A252">
        <v>250</v>
      </c>
      <c r="B252" t="s">
        <v>7493</v>
      </c>
      <c r="C252" t="s">
        <v>7492</v>
      </c>
      <c r="F252" t="s">
        <v>7491</v>
      </c>
      <c r="G252" t="s">
        <v>9</v>
      </c>
      <c r="H252" t="s">
        <v>8</v>
      </c>
      <c r="I252" t="s">
        <v>846</v>
      </c>
      <c r="J252">
        <v>60017606</v>
      </c>
      <c r="K252" t="s">
        <v>845</v>
      </c>
      <c r="L252" t="s">
        <v>844</v>
      </c>
      <c r="M252" t="s">
        <v>5</v>
      </c>
      <c r="N252">
        <v>2</v>
      </c>
      <c r="O252" t="s">
        <v>843</v>
      </c>
      <c r="P252" t="s">
        <v>842</v>
      </c>
      <c r="Q252" t="s">
        <v>841</v>
      </c>
      <c r="R252" s="7">
        <v>36861</v>
      </c>
      <c r="S252" s="8">
        <f t="shared" si="24"/>
        <v>2000</v>
      </c>
      <c r="T252" s="8">
        <v>2000</v>
      </c>
      <c r="U252" s="8">
        <f t="shared" si="25"/>
        <v>22</v>
      </c>
      <c r="V252" s="7">
        <v>36861</v>
      </c>
      <c r="W252" t="s">
        <v>646</v>
      </c>
      <c r="X252" s="2">
        <v>0.92900000000000005</v>
      </c>
      <c r="Y252" s="6">
        <f t="shared" si="26"/>
        <v>2.4799124422732979E-2</v>
      </c>
      <c r="AA252">
        <v>10897798</v>
      </c>
      <c r="AB252">
        <v>18896</v>
      </c>
      <c r="AD252" t="s">
        <v>3</v>
      </c>
      <c r="AE252">
        <v>4</v>
      </c>
      <c r="AF252">
        <v>12</v>
      </c>
      <c r="AH252" t="s">
        <v>7490</v>
      </c>
      <c r="AI252" t="s">
        <v>7489</v>
      </c>
      <c r="AK252" t="s">
        <v>7488</v>
      </c>
      <c r="AL252">
        <v>27</v>
      </c>
      <c r="AM252" s="5">
        <f t="shared" si="27"/>
        <v>1.2272727272727273</v>
      </c>
      <c r="AN252" s="4">
        <f t="shared" si="28"/>
        <v>1.8588000413066676E-3</v>
      </c>
      <c r="AO252" s="3"/>
      <c r="AP252">
        <v>0</v>
      </c>
      <c r="AR252" t="s">
        <v>1</v>
      </c>
      <c r="AT252" s="2">
        <v>3.4359999999999999</v>
      </c>
      <c r="AU252" s="1">
        <f t="shared" si="29"/>
        <v>1.7917027108305081</v>
      </c>
      <c r="AV252" s="1">
        <f t="shared" si="30"/>
        <v>1.3328962232019823</v>
      </c>
      <c r="AW252" s="1">
        <f t="shared" si="31"/>
        <v>0.87408973557345604</v>
      </c>
    </row>
    <row r="253" spans="1:49" x14ac:dyDescent="0.2">
      <c r="A253">
        <v>251</v>
      </c>
      <c r="B253" t="s">
        <v>7487</v>
      </c>
      <c r="C253" t="s">
        <v>7486</v>
      </c>
      <c r="F253" t="s">
        <v>7485</v>
      </c>
      <c r="G253" t="s">
        <v>9</v>
      </c>
      <c r="H253" t="s">
        <v>8</v>
      </c>
      <c r="I253" t="s">
        <v>4798</v>
      </c>
      <c r="J253" t="s">
        <v>7484</v>
      </c>
      <c r="K253" t="s">
        <v>7483</v>
      </c>
      <c r="L253" t="s">
        <v>7482</v>
      </c>
      <c r="M253" t="s">
        <v>19</v>
      </c>
      <c r="N253">
        <v>3</v>
      </c>
      <c r="O253" t="s">
        <v>7481</v>
      </c>
      <c r="P253" t="s">
        <v>7480</v>
      </c>
      <c r="Q253" t="s">
        <v>7479</v>
      </c>
      <c r="R253" s="7">
        <v>36861</v>
      </c>
      <c r="S253" s="8">
        <f t="shared" si="24"/>
        <v>2000</v>
      </c>
      <c r="T253" s="8">
        <v>2000</v>
      </c>
      <c r="U253" s="8">
        <f t="shared" si="25"/>
        <v>22</v>
      </c>
      <c r="V253" s="7">
        <v>36861</v>
      </c>
      <c r="W253" t="s">
        <v>291</v>
      </c>
      <c r="X253" s="2">
        <v>1.6519999999999999</v>
      </c>
      <c r="Y253" s="6">
        <f t="shared" si="26"/>
        <v>4.409919649769093E-2</v>
      </c>
      <c r="AA253" t="s">
        <v>290</v>
      </c>
      <c r="AB253">
        <v>17337</v>
      </c>
      <c r="AD253" t="s">
        <v>3</v>
      </c>
      <c r="AE253">
        <v>48</v>
      </c>
      <c r="AF253">
        <v>12</v>
      </c>
      <c r="AH253" t="s">
        <v>7478</v>
      </c>
      <c r="AI253" t="s">
        <v>7477</v>
      </c>
      <c r="AK253" t="s">
        <v>7476</v>
      </c>
      <c r="AL253">
        <v>22</v>
      </c>
      <c r="AM253" s="5">
        <f t="shared" si="27"/>
        <v>1</v>
      </c>
      <c r="AN253" s="4">
        <f t="shared" si="28"/>
        <v>1.5145778114350624E-3</v>
      </c>
      <c r="AO253" s="3"/>
      <c r="AP253">
        <v>0</v>
      </c>
      <c r="AR253" t="s">
        <v>1</v>
      </c>
      <c r="AT253" s="2" t="s">
        <v>0</v>
      </c>
      <c r="AU253" s="1">
        <f t="shared" si="29"/>
        <v>3.132381089181417</v>
      </c>
      <c r="AV253" s="1">
        <f t="shared" si="30"/>
        <v>2.2806887154562996</v>
      </c>
      <c r="AW253" s="1">
        <f t="shared" si="31"/>
        <v>1.4289963417311822</v>
      </c>
    </row>
    <row r="254" spans="1:49" x14ac:dyDescent="0.2">
      <c r="A254">
        <v>252</v>
      </c>
      <c r="B254" t="s">
        <v>7475</v>
      </c>
      <c r="C254" t="s">
        <v>7474</v>
      </c>
      <c r="F254" t="s">
        <v>7473</v>
      </c>
      <c r="G254" t="s">
        <v>9</v>
      </c>
      <c r="H254" t="s">
        <v>8</v>
      </c>
      <c r="I254" t="s">
        <v>7472</v>
      </c>
      <c r="J254">
        <v>60004366</v>
      </c>
      <c r="K254" t="s">
        <v>7471</v>
      </c>
      <c r="L254" t="s">
        <v>7470</v>
      </c>
      <c r="M254" t="s">
        <v>66</v>
      </c>
      <c r="N254">
        <v>3</v>
      </c>
      <c r="O254" t="s">
        <v>7469</v>
      </c>
      <c r="P254" t="s">
        <v>7468</v>
      </c>
      <c r="Q254" t="s">
        <v>7467</v>
      </c>
      <c r="R254" s="7">
        <v>36861</v>
      </c>
      <c r="S254" s="8">
        <f t="shared" si="24"/>
        <v>2000</v>
      </c>
      <c r="T254" s="8">
        <v>2000</v>
      </c>
      <c r="U254" s="8">
        <f t="shared" si="25"/>
        <v>22</v>
      </c>
      <c r="V254" s="7">
        <v>36861</v>
      </c>
      <c r="W254" s="11" t="s">
        <v>253</v>
      </c>
      <c r="X254" s="2">
        <v>2.383</v>
      </c>
      <c r="Y254" s="6">
        <f t="shared" si="26"/>
        <v>6.3612824003630442E-2</v>
      </c>
      <c r="AA254">
        <v>13502417</v>
      </c>
      <c r="AB254">
        <v>17416</v>
      </c>
      <c r="AD254" t="s">
        <v>3</v>
      </c>
      <c r="AE254">
        <v>147</v>
      </c>
      <c r="AF254">
        <v>6</v>
      </c>
      <c r="AH254" t="s">
        <v>7466</v>
      </c>
      <c r="AI254" t="s">
        <v>7465</v>
      </c>
      <c r="AK254" t="s">
        <v>7464</v>
      </c>
      <c r="AL254">
        <v>3</v>
      </c>
      <c r="AM254" s="5">
        <f t="shared" si="27"/>
        <v>0.13636363636363635</v>
      </c>
      <c r="AN254" s="4">
        <f t="shared" si="28"/>
        <v>2.0653333792296306E-4</v>
      </c>
      <c r="AO254" s="3"/>
      <c r="AP254">
        <v>0</v>
      </c>
      <c r="AR254" t="s">
        <v>1</v>
      </c>
      <c r="AT254" s="2" t="s">
        <v>0</v>
      </c>
      <c r="AU254" s="1">
        <f t="shared" si="29"/>
        <v>4.4590936803918204</v>
      </c>
      <c r="AV254" s="1">
        <f t="shared" si="30"/>
        <v>3.1909678670776702</v>
      </c>
      <c r="AW254" s="1">
        <f t="shared" si="31"/>
        <v>1.9228420537635207</v>
      </c>
    </row>
    <row r="255" spans="1:49" x14ac:dyDescent="0.2">
      <c r="A255">
        <v>253</v>
      </c>
      <c r="B255" t="s">
        <v>7463</v>
      </c>
      <c r="C255" t="s">
        <v>7462</v>
      </c>
      <c r="F255" t="s">
        <v>7461</v>
      </c>
      <c r="G255" t="s">
        <v>9</v>
      </c>
      <c r="H255" t="s">
        <v>8</v>
      </c>
      <c r="I255" t="s">
        <v>7460</v>
      </c>
      <c r="J255" t="s">
        <v>7459</v>
      </c>
      <c r="K255" t="s">
        <v>7458</v>
      </c>
      <c r="L255" t="s">
        <v>7457</v>
      </c>
      <c r="M255" t="s">
        <v>436</v>
      </c>
      <c r="N255">
        <v>3</v>
      </c>
      <c r="O255" t="s">
        <v>7456</v>
      </c>
      <c r="P255" t="s">
        <v>7455</v>
      </c>
      <c r="Q255" t="s">
        <v>7454</v>
      </c>
      <c r="R255" s="7">
        <v>36861</v>
      </c>
      <c r="S255" s="8">
        <f t="shared" si="24"/>
        <v>2000</v>
      </c>
      <c r="T255" s="8">
        <v>2000</v>
      </c>
      <c r="U255" s="8">
        <f t="shared" si="25"/>
        <v>22</v>
      </c>
      <c r="V255" s="7">
        <v>36861</v>
      </c>
      <c r="W255" s="11" t="s">
        <v>253</v>
      </c>
      <c r="X255" s="2">
        <v>2.383</v>
      </c>
      <c r="Y255" s="6">
        <f t="shared" si="26"/>
        <v>6.3612824003630442E-2</v>
      </c>
      <c r="AA255">
        <v>13502417</v>
      </c>
      <c r="AB255">
        <v>17416</v>
      </c>
      <c r="AD255" t="s">
        <v>3</v>
      </c>
      <c r="AE255">
        <v>147</v>
      </c>
      <c r="AF255">
        <v>6</v>
      </c>
      <c r="AH255" t="s">
        <v>7453</v>
      </c>
      <c r="AI255" t="s">
        <v>7452</v>
      </c>
      <c r="AK255" t="s">
        <v>7451</v>
      </c>
      <c r="AL255">
        <v>83</v>
      </c>
      <c r="AM255" s="5">
        <f t="shared" si="27"/>
        <v>3.7727272727272729</v>
      </c>
      <c r="AN255" s="4">
        <f t="shared" si="28"/>
        <v>5.7140890158686453E-3</v>
      </c>
      <c r="AO255" s="3"/>
      <c r="AP255">
        <v>0</v>
      </c>
      <c r="AR255" t="s">
        <v>1</v>
      </c>
      <c r="AT255" s="2" t="s">
        <v>0</v>
      </c>
      <c r="AU255" s="1">
        <f t="shared" si="29"/>
        <v>4.6243203507301907</v>
      </c>
      <c r="AV255" s="1">
        <f t="shared" si="30"/>
        <v>3.4663456509749544</v>
      </c>
      <c r="AW255" s="1">
        <f t="shared" si="31"/>
        <v>2.3083709512197186</v>
      </c>
    </row>
    <row r="256" spans="1:49" x14ac:dyDescent="0.2">
      <c r="A256">
        <v>254</v>
      </c>
      <c r="B256" t="s">
        <v>7450</v>
      </c>
      <c r="C256" t="s">
        <v>7449</v>
      </c>
      <c r="F256" t="s">
        <v>7448</v>
      </c>
      <c r="G256" t="s">
        <v>9</v>
      </c>
      <c r="H256" t="s">
        <v>8</v>
      </c>
      <c r="I256" t="s">
        <v>174</v>
      </c>
      <c r="J256">
        <v>60017161</v>
      </c>
      <c r="K256" t="s">
        <v>75</v>
      </c>
      <c r="L256" t="s">
        <v>74</v>
      </c>
      <c r="M256" t="s">
        <v>73</v>
      </c>
      <c r="N256">
        <v>1</v>
      </c>
      <c r="O256" t="s">
        <v>7447</v>
      </c>
      <c r="P256">
        <v>7409485017</v>
      </c>
      <c r="Q256">
        <v>60017161</v>
      </c>
      <c r="R256" s="7">
        <v>36861</v>
      </c>
      <c r="S256" s="8">
        <f t="shared" si="24"/>
        <v>2000</v>
      </c>
      <c r="T256" s="8">
        <v>2000</v>
      </c>
      <c r="U256" s="8">
        <f t="shared" si="25"/>
        <v>22</v>
      </c>
      <c r="V256" s="7">
        <v>36861</v>
      </c>
      <c r="W256" s="11" t="s">
        <v>253</v>
      </c>
      <c r="X256" s="2">
        <v>2.383</v>
      </c>
      <c r="Y256" s="6">
        <f t="shared" si="26"/>
        <v>6.3612824003630442E-2</v>
      </c>
      <c r="AA256">
        <v>13502417</v>
      </c>
      <c r="AB256">
        <v>17416</v>
      </c>
      <c r="AD256" t="s">
        <v>3</v>
      </c>
      <c r="AE256">
        <v>147</v>
      </c>
      <c r="AF256">
        <v>6</v>
      </c>
      <c r="AH256" t="s">
        <v>7446</v>
      </c>
      <c r="AI256" t="s">
        <v>7445</v>
      </c>
      <c r="AK256" t="s">
        <v>7444</v>
      </c>
      <c r="AL256">
        <v>32</v>
      </c>
      <c r="AM256" s="5">
        <f t="shared" si="27"/>
        <v>1.4545454545454546</v>
      </c>
      <c r="AN256" s="4">
        <f t="shared" si="28"/>
        <v>2.2030222711782728E-3</v>
      </c>
      <c r="AO256" s="3"/>
      <c r="AP256">
        <v>0</v>
      </c>
      <c r="AR256" t="s">
        <v>1</v>
      </c>
      <c r="AT256" s="2" t="s">
        <v>0</v>
      </c>
      <c r="AU256" s="1">
        <f t="shared" si="29"/>
        <v>4.5189883483894793</v>
      </c>
      <c r="AV256" s="1">
        <f t="shared" si="30"/>
        <v>3.2907923137404356</v>
      </c>
      <c r="AW256" s="1">
        <f t="shared" si="31"/>
        <v>2.0625962790913923</v>
      </c>
    </row>
    <row r="257" spans="1:49" x14ac:dyDescent="0.2">
      <c r="A257">
        <v>255</v>
      </c>
      <c r="B257" t="s">
        <v>7443</v>
      </c>
      <c r="C257" t="s">
        <v>7442</v>
      </c>
      <c r="F257" t="s">
        <v>7441</v>
      </c>
      <c r="G257" t="s">
        <v>9</v>
      </c>
      <c r="H257" t="s">
        <v>8</v>
      </c>
      <c r="I257" t="s">
        <v>7440</v>
      </c>
      <c r="J257">
        <v>60010818</v>
      </c>
      <c r="K257" t="s">
        <v>812</v>
      </c>
      <c r="L257" t="s">
        <v>811</v>
      </c>
      <c r="M257" t="s">
        <v>87</v>
      </c>
      <c r="N257">
        <v>2</v>
      </c>
      <c r="O257" t="s">
        <v>7439</v>
      </c>
      <c r="P257" t="s">
        <v>7438</v>
      </c>
      <c r="Q257" t="s">
        <v>810</v>
      </c>
      <c r="R257" s="7">
        <v>36861</v>
      </c>
      <c r="S257" s="8">
        <f t="shared" si="24"/>
        <v>2000</v>
      </c>
      <c r="T257" s="8">
        <v>2000</v>
      </c>
      <c r="U257" s="8">
        <f t="shared" si="25"/>
        <v>22</v>
      </c>
      <c r="V257" s="7">
        <v>36861</v>
      </c>
      <c r="W257" s="11" t="s">
        <v>253</v>
      </c>
      <c r="X257" s="2">
        <v>2.383</v>
      </c>
      <c r="Y257" s="6">
        <f t="shared" si="26"/>
        <v>6.3612824003630442E-2</v>
      </c>
      <c r="AA257">
        <v>13502417</v>
      </c>
      <c r="AB257">
        <v>17416</v>
      </c>
      <c r="AD257" t="s">
        <v>3</v>
      </c>
      <c r="AE257">
        <v>147</v>
      </c>
      <c r="AF257">
        <v>6</v>
      </c>
      <c r="AH257" t="s">
        <v>7437</v>
      </c>
      <c r="AI257" t="s">
        <v>7436</v>
      </c>
      <c r="AK257" t="s">
        <v>7435</v>
      </c>
      <c r="AL257">
        <v>19</v>
      </c>
      <c r="AM257" s="5">
        <f t="shared" si="27"/>
        <v>0.86363636363636365</v>
      </c>
      <c r="AN257" s="4">
        <f t="shared" si="28"/>
        <v>1.3080444735120995E-3</v>
      </c>
      <c r="AO257" s="3"/>
      <c r="AP257">
        <v>0</v>
      </c>
      <c r="AR257" t="s">
        <v>1</v>
      </c>
      <c r="AT257" s="2" t="s">
        <v>0</v>
      </c>
      <c r="AU257" s="1">
        <f t="shared" si="29"/>
        <v>4.4921390144594939</v>
      </c>
      <c r="AV257" s="1">
        <f t="shared" si="30"/>
        <v>3.246043423857127</v>
      </c>
      <c r="AW257" s="1">
        <f t="shared" si="31"/>
        <v>1.9999478332547602</v>
      </c>
    </row>
    <row r="258" spans="1:49" x14ac:dyDescent="0.2">
      <c r="A258">
        <v>256</v>
      </c>
      <c r="B258" t="s">
        <v>7434</v>
      </c>
      <c r="C258" t="s">
        <v>7433</v>
      </c>
      <c r="D258" t="s">
        <v>7432</v>
      </c>
      <c r="F258" t="s">
        <v>7431</v>
      </c>
      <c r="G258" t="s">
        <v>9</v>
      </c>
      <c r="H258" t="s">
        <v>8</v>
      </c>
      <c r="I258" t="s">
        <v>7430</v>
      </c>
      <c r="J258" t="s">
        <v>7429</v>
      </c>
      <c r="K258" t="s">
        <v>7428</v>
      </c>
      <c r="L258" t="s">
        <v>7427</v>
      </c>
      <c r="M258" t="s">
        <v>200</v>
      </c>
      <c r="N258">
        <v>3</v>
      </c>
      <c r="O258" t="s">
        <v>7426</v>
      </c>
      <c r="P258" t="s">
        <v>7425</v>
      </c>
      <c r="Q258" t="s">
        <v>7424</v>
      </c>
      <c r="R258" s="7">
        <v>36861</v>
      </c>
      <c r="S258" s="8">
        <f t="shared" ref="S258:S321" si="32">YEAR(R258)</f>
        <v>2000</v>
      </c>
      <c r="T258" s="8">
        <v>2000</v>
      </c>
      <c r="U258" s="8">
        <f t="shared" ref="U258:U321" si="33">2022-T258</f>
        <v>22</v>
      </c>
      <c r="V258" s="7">
        <v>2000</v>
      </c>
      <c r="W258" t="s">
        <v>291</v>
      </c>
      <c r="X258" s="2">
        <v>1.6519999999999999</v>
      </c>
      <c r="Y258" s="6">
        <f t="shared" ref="Y258:Y321" si="34">(X258-$Z$3)/($Z$2-$Z$3)</f>
        <v>4.409919649769093E-2</v>
      </c>
      <c r="AA258" t="s">
        <v>290</v>
      </c>
      <c r="AB258">
        <v>17337</v>
      </c>
      <c r="AD258" t="s">
        <v>3</v>
      </c>
      <c r="AE258">
        <v>48</v>
      </c>
      <c r="AF258">
        <v>12</v>
      </c>
      <c r="AH258" t="s">
        <v>7423</v>
      </c>
      <c r="AI258" t="s">
        <v>7422</v>
      </c>
      <c r="AJ258" t="s">
        <v>7421</v>
      </c>
      <c r="AK258" t="s">
        <v>7420</v>
      </c>
      <c r="AL258">
        <v>67</v>
      </c>
      <c r="AM258" s="5">
        <f t="shared" ref="AM258:AM321" si="35">AL258/U258</f>
        <v>3.0454545454545454</v>
      </c>
      <c r="AN258" s="4">
        <f t="shared" ref="AN258:AN321" si="36">(AM258-$AO$3)/($AO$2-$AO$3)</f>
        <v>4.6125778802795087E-3</v>
      </c>
      <c r="AO258" s="3"/>
      <c r="AP258">
        <v>0</v>
      </c>
      <c r="AR258" t="s">
        <v>1</v>
      </c>
      <c r="AT258" s="2" t="s">
        <v>0</v>
      </c>
      <c r="AU258" s="1">
        <f t="shared" ref="AU258:AU321" si="37">(Y258*0.7+AN258*0.3)*100</f>
        <v>3.2253210912467503</v>
      </c>
      <c r="AV258" s="1">
        <f t="shared" ref="AV258:AV321" si="38">(Y258*0.5+AN258*0.5)*100</f>
        <v>2.4355887188985221</v>
      </c>
      <c r="AW258" s="1">
        <f t="shared" ref="AW258:AW321" si="39">(Y258*0.3+AN258*0.7)*100</f>
        <v>1.6458563465502933</v>
      </c>
    </row>
    <row r="259" spans="1:49" x14ac:dyDescent="0.2">
      <c r="A259">
        <v>257</v>
      </c>
      <c r="B259" t="s">
        <v>7419</v>
      </c>
      <c r="C259" t="s">
        <v>7418</v>
      </c>
      <c r="F259" t="s">
        <v>7417</v>
      </c>
      <c r="G259" t="s">
        <v>9</v>
      </c>
      <c r="H259" t="s">
        <v>8</v>
      </c>
      <c r="I259" t="s">
        <v>771</v>
      </c>
      <c r="J259" t="s">
        <v>7413</v>
      </c>
      <c r="K259" t="s">
        <v>7416</v>
      </c>
      <c r="L259" t="s">
        <v>1843</v>
      </c>
      <c r="M259" t="s">
        <v>274</v>
      </c>
      <c r="N259">
        <v>2</v>
      </c>
      <c r="O259" t="s">
        <v>7415</v>
      </c>
      <c r="P259" t="s">
        <v>7414</v>
      </c>
      <c r="Q259" t="s">
        <v>7413</v>
      </c>
      <c r="R259" s="7">
        <v>36861</v>
      </c>
      <c r="S259" s="8">
        <f t="shared" si="32"/>
        <v>2000</v>
      </c>
      <c r="T259" s="8">
        <v>2000</v>
      </c>
      <c r="U259" s="8">
        <f t="shared" si="33"/>
        <v>22</v>
      </c>
      <c r="V259" s="7">
        <v>36861</v>
      </c>
      <c r="W259" t="s">
        <v>291</v>
      </c>
      <c r="X259" s="2">
        <v>1.6519999999999999</v>
      </c>
      <c r="Y259" s="6">
        <f t="shared" si="34"/>
        <v>4.409919649769093E-2</v>
      </c>
      <c r="AA259" t="s">
        <v>290</v>
      </c>
      <c r="AB259">
        <v>17337</v>
      </c>
      <c r="AD259" t="s">
        <v>3</v>
      </c>
      <c r="AE259">
        <v>48</v>
      </c>
      <c r="AF259">
        <v>12</v>
      </c>
      <c r="AH259" t="s">
        <v>7412</v>
      </c>
      <c r="AI259" t="s">
        <v>7411</v>
      </c>
      <c r="AK259" t="s">
        <v>7410</v>
      </c>
      <c r="AL259">
        <v>51</v>
      </c>
      <c r="AM259" s="5">
        <f t="shared" si="35"/>
        <v>2.3181818181818183</v>
      </c>
      <c r="AN259" s="4">
        <f t="shared" si="36"/>
        <v>3.5110667446903725E-3</v>
      </c>
      <c r="AO259" s="3"/>
      <c r="AP259">
        <v>0</v>
      </c>
      <c r="AR259" t="s">
        <v>7409</v>
      </c>
      <c r="AT259" s="2" t="s">
        <v>0</v>
      </c>
      <c r="AU259" s="1">
        <f t="shared" si="37"/>
        <v>3.1922757571790763</v>
      </c>
      <c r="AV259" s="1">
        <f t="shared" si="38"/>
        <v>2.3805131621190649</v>
      </c>
      <c r="AW259" s="1">
        <f t="shared" si="39"/>
        <v>1.5687505670590538</v>
      </c>
    </row>
    <row r="260" spans="1:49" x14ac:dyDescent="0.2">
      <c r="A260">
        <v>258</v>
      </c>
      <c r="B260" t="s">
        <v>7408</v>
      </c>
      <c r="C260" t="s">
        <v>7407</v>
      </c>
      <c r="D260" t="s">
        <v>7406</v>
      </c>
      <c r="F260" t="s">
        <v>7405</v>
      </c>
      <c r="G260" t="s">
        <v>9</v>
      </c>
      <c r="H260" t="s">
        <v>8</v>
      </c>
      <c r="I260" t="s">
        <v>529</v>
      </c>
      <c r="J260" t="s">
        <v>7404</v>
      </c>
      <c r="K260" t="s">
        <v>7403</v>
      </c>
      <c r="L260" t="s">
        <v>7402</v>
      </c>
      <c r="M260" t="s">
        <v>183</v>
      </c>
      <c r="N260">
        <v>2</v>
      </c>
      <c r="O260" t="s">
        <v>7401</v>
      </c>
      <c r="P260" t="s">
        <v>7400</v>
      </c>
      <c r="Q260" t="s">
        <v>7399</v>
      </c>
      <c r="R260" s="7">
        <v>36861</v>
      </c>
      <c r="S260" s="8">
        <f t="shared" si="32"/>
        <v>2000</v>
      </c>
      <c r="T260" s="8">
        <v>2000</v>
      </c>
      <c r="U260" s="8">
        <f t="shared" si="33"/>
        <v>22</v>
      </c>
      <c r="V260" s="7">
        <v>2000</v>
      </c>
      <c r="W260" t="s">
        <v>291</v>
      </c>
      <c r="X260" s="2">
        <v>1.6519999999999999</v>
      </c>
      <c r="Y260" s="6">
        <f t="shared" si="34"/>
        <v>4.409919649769093E-2</v>
      </c>
      <c r="AA260" t="s">
        <v>290</v>
      </c>
      <c r="AB260">
        <v>17337</v>
      </c>
      <c r="AD260" t="s">
        <v>3</v>
      </c>
      <c r="AE260">
        <v>48</v>
      </c>
      <c r="AF260">
        <v>12</v>
      </c>
      <c r="AH260" t="s">
        <v>7398</v>
      </c>
      <c r="AI260" t="s">
        <v>7397</v>
      </c>
      <c r="AJ260" t="s">
        <v>7396</v>
      </c>
      <c r="AK260" t="s">
        <v>7395</v>
      </c>
      <c r="AL260">
        <v>31</v>
      </c>
      <c r="AM260" s="5">
        <f t="shared" si="35"/>
        <v>1.4090909090909092</v>
      </c>
      <c r="AN260" s="4">
        <f t="shared" si="36"/>
        <v>2.1341778252039517E-3</v>
      </c>
      <c r="AO260" s="3"/>
      <c r="AP260">
        <v>0</v>
      </c>
      <c r="AR260" t="s">
        <v>1</v>
      </c>
      <c r="AT260" s="2" t="s">
        <v>0</v>
      </c>
      <c r="AU260" s="1">
        <f t="shared" si="37"/>
        <v>3.1509690895944837</v>
      </c>
      <c r="AV260" s="1">
        <f t="shared" si="38"/>
        <v>2.3116687161447445</v>
      </c>
      <c r="AW260" s="1">
        <f t="shared" si="39"/>
        <v>1.4723683426950045</v>
      </c>
    </row>
    <row r="261" spans="1:49" x14ac:dyDescent="0.2">
      <c r="A261">
        <v>259</v>
      </c>
      <c r="B261" t="s">
        <v>7394</v>
      </c>
      <c r="F261" t="s">
        <v>7393</v>
      </c>
      <c r="G261" t="s">
        <v>9</v>
      </c>
      <c r="H261" t="s">
        <v>8</v>
      </c>
      <c r="I261" t="s">
        <v>7392</v>
      </c>
      <c r="J261">
        <v>60073283</v>
      </c>
      <c r="K261" t="s">
        <v>7391</v>
      </c>
      <c r="L261" t="s">
        <v>169</v>
      </c>
      <c r="M261" t="s">
        <v>53</v>
      </c>
      <c r="N261">
        <v>1</v>
      </c>
      <c r="O261" t="s">
        <v>7390</v>
      </c>
      <c r="P261">
        <v>24072132500</v>
      </c>
      <c r="Q261">
        <v>60073283</v>
      </c>
      <c r="R261" s="7">
        <v>36861</v>
      </c>
      <c r="S261" s="8">
        <f t="shared" si="32"/>
        <v>2000</v>
      </c>
      <c r="T261" s="8">
        <v>2000</v>
      </c>
      <c r="U261" s="8">
        <f t="shared" si="33"/>
        <v>22</v>
      </c>
      <c r="V261" s="7">
        <v>2000</v>
      </c>
      <c r="W261" t="s">
        <v>182</v>
      </c>
      <c r="X261" s="2" t="s">
        <v>0</v>
      </c>
      <c r="Y261" s="6" t="e">
        <f t="shared" si="34"/>
        <v>#VALUE!</v>
      </c>
      <c r="AA261">
        <v>9248625</v>
      </c>
      <c r="AB261">
        <v>12897</v>
      </c>
      <c r="AD261" t="s">
        <v>3</v>
      </c>
      <c r="AE261">
        <v>16</v>
      </c>
      <c r="AF261">
        <v>4</v>
      </c>
      <c r="AH261" t="s">
        <v>7389</v>
      </c>
      <c r="AI261" t="s">
        <v>7388</v>
      </c>
      <c r="AK261" t="s">
        <v>7387</v>
      </c>
      <c r="AL261">
        <v>2</v>
      </c>
      <c r="AM261" s="5">
        <f t="shared" si="35"/>
        <v>9.0909090909090912E-2</v>
      </c>
      <c r="AN261" s="4">
        <f t="shared" si="36"/>
        <v>1.3768889194864205E-4</v>
      </c>
      <c r="AO261" s="3"/>
      <c r="AP261">
        <v>0</v>
      </c>
      <c r="AR261" t="s">
        <v>1</v>
      </c>
      <c r="AT261" s="2" t="s">
        <v>0</v>
      </c>
      <c r="AU261" s="1" t="e">
        <f t="shared" si="37"/>
        <v>#VALUE!</v>
      </c>
      <c r="AV261" s="1" t="e">
        <f t="shared" si="38"/>
        <v>#VALUE!</v>
      </c>
      <c r="AW261" s="1" t="e">
        <f t="shared" si="39"/>
        <v>#VALUE!</v>
      </c>
    </row>
    <row r="262" spans="1:49" x14ac:dyDescent="0.2">
      <c r="A262">
        <v>260</v>
      </c>
      <c r="B262" t="s">
        <v>7386</v>
      </c>
      <c r="F262" t="s">
        <v>7385</v>
      </c>
      <c r="G262" t="s">
        <v>9</v>
      </c>
      <c r="H262" t="s">
        <v>8</v>
      </c>
      <c r="I262" t="s">
        <v>7384</v>
      </c>
      <c r="J262">
        <v>60092258</v>
      </c>
      <c r="K262" t="s">
        <v>379</v>
      </c>
      <c r="L262" t="s">
        <v>378</v>
      </c>
      <c r="M262" t="s">
        <v>43</v>
      </c>
      <c r="N262">
        <v>4</v>
      </c>
      <c r="O262" t="s">
        <v>7383</v>
      </c>
      <c r="P262" t="s">
        <v>7382</v>
      </c>
      <c r="Q262" t="s">
        <v>7381</v>
      </c>
      <c r="R262" s="7">
        <v>36861</v>
      </c>
      <c r="S262" s="8">
        <f t="shared" si="32"/>
        <v>2000</v>
      </c>
      <c r="T262" s="8">
        <v>2000</v>
      </c>
      <c r="U262" s="8">
        <f t="shared" si="33"/>
        <v>22</v>
      </c>
      <c r="V262" s="7">
        <v>2000</v>
      </c>
      <c r="W262" t="s">
        <v>182</v>
      </c>
      <c r="X262" s="2" t="s">
        <v>0</v>
      </c>
      <c r="Y262" s="6" t="e">
        <f t="shared" si="34"/>
        <v>#VALUE!</v>
      </c>
      <c r="AA262">
        <v>9248625</v>
      </c>
      <c r="AB262">
        <v>12897</v>
      </c>
      <c r="AD262" t="s">
        <v>3</v>
      </c>
      <c r="AE262">
        <v>16</v>
      </c>
      <c r="AF262">
        <v>4</v>
      </c>
      <c r="AH262" t="s">
        <v>7380</v>
      </c>
      <c r="AI262" t="s">
        <v>7379</v>
      </c>
      <c r="AJ262" t="s">
        <v>7378</v>
      </c>
      <c r="AK262" t="s">
        <v>7377</v>
      </c>
      <c r="AL262">
        <v>9</v>
      </c>
      <c r="AM262" s="5">
        <f t="shared" si="35"/>
        <v>0.40909090909090912</v>
      </c>
      <c r="AN262" s="4">
        <f t="shared" si="36"/>
        <v>6.1960001376888923E-4</v>
      </c>
      <c r="AO262" s="3"/>
      <c r="AP262">
        <v>0</v>
      </c>
      <c r="AR262" t="s">
        <v>1</v>
      </c>
      <c r="AT262" s="2" t="s">
        <v>0</v>
      </c>
      <c r="AU262" s="1" t="e">
        <f t="shared" si="37"/>
        <v>#VALUE!</v>
      </c>
      <c r="AV262" s="1" t="e">
        <f t="shared" si="38"/>
        <v>#VALUE!</v>
      </c>
      <c r="AW262" s="1" t="e">
        <f t="shared" si="39"/>
        <v>#VALUE!</v>
      </c>
    </row>
    <row r="263" spans="1:49" x14ac:dyDescent="0.2">
      <c r="A263">
        <v>261</v>
      </c>
      <c r="B263" t="s">
        <v>7376</v>
      </c>
      <c r="C263" t="s">
        <v>7375</v>
      </c>
      <c r="F263" t="s">
        <v>867</v>
      </c>
      <c r="G263" t="s">
        <v>9</v>
      </c>
      <c r="H263" t="s">
        <v>8</v>
      </c>
      <c r="I263" t="s">
        <v>866</v>
      </c>
      <c r="J263" t="s">
        <v>865</v>
      </c>
      <c r="K263" t="s">
        <v>864</v>
      </c>
      <c r="L263" t="s">
        <v>863</v>
      </c>
      <c r="M263" t="s">
        <v>225</v>
      </c>
      <c r="N263">
        <v>3</v>
      </c>
      <c r="O263" t="s">
        <v>862</v>
      </c>
      <c r="P263" t="s">
        <v>861</v>
      </c>
      <c r="Q263" t="s">
        <v>7374</v>
      </c>
      <c r="R263" s="7">
        <v>36861</v>
      </c>
      <c r="S263" s="8">
        <f t="shared" si="32"/>
        <v>2000</v>
      </c>
      <c r="T263" s="8">
        <v>2000</v>
      </c>
      <c r="U263" s="8">
        <f t="shared" si="33"/>
        <v>22</v>
      </c>
      <c r="V263" s="7">
        <v>2000</v>
      </c>
      <c r="W263" t="s">
        <v>7373</v>
      </c>
      <c r="X263" s="2">
        <v>1.552</v>
      </c>
      <c r="Y263" s="6">
        <f t="shared" si="34"/>
        <v>4.1429753610421505E-2</v>
      </c>
      <c r="AA263">
        <v>3076970</v>
      </c>
      <c r="AB263">
        <v>21594</v>
      </c>
      <c r="AD263" t="s">
        <v>3</v>
      </c>
      <c r="AE263">
        <v>25</v>
      </c>
      <c r="AF263">
        <v>2</v>
      </c>
      <c r="AH263" t="s">
        <v>860</v>
      </c>
      <c r="AI263" t="s">
        <v>859</v>
      </c>
      <c r="AK263" t="s">
        <v>858</v>
      </c>
      <c r="AL263">
        <v>21</v>
      </c>
      <c r="AM263" s="5">
        <f t="shared" si="35"/>
        <v>0.95454545454545459</v>
      </c>
      <c r="AN263" s="4">
        <f t="shared" si="36"/>
        <v>1.4457333654607416E-3</v>
      </c>
      <c r="AO263" s="3"/>
      <c r="AP263">
        <v>0</v>
      </c>
      <c r="AR263" t="s">
        <v>1</v>
      </c>
      <c r="AT263" s="2">
        <v>3.8439999999999999</v>
      </c>
      <c r="AU263" s="1">
        <f t="shared" si="37"/>
        <v>2.9434547536933273</v>
      </c>
      <c r="AV263" s="1">
        <f t="shared" si="38"/>
        <v>2.1437743487941123</v>
      </c>
      <c r="AW263" s="1">
        <f t="shared" si="39"/>
        <v>1.3440939438948969</v>
      </c>
    </row>
    <row r="264" spans="1:49" x14ac:dyDescent="0.2">
      <c r="A264">
        <v>262</v>
      </c>
      <c r="B264" t="s">
        <v>7372</v>
      </c>
      <c r="C264" t="s">
        <v>7371</v>
      </c>
      <c r="F264" t="s">
        <v>7370</v>
      </c>
      <c r="G264" t="s">
        <v>9</v>
      </c>
      <c r="H264" t="s">
        <v>8</v>
      </c>
      <c r="I264" t="s">
        <v>7369</v>
      </c>
      <c r="J264" t="s">
        <v>7368</v>
      </c>
      <c r="K264" t="s">
        <v>7367</v>
      </c>
      <c r="L264" t="s">
        <v>7366</v>
      </c>
      <c r="M264" t="s">
        <v>62</v>
      </c>
      <c r="N264">
        <v>4</v>
      </c>
      <c r="O264" t="s">
        <v>7365</v>
      </c>
      <c r="P264" t="s">
        <v>7364</v>
      </c>
      <c r="Q264" t="s">
        <v>7363</v>
      </c>
      <c r="R264" s="7">
        <v>36861</v>
      </c>
      <c r="S264" s="8">
        <f t="shared" si="32"/>
        <v>2000</v>
      </c>
      <c r="T264" s="8">
        <v>2000</v>
      </c>
      <c r="U264" s="8">
        <f t="shared" si="33"/>
        <v>22</v>
      </c>
      <c r="V264" s="7">
        <v>2000</v>
      </c>
      <c r="W264" t="s">
        <v>201</v>
      </c>
      <c r="X264" s="2">
        <v>1.1579999999999999</v>
      </c>
      <c r="Y264" s="6">
        <f t="shared" si="34"/>
        <v>3.0912148634579962E-2</v>
      </c>
      <c r="AA264">
        <v>1668595</v>
      </c>
      <c r="AB264">
        <v>14223</v>
      </c>
      <c r="AD264" t="s">
        <v>3</v>
      </c>
      <c r="AE264">
        <v>65</v>
      </c>
      <c r="AF264">
        <v>3</v>
      </c>
      <c r="AH264" t="s">
        <v>423</v>
      </c>
      <c r="AI264" t="s">
        <v>7362</v>
      </c>
      <c r="AJ264" t="s">
        <v>7361</v>
      </c>
      <c r="AK264" t="s">
        <v>7360</v>
      </c>
      <c r="AL264">
        <v>35</v>
      </c>
      <c r="AM264" s="5">
        <f t="shared" si="35"/>
        <v>1.5909090909090908</v>
      </c>
      <c r="AN264" s="4">
        <f t="shared" si="36"/>
        <v>2.4095556091012355E-3</v>
      </c>
      <c r="AO264" s="3"/>
      <c r="AP264">
        <v>0</v>
      </c>
      <c r="AQ264" t="s">
        <v>511</v>
      </c>
      <c r="AR264" t="s">
        <v>7359</v>
      </c>
      <c r="AS264" t="s">
        <v>510</v>
      </c>
      <c r="AT264" s="2">
        <v>3.573</v>
      </c>
      <c r="AU264" s="1">
        <f t="shared" si="37"/>
        <v>2.2361370726936345</v>
      </c>
      <c r="AV264" s="1">
        <f t="shared" si="38"/>
        <v>1.6660852121840597</v>
      </c>
      <c r="AW264" s="1">
        <f t="shared" si="39"/>
        <v>1.0960333516744853</v>
      </c>
    </row>
    <row r="265" spans="1:49" x14ac:dyDescent="0.2">
      <c r="A265">
        <v>263</v>
      </c>
      <c r="B265" t="s">
        <v>7358</v>
      </c>
      <c r="F265" t="s">
        <v>7357</v>
      </c>
      <c r="G265" t="s">
        <v>9</v>
      </c>
      <c r="H265" t="s">
        <v>8</v>
      </c>
      <c r="I265" t="s">
        <v>777</v>
      </c>
      <c r="J265">
        <v>60030236</v>
      </c>
      <c r="K265" t="s">
        <v>7356</v>
      </c>
      <c r="L265" t="s">
        <v>284</v>
      </c>
      <c r="M265" t="s">
        <v>105</v>
      </c>
      <c r="N265">
        <v>4</v>
      </c>
      <c r="O265" t="s">
        <v>776</v>
      </c>
      <c r="P265" t="s">
        <v>775</v>
      </c>
      <c r="Q265" t="s">
        <v>7355</v>
      </c>
      <c r="R265" s="7">
        <v>36861</v>
      </c>
      <c r="S265" s="8">
        <f t="shared" si="32"/>
        <v>2000</v>
      </c>
      <c r="T265" s="8">
        <v>2000</v>
      </c>
      <c r="U265" s="8">
        <f t="shared" si="33"/>
        <v>22</v>
      </c>
      <c r="V265" s="7">
        <v>2000</v>
      </c>
      <c r="W265" t="s">
        <v>7354</v>
      </c>
      <c r="X265" s="2" t="s">
        <v>0</v>
      </c>
      <c r="Y265" s="6" t="e">
        <f t="shared" si="34"/>
        <v>#VALUE!</v>
      </c>
      <c r="AA265">
        <v>10587268</v>
      </c>
      <c r="AB265">
        <v>95372</v>
      </c>
      <c r="AD265" t="s">
        <v>3</v>
      </c>
      <c r="AE265">
        <v>25</v>
      </c>
      <c r="AF265" s="10">
        <v>44287</v>
      </c>
      <c r="AH265" t="s">
        <v>7353</v>
      </c>
      <c r="AI265" t="s">
        <v>7352</v>
      </c>
      <c r="AJ265" t="s">
        <v>7351</v>
      </c>
      <c r="AK265" t="s">
        <v>7350</v>
      </c>
      <c r="AL265">
        <v>6</v>
      </c>
      <c r="AM265" s="5">
        <f t="shared" si="35"/>
        <v>0.27272727272727271</v>
      </c>
      <c r="AN265" s="4">
        <f t="shared" si="36"/>
        <v>4.1306667584592612E-4</v>
      </c>
      <c r="AO265" s="3"/>
      <c r="AP265">
        <v>0</v>
      </c>
      <c r="AR265" t="s">
        <v>1</v>
      </c>
      <c r="AT265" s="2" t="s">
        <v>0</v>
      </c>
      <c r="AU265" s="1" t="e">
        <f t="shared" si="37"/>
        <v>#VALUE!</v>
      </c>
      <c r="AV265" s="1" t="e">
        <f t="shared" si="38"/>
        <v>#VALUE!</v>
      </c>
      <c r="AW265" s="1" t="e">
        <f t="shared" si="39"/>
        <v>#VALUE!</v>
      </c>
    </row>
    <row r="266" spans="1:49" x14ac:dyDescent="0.2">
      <c r="A266">
        <v>264</v>
      </c>
      <c r="B266" t="s">
        <v>7349</v>
      </c>
      <c r="E266">
        <v>11368494</v>
      </c>
      <c r="F266" t="s">
        <v>7348</v>
      </c>
      <c r="G266" t="s">
        <v>9</v>
      </c>
      <c r="H266" t="s">
        <v>8</v>
      </c>
      <c r="I266" t="s">
        <v>7347</v>
      </c>
      <c r="J266">
        <v>60007457</v>
      </c>
      <c r="K266" t="s">
        <v>656</v>
      </c>
      <c r="L266" t="s">
        <v>280</v>
      </c>
      <c r="M266" t="s">
        <v>42</v>
      </c>
      <c r="N266">
        <v>1</v>
      </c>
      <c r="O266" t="s">
        <v>7346</v>
      </c>
      <c r="P266">
        <v>15049241600</v>
      </c>
      <c r="Q266">
        <v>60007457</v>
      </c>
      <c r="R266" s="7">
        <v>36861</v>
      </c>
      <c r="S266" s="8">
        <f t="shared" si="32"/>
        <v>2000</v>
      </c>
      <c r="T266" s="8">
        <v>2000</v>
      </c>
      <c r="U266" s="8">
        <f t="shared" si="33"/>
        <v>22</v>
      </c>
      <c r="V266" s="7">
        <v>2000</v>
      </c>
      <c r="W266" t="s">
        <v>7345</v>
      </c>
      <c r="X266" s="2" t="s">
        <v>0</v>
      </c>
      <c r="Y266" s="6" t="e">
        <f t="shared" si="34"/>
        <v>#VALUE!</v>
      </c>
      <c r="AA266">
        <v>10236597</v>
      </c>
      <c r="AB266">
        <v>37607</v>
      </c>
      <c r="AD266" t="s">
        <v>3</v>
      </c>
      <c r="AE266">
        <v>14</v>
      </c>
      <c r="AF266">
        <v>3</v>
      </c>
      <c r="AH266" t="s">
        <v>7344</v>
      </c>
      <c r="AI266" t="s">
        <v>7343</v>
      </c>
      <c r="AK266" t="s">
        <v>7342</v>
      </c>
      <c r="AL266">
        <v>2</v>
      </c>
      <c r="AM266" s="5">
        <f t="shared" si="35"/>
        <v>9.0909090909090912E-2</v>
      </c>
      <c r="AN266" s="4">
        <f t="shared" si="36"/>
        <v>1.3768889194864205E-4</v>
      </c>
      <c r="AO266" s="3"/>
      <c r="AP266">
        <v>0</v>
      </c>
      <c r="AR266" t="s">
        <v>1</v>
      </c>
      <c r="AT266" s="2" t="s">
        <v>0</v>
      </c>
      <c r="AU266" s="1" t="e">
        <f t="shared" si="37"/>
        <v>#VALUE!</v>
      </c>
      <c r="AV266" s="1" t="e">
        <f t="shared" si="38"/>
        <v>#VALUE!</v>
      </c>
      <c r="AW266" s="1" t="e">
        <f t="shared" si="39"/>
        <v>#VALUE!</v>
      </c>
    </row>
    <row r="267" spans="1:49" x14ac:dyDescent="0.2">
      <c r="A267">
        <v>265</v>
      </c>
      <c r="B267" t="s">
        <v>7341</v>
      </c>
      <c r="F267" t="s">
        <v>7340</v>
      </c>
      <c r="G267" t="s">
        <v>9</v>
      </c>
      <c r="H267" t="s">
        <v>8</v>
      </c>
      <c r="I267" t="s">
        <v>7339</v>
      </c>
      <c r="N267">
        <v>3</v>
      </c>
      <c r="O267" t="s">
        <v>7338</v>
      </c>
      <c r="P267" t="s">
        <v>7337</v>
      </c>
      <c r="Q267" t="s">
        <v>198</v>
      </c>
      <c r="R267" s="7">
        <v>36861</v>
      </c>
      <c r="S267" s="8">
        <f t="shared" si="32"/>
        <v>2000</v>
      </c>
      <c r="T267" s="8">
        <v>2000</v>
      </c>
      <c r="U267" s="8">
        <f t="shared" si="33"/>
        <v>22</v>
      </c>
      <c r="V267" s="7">
        <v>36861</v>
      </c>
      <c r="W267" t="s">
        <v>7336</v>
      </c>
      <c r="X267" s="2">
        <v>0.498</v>
      </c>
      <c r="Y267" s="6">
        <f t="shared" si="34"/>
        <v>1.3293825578601747E-2</v>
      </c>
      <c r="AA267">
        <v>3043622</v>
      </c>
      <c r="AB267">
        <v>40853</v>
      </c>
      <c r="AD267" t="s">
        <v>3</v>
      </c>
      <c r="AE267">
        <v>41</v>
      </c>
      <c r="AF267">
        <v>134</v>
      </c>
      <c r="AH267" t="s">
        <v>7335</v>
      </c>
      <c r="AI267" t="s">
        <v>7334</v>
      </c>
      <c r="AJ267" t="s">
        <v>7333</v>
      </c>
      <c r="AK267" t="s">
        <v>7332</v>
      </c>
      <c r="AL267">
        <v>1</v>
      </c>
      <c r="AM267" s="5">
        <f t="shared" si="35"/>
        <v>4.5454545454545456E-2</v>
      </c>
      <c r="AN267" s="4">
        <f t="shared" si="36"/>
        <v>6.8844445974321024E-5</v>
      </c>
      <c r="AO267" s="3"/>
      <c r="AP267">
        <v>0</v>
      </c>
      <c r="AR267" t="s">
        <v>1</v>
      </c>
      <c r="AT267" s="2" t="s">
        <v>0</v>
      </c>
      <c r="AU267" s="1">
        <f t="shared" si="37"/>
        <v>0.932633123881352</v>
      </c>
      <c r="AV267" s="1">
        <f t="shared" si="38"/>
        <v>0.66813350122880333</v>
      </c>
      <c r="AW267" s="1">
        <f t="shared" si="39"/>
        <v>0.40363387857625482</v>
      </c>
    </row>
    <row r="268" spans="1:49" x14ac:dyDescent="0.2">
      <c r="A268">
        <v>266</v>
      </c>
      <c r="B268" t="s">
        <v>7331</v>
      </c>
      <c r="C268" t="s">
        <v>7330</v>
      </c>
      <c r="F268" t="s">
        <v>7329</v>
      </c>
      <c r="G268" t="s">
        <v>9</v>
      </c>
      <c r="H268" t="s">
        <v>8</v>
      </c>
      <c r="I268" t="s">
        <v>7328</v>
      </c>
      <c r="J268" t="s">
        <v>7327</v>
      </c>
      <c r="K268" t="s">
        <v>7326</v>
      </c>
      <c r="L268" t="s">
        <v>7325</v>
      </c>
      <c r="M268" t="s">
        <v>183</v>
      </c>
      <c r="N268">
        <v>3</v>
      </c>
      <c r="O268" t="s">
        <v>7324</v>
      </c>
      <c r="P268" t="s">
        <v>7323</v>
      </c>
      <c r="Q268" t="s">
        <v>7322</v>
      </c>
      <c r="R268" s="7">
        <v>36861</v>
      </c>
      <c r="S268" s="8">
        <f t="shared" si="32"/>
        <v>2000</v>
      </c>
      <c r="T268" s="8">
        <v>2000</v>
      </c>
      <c r="U268" s="8">
        <f t="shared" si="33"/>
        <v>22</v>
      </c>
      <c r="V268" s="7">
        <v>2000</v>
      </c>
      <c r="W268" t="s">
        <v>7321</v>
      </c>
      <c r="X268" s="2">
        <v>0.35899999999999999</v>
      </c>
      <c r="Y268" s="6">
        <f t="shared" si="34"/>
        <v>9.5832999652972432E-3</v>
      </c>
      <c r="AA268">
        <v>8999457</v>
      </c>
      <c r="AB268">
        <v>35932</v>
      </c>
      <c r="AD268" t="s">
        <v>3</v>
      </c>
      <c r="AE268">
        <v>11</v>
      </c>
      <c r="AF268">
        <v>4</v>
      </c>
      <c r="AH268" t="s">
        <v>877</v>
      </c>
      <c r="AI268" t="s">
        <v>7320</v>
      </c>
      <c r="AK268" t="s">
        <v>7319</v>
      </c>
      <c r="AL268">
        <v>10</v>
      </c>
      <c r="AM268" s="5">
        <f t="shared" si="35"/>
        <v>0.45454545454545453</v>
      </c>
      <c r="AN268" s="4">
        <f t="shared" si="36"/>
        <v>6.8844445974321016E-4</v>
      </c>
      <c r="AO268" s="3"/>
      <c r="AP268">
        <v>0</v>
      </c>
      <c r="AR268" t="s">
        <v>1</v>
      </c>
      <c r="AT268" s="2" t="s">
        <v>0</v>
      </c>
      <c r="AU268" s="1">
        <f t="shared" si="37"/>
        <v>0.69148433136310328</v>
      </c>
      <c r="AV268" s="1">
        <f t="shared" si="38"/>
        <v>0.51358722125202272</v>
      </c>
      <c r="AW268" s="1">
        <f t="shared" si="39"/>
        <v>0.33569011114094199</v>
      </c>
    </row>
    <row r="269" spans="1:49" x14ac:dyDescent="0.2">
      <c r="A269">
        <v>267</v>
      </c>
      <c r="B269" t="s">
        <v>7318</v>
      </c>
      <c r="C269" t="s">
        <v>7317</v>
      </c>
      <c r="D269" t="s">
        <v>7316</v>
      </c>
      <c r="F269" t="s">
        <v>7315</v>
      </c>
      <c r="G269" t="s">
        <v>9</v>
      </c>
      <c r="H269" t="s">
        <v>8</v>
      </c>
      <c r="I269" t="s">
        <v>7314</v>
      </c>
      <c r="J269">
        <v>60028717</v>
      </c>
      <c r="K269" t="s">
        <v>7313</v>
      </c>
      <c r="L269" t="s">
        <v>461</v>
      </c>
      <c r="M269" t="s">
        <v>13</v>
      </c>
      <c r="N269">
        <v>2</v>
      </c>
      <c r="O269" t="s">
        <v>7312</v>
      </c>
      <c r="P269" t="s">
        <v>7311</v>
      </c>
      <c r="Q269" t="s">
        <v>7310</v>
      </c>
      <c r="R269" s="7">
        <v>36861</v>
      </c>
      <c r="S269" s="8">
        <f t="shared" si="32"/>
        <v>2000</v>
      </c>
      <c r="T269" s="8">
        <v>2000</v>
      </c>
      <c r="U269" s="8">
        <f t="shared" si="33"/>
        <v>22</v>
      </c>
      <c r="V269" s="7">
        <v>2000</v>
      </c>
      <c r="W269" t="s">
        <v>108</v>
      </c>
      <c r="X269" s="2">
        <v>0.998</v>
      </c>
      <c r="Y269" s="6">
        <f t="shared" si="34"/>
        <v>2.664104001494888E-2</v>
      </c>
      <c r="AA269">
        <v>14678039</v>
      </c>
      <c r="AB269">
        <v>19156</v>
      </c>
      <c r="AD269" t="s">
        <v>3</v>
      </c>
      <c r="AE269">
        <v>29</v>
      </c>
      <c r="AF269">
        <v>3</v>
      </c>
      <c r="AH269" t="s">
        <v>7309</v>
      </c>
      <c r="AI269" t="s">
        <v>7308</v>
      </c>
      <c r="AJ269" t="s">
        <v>7307</v>
      </c>
      <c r="AK269" t="s">
        <v>7306</v>
      </c>
      <c r="AL269">
        <v>16</v>
      </c>
      <c r="AM269" s="5">
        <f t="shared" si="35"/>
        <v>0.72727272727272729</v>
      </c>
      <c r="AN269" s="4">
        <f t="shared" si="36"/>
        <v>1.1015111355891364E-3</v>
      </c>
      <c r="AO269" s="3"/>
      <c r="AP269">
        <v>0</v>
      </c>
      <c r="AR269" t="s">
        <v>1</v>
      </c>
      <c r="AT269" s="2" t="s">
        <v>0</v>
      </c>
      <c r="AU269" s="1">
        <f t="shared" si="37"/>
        <v>1.8979181351140957</v>
      </c>
      <c r="AV269" s="1">
        <f t="shared" si="38"/>
        <v>1.3871275575269009</v>
      </c>
      <c r="AW269" s="1">
        <f t="shared" si="39"/>
        <v>0.87633697993970594</v>
      </c>
    </row>
    <row r="270" spans="1:49" x14ac:dyDescent="0.2">
      <c r="A270">
        <v>268</v>
      </c>
      <c r="B270" t="s">
        <v>7305</v>
      </c>
      <c r="C270" t="s">
        <v>7304</v>
      </c>
      <c r="D270" t="s">
        <v>7303</v>
      </c>
      <c r="F270" t="s">
        <v>7302</v>
      </c>
      <c r="G270" t="s">
        <v>9</v>
      </c>
      <c r="H270" t="s">
        <v>8</v>
      </c>
      <c r="I270" t="s">
        <v>7301</v>
      </c>
      <c r="J270">
        <v>60004354</v>
      </c>
      <c r="K270" t="s">
        <v>7300</v>
      </c>
      <c r="L270" t="s">
        <v>959</v>
      </c>
      <c r="M270" t="s">
        <v>5</v>
      </c>
      <c r="N270">
        <v>4</v>
      </c>
      <c r="O270" t="s">
        <v>7299</v>
      </c>
      <c r="P270" t="s">
        <v>7298</v>
      </c>
      <c r="Q270" t="s">
        <v>7297</v>
      </c>
      <c r="R270" s="7">
        <v>36861</v>
      </c>
      <c r="S270" s="8">
        <f t="shared" si="32"/>
        <v>2000</v>
      </c>
      <c r="T270" s="8">
        <v>2000</v>
      </c>
      <c r="U270" s="8">
        <f t="shared" si="33"/>
        <v>22</v>
      </c>
      <c r="V270" s="7">
        <v>2000</v>
      </c>
      <c r="W270" t="s">
        <v>108</v>
      </c>
      <c r="X270" s="2">
        <v>0.998</v>
      </c>
      <c r="Y270" s="6">
        <f t="shared" si="34"/>
        <v>2.664104001494888E-2</v>
      </c>
      <c r="AA270">
        <v>14678039</v>
      </c>
      <c r="AB270">
        <v>19156</v>
      </c>
      <c r="AD270" t="s">
        <v>3</v>
      </c>
      <c r="AE270">
        <v>29</v>
      </c>
      <c r="AF270">
        <v>3</v>
      </c>
      <c r="AH270" t="s">
        <v>7296</v>
      </c>
      <c r="AI270" t="s">
        <v>7295</v>
      </c>
      <c r="AJ270" t="s">
        <v>7294</v>
      </c>
      <c r="AK270" t="s">
        <v>7293</v>
      </c>
      <c r="AL270">
        <v>131</v>
      </c>
      <c r="AM270" s="5">
        <f t="shared" si="35"/>
        <v>5.9545454545454541</v>
      </c>
      <c r="AN270" s="4">
        <f t="shared" si="36"/>
        <v>9.0186224226360533E-3</v>
      </c>
      <c r="AO270" s="3"/>
      <c r="AP270">
        <v>0</v>
      </c>
      <c r="AQ270" t="s">
        <v>571</v>
      </c>
      <c r="AR270" t="s">
        <v>1</v>
      </c>
      <c r="AS270" t="s">
        <v>570</v>
      </c>
      <c r="AT270" s="2" t="s">
        <v>0</v>
      </c>
      <c r="AU270" s="1">
        <f t="shared" si="37"/>
        <v>2.1354314737255029</v>
      </c>
      <c r="AV270" s="1">
        <f t="shared" si="38"/>
        <v>1.7829831218792467</v>
      </c>
      <c r="AW270" s="1">
        <f t="shared" si="39"/>
        <v>1.43053477003299</v>
      </c>
    </row>
    <row r="271" spans="1:49" x14ac:dyDescent="0.2">
      <c r="A271">
        <v>269</v>
      </c>
      <c r="B271" t="s">
        <v>7292</v>
      </c>
      <c r="C271" t="s">
        <v>7291</v>
      </c>
      <c r="F271" t="s">
        <v>7290</v>
      </c>
      <c r="G271" t="s">
        <v>9</v>
      </c>
      <c r="H271" t="s">
        <v>8</v>
      </c>
      <c r="I271" t="s">
        <v>7289</v>
      </c>
      <c r="J271" t="s">
        <v>7288</v>
      </c>
      <c r="K271" t="s">
        <v>7287</v>
      </c>
      <c r="L271" t="s">
        <v>7286</v>
      </c>
      <c r="M271" t="s">
        <v>5155</v>
      </c>
      <c r="N271">
        <v>3</v>
      </c>
      <c r="O271" t="s">
        <v>7285</v>
      </c>
      <c r="P271" t="s">
        <v>7284</v>
      </c>
      <c r="Q271" t="s">
        <v>7283</v>
      </c>
      <c r="R271" s="7">
        <v>36861</v>
      </c>
      <c r="S271" s="8">
        <f t="shared" si="32"/>
        <v>2000</v>
      </c>
      <c r="T271" s="8">
        <v>2000</v>
      </c>
      <c r="U271" s="8">
        <f t="shared" si="33"/>
        <v>22</v>
      </c>
      <c r="V271" s="7">
        <v>2000</v>
      </c>
      <c r="W271" t="s">
        <v>7282</v>
      </c>
      <c r="X271" s="2">
        <v>0.318</v>
      </c>
      <c r="Y271" s="6">
        <f t="shared" si="34"/>
        <v>8.4888283815167786E-3</v>
      </c>
      <c r="AA271">
        <v>920606</v>
      </c>
      <c r="AB271">
        <v>14894</v>
      </c>
      <c r="AD271" t="s">
        <v>3</v>
      </c>
      <c r="AE271">
        <v>26</v>
      </c>
      <c r="AF271">
        <v>4</v>
      </c>
      <c r="AH271" t="s">
        <v>7281</v>
      </c>
      <c r="AI271" t="s">
        <v>7280</v>
      </c>
      <c r="AJ271" t="s">
        <v>7279</v>
      </c>
      <c r="AK271" t="s">
        <v>7278</v>
      </c>
      <c r="AL271">
        <v>5</v>
      </c>
      <c r="AM271" s="5">
        <f t="shared" si="35"/>
        <v>0.22727272727272727</v>
      </c>
      <c r="AN271" s="4">
        <f t="shared" si="36"/>
        <v>3.4422222987160508E-4</v>
      </c>
      <c r="AO271" s="3"/>
      <c r="AP271">
        <v>0</v>
      </c>
      <c r="AR271" t="s">
        <v>1</v>
      </c>
      <c r="AT271" s="2">
        <v>1.365</v>
      </c>
      <c r="AU271" s="1">
        <f t="shared" si="37"/>
        <v>0.60454465360232257</v>
      </c>
      <c r="AV271" s="1">
        <f t="shared" si="38"/>
        <v>0.44165253056941917</v>
      </c>
      <c r="AW271" s="1">
        <f t="shared" si="39"/>
        <v>0.27876040753651571</v>
      </c>
    </row>
    <row r="272" spans="1:49" x14ac:dyDescent="0.2">
      <c r="A272">
        <v>270</v>
      </c>
      <c r="B272" t="s">
        <v>7277</v>
      </c>
      <c r="F272" t="s">
        <v>7276</v>
      </c>
      <c r="G272" t="s">
        <v>9</v>
      </c>
      <c r="H272" t="s">
        <v>8</v>
      </c>
      <c r="I272" t="s">
        <v>7275</v>
      </c>
      <c r="J272">
        <v>60025993</v>
      </c>
      <c r="K272" t="s">
        <v>7274</v>
      </c>
      <c r="L272" t="s">
        <v>280</v>
      </c>
      <c r="M272" t="s">
        <v>42</v>
      </c>
      <c r="N272">
        <v>2</v>
      </c>
      <c r="O272" t="s">
        <v>7273</v>
      </c>
      <c r="P272" t="s">
        <v>7272</v>
      </c>
      <c r="Q272" t="s">
        <v>7271</v>
      </c>
      <c r="R272" s="7">
        <v>36861</v>
      </c>
      <c r="S272" s="8">
        <f t="shared" si="32"/>
        <v>2000</v>
      </c>
      <c r="T272" s="8">
        <v>2000</v>
      </c>
      <c r="U272" s="8">
        <f t="shared" si="33"/>
        <v>22</v>
      </c>
      <c r="V272" s="7">
        <v>2000</v>
      </c>
      <c r="W272" t="s">
        <v>7270</v>
      </c>
      <c r="X272" s="2" t="s">
        <v>0</v>
      </c>
      <c r="Y272" s="6" t="e">
        <f t="shared" si="34"/>
        <v>#VALUE!</v>
      </c>
      <c r="AA272">
        <v>5677505</v>
      </c>
      <c r="AB272">
        <v>86955</v>
      </c>
      <c r="AD272" t="s">
        <v>3</v>
      </c>
      <c r="AE272">
        <v>35</v>
      </c>
      <c r="AF272" s="10">
        <v>44228</v>
      </c>
      <c r="AH272" t="s">
        <v>7269</v>
      </c>
      <c r="AI272" t="s">
        <v>7268</v>
      </c>
      <c r="AJ272" t="s">
        <v>7267</v>
      </c>
      <c r="AK272" t="s">
        <v>7266</v>
      </c>
      <c r="AL272">
        <v>14</v>
      </c>
      <c r="AM272" s="5">
        <f t="shared" si="35"/>
        <v>0.63636363636363635</v>
      </c>
      <c r="AN272" s="4">
        <f t="shared" si="36"/>
        <v>9.6382224364049431E-4</v>
      </c>
      <c r="AO272" s="3"/>
      <c r="AP272">
        <v>0</v>
      </c>
      <c r="AR272" t="s">
        <v>1</v>
      </c>
      <c r="AT272" s="2" t="s">
        <v>0</v>
      </c>
      <c r="AU272" s="1" t="e">
        <f t="shared" si="37"/>
        <v>#VALUE!</v>
      </c>
      <c r="AV272" s="1" t="e">
        <f t="shared" si="38"/>
        <v>#VALUE!</v>
      </c>
      <c r="AW272" s="1" t="e">
        <f t="shared" si="39"/>
        <v>#VALUE!</v>
      </c>
    </row>
    <row r="273" spans="1:49" x14ac:dyDescent="0.2">
      <c r="A273">
        <v>271</v>
      </c>
      <c r="B273" t="s">
        <v>7265</v>
      </c>
      <c r="C273" t="s">
        <v>7264</v>
      </c>
      <c r="D273" t="s">
        <v>7263</v>
      </c>
      <c r="F273" t="s">
        <v>7262</v>
      </c>
      <c r="G273" t="s">
        <v>9</v>
      </c>
      <c r="H273" t="s">
        <v>8</v>
      </c>
      <c r="I273" t="s">
        <v>438</v>
      </c>
      <c r="J273">
        <v>60006819</v>
      </c>
      <c r="K273" t="s">
        <v>430</v>
      </c>
      <c r="L273" t="s">
        <v>429</v>
      </c>
      <c r="M273" t="s">
        <v>5</v>
      </c>
      <c r="N273">
        <v>2</v>
      </c>
      <c r="O273" t="s">
        <v>7261</v>
      </c>
      <c r="P273" t="s">
        <v>7260</v>
      </c>
      <c r="Q273" t="s">
        <v>7259</v>
      </c>
      <c r="R273" s="7">
        <v>36861</v>
      </c>
      <c r="S273" s="8">
        <f t="shared" si="32"/>
        <v>2000</v>
      </c>
      <c r="T273" s="8">
        <v>2000</v>
      </c>
      <c r="U273" s="8">
        <f t="shared" si="33"/>
        <v>22</v>
      </c>
      <c r="V273" s="7">
        <v>2000</v>
      </c>
      <c r="W273" t="s">
        <v>108</v>
      </c>
      <c r="X273" s="2">
        <v>0.998</v>
      </c>
      <c r="Y273" s="6">
        <f t="shared" si="34"/>
        <v>2.664104001494888E-2</v>
      </c>
      <c r="AA273">
        <v>14678039</v>
      </c>
      <c r="AB273">
        <v>19156</v>
      </c>
      <c r="AD273" t="s">
        <v>3</v>
      </c>
      <c r="AE273">
        <v>29</v>
      </c>
      <c r="AF273">
        <v>4</v>
      </c>
      <c r="AH273" t="s">
        <v>7258</v>
      </c>
      <c r="AI273" t="s">
        <v>7257</v>
      </c>
      <c r="AJ273" t="s">
        <v>7256</v>
      </c>
      <c r="AK273" t="s">
        <v>7255</v>
      </c>
      <c r="AL273">
        <v>28</v>
      </c>
      <c r="AM273" s="5">
        <f t="shared" si="35"/>
        <v>1.2727272727272727</v>
      </c>
      <c r="AN273" s="4">
        <f t="shared" si="36"/>
        <v>1.9276444872809886E-3</v>
      </c>
      <c r="AO273" s="3"/>
      <c r="AP273">
        <v>0</v>
      </c>
      <c r="AQ273" t="s">
        <v>210</v>
      </c>
      <c r="AR273" t="s">
        <v>7254</v>
      </c>
      <c r="AS273" t="s">
        <v>209</v>
      </c>
      <c r="AT273" s="2" t="s">
        <v>0</v>
      </c>
      <c r="AU273" s="1">
        <f t="shared" si="37"/>
        <v>1.9227021356648513</v>
      </c>
      <c r="AV273" s="1">
        <f t="shared" si="38"/>
        <v>1.4284342251114934</v>
      </c>
      <c r="AW273" s="1">
        <f t="shared" si="39"/>
        <v>0.93416631455813559</v>
      </c>
    </row>
    <row r="274" spans="1:49" x14ac:dyDescent="0.2">
      <c r="A274">
        <v>272</v>
      </c>
      <c r="B274" t="s">
        <v>7253</v>
      </c>
      <c r="C274" t="s">
        <v>7252</v>
      </c>
      <c r="D274" t="s">
        <v>7251</v>
      </c>
      <c r="F274" t="s">
        <v>7250</v>
      </c>
      <c r="G274" t="s">
        <v>9</v>
      </c>
      <c r="H274" t="s">
        <v>8</v>
      </c>
      <c r="I274" t="s">
        <v>909</v>
      </c>
      <c r="J274" t="s">
        <v>908</v>
      </c>
      <c r="K274" t="s">
        <v>907</v>
      </c>
      <c r="L274" t="s">
        <v>906</v>
      </c>
      <c r="M274" t="s">
        <v>286</v>
      </c>
      <c r="N274">
        <v>4</v>
      </c>
      <c r="O274" t="s">
        <v>905</v>
      </c>
      <c r="P274" t="s">
        <v>904</v>
      </c>
      <c r="Q274" t="s">
        <v>7249</v>
      </c>
      <c r="R274" s="7">
        <v>36861</v>
      </c>
      <c r="S274" s="8">
        <f t="shared" si="32"/>
        <v>2000</v>
      </c>
      <c r="T274" s="8">
        <v>2000</v>
      </c>
      <c r="U274" s="8">
        <f t="shared" si="33"/>
        <v>22</v>
      </c>
      <c r="V274" s="7">
        <v>2000</v>
      </c>
      <c r="W274" t="s">
        <v>297</v>
      </c>
      <c r="X274" s="2">
        <v>1.3720000000000001</v>
      </c>
      <c r="Y274" s="6">
        <f t="shared" si="34"/>
        <v>3.662475641333654E-2</v>
      </c>
      <c r="AA274">
        <v>189480</v>
      </c>
      <c r="AB274">
        <v>17366</v>
      </c>
      <c r="AD274" t="s">
        <v>3</v>
      </c>
      <c r="AE274">
        <v>48</v>
      </c>
      <c r="AF274">
        <v>12</v>
      </c>
      <c r="AH274" t="s">
        <v>7248</v>
      </c>
      <c r="AI274" t="s">
        <v>7247</v>
      </c>
      <c r="AJ274" t="s">
        <v>7246</v>
      </c>
      <c r="AK274" t="s">
        <v>7245</v>
      </c>
      <c r="AL274">
        <v>14</v>
      </c>
      <c r="AM274" s="5">
        <f t="shared" si="35"/>
        <v>0.63636363636363635</v>
      </c>
      <c r="AN274" s="4">
        <f t="shared" si="36"/>
        <v>9.6382224364049431E-4</v>
      </c>
      <c r="AO274" s="3"/>
      <c r="AP274">
        <v>0</v>
      </c>
      <c r="AR274" t="s">
        <v>7244</v>
      </c>
      <c r="AS274" t="s">
        <v>7243</v>
      </c>
      <c r="AT274" s="2" t="s">
        <v>0</v>
      </c>
      <c r="AU274" s="1">
        <f t="shared" si="37"/>
        <v>2.5926476162427723</v>
      </c>
      <c r="AV274" s="1">
        <f t="shared" si="38"/>
        <v>1.8794289328488516</v>
      </c>
      <c r="AW274" s="1">
        <f t="shared" si="39"/>
        <v>1.1662102494549309</v>
      </c>
    </row>
    <row r="275" spans="1:49" x14ac:dyDescent="0.2">
      <c r="A275">
        <v>273</v>
      </c>
      <c r="B275" t="s">
        <v>7242</v>
      </c>
      <c r="C275" t="s">
        <v>7241</v>
      </c>
      <c r="D275" t="s">
        <v>7240</v>
      </c>
      <c r="F275" t="s">
        <v>7239</v>
      </c>
      <c r="G275" t="s">
        <v>9</v>
      </c>
      <c r="H275" t="s">
        <v>8</v>
      </c>
      <c r="I275" t="s">
        <v>7238</v>
      </c>
      <c r="J275">
        <v>60025858</v>
      </c>
      <c r="K275" t="s">
        <v>233</v>
      </c>
      <c r="L275" t="s">
        <v>232</v>
      </c>
      <c r="M275" t="s">
        <v>177</v>
      </c>
      <c r="N275">
        <v>3</v>
      </c>
      <c r="O275" t="s">
        <v>7237</v>
      </c>
      <c r="P275" t="s">
        <v>7236</v>
      </c>
      <c r="Q275" t="s">
        <v>7235</v>
      </c>
      <c r="R275" s="7">
        <v>36861</v>
      </c>
      <c r="S275" s="8">
        <f t="shared" si="32"/>
        <v>2000</v>
      </c>
      <c r="T275" s="8">
        <v>2000</v>
      </c>
      <c r="U275" s="8">
        <f t="shared" si="33"/>
        <v>22</v>
      </c>
      <c r="V275" s="7">
        <v>2000</v>
      </c>
      <c r="W275" t="s">
        <v>297</v>
      </c>
      <c r="X275" s="2">
        <v>1.3720000000000001</v>
      </c>
      <c r="Y275" s="6">
        <f t="shared" si="34"/>
        <v>3.662475641333654E-2</v>
      </c>
      <c r="AA275">
        <v>189480</v>
      </c>
      <c r="AB275">
        <v>17366</v>
      </c>
      <c r="AD275" t="s">
        <v>3</v>
      </c>
      <c r="AE275">
        <v>48</v>
      </c>
      <c r="AF275">
        <v>12</v>
      </c>
      <c r="AH275" t="s">
        <v>7234</v>
      </c>
      <c r="AI275" t="s">
        <v>7233</v>
      </c>
      <c r="AJ275" t="s">
        <v>7232</v>
      </c>
      <c r="AK275" t="s">
        <v>7231</v>
      </c>
      <c r="AL275">
        <v>25</v>
      </c>
      <c r="AM275" s="5">
        <f t="shared" si="35"/>
        <v>1.1363636363636365</v>
      </c>
      <c r="AN275" s="4">
        <f t="shared" si="36"/>
        <v>1.7211111493580257E-3</v>
      </c>
      <c r="AO275" s="3"/>
      <c r="AP275">
        <v>0</v>
      </c>
      <c r="AR275" t="s">
        <v>1</v>
      </c>
      <c r="AT275" s="2" t="s">
        <v>0</v>
      </c>
      <c r="AU275" s="1">
        <f t="shared" si="37"/>
        <v>2.6153662834142986</v>
      </c>
      <c r="AV275" s="1">
        <f t="shared" si="38"/>
        <v>1.9172933781347281</v>
      </c>
      <c r="AW275" s="1">
        <f t="shared" si="39"/>
        <v>1.2192204728551581</v>
      </c>
    </row>
    <row r="276" spans="1:49" x14ac:dyDescent="0.2">
      <c r="A276">
        <v>274</v>
      </c>
      <c r="B276" t="s">
        <v>7230</v>
      </c>
      <c r="C276" t="s">
        <v>7229</v>
      </c>
      <c r="D276" t="s">
        <v>7228</v>
      </c>
      <c r="F276" t="s">
        <v>7227</v>
      </c>
      <c r="G276" t="s">
        <v>9</v>
      </c>
      <c r="H276" t="s">
        <v>8</v>
      </c>
      <c r="I276" t="s">
        <v>7226</v>
      </c>
      <c r="J276">
        <v>60024322</v>
      </c>
      <c r="K276" t="s">
        <v>60</v>
      </c>
      <c r="L276" t="s">
        <v>59</v>
      </c>
      <c r="M276" t="s">
        <v>43</v>
      </c>
      <c r="N276">
        <v>1</v>
      </c>
      <c r="O276" t="s">
        <v>7225</v>
      </c>
      <c r="P276">
        <v>35425650000</v>
      </c>
      <c r="Q276">
        <v>60024322</v>
      </c>
      <c r="R276" s="7">
        <v>36861</v>
      </c>
      <c r="S276" s="8">
        <f t="shared" si="32"/>
        <v>2000</v>
      </c>
      <c r="T276" s="8">
        <v>2000</v>
      </c>
      <c r="U276" s="8">
        <f t="shared" si="33"/>
        <v>22</v>
      </c>
      <c r="V276" s="7">
        <v>2000</v>
      </c>
      <c r="W276" t="s">
        <v>297</v>
      </c>
      <c r="X276" s="2">
        <v>1.3720000000000001</v>
      </c>
      <c r="Y276" s="6">
        <f t="shared" si="34"/>
        <v>3.662475641333654E-2</v>
      </c>
      <c r="AA276">
        <v>189480</v>
      </c>
      <c r="AB276">
        <v>17366</v>
      </c>
      <c r="AD276" t="s">
        <v>3</v>
      </c>
      <c r="AE276">
        <v>48</v>
      </c>
      <c r="AF276">
        <v>12</v>
      </c>
      <c r="AH276" t="s">
        <v>7224</v>
      </c>
      <c r="AI276" t="s">
        <v>7223</v>
      </c>
      <c r="AJ276" t="s">
        <v>7222</v>
      </c>
      <c r="AK276" t="s">
        <v>7221</v>
      </c>
      <c r="AL276">
        <v>68</v>
      </c>
      <c r="AM276" s="5">
        <f t="shared" si="35"/>
        <v>3.0909090909090908</v>
      </c>
      <c r="AN276" s="4">
        <f t="shared" si="36"/>
        <v>4.6814223262538297E-3</v>
      </c>
      <c r="AO276" s="3"/>
      <c r="AP276">
        <v>0</v>
      </c>
      <c r="AR276" t="s">
        <v>1</v>
      </c>
      <c r="AT276" s="2" t="s">
        <v>0</v>
      </c>
      <c r="AU276" s="1">
        <f t="shared" si="37"/>
        <v>2.7041756187211727</v>
      </c>
      <c r="AV276" s="1">
        <f t="shared" si="38"/>
        <v>2.0653089369795183</v>
      </c>
      <c r="AW276" s="1">
        <f t="shared" si="39"/>
        <v>1.4264422552378644</v>
      </c>
    </row>
    <row r="277" spans="1:49" x14ac:dyDescent="0.2">
      <c r="A277">
        <v>275</v>
      </c>
      <c r="B277" t="s">
        <v>7220</v>
      </c>
      <c r="C277" t="s">
        <v>7219</v>
      </c>
      <c r="D277" t="s">
        <v>7218</v>
      </c>
      <c r="F277" t="s">
        <v>7217</v>
      </c>
      <c r="G277" t="s">
        <v>9</v>
      </c>
      <c r="H277" t="s">
        <v>8</v>
      </c>
      <c r="I277" t="s">
        <v>7216</v>
      </c>
      <c r="J277" t="s">
        <v>5534</v>
      </c>
      <c r="K277" t="s">
        <v>5533</v>
      </c>
      <c r="L277" t="s">
        <v>5532</v>
      </c>
      <c r="M277" t="s">
        <v>168</v>
      </c>
      <c r="N277">
        <v>3</v>
      </c>
      <c r="O277" t="s">
        <v>7215</v>
      </c>
      <c r="P277" t="s">
        <v>7214</v>
      </c>
      <c r="Q277" t="s">
        <v>7213</v>
      </c>
      <c r="R277" s="7">
        <v>36861</v>
      </c>
      <c r="S277" s="8">
        <f t="shared" si="32"/>
        <v>2000</v>
      </c>
      <c r="T277" s="8">
        <v>2000</v>
      </c>
      <c r="U277" s="8">
        <f t="shared" si="33"/>
        <v>22</v>
      </c>
      <c r="V277" s="7">
        <v>2000</v>
      </c>
      <c r="W277" t="s">
        <v>297</v>
      </c>
      <c r="X277" s="2">
        <v>1.3720000000000001</v>
      </c>
      <c r="Y277" s="6">
        <f t="shared" si="34"/>
        <v>3.662475641333654E-2</v>
      </c>
      <c r="AA277">
        <v>189480</v>
      </c>
      <c r="AB277">
        <v>17366</v>
      </c>
      <c r="AD277" t="s">
        <v>3</v>
      </c>
      <c r="AE277">
        <v>48</v>
      </c>
      <c r="AF277">
        <v>12</v>
      </c>
      <c r="AH277" t="s">
        <v>7212</v>
      </c>
      <c r="AI277" t="s">
        <v>7211</v>
      </c>
      <c r="AJ277" t="s">
        <v>7210</v>
      </c>
      <c r="AK277" t="s">
        <v>7209</v>
      </c>
      <c r="AL277">
        <v>12</v>
      </c>
      <c r="AM277" s="5">
        <f t="shared" si="35"/>
        <v>0.54545454545454541</v>
      </c>
      <c r="AN277" s="4">
        <f t="shared" si="36"/>
        <v>8.2613335169185224E-4</v>
      </c>
      <c r="AO277" s="3"/>
      <c r="AP277">
        <v>0</v>
      </c>
      <c r="AR277" t="s">
        <v>1</v>
      </c>
      <c r="AT277" s="2" t="s">
        <v>0</v>
      </c>
      <c r="AU277" s="1">
        <f t="shared" si="37"/>
        <v>2.5885169494843132</v>
      </c>
      <c r="AV277" s="1">
        <f t="shared" si="38"/>
        <v>1.8725444882514195</v>
      </c>
      <c r="AW277" s="1">
        <f t="shared" si="39"/>
        <v>1.156572027018526</v>
      </c>
    </row>
    <row r="278" spans="1:49" x14ac:dyDescent="0.2">
      <c r="A278">
        <v>276</v>
      </c>
      <c r="B278" t="s">
        <v>7208</v>
      </c>
      <c r="C278" t="s">
        <v>7207</v>
      </c>
      <c r="D278" t="s">
        <v>7206</v>
      </c>
      <c r="F278" t="s">
        <v>7205</v>
      </c>
      <c r="G278" t="s">
        <v>9</v>
      </c>
      <c r="H278" t="s">
        <v>8</v>
      </c>
      <c r="I278" t="s">
        <v>7204</v>
      </c>
      <c r="J278" t="s">
        <v>7203</v>
      </c>
      <c r="K278" t="s">
        <v>7202</v>
      </c>
      <c r="L278" t="s">
        <v>7201</v>
      </c>
      <c r="M278" t="s">
        <v>7200</v>
      </c>
      <c r="N278">
        <v>14</v>
      </c>
      <c r="O278" t="s">
        <v>7199</v>
      </c>
      <c r="P278" t="s">
        <v>7198</v>
      </c>
      <c r="Q278" t="s">
        <v>7197</v>
      </c>
      <c r="R278" s="7">
        <v>36861</v>
      </c>
      <c r="S278" s="8">
        <f t="shared" si="32"/>
        <v>2000</v>
      </c>
      <c r="T278" s="8">
        <v>2000</v>
      </c>
      <c r="U278" s="8">
        <f t="shared" si="33"/>
        <v>22</v>
      </c>
      <c r="V278" s="7">
        <v>2000</v>
      </c>
      <c r="W278" t="s">
        <v>297</v>
      </c>
      <c r="X278" s="2">
        <v>1.3720000000000001</v>
      </c>
      <c r="Y278" s="6">
        <f t="shared" si="34"/>
        <v>3.662475641333654E-2</v>
      </c>
      <c r="AA278">
        <v>189480</v>
      </c>
      <c r="AB278">
        <v>17366</v>
      </c>
      <c r="AD278" t="s">
        <v>3</v>
      </c>
      <c r="AE278">
        <v>48</v>
      </c>
      <c r="AF278">
        <v>12</v>
      </c>
      <c r="AH278" t="s">
        <v>7196</v>
      </c>
      <c r="AI278" t="s">
        <v>7195</v>
      </c>
      <c r="AJ278" t="s">
        <v>7194</v>
      </c>
      <c r="AK278" t="s">
        <v>7193</v>
      </c>
      <c r="AL278">
        <v>41</v>
      </c>
      <c r="AM278" s="5">
        <f t="shared" si="35"/>
        <v>1.8636363636363635</v>
      </c>
      <c r="AN278" s="4">
        <f t="shared" si="36"/>
        <v>2.8226222849471617E-3</v>
      </c>
      <c r="AO278" s="3"/>
      <c r="AP278">
        <v>0</v>
      </c>
      <c r="AR278" t="s">
        <v>1</v>
      </c>
      <c r="AT278" s="2" t="s">
        <v>0</v>
      </c>
      <c r="AU278" s="1">
        <f t="shared" si="37"/>
        <v>2.6484116174819725</v>
      </c>
      <c r="AV278" s="1">
        <f t="shared" si="38"/>
        <v>1.9723689349141851</v>
      </c>
      <c r="AW278" s="1">
        <f t="shared" si="39"/>
        <v>1.2963262523463974</v>
      </c>
    </row>
    <row r="279" spans="1:49" x14ac:dyDescent="0.2">
      <c r="A279">
        <v>277</v>
      </c>
      <c r="B279" t="s">
        <v>7192</v>
      </c>
      <c r="C279" t="s">
        <v>7191</v>
      </c>
      <c r="D279" t="s">
        <v>7190</v>
      </c>
      <c r="F279" t="s">
        <v>7189</v>
      </c>
      <c r="G279" t="s">
        <v>9</v>
      </c>
      <c r="H279" t="s">
        <v>8</v>
      </c>
      <c r="I279" t="s">
        <v>6882</v>
      </c>
      <c r="J279">
        <v>60026717</v>
      </c>
      <c r="K279" t="s">
        <v>7188</v>
      </c>
      <c r="L279" t="s">
        <v>7187</v>
      </c>
      <c r="M279" t="s">
        <v>5</v>
      </c>
      <c r="N279">
        <v>1</v>
      </c>
      <c r="O279" t="s">
        <v>7186</v>
      </c>
      <c r="P279">
        <v>7003870589</v>
      </c>
      <c r="Q279">
        <v>60026717</v>
      </c>
      <c r="R279" s="7">
        <v>36861</v>
      </c>
      <c r="S279" s="8">
        <f t="shared" si="32"/>
        <v>2000</v>
      </c>
      <c r="T279" s="8">
        <v>2000</v>
      </c>
      <c r="U279" s="8">
        <f t="shared" si="33"/>
        <v>22</v>
      </c>
      <c r="V279" s="7">
        <v>2000</v>
      </c>
      <c r="W279" t="s">
        <v>297</v>
      </c>
      <c r="X279" s="2">
        <v>1.3720000000000001</v>
      </c>
      <c r="Y279" s="6">
        <f t="shared" si="34"/>
        <v>3.662475641333654E-2</v>
      </c>
      <c r="AA279">
        <v>189480</v>
      </c>
      <c r="AB279">
        <v>17366</v>
      </c>
      <c r="AD279" t="s">
        <v>3</v>
      </c>
      <c r="AE279">
        <v>48</v>
      </c>
      <c r="AF279">
        <v>12</v>
      </c>
      <c r="AH279" t="s">
        <v>7185</v>
      </c>
      <c r="AI279" t="s">
        <v>7184</v>
      </c>
      <c r="AJ279" t="s">
        <v>7183</v>
      </c>
      <c r="AK279" t="s">
        <v>7182</v>
      </c>
      <c r="AL279">
        <v>66</v>
      </c>
      <c r="AM279" s="5">
        <f t="shared" si="35"/>
        <v>3</v>
      </c>
      <c r="AN279" s="4">
        <f t="shared" si="36"/>
        <v>4.5437334343051876E-3</v>
      </c>
      <c r="AO279" s="3"/>
      <c r="AP279">
        <v>0</v>
      </c>
      <c r="AQ279" t="s">
        <v>311</v>
      </c>
      <c r="AR279" t="s">
        <v>1</v>
      </c>
      <c r="AS279" t="s">
        <v>310</v>
      </c>
      <c r="AT279" s="2" t="s">
        <v>0</v>
      </c>
      <c r="AU279" s="1">
        <f t="shared" si="37"/>
        <v>2.7000449519627132</v>
      </c>
      <c r="AV279" s="1">
        <f t="shared" si="38"/>
        <v>2.0584244923820867</v>
      </c>
      <c r="AW279" s="1">
        <f t="shared" si="39"/>
        <v>1.4168040328014595</v>
      </c>
    </row>
    <row r="280" spans="1:49" x14ac:dyDescent="0.2">
      <c r="A280">
        <v>278</v>
      </c>
      <c r="B280" t="s">
        <v>7181</v>
      </c>
      <c r="C280" t="s">
        <v>7180</v>
      </c>
      <c r="D280" t="s">
        <v>7179</v>
      </c>
      <c r="F280" t="s">
        <v>7178</v>
      </c>
      <c r="G280" t="s">
        <v>9</v>
      </c>
      <c r="H280" t="s">
        <v>8</v>
      </c>
      <c r="I280" t="s">
        <v>7177</v>
      </c>
      <c r="J280">
        <v>60000221</v>
      </c>
      <c r="K280" t="s">
        <v>831</v>
      </c>
      <c r="L280" t="s">
        <v>61</v>
      </c>
      <c r="M280" t="s">
        <v>5</v>
      </c>
      <c r="N280">
        <v>2</v>
      </c>
      <c r="O280" t="s">
        <v>7176</v>
      </c>
      <c r="P280" t="s">
        <v>7175</v>
      </c>
      <c r="Q280" t="s">
        <v>830</v>
      </c>
      <c r="R280" s="7">
        <v>36861</v>
      </c>
      <c r="S280" s="8">
        <f t="shared" si="32"/>
        <v>2000</v>
      </c>
      <c r="T280" s="8">
        <v>2000</v>
      </c>
      <c r="U280" s="8">
        <f t="shared" si="33"/>
        <v>22</v>
      </c>
      <c r="V280" s="7">
        <v>2000</v>
      </c>
      <c r="W280" t="s">
        <v>297</v>
      </c>
      <c r="X280" s="2">
        <v>1.3720000000000001</v>
      </c>
      <c r="Y280" s="6">
        <f t="shared" si="34"/>
        <v>3.662475641333654E-2</v>
      </c>
      <c r="AA280">
        <v>189480</v>
      </c>
      <c r="AB280">
        <v>17366</v>
      </c>
      <c r="AD280" t="s">
        <v>3</v>
      </c>
      <c r="AE280">
        <v>48</v>
      </c>
      <c r="AF280">
        <v>12</v>
      </c>
      <c r="AH280" t="s">
        <v>7174</v>
      </c>
      <c r="AI280" t="s">
        <v>7173</v>
      </c>
      <c r="AJ280" t="s">
        <v>7172</v>
      </c>
      <c r="AK280" t="s">
        <v>7171</v>
      </c>
      <c r="AL280">
        <v>7</v>
      </c>
      <c r="AM280" s="5">
        <f t="shared" si="35"/>
        <v>0.31818181818181818</v>
      </c>
      <c r="AN280" s="4">
        <f t="shared" si="36"/>
        <v>4.8191112182024716E-4</v>
      </c>
      <c r="AO280" s="3"/>
      <c r="AP280">
        <v>0</v>
      </c>
      <c r="AQ280" t="s">
        <v>476</v>
      </c>
      <c r="AR280" t="s">
        <v>7170</v>
      </c>
      <c r="AS280" t="s">
        <v>475</v>
      </c>
      <c r="AT280" s="2" t="s">
        <v>0</v>
      </c>
      <c r="AU280" s="1">
        <f t="shared" si="37"/>
        <v>2.5781902825881651</v>
      </c>
      <c r="AV280" s="1">
        <f t="shared" si="38"/>
        <v>1.8553333767578395</v>
      </c>
      <c r="AW280" s="1">
        <f t="shared" si="39"/>
        <v>1.1324764709275137</v>
      </c>
    </row>
    <row r="281" spans="1:49" x14ac:dyDescent="0.2">
      <c r="A281">
        <v>279</v>
      </c>
      <c r="B281" t="s">
        <v>7169</v>
      </c>
      <c r="F281" t="s">
        <v>7168</v>
      </c>
      <c r="G281" t="s">
        <v>9</v>
      </c>
      <c r="H281" t="s">
        <v>8</v>
      </c>
      <c r="I281" t="s">
        <v>7167</v>
      </c>
      <c r="J281">
        <v>100315264</v>
      </c>
      <c r="K281" t="s">
        <v>7166</v>
      </c>
      <c r="L281" t="s">
        <v>689</v>
      </c>
      <c r="M281" t="s">
        <v>42</v>
      </c>
      <c r="N281">
        <v>2</v>
      </c>
      <c r="O281" t="s">
        <v>7165</v>
      </c>
      <c r="P281" t="s">
        <v>7164</v>
      </c>
      <c r="Q281" t="s">
        <v>7163</v>
      </c>
      <c r="R281" s="7">
        <v>36861</v>
      </c>
      <c r="S281" s="8">
        <f t="shared" si="32"/>
        <v>2000</v>
      </c>
      <c r="T281" s="8">
        <v>2000</v>
      </c>
      <c r="U281" s="8">
        <f t="shared" si="33"/>
        <v>22</v>
      </c>
      <c r="V281" s="7">
        <v>2000</v>
      </c>
      <c r="W281" t="s">
        <v>7162</v>
      </c>
      <c r="X281" s="2">
        <v>0.29899999999999999</v>
      </c>
      <c r="Y281" s="6">
        <f t="shared" si="34"/>
        <v>7.9816342329355871E-3</v>
      </c>
      <c r="AA281">
        <v>1464116</v>
      </c>
      <c r="AB281">
        <v>24906</v>
      </c>
      <c r="AD281" t="s">
        <v>3</v>
      </c>
      <c r="AE281">
        <v>34</v>
      </c>
      <c r="AF281">
        <v>1</v>
      </c>
      <c r="AH281" t="s">
        <v>662</v>
      </c>
      <c r="AI281" t="s">
        <v>7161</v>
      </c>
      <c r="AK281" t="s">
        <v>7160</v>
      </c>
      <c r="AL281">
        <v>0</v>
      </c>
      <c r="AM281" s="5">
        <f t="shared" si="35"/>
        <v>0</v>
      </c>
      <c r="AN281" s="4">
        <f t="shared" si="36"/>
        <v>0</v>
      </c>
      <c r="AO281" s="3"/>
      <c r="AP281">
        <v>0</v>
      </c>
      <c r="AR281" t="s">
        <v>1</v>
      </c>
      <c r="AT281" s="2" t="s">
        <v>0</v>
      </c>
      <c r="AU281" s="1">
        <f t="shared" si="37"/>
        <v>0.55871439630549102</v>
      </c>
      <c r="AV281" s="1">
        <f t="shared" si="38"/>
        <v>0.39908171164677936</v>
      </c>
      <c r="AW281" s="1">
        <f t="shared" si="39"/>
        <v>0.23944902698806758</v>
      </c>
    </row>
    <row r="282" spans="1:49" x14ac:dyDescent="0.2">
      <c r="A282">
        <v>280</v>
      </c>
      <c r="B282" t="s">
        <v>7159</v>
      </c>
      <c r="C282" t="s">
        <v>7158</v>
      </c>
      <c r="D282" t="s">
        <v>7157</v>
      </c>
      <c r="F282" t="s">
        <v>7156</v>
      </c>
      <c r="G282" t="s">
        <v>9</v>
      </c>
      <c r="H282" t="s">
        <v>8</v>
      </c>
      <c r="I282" t="s">
        <v>559</v>
      </c>
      <c r="J282" t="s">
        <v>7155</v>
      </c>
      <c r="K282" t="s">
        <v>7154</v>
      </c>
      <c r="L282" t="s">
        <v>561</v>
      </c>
      <c r="M282" t="s">
        <v>19</v>
      </c>
      <c r="N282">
        <v>4</v>
      </c>
      <c r="O282" t="s">
        <v>7153</v>
      </c>
      <c r="P282" t="s">
        <v>7152</v>
      </c>
      <c r="Q282" t="s">
        <v>7151</v>
      </c>
      <c r="R282" s="7">
        <v>36861</v>
      </c>
      <c r="S282" s="8">
        <f t="shared" si="32"/>
        <v>2000</v>
      </c>
      <c r="T282" s="8">
        <v>2000</v>
      </c>
      <c r="U282" s="8">
        <f t="shared" si="33"/>
        <v>22</v>
      </c>
      <c r="V282" s="7">
        <v>2000</v>
      </c>
      <c r="W282" t="s">
        <v>300</v>
      </c>
      <c r="X282" s="2">
        <v>2.141</v>
      </c>
      <c r="Y282" s="6">
        <f t="shared" si="34"/>
        <v>5.7152772216438434E-2</v>
      </c>
      <c r="AA282">
        <v>1962892</v>
      </c>
      <c r="AB282">
        <v>17360</v>
      </c>
      <c r="AD282" t="s">
        <v>3</v>
      </c>
      <c r="AE282">
        <v>38</v>
      </c>
      <c r="AF282">
        <v>6</v>
      </c>
      <c r="AH282" t="s">
        <v>7150</v>
      </c>
      <c r="AI282" t="s">
        <v>7149</v>
      </c>
      <c r="AJ282" t="s">
        <v>7148</v>
      </c>
      <c r="AK282" t="s">
        <v>7147</v>
      </c>
      <c r="AL282">
        <v>51</v>
      </c>
      <c r="AM282" s="5">
        <f t="shared" si="35"/>
        <v>2.3181818181818183</v>
      </c>
      <c r="AN282" s="4">
        <f t="shared" si="36"/>
        <v>3.5110667446903725E-3</v>
      </c>
      <c r="AO282" s="3"/>
      <c r="AP282">
        <v>0</v>
      </c>
      <c r="AQ282" t="s">
        <v>311</v>
      </c>
      <c r="AR282" t="s">
        <v>1</v>
      </c>
      <c r="AS282" t="s">
        <v>310</v>
      </c>
      <c r="AT282" s="2" t="s">
        <v>0</v>
      </c>
      <c r="AU282" s="1">
        <f t="shared" si="37"/>
        <v>4.1060260574914009</v>
      </c>
      <c r="AV282" s="1">
        <f t="shared" si="38"/>
        <v>3.0331919480564404</v>
      </c>
      <c r="AW282" s="1">
        <f t="shared" si="39"/>
        <v>1.9603578386214793</v>
      </c>
    </row>
    <row r="283" spans="1:49" x14ac:dyDescent="0.2">
      <c r="A283">
        <v>281</v>
      </c>
      <c r="B283" t="s">
        <v>7146</v>
      </c>
      <c r="C283" t="s">
        <v>7145</v>
      </c>
      <c r="D283" t="s">
        <v>7144</v>
      </c>
      <c r="F283" t="s">
        <v>7143</v>
      </c>
      <c r="G283" t="s">
        <v>9</v>
      </c>
      <c r="H283" t="s">
        <v>8</v>
      </c>
      <c r="I283" t="s">
        <v>7142</v>
      </c>
      <c r="J283">
        <v>60025778</v>
      </c>
      <c r="K283" t="s">
        <v>299</v>
      </c>
      <c r="L283" t="s">
        <v>298</v>
      </c>
      <c r="M283" t="s">
        <v>5</v>
      </c>
      <c r="N283">
        <v>4</v>
      </c>
      <c r="O283" t="s">
        <v>7141</v>
      </c>
      <c r="P283" t="s">
        <v>7140</v>
      </c>
      <c r="Q283" t="s">
        <v>7139</v>
      </c>
      <c r="R283" s="7">
        <v>36861</v>
      </c>
      <c r="S283" s="8">
        <f t="shared" si="32"/>
        <v>2000</v>
      </c>
      <c r="T283" s="8">
        <v>2000</v>
      </c>
      <c r="U283" s="8">
        <f t="shared" si="33"/>
        <v>22</v>
      </c>
      <c r="V283" s="7">
        <v>2000</v>
      </c>
      <c r="W283" t="s">
        <v>300</v>
      </c>
      <c r="X283" s="2">
        <v>2.141</v>
      </c>
      <c r="Y283" s="6">
        <f t="shared" si="34"/>
        <v>5.7152772216438434E-2</v>
      </c>
      <c r="AA283">
        <v>1962892</v>
      </c>
      <c r="AB283">
        <v>17360</v>
      </c>
      <c r="AD283" t="s">
        <v>3</v>
      </c>
      <c r="AE283">
        <v>38</v>
      </c>
      <c r="AF283">
        <v>6</v>
      </c>
      <c r="AH283" t="s">
        <v>7138</v>
      </c>
      <c r="AI283" t="s">
        <v>7137</v>
      </c>
      <c r="AJ283" t="s">
        <v>7136</v>
      </c>
      <c r="AK283" t="s">
        <v>7135</v>
      </c>
      <c r="AL283">
        <v>39</v>
      </c>
      <c r="AM283" s="5">
        <f t="shared" si="35"/>
        <v>1.7727272727272727</v>
      </c>
      <c r="AN283" s="4">
        <f t="shared" si="36"/>
        <v>2.6849333929985196E-3</v>
      </c>
      <c r="AO283" s="3"/>
      <c r="AP283">
        <v>0</v>
      </c>
      <c r="AR283" t="s">
        <v>1</v>
      </c>
      <c r="AT283" s="2" t="s">
        <v>0</v>
      </c>
      <c r="AU283" s="1">
        <f t="shared" si="37"/>
        <v>4.0812420569406456</v>
      </c>
      <c r="AV283" s="1">
        <f t="shared" si="38"/>
        <v>2.9918852804718474</v>
      </c>
      <c r="AW283" s="1">
        <f t="shared" si="39"/>
        <v>1.9025285040030493</v>
      </c>
    </row>
    <row r="284" spans="1:49" x14ac:dyDescent="0.2">
      <c r="A284">
        <v>282</v>
      </c>
      <c r="B284" t="s">
        <v>7134</v>
      </c>
      <c r="C284" t="s">
        <v>7133</v>
      </c>
      <c r="D284" t="s">
        <v>7132</v>
      </c>
      <c r="F284" t="s">
        <v>7131</v>
      </c>
      <c r="G284" t="s">
        <v>9</v>
      </c>
      <c r="H284" t="s">
        <v>8</v>
      </c>
      <c r="I284" t="s">
        <v>7130</v>
      </c>
      <c r="J284" t="s">
        <v>7129</v>
      </c>
      <c r="K284" t="s">
        <v>7128</v>
      </c>
      <c r="L284" t="s">
        <v>7127</v>
      </c>
      <c r="M284" t="s">
        <v>7126</v>
      </c>
      <c r="N284">
        <v>3</v>
      </c>
      <c r="O284" t="s">
        <v>7125</v>
      </c>
      <c r="P284" t="s">
        <v>7124</v>
      </c>
      <c r="Q284" t="s">
        <v>7123</v>
      </c>
      <c r="R284" s="7">
        <v>36861</v>
      </c>
      <c r="S284" s="8">
        <f t="shared" si="32"/>
        <v>2000</v>
      </c>
      <c r="T284" s="8">
        <v>2000</v>
      </c>
      <c r="U284" s="8">
        <f t="shared" si="33"/>
        <v>22</v>
      </c>
      <c r="V284" s="7">
        <v>2000</v>
      </c>
      <c r="W284" t="s">
        <v>291</v>
      </c>
      <c r="X284" s="2">
        <v>1.6519999999999999</v>
      </c>
      <c r="Y284" s="6">
        <f t="shared" si="34"/>
        <v>4.409919649769093E-2</v>
      </c>
      <c r="AA284" t="s">
        <v>290</v>
      </c>
      <c r="AB284">
        <v>17337</v>
      </c>
      <c r="AD284" t="s">
        <v>3</v>
      </c>
      <c r="AE284">
        <v>48</v>
      </c>
      <c r="AF284">
        <v>11</v>
      </c>
      <c r="AH284" t="s">
        <v>7122</v>
      </c>
      <c r="AI284" t="s">
        <v>7121</v>
      </c>
      <c r="AJ284" t="s">
        <v>7120</v>
      </c>
      <c r="AK284" t="s">
        <v>7119</v>
      </c>
      <c r="AL284">
        <v>70</v>
      </c>
      <c r="AM284" s="5">
        <f t="shared" si="35"/>
        <v>3.1818181818181817</v>
      </c>
      <c r="AN284" s="4">
        <f t="shared" si="36"/>
        <v>4.8191112182024709E-3</v>
      </c>
      <c r="AO284" s="3"/>
      <c r="AP284">
        <v>0</v>
      </c>
      <c r="AQ284" t="s">
        <v>364</v>
      </c>
      <c r="AR284" t="s">
        <v>1</v>
      </c>
      <c r="AS284" t="s">
        <v>363</v>
      </c>
      <c r="AT284" s="2" t="s">
        <v>0</v>
      </c>
      <c r="AU284" s="1">
        <f t="shared" si="37"/>
        <v>3.2315170913844393</v>
      </c>
      <c r="AV284" s="1">
        <f t="shared" si="38"/>
        <v>2.4459153857946703</v>
      </c>
      <c r="AW284" s="1">
        <f t="shared" si="39"/>
        <v>1.6603136802049008</v>
      </c>
    </row>
    <row r="285" spans="1:49" x14ac:dyDescent="0.2">
      <c r="A285">
        <v>283</v>
      </c>
      <c r="B285" t="s">
        <v>7118</v>
      </c>
      <c r="C285" t="s">
        <v>7117</v>
      </c>
      <c r="D285" t="s">
        <v>7116</v>
      </c>
      <c r="F285" t="s">
        <v>7115</v>
      </c>
      <c r="G285" t="s">
        <v>9</v>
      </c>
      <c r="H285" t="s">
        <v>8</v>
      </c>
      <c r="I285" t="s">
        <v>7114</v>
      </c>
      <c r="J285" t="s">
        <v>7113</v>
      </c>
      <c r="K285" t="s">
        <v>7112</v>
      </c>
      <c r="L285" t="s">
        <v>7111</v>
      </c>
      <c r="M285" t="s">
        <v>19</v>
      </c>
      <c r="N285">
        <v>3</v>
      </c>
      <c r="O285" t="s">
        <v>7110</v>
      </c>
      <c r="P285" t="s">
        <v>7109</v>
      </c>
      <c r="Q285" t="s">
        <v>7108</v>
      </c>
      <c r="R285" s="7">
        <v>36861</v>
      </c>
      <c r="S285" s="8">
        <f t="shared" si="32"/>
        <v>2000</v>
      </c>
      <c r="T285" s="8">
        <v>2000</v>
      </c>
      <c r="U285" s="8">
        <f t="shared" si="33"/>
        <v>22</v>
      </c>
      <c r="V285" s="7">
        <v>2000</v>
      </c>
      <c r="W285" t="s">
        <v>291</v>
      </c>
      <c r="X285" s="2">
        <v>1.6519999999999999</v>
      </c>
      <c r="Y285" s="6">
        <f t="shared" si="34"/>
        <v>4.409919649769093E-2</v>
      </c>
      <c r="AA285" t="s">
        <v>290</v>
      </c>
      <c r="AB285">
        <v>17337</v>
      </c>
      <c r="AD285" t="s">
        <v>3</v>
      </c>
      <c r="AE285">
        <v>48</v>
      </c>
      <c r="AF285">
        <v>11</v>
      </c>
      <c r="AH285" t="s">
        <v>7107</v>
      </c>
      <c r="AI285" t="s">
        <v>7106</v>
      </c>
      <c r="AJ285" t="s">
        <v>7105</v>
      </c>
      <c r="AK285" t="s">
        <v>7104</v>
      </c>
      <c r="AL285">
        <v>38</v>
      </c>
      <c r="AM285" s="5">
        <f t="shared" si="35"/>
        <v>1.7272727272727273</v>
      </c>
      <c r="AN285" s="4">
        <f t="shared" si="36"/>
        <v>2.616088947024199E-3</v>
      </c>
      <c r="AO285" s="3"/>
      <c r="AP285">
        <v>0</v>
      </c>
      <c r="AQ285" t="s">
        <v>476</v>
      </c>
      <c r="AR285" t="s">
        <v>1</v>
      </c>
      <c r="AS285" t="s">
        <v>475</v>
      </c>
      <c r="AT285" s="2" t="s">
        <v>0</v>
      </c>
      <c r="AU285" s="1">
        <f t="shared" si="37"/>
        <v>3.165426423249091</v>
      </c>
      <c r="AV285" s="1">
        <f t="shared" si="38"/>
        <v>2.3357642722357563</v>
      </c>
      <c r="AW285" s="1">
        <f t="shared" si="39"/>
        <v>1.5061021212224217</v>
      </c>
    </row>
    <row r="286" spans="1:49" x14ac:dyDescent="0.2">
      <c r="A286">
        <v>284</v>
      </c>
      <c r="B286" t="s">
        <v>7103</v>
      </c>
      <c r="C286" t="s">
        <v>7102</v>
      </c>
      <c r="D286" t="s">
        <v>7101</v>
      </c>
      <c r="F286" t="s">
        <v>7100</v>
      </c>
      <c r="G286" t="s">
        <v>9</v>
      </c>
      <c r="H286" t="s">
        <v>8</v>
      </c>
      <c r="I286" t="s">
        <v>6740</v>
      </c>
      <c r="J286" t="s">
        <v>6739</v>
      </c>
      <c r="K286" t="s">
        <v>6738</v>
      </c>
      <c r="L286" t="s">
        <v>6737</v>
      </c>
      <c r="M286" t="s">
        <v>760</v>
      </c>
      <c r="N286">
        <v>3</v>
      </c>
      <c r="O286" t="s">
        <v>7099</v>
      </c>
      <c r="P286" t="s">
        <v>7098</v>
      </c>
      <c r="Q286" t="s">
        <v>7097</v>
      </c>
      <c r="R286" s="7">
        <v>36861</v>
      </c>
      <c r="S286" s="8">
        <f t="shared" si="32"/>
        <v>2000</v>
      </c>
      <c r="T286" s="8">
        <v>2000</v>
      </c>
      <c r="U286" s="8">
        <f t="shared" si="33"/>
        <v>22</v>
      </c>
      <c r="V286" s="7">
        <v>2000</v>
      </c>
      <c r="W286" t="s">
        <v>291</v>
      </c>
      <c r="X286" s="2">
        <v>1.6519999999999999</v>
      </c>
      <c r="Y286" s="6">
        <f t="shared" si="34"/>
        <v>4.409919649769093E-2</v>
      </c>
      <c r="AA286" t="s">
        <v>290</v>
      </c>
      <c r="AB286">
        <v>17337</v>
      </c>
      <c r="AD286" t="s">
        <v>3</v>
      </c>
      <c r="AE286">
        <v>48</v>
      </c>
      <c r="AF286">
        <v>11</v>
      </c>
      <c r="AH286" t="s">
        <v>7096</v>
      </c>
      <c r="AI286" t="s">
        <v>7095</v>
      </c>
      <c r="AJ286" t="s">
        <v>7094</v>
      </c>
      <c r="AK286" t="s">
        <v>7093</v>
      </c>
      <c r="AL286">
        <v>348</v>
      </c>
      <c r="AM286" s="5">
        <f t="shared" si="35"/>
        <v>15.818181818181818</v>
      </c>
      <c r="AN286" s="4">
        <f t="shared" si="36"/>
        <v>2.3957867199063714E-2</v>
      </c>
      <c r="AO286" s="3"/>
      <c r="AP286">
        <v>0</v>
      </c>
      <c r="AQ286" t="s">
        <v>36</v>
      </c>
      <c r="AR286" t="s">
        <v>6729</v>
      </c>
      <c r="AS286" t="s">
        <v>35</v>
      </c>
      <c r="AT286" s="2" t="s">
        <v>0</v>
      </c>
      <c r="AU286" s="1">
        <f t="shared" si="37"/>
        <v>3.8056797708102765</v>
      </c>
      <c r="AV286" s="1">
        <f t="shared" si="38"/>
        <v>3.4028531848377321</v>
      </c>
      <c r="AW286" s="1">
        <f t="shared" si="39"/>
        <v>3.0000265988651873</v>
      </c>
    </row>
    <row r="287" spans="1:49" x14ac:dyDescent="0.2">
      <c r="A287">
        <v>285</v>
      </c>
      <c r="B287" t="s">
        <v>7092</v>
      </c>
      <c r="C287" t="s">
        <v>7091</v>
      </c>
      <c r="D287" t="s">
        <v>7090</v>
      </c>
      <c r="F287" t="s">
        <v>7089</v>
      </c>
      <c r="G287" t="s">
        <v>9</v>
      </c>
      <c r="H287" t="s">
        <v>8</v>
      </c>
      <c r="I287" t="s">
        <v>7088</v>
      </c>
      <c r="J287">
        <v>60025778</v>
      </c>
      <c r="K287" t="s">
        <v>299</v>
      </c>
      <c r="L287" t="s">
        <v>298</v>
      </c>
      <c r="M287" t="s">
        <v>5</v>
      </c>
      <c r="N287">
        <v>3</v>
      </c>
      <c r="O287" t="s">
        <v>7087</v>
      </c>
      <c r="P287" t="s">
        <v>7086</v>
      </c>
      <c r="Q287" t="s">
        <v>460</v>
      </c>
      <c r="R287" s="7">
        <v>36861</v>
      </c>
      <c r="S287" s="8">
        <f t="shared" si="32"/>
        <v>2000</v>
      </c>
      <c r="T287" s="8">
        <v>2000</v>
      </c>
      <c r="U287" s="8">
        <f t="shared" si="33"/>
        <v>22</v>
      </c>
      <c r="V287" s="7">
        <v>2000</v>
      </c>
      <c r="W287" t="s">
        <v>291</v>
      </c>
      <c r="X287" s="2">
        <v>1.6519999999999999</v>
      </c>
      <c r="Y287" s="6">
        <f t="shared" si="34"/>
        <v>4.409919649769093E-2</v>
      </c>
      <c r="AA287" t="s">
        <v>290</v>
      </c>
      <c r="AB287">
        <v>17337</v>
      </c>
      <c r="AD287" t="s">
        <v>3</v>
      </c>
      <c r="AE287">
        <v>48</v>
      </c>
      <c r="AF287">
        <v>11</v>
      </c>
      <c r="AH287" t="s">
        <v>7085</v>
      </c>
      <c r="AI287" t="s">
        <v>7084</v>
      </c>
      <c r="AJ287" t="s">
        <v>7083</v>
      </c>
      <c r="AK287" t="s">
        <v>7082</v>
      </c>
      <c r="AL287">
        <v>2</v>
      </c>
      <c r="AM287" s="5">
        <f t="shared" si="35"/>
        <v>9.0909090909090912E-2</v>
      </c>
      <c r="AN287" s="4">
        <f t="shared" si="36"/>
        <v>1.3768889194864205E-4</v>
      </c>
      <c r="AO287" s="3"/>
      <c r="AP287">
        <v>0</v>
      </c>
      <c r="AR287" t="s">
        <v>1</v>
      </c>
      <c r="AT287" s="2" t="s">
        <v>0</v>
      </c>
      <c r="AU287" s="1">
        <f t="shared" si="37"/>
        <v>3.0910744215968244</v>
      </c>
      <c r="AV287" s="1">
        <f t="shared" si="38"/>
        <v>2.2118442694819787</v>
      </c>
      <c r="AW287" s="1">
        <f t="shared" si="39"/>
        <v>1.3326141173671326</v>
      </c>
    </row>
    <row r="288" spans="1:49" x14ac:dyDescent="0.2">
      <c r="A288">
        <v>286</v>
      </c>
      <c r="B288" t="s">
        <v>7081</v>
      </c>
      <c r="C288" t="s">
        <v>7080</v>
      </c>
      <c r="D288" t="s">
        <v>7079</v>
      </c>
      <c r="F288" t="s">
        <v>7078</v>
      </c>
      <c r="G288" t="s">
        <v>9</v>
      </c>
      <c r="H288" t="s">
        <v>8</v>
      </c>
      <c r="I288" t="s">
        <v>230</v>
      </c>
      <c r="J288" t="s">
        <v>7077</v>
      </c>
      <c r="K288" t="s">
        <v>7076</v>
      </c>
      <c r="L288" t="s">
        <v>7075</v>
      </c>
      <c r="M288" t="s">
        <v>617</v>
      </c>
      <c r="N288">
        <v>1</v>
      </c>
      <c r="O288" t="s">
        <v>229</v>
      </c>
      <c r="P288">
        <v>7102492958</v>
      </c>
      <c r="Q288" t="s">
        <v>7074</v>
      </c>
      <c r="R288" s="7">
        <v>36861</v>
      </c>
      <c r="S288" s="8">
        <f t="shared" si="32"/>
        <v>2000</v>
      </c>
      <c r="T288" s="8">
        <v>2000</v>
      </c>
      <c r="U288" s="8">
        <f t="shared" si="33"/>
        <v>22</v>
      </c>
      <c r="V288" s="7">
        <v>2000</v>
      </c>
      <c r="W288" t="s">
        <v>291</v>
      </c>
      <c r="X288" s="2">
        <v>1.6519999999999999</v>
      </c>
      <c r="Y288" s="6">
        <f t="shared" si="34"/>
        <v>4.409919649769093E-2</v>
      </c>
      <c r="AA288" t="s">
        <v>290</v>
      </c>
      <c r="AB288">
        <v>17337</v>
      </c>
      <c r="AD288" t="s">
        <v>3</v>
      </c>
      <c r="AE288">
        <v>48</v>
      </c>
      <c r="AF288">
        <v>11</v>
      </c>
      <c r="AH288" t="s">
        <v>7073</v>
      </c>
      <c r="AI288" t="s">
        <v>7072</v>
      </c>
      <c r="AJ288" t="s">
        <v>7071</v>
      </c>
      <c r="AK288" t="s">
        <v>7070</v>
      </c>
      <c r="AL288">
        <v>0</v>
      </c>
      <c r="AM288" s="5">
        <f t="shared" si="35"/>
        <v>0</v>
      </c>
      <c r="AN288" s="4">
        <f t="shared" si="36"/>
        <v>0</v>
      </c>
      <c r="AO288" s="3"/>
      <c r="AP288">
        <v>0</v>
      </c>
      <c r="AR288" t="s">
        <v>1</v>
      </c>
      <c r="AT288" s="2" t="s">
        <v>0</v>
      </c>
      <c r="AU288" s="1">
        <f t="shared" si="37"/>
        <v>3.0869437548383649</v>
      </c>
      <c r="AV288" s="1">
        <f t="shared" si="38"/>
        <v>2.2049598248845466</v>
      </c>
      <c r="AW288" s="1">
        <f t="shared" si="39"/>
        <v>1.3229758949307278</v>
      </c>
    </row>
    <row r="289" spans="1:49" x14ac:dyDescent="0.2">
      <c r="A289">
        <v>287</v>
      </c>
      <c r="B289" t="s">
        <v>7069</v>
      </c>
      <c r="C289" t="s">
        <v>7068</v>
      </c>
      <c r="D289" t="s">
        <v>7067</v>
      </c>
      <c r="F289" t="s">
        <v>7066</v>
      </c>
      <c r="G289" t="s">
        <v>9</v>
      </c>
      <c r="H289" t="s">
        <v>8</v>
      </c>
      <c r="I289" t="s">
        <v>7065</v>
      </c>
      <c r="J289" t="s">
        <v>376</v>
      </c>
      <c r="K289" t="s">
        <v>375</v>
      </c>
      <c r="L289" t="s">
        <v>374</v>
      </c>
      <c r="M289" t="s">
        <v>373</v>
      </c>
      <c r="N289">
        <v>1</v>
      </c>
      <c r="O289" t="s">
        <v>7064</v>
      </c>
      <c r="P289">
        <v>7103382303</v>
      </c>
      <c r="Q289" t="s">
        <v>7063</v>
      </c>
      <c r="R289" s="7">
        <v>36861</v>
      </c>
      <c r="S289" s="8">
        <f t="shared" si="32"/>
        <v>2000</v>
      </c>
      <c r="T289" s="8">
        <v>2000</v>
      </c>
      <c r="U289" s="8">
        <f t="shared" si="33"/>
        <v>22</v>
      </c>
      <c r="V289" s="7">
        <v>2000</v>
      </c>
      <c r="W289" t="s">
        <v>289</v>
      </c>
      <c r="X289" s="2">
        <v>0.65500000000000003</v>
      </c>
      <c r="Y289" s="6">
        <f t="shared" si="34"/>
        <v>1.7484850911614749E-2</v>
      </c>
      <c r="AA289">
        <v>189375</v>
      </c>
      <c r="AB289">
        <v>26051</v>
      </c>
      <c r="AD289" t="s">
        <v>3</v>
      </c>
      <c r="AE289">
        <v>42</v>
      </c>
      <c r="AF289">
        <v>4</v>
      </c>
      <c r="AH289" t="s">
        <v>7062</v>
      </c>
      <c r="AI289" t="s">
        <v>7061</v>
      </c>
      <c r="AJ289" t="s">
        <v>7060</v>
      </c>
      <c r="AK289" t="s">
        <v>7059</v>
      </c>
      <c r="AL289">
        <v>0</v>
      </c>
      <c r="AM289" s="5">
        <f t="shared" si="35"/>
        <v>0</v>
      </c>
      <c r="AN289" s="4">
        <f t="shared" si="36"/>
        <v>0</v>
      </c>
      <c r="AO289" s="3"/>
      <c r="AP289">
        <v>0</v>
      </c>
      <c r="AQ289" t="s">
        <v>332</v>
      </c>
      <c r="AR289" t="s">
        <v>7058</v>
      </c>
      <c r="AS289" t="s">
        <v>331</v>
      </c>
      <c r="AT289" s="2" t="s">
        <v>0</v>
      </c>
      <c r="AU289" s="1">
        <f t="shared" si="37"/>
        <v>1.2239395638130324</v>
      </c>
      <c r="AV289" s="1">
        <f t="shared" si="38"/>
        <v>0.87424254558073744</v>
      </c>
      <c r="AW289" s="1">
        <f t="shared" si="39"/>
        <v>0.52454552734844251</v>
      </c>
    </row>
    <row r="290" spans="1:49" x14ac:dyDescent="0.2">
      <c r="A290">
        <v>288</v>
      </c>
      <c r="B290" t="s">
        <v>7057</v>
      </c>
      <c r="C290" t="s">
        <v>7056</v>
      </c>
      <c r="F290" t="s">
        <v>7055</v>
      </c>
      <c r="G290" t="s">
        <v>9</v>
      </c>
      <c r="H290" t="s">
        <v>8</v>
      </c>
      <c r="I290" t="s">
        <v>7054</v>
      </c>
      <c r="J290">
        <v>60033284</v>
      </c>
      <c r="K290" t="s">
        <v>7053</v>
      </c>
      <c r="L290" t="s">
        <v>7052</v>
      </c>
      <c r="M290" t="s">
        <v>109</v>
      </c>
      <c r="N290">
        <v>2</v>
      </c>
      <c r="O290" t="s">
        <v>7051</v>
      </c>
      <c r="P290" t="s">
        <v>7050</v>
      </c>
      <c r="Q290" t="s">
        <v>7049</v>
      </c>
      <c r="R290" s="7">
        <v>36861</v>
      </c>
      <c r="S290" s="8">
        <f t="shared" si="32"/>
        <v>2000</v>
      </c>
      <c r="T290" s="8">
        <v>2000</v>
      </c>
      <c r="U290" s="8">
        <f t="shared" si="33"/>
        <v>22</v>
      </c>
      <c r="V290" s="7">
        <v>2000</v>
      </c>
      <c r="W290" t="s">
        <v>297</v>
      </c>
      <c r="X290" s="2">
        <v>1.3720000000000001</v>
      </c>
      <c r="Y290" s="6">
        <f t="shared" si="34"/>
        <v>3.662475641333654E-2</v>
      </c>
      <c r="AA290">
        <v>189480</v>
      </c>
      <c r="AB290">
        <v>17366</v>
      </c>
      <c r="AD290" t="s">
        <v>3</v>
      </c>
      <c r="AE290">
        <v>48</v>
      </c>
      <c r="AF290">
        <v>10</v>
      </c>
      <c r="AH290" t="s">
        <v>7048</v>
      </c>
      <c r="AI290" t="s">
        <v>7047</v>
      </c>
      <c r="AJ290" t="s">
        <v>7046</v>
      </c>
      <c r="AK290" t="s">
        <v>7045</v>
      </c>
      <c r="AL290">
        <v>17</v>
      </c>
      <c r="AM290" s="5">
        <f t="shared" si="35"/>
        <v>0.77272727272727271</v>
      </c>
      <c r="AN290" s="4">
        <f t="shared" si="36"/>
        <v>1.1703555815634574E-3</v>
      </c>
      <c r="AO290" s="3"/>
      <c r="AP290">
        <v>0</v>
      </c>
      <c r="AQ290" t="s">
        <v>6635</v>
      </c>
      <c r="AR290" t="s">
        <v>7044</v>
      </c>
      <c r="AS290" t="s">
        <v>6633</v>
      </c>
      <c r="AT290" s="2" t="s">
        <v>0</v>
      </c>
      <c r="AU290" s="1">
        <f t="shared" si="37"/>
        <v>2.5988436163804614</v>
      </c>
      <c r="AV290" s="1">
        <f t="shared" si="38"/>
        <v>1.8897555997449997</v>
      </c>
      <c r="AW290" s="1">
        <f t="shared" si="39"/>
        <v>1.1806675831095383</v>
      </c>
    </row>
    <row r="291" spans="1:49" x14ac:dyDescent="0.2">
      <c r="A291">
        <v>289</v>
      </c>
      <c r="B291" t="s">
        <v>7043</v>
      </c>
      <c r="C291" t="s">
        <v>7042</v>
      </c>
      <c r="D291" t="s">
        <v>7041</v>
      </c>
      <c r="F291" t="s">
        <v>7040</v>
      </c>
      <c r="G291" t="s">
        <v>9</v>
      </c>
      <c r="H291" t="s">
        <v>8</v>
      </c>
      <c r="I291" t="s">
        <v>7039</v>
      </c>
      <c r="J291">
        <v>60030482</v>
      </c>
      <c r="K291" t="s">
        <v>7038</v>
      </c>
      <c r="L291" t="s">
        <v>7037</v>
      </c>
      <c r="M291" t="s">
        <v>251</v>
      </c>
      <c r="N291">
        <v>2</v>
      </c>
      <c r="O291" t="s">
        <v>7036</v>
      </c>
      <c r="P291" t="s">
        <v>7035</v>
      </c>
      <c r="Q291" t="s">
        <v>7034</v>
      </c>
      <c r="R291" s="7">
        <v>36861</v>
      </c>
      <c r="S291" s="8">
        <f t="shared" si="32"/>
        <v>2000</v>
      </c>
      <c r="T291" s="8">
        <v>2000</v>
      </c>
      <c r="U291" s="8">
        <f t="shared" si="33"/>
        <v>22</v>
      </c>
      <c r="V291" s="7">
        <v>2000</v>
      </c>
      <c r="W291" t="s">
        <v>297</v>
      </c>
      <c r="X291" s="2">
        <v>1.3720000000000001</v>
      </c>
      <c r="Y291" s="6">
        <f t="shared" si="34"/>
        <v>3.662475641333654E-2</v>
      </c>
      <c r="AA291">
        <v>189480</v>
      </c>
      <c r="AB291">
        <v>17366</v>
      </c>
      <c r="AD291" t="s">
        <v>3</v>
      </c>
      <c r="AE291">
        <v>48</v>
      </c>
      <c r="AF291">
        <v>10</v>
      </c>
      <c r="AH291" t="s">
        <v>7033</v>
      </c>
      <c r="AI291" t="s">
        <v>7032</v>
      </c>
      <c r="AJ291" t="s">
        <v>7031</v>
      </c>
      <c r="AK291" t="s">
        <v>7030</v>
      </c>
      <c r="AL291">
        <v>9</v>
      </c>
      <c r="AM291" s="5">
        <f t="shared" si="35"/>
        <v>0.40909090909090912</v>
      </c>
      <c r="AN291" s="4">
        <f t="shared" si="36"/>
        <v>6.1960001376888923E-4</v>
      </c>
      <c r="AO291" s="3"/>
      <c r="AP291">
        <v>0</v>
      </c>
      <c r="AR291" t="s">
        <v>1</v>
      </c>
      <c r="AT291" s="2" t="s">
        <v>0</v>
      </c>
      <c r="AU291" s="1">
        <f t="shared" si="37"/>
        <v>2.5823209493466242</v>
      </c>
      <c r="AV291" s="1">
        <f t="shared" si="38"/>
        <v>1.8622178213552714</v>
      </c>
      <c r="AW291" s="1">
        <f t="shared" si="39"/>
        <v>1.1421146933639186</v>
      </c>
    </row>
    <row r="292" spans="1:49" x14ac:dyDescent="0.2">
      <c r="A292">
        <v>290</v>
      </c>
      <c r="B292" t="s">
        <v>7029</v>
      </c>
      <c r="C292" t="s">
        <v>7028</v>
      </c>
      <c r="D292" t="s">
        <v>7027</v>
      </c>
      <c r="F292" t="s">
        <v>7026</v>
      </c>
      <c r="G292" t="s">
        <v>9</v>
      </c>
      <c r="H292" t="s">
        <v>8</v>
      </c>
      <c r="I292" t="s">
        <v>7025</v>
      </c>
      <c r="J292">
        <v>60032350</v>
      </c>
      <c r="K292" t="s">
        <v>487</v>
      </c>
      <c r="L292" t="s">
        <v>169</v>
      </c>
      <c r="M292" t="s">
        <v>53</v>
      </c>
      <c r="N292">
        <v>5</v>
      </c>
      <c r="O292" t="s">
        <v>7024</v>
      </c>
      <c r="P292" t="s">
        <v>7023</v>
      </c>
      <c r="Q292" t="s">
        <v>7022</v>
      </c>
      <c r="R292" s="7">
        <v>36861</v>
      </c>
      <c r="S292" s="8">
        <f t="shared" si="32"/>
        <v>2000</v>
      </c>
      <c r="T292" s="8">
        <v>2000</v>
      </c>
      <c r="U292" s="8">
        <f t="shared" si="33"/>
        <v>22</v>
      </c>
      <c r="V292" s="7">
        <v>2000</v>
      </c>
      <c r="W292" t="s">
        <v>297</v>
      </c>
      <c r="X292" s="2">
        <v>1.3720000000000001</v>
      </c>
      <c r="Y292" s="6">
        <f t="shared" si="34"/>
        <v>3.662475641333654E-2</v>
      </c>
      <c r="AA292">
        <v>189480</v>
      </c>
      <c r="AB292">
        <v>17366</v>
      </c>
      <c r="AD292" t="s">
        <v>3</v>
      </c>
      <c r="AE292">
        <v>48</v>
      </c>
      <c r="AF292">
        <v>10</v>
      </c>
      <c r="AH292" t="s">
        <v>7021</v>
      </c>
      <c r="AI292" t="s">
        <v>7020</v>
      </c>
      <c r="AJ292" t="s">
        <v>7019</v>
      </c>
      <c r="AK292" t="s">
        <v>7018</v>
      </c>
      <c r="AL292">
        <v>1</v>
      </c>
      <c r="AM292" s="5">
        <f t="shared" si="35"/>
        <v>4.5454545454545456E-2</v>
      </c>
      <c r="AN292" s="4">
        <f t="shared" si="36"/>
        <v>6.8844445974321024E-5</v>
      </c>
      <c r="AO292" s="3"/>
      <c r="AP292">
        <v>0</v>
      </c>
      <c r="AR292" t="s">
        <v>1</v>
      </c>
      <c r="AT292" s="2" t="s">
        <v>0</v>
      </c>
      <c r="AU292" s="1">
        <f t="shared" si="37"/>
        <v>2.5657982823127869</v>
      </c>
      <c r="AV292" s="1">
        <f t="shared" si="38"/>
        <v>1.834680042965543</v>
      </c>
      <c r="AW292" s="1">
        <f t="shared" si="39"/>
        <v>1.1035618036182988</v>
      </c>
    </row>
    <row r="293" spans="1:49" x14ac:dyDescent="0.2">
      <c r="A293">
        <v>291</v>
      </c>
      <c r="B293" t="s">
        <v>7017</v>
      </c>
      <c r="C293" t="s">
        <v>7016</v>
      </c>
      <c r="D293" t="s">
        <v>7015</v>
      </c>
      <c r="F293" t="s">
        <v>7014</v>
      </c>
      <c r="G293" t="s">
        <v>9</v>
      </c>
      <c r="H293" t="s">
        <v>8</v>
      </c>
      <c r="I293" t="s">
        <v>7013</v>
      </c>
      <c r="J293">
        <v>60031581</v>
      </c>
      <c r="K293" t="s">
        <v>3530</v>
      </c>
      <c r="L293" t="s">
        <v>312</v>
      </c>
      <c r="M293" t="s">
        <v>5</v>
      </c>
      <c r="N293">
        <v>2</v>
      </c>
      <c r="O293" t="s">
        <v>7012</v>
      </c>
      <c r="P293" t="s">
        <v>7011</v>
      </c>
      <c r="Q293" t="s">
        <v>7010</v>
      </c>
      <c r="R293" s="7">
        <v>36861</v>
      </c>
      <c r="S293" s="8">
        <f t="shared" si="32"/>
        <v>2000</v>
      </c>
      <c r="T293" s="8">
        <v>2000</v>
      </c>
      <c r="U293" s="8">
        <f t="shared" si="33"/>
        <v>22</v>
      </c>
      <c r="V293" s="7">
        <v>2000</v>
      </c>
      <c r="W293" t="s">
        <v>297</v>
      </c>
      <c r="X293" s="2">
        <v>1.3720000000000001</v>
      </c>
      <c r="Y293" s="6">
        <f t="shared" si="34"/>
        <v>3.662475641333654E-2</v>
      </c>
      <c r="AA293">
        <v>189480</v>
      </c>
      <c r="AB293">
        <v>17366</v>
      </c>
      <c r="AD293" t="s">
        <v>3</v>
      </c>
      <c r="AE293">
        <v>48</v>
      </c>
      <c r="AF293">
        <v>10</v>
      </c>
      <c r="AH293" t="s">
        <v>7009</v>
      </c>
      <c r="AI293" t="s">
        <v>7008</v>
      </c>
      <c r="AJ293" t="s">
        <v>7007</v>
      </c>
      <c r="AK293" t="s">
        <v>7006</v>
      </c>
      <c r="AL293">
        <v>17</v>
      </c>
      <c r="AM293" s="5">
        <f t="shared" si="35"/>
        <v>0.77272727272727271</v>
      </c>
      <c r="AN293" s="4">
        <f t="shared" si="36"/>
        <v>1.1703555815634574E-3</v>
      </c>
      <c r="AO293" s="3"/>
      <c r="AP293">
        <v>0</v>
      </c>
      <c r="AQ293" t="s">
        <v>210</v>
      </c>
      <c r="AR293" t="s">
        <v>7005</v>
      </c>
      <c r="AS293" t="s">
        <v>209</v>
      </c>
      <c r="AT293" s="2" t="s">
        <v>0</v>
      </c>
      <c r="AU293" s="1">
        <f t="shared" si="37"/>
        <v>2.5988436163804614</v>
      </c>
      <c r="AV293" s="1">
        <f t="shared" si="38"/>
        <v>1.8897555997449997</v>
      </c>
      <c r="AW293" s="1">
        <f t="shared" si="39"/>
        <v>1.1806675831095383</v>
      </c>
    </row>
    <row r="294" spans="1:49" x14ac:dyDescent="0.2">
      <c r="A294">
        <v>292</v>
      </c>
      <c r="B294" t="s">
        <v>7004</v>
      </c>
      <c r="C294" t="s">
        <v>7003</v>
      </c>
      <c r="F294" t="s">
        <v>7002</v>
      </c>
      <c r="G294" t="s">
        <v>9</v>
      </c>
      <c r="H294" t="s">
        <v>8</v>
      </c>
      <c r="I294" t="s">
        <v>4798</v>
      </c>
      <c r="J294">
        <v>60001439</v>
      </c>
      <c r="K294" t="s">
        <v>120</v>
      </c>
      <c r="L294" t="s">
        <v>119</v>
      </c>
      <c r="M294" t="s">
        <v>5</v>
      </c>
      <c r="N294">
        <v>2</v>
      </c>
      <c r="O294" t="s">
        <v>4797</v>
      </c>
      <c r="P294" t="s">
        <v>4796</v>
      </c>
      <c r="Q294" t="s">
        <v>118</v>
      </c>
      <c r="R294" s="7">
        <v>36861</v>
      </c>
      <c r="S294" s="8">
        <f t="shared" si="32"/>
        <v>2000</v>
      </c>
      <c r="T294" s="8">
        <v>2000</v>
      </c>
      <c r="U294" s="8">
        <f t="shared" si="33"/>
        <v>22</v>
      </c>
      <c r="V294" s="7">
        <v>2000</v>
      </c>
      <c r="W294" t="s">
        <v>473</v>
      </c>
      <c r="X294" s="2">
        <v>0.88100000000000001</v>
      </c>
      <c r="Y294" s="6">
        <f t="shared" si="34"/>
        <v>2.3517791836843653E-2</v>
      </c>
      <c r="AA294">
        <v>10459243</v>
      </c>
      <c r="AB294">
        <v>17248</v>
      </c>
      <c r="AD294" t="s">
        <v>3</v>
      </c>
      <c r="AE294">
        <v>42</v>
      </c>
      <c r="AF294">
        <v>5</v>
      </c>
      <c r="AH294" t="s">
        <v>724</v>
      </c>
      <c r="AI294" t="s">
        <v>7001</v>
      </c>
      <c r="AJ294" t="s">
        <v>7000</v>
      </c>
      <c r="AK294" t="s">
        <v>6999</v>
      </c>
      <c r="AL294">
        <v>98</v>
      </c>
      <c r="AM294" s="5">
        <f t="shared" si="35"/>
        <v>4.4545454545454541</v>
      </c>
      <c r="AN294" s="4">
        <f t="shared" si="36"/>
        <v>6.7467557054834591E-3</v>
      </c>
      <c r="AO294" s="3"/>
      <c r="AP294">
        <v>0</v>
      </c>
      <c r="AR294" t="s">
        <v>1</v>
      </c>
      <c r="AT294" s="2" t="s">
        <v>0</v>
      </c>
      <c r="AU294" s="1">
        <f t="shared" si="37"/>
        <v>1.8486480997435593</v>
      </c>
      <c r="AV294" s="1">
        <f t="shared" si="38"/>
        <v>1.5132273771163556</v>
      </c>
      <c r="AW294" s="1">
        <f t="shared" si="39"/>
        <v>1.1778066544891517</v>
      </c>
    </row>
    <row r="295" spans="1:49" x14ac:dyDescent="0.2">
      <c r="A295">
        <v>293</v>
      </c>
      <c r="B295" t="s">
        <v>6998</v>
      </c>
      <c r="C295" t="s">
        <v>6997</v>
      </c>
      <c r="D295" t="s">
        <v>6996</v>
      </c>
      <c r="F295" t="s">
        <v>6995</v>
      </c>
      <c r="G295" t="s">
        <v>9</v>
      </c>
      <c r="H295" t="s">
        <v>8</v>
      </c>
      <c r="I295" t="s">
        <v>6994</v>
      </c>
      <c r="J295">
        <v>60033041</v>
      </c>
      <c r="K295" t="s">
        <v>679</v>
      </c>
      <c r="L295" t="s">
        <v>678</v>
      </c>
      <c r="M295" t="s">
        <v>677</v>
      </c>
      <c r="N295">
        <v>2</v>
      </c>
      <c r="O295" t="s">
        <v>6993</v>
      </c>
      <c r="P295" t="s">
        <v>6992</v>
      </c>
      <c r="Q295" t="s">
        <v>676</v>
      </c>
      <c r="R295" s="7">
        <v>36861</v>
      </c>
      <c r="S295" s="8">
        <f t="shared" si="32"/>
        <v>2000</v>
      </c>
      <c r="T295" s="8">
        <v>2000</v>
      </c>
      <c r="U295" s="8">
        <f t="shared" si="33"/>
        <v>22</v>
      </c>
      <c r="V295" s="7">
        <v>2000</v>
      </c>
      <c r="W295" t="s">
        <v>221</v>
      </c>
      <c r="X295" s="2">
        <v>1.365</v>
      </c>
      <c r="Y295" s="6">
        <f t="shared" si="34"/>
        <v>3.6437895411227675E-2</v>
      </c>
      <c r="AA295">
        <v>189545</v>
      </c>
      <c r="AB295">
        <v>17393</v>
      </c>
      <c r="AD295" t="s">
        <v>3</v>
      </c>
      <c r="AE295">
        <v>49</v>
      </c>
      <c r="AF295">
        <v>5</v>
      </c>
      <c r="AH295" t="s">
        <v>6991</v>
      </c>
      <c r="AI295" t="s">
        <v>6990</v>
      </c>
      <c r="AJ295" t="s">
        <v>6989</v>
      </c>
      <c r="AK295" t="s">
        <v>6988</v>
      </c>
      <c r="AL295">
        <v>46</v>
      </c>
      <c r="AM295" s="5">
        <f t="shared" si="35"/>
        <v>2.0909090909090908</v>
      </c>
      <c r="AN295" s="4">
        <f t="shared" si="36"/>
        <v>3.1668445148187669E-3</v>
      </c>
      <c r="AO295" s="3"/>
      <c r="AP295">
        <v>0</v>
      </c>
      <c r="AR295" t="s">
        <v>1</v>
      </c>
      <c r="AT295" s="2" t="s">
        <v>0</v>
      </c>
      <c r="AU295" s="1">
        <f t="shared" si="37"/>
        <v>2.6456580142305</v>
      </c>
      <c r="AV295" s="1">
        <f t="shared" si="38"/>
        <v>1.9802369963023221</v>
      </c>
      <c r="AW295" s="1">
        <f t="shared" si="39"/>
        <v>1.314815978374144</v>
      </c>
    </row>
    <row r="296" spans="1:49" x14ac:dyDescent="0.2">
      <c r="A296">
        <v>294</v>
      </c>
      <c r="B296" t="s">
        <v>6987</v>
      </c>
      <c r="C296" t="s">
        <v>6986</v>
      </c>
      <c r="D296" t="s">
        <v>6985</v>
      </c>
      <c r="F296" t="s">
        <v>6984</v>
      </c>
      <c r="G296" t="s">
        <v>9</v>
      </c>
      <c r="H296" t="s">
        <v>8</v>
      </c>
      <c r="I296" t="s">
        <v>6983</v>
      </c>
      <c r="J296">
        <v>60026790</v>
      </c>
      <c r="K296" t="s">
        <v>6982</v>
      </c>
      <c r="L296" t="s">
        <v>6981</v>
      </c>
      <c r="M296" t="s">
        <v>10</v>
      </c>
      <c r="N296">
        <v>1</v>
      </c>
      <c r="O296" t="s">
        <v>6980</v>
      </c>
      <c r="P296">
        <v>55413900600</v>
      </c>
      <c r="Q296">
        <v>60026790</v>
      </c>
      <c r="R296" s="7">
        <v>36861</v>
      </c>
      <c r="S296" s="8">
        <f t="shared" si="32"/>
        <v>2000</v>
      </c>
      <c r="T296" s="8">
        <v>2000</v>
      </c>
      <c r="U296" s="8">
        <f t="shared" si="33"/>
        <v>22</v>
      </c>
      <c r="V296" s="7">
        <v>2000</v>
      </c>
      <c r="W296" t="s">
        <v>221</v>
      </c>
      <c r="X296" s="2">
        <v>1.365</v>
      </c>
      <c r="Y296" s="6">
        <f t="shared" si="34"/>
        <v>3.6437895411227675E-2</v>
      </c>
      <c r="AA296">
        <v>189545</v>
      </c>
      <c r="AB296">
        <v>17393</v>
      </c>
      <c r="AD296" t="s">
        <v>3</v>
      </c>
      <c r="AE296">
        <v>49</v>
      </c>
      <c r="AF296">
        <v>5</v>
      </c>
      <c r="AH296" t="s">
        <v>6979</v>
      </c>
      <c r="AI296" t="s">
        <v>6978</v>
      </c>
      <c r="AJ296" t="s">
        <v>6977</v>
      </c>
      <c r="AK296" t="s">
        <v>6976</v>
      </c>
      <c r="AL296">
        <v>106</v>
      </c>
      <c r="AM296" s="5">
        <f t="shared" si="35"/>
        <v>4.8181818181818183</v>
      </c>
      <c r="AN296" s="4">
        <f t="shared" si="36"/>
        <v>7.2975112732780283E-3</v>
      </c>
      <c r="AO296" s="3"/>
      <c r="AP296">
        <v>0</v>
      </c>
      <c r="AR296" t="s">
        <v>1</v>
      </c>
      <c r="AT296" s="2" t="s">
        <v>0</v>
      </c>
      <c r="AU296" s="1">
        <f t="shared" si="37"/>
        <v>2.7695780169842776</v>
      </c>
      <c r="AV296" s="1">
        <f t="shared" si="38"/>
        <v>2.1867703342252853</v>
      </c>
      <c r="AW296" s="1">
        <f t="shared" si="39"/>
        <v>1.6039626514662921</v>
      </c>
    </row>
    <row r="297" spans="1:49" x14ac:dyDescent="0.2">
      <c r="A297">
        <v>295</v>
      </c>
      <c r="B297" t="s">
        <v>6975</v>
      </c>
      <c r="C297" t="s">
        <v>6974</v>
      </c>
      <c r="D297" t="s">
        <v>6973</v>
      </c>
      <c r="F297" t="s">
        <v>6972</v>
      </c>
      <c r="G297" t="s">
        <v>9</v>
      </c>
      <c r="H297" t="s">
        <v>8</v>
      </c>
      <c r="I297" t="s">
        <v>6971</v>
      </c>
      <c r="J297">
        <v>60028218</v>
      </c>
      <c r="K297" t="s">
        <v>6970</v>
      </c>
      <c r="L297" t="s">
        <v>6969</v>
      </c>
      <c r="M297" t="s">
        <v>53</v>
      </c>
      <c r="N297">
        <v>4</v>
      </c>
      <c r="O297" t="s">
        <v>6968</v>
      </c>
      <c r="P297" t="s">
        <v>6967</v>
      </c>
      <c r="Q297" t="s">
        <v>6966</v>
      </c>
      <c r="R297" s="7">
        <v>36861</v>
      </c>
      <c r="S297" s="8">
        <f t="shared" si="32"/>
        <v>2000</v>
      </c>
      <c r="T297" s="8">
        <v>2000</v>
      </c>
      <c r="U297" s="8">
        <f t="shared" si="33"/>
        <v>22</v>
      </c>
      <c r="V297" s="7">
        <v>2000</v>
      </c>
      <c r="W297" t="s">
        <v>221</v>
      </c>
      <c r="X297" s="2">
        <v>1.365</v>
      </c>
      <c r="Y297" s="6">
        <f t="shared" si="34"/>
        <v>3.6437895411227675E-2</v>
      </c>
      <c r="AA297">
        <v>189545</v>
      </c>
      <c r="AB297">
        <v>17393</v>
      </c>
      <c r="AD297" t="s">
        <v>3</v>
      </c>
      <c r="AE297">
        <v>49</v>
      </c>
      <c r="AF297">
        <v>5</v>
      </c>
      <c r="AH297" t="s">
        <v>6965</v>
      </c>
      <c r="AI297" t="s">
        <v>6964</v>
      </c>
      <c r="AJ297" t="s">
        <v>6963</v>
      </c>
      <c r="AK297" t="s">
        <v>6962</v>
      </c>
      <c r="AL297">
        <v>6</v>
      </c>
      <c r="AM297" s="5">
        <f t="shared" si="35"/>
        <v>0.27272727272727271</v>
      </c>
      <c r="AN297" s="4">
        <f t="shared" si="36"/>
        <v>4.1306667584592612E-4</v>
      </c>
      <c r="AO297" s="3"/>
      <c r="AP297">
        <v>0</v>
      </c>
      <c r="AR297" t="s">
        <v>1</v>
      </c>
      <c r="AT297" s="2" t="s">
        <v>0</v>
      </c>
      <c r="AU297" s="1">
        <f t="shared" si="37"/>
        <v>2.5630446790613148</v>
      </c>
      <c r="AV297" s="1">
        <f t="shared" si="38"/>
        <v>1.84254810435368</v>
      </c>
      <c r="AW297" s="1">
        <f t="shared" si="39"/>
        <v>1.1220515296460449</v>
      </c>
    </row>
    <row r="298" spans="1:49" x14ac:dyDescent="0.2">
      <c r="A298">
        <v>296</v>
      </c>
      <c r="B298" t="s">
        <v>6961</v>
      </c>
      <c r="C298" t="s">
        <v>6960</v>
      </c>
      <c r="D298" t="s">
        <v>6959</v>
      </c>
      <c r="F298" t="s">
        <v>6958</v>
      </c>
      <c r="G298" t="s">
        <v>9</v>
      </c>
      <c r="H298" t="s">
        <v>8</v>
      </c>
      <c r="I298" t="s">
        <v>6957</v>
      </c>
      <c r="J298" t="s">
        <v>6956</v>
      </c>
      <c r="K298" t="s">
        <v>6955</v>
      </c>
      <c r="L298" t="s">
        <v>6954</v>
      </c>
      <c r="M298" t="s">
        <v>19</v>
      </c>
      <c r="N298">
        <v>2</v>
      </c>
      <c r="O298" t="s">
        <v>6953</v>
      </c>
      <c r="P298" t="s">
        <v>6952</v>
      </c>
      <c r="Q298" t="s">
        <v>6951</v>
      </c>
      <c r="R298" s="7">
        <v>36861</v>
      </c>
      <c r="S298" s="8">
        <f t="shared" si="32"/>
        <v>2000</v>
      </c>
      <c r="T298" s="8">
        <v>2000</v>
      </c>
      <c r="U298" s="8">
        <f t="shared" si="33"/>
        <v>22</v>
      </c>
      <c r="V298" s="7">
        <v>2000</v>
      </c>
      <c r="W298" t="s">
        <v>291</v>
      </c>
      <c r="X298" s="2">
        <v>1.6519999999999999</v>
      </c>
      <c r="Y298" s="6">
        <f t="shared" si="34"/>
        <v>4.409919649769093E-2</v>
      </c>
      <c r="AA298" t="s">
        <v>290</v>
      </c>
      <c r="AB298">
        <v>17337</v>
      </c>
      <c r="AD298" t="s">
        <v>3</v>
      </c>
      <c r="AE298">
        <v>48</v>
      </c>
      <c r="AF298">
        <v>9</v>
      </c>
      <c r="AH298" t="s">
        <v>6950</v>
      </c>
      <c r="AI298" t="s">
        <v>6949</v>
      </c>
      <c r="AJ298" t="s">
        <v>6948</v>
      </c>
      <c r="AK298" t="s">
        <v>6947</v>
      </c>
      <c r="AL298">
        <v>2</v>
      </c>
      <c r="AM298" s="5">
        <f t="shared" si="35"/>
        <v>9.0909090909090912E-2</v>
      </c>
      <c r="AN298" s="4">
        <f t="shared" si="36"/>
        <v>1.3768889194864205E-4</v>
      </c>
      <c r="AO298" s="3"/>
      <c r="AP298">
        <v>0</v>
      </c>
      <c r="AQ298" t="s">
        <v>6946</v>
      </c>
      <c r="AR298" t="s">
        <v>6945</v>
      </c>
      <c r="AS298" t="s">
        <v>6944</v>
      </c>
      <c r="AT298" s="2" t="s">
        <v>0</v>
      </c>
      <c r="AU298" s="1">
        <f t="shared" si="37"/>
        <v>3.0910744215968244</v>
      </c>
      <c r="AV298" s="1">
        <f t="shared" si="38"/>
        <v>2.2118442694819787</v>
      </c>
      <c r="AW298" s="1">
        <f t="shared" si="39"/>
        <v>1.3326141173671326</v>
      </c>
    </row>
    <row r="299" spans="1:49" x14ac:dyDescent="0.2">
      <c r="A299">
        <v>297</v>
      </c>
      <c r="B299" t="s">
        <v>6943</v>
      </c>
      <c r="C299" t="s">
        <v>6942</v>
      </c>
      <c r="D299" t="s">
        <v>6941</v>
      </c>
      <c r="F299" t="s">
        <v>6940</v>
      </c>
      <c r="G299" t="s">
        <v>9</v>
      </c>
      <c r="H299" t="s">
        <v>8</v>
      </c>
      <c r="I299" t="s">
        <v>6939</v>
      </c>
      <c r="J299" t="s">
        <v>6938</v>
      </c>
      <c r="K299" t="s">
        <v>6937</v>
      </c>
      <c r="L299" t="s">
        <v>6936</v>
      </c>
      <c r="M299" t="s">
        <v>6935</v>
      </c>
      <c r="N299">
        <v>3</v>
      </c>
      <c r="O299" t="s">
        <v>6934</v>
      </c>
      <c r="P299" t="s">
        <v>6933</v>
      </c>
      <c r="Q299" t="s">
        <v>6932</v>
      </c>
      <c r="R299" s="7">
        <v>36861</v>
      </c>
      <c r="S299" s="8">
        <f t="shared" si="32"/>
        <v>2000</v>
      </c>
      <c r="T299" s="8">
        <v>2000</v>
      </c>
      <c r="U299" s="8">
        <f t="shared" si="33"/>
        <v>22</v>
      </c>
      <c r="V299" s="7">
        <v>2000</v>
      </c>
      <c r="W299" t="s">
        <v>297</v>
      </c>
      <c r="X299" s="2">
        <v>1.3720000000000001</v>
      </c>
      <c r="Y299" s="6">
        <f t="shared" si="34"/>
        <v>3.662475641333654E-2</v>
      </c>
      <c r="AA299">
        <v>189480</v>
      </c>
      <c r="AB299">
        <v>17366</v>
      </c>
      <c r="AD299" t="s">
        <v>3</v>
      </c>
      <c r="AE299">
        <v>48</v>
      </c>
      <c r="AF299">
        <v>8</v>
      </c>
      <c r="AH299" t="s">
        <v>6931</v>
      </c>
      <c r="AI299" t="s">
        <v>6930</v>
      </c>
      <c r="AJ299" t="s">
        <v>6929</v>
      </c>
      <c r="AK299" t="s">
        <v>6928</v>
      </c>
      <c r="AL299">
        <v>24</v>
      </c>
      <c r="AM299" s="5">
        <f t="shared" si="35"/>
        <v>1.0909090909090908</v>
      </c>
      <c r="AN299" s="4">
        <f t="shared" si="36"/>
        <v>1.6522667033837045E-3</v>
      </c>
      <c r="AO299" s="3"/>
      <c r="AP299">
        <v>0</v>
      </c>
      <c r="AR299" t="s">
        <v>1</v>
      </c>
      <c r="AT299" s="2" t="s">
        <v>0</v>
      </c>
      <c r="AU299" s="1">
        <f t="shared" si="37"/>
        <v>2.6133009500350686</v>
      </c>
      <c r="AV299" s="1">
        <f t="shared" si="38"/>
        <v>1.9138511558360123</v>
      </c>
      <c r="AW299" s="1">
        <f t="shared" si="39"/>
        <v>1.2144013616369556</v>
      </c>
    </row>
    <row r="300" spans="1:49" x14ac:dyDescent="0.2">
      <c r="A300">
        <v>298</v>
      </c>
      <c r="B300" t="s">
        <v>6927</v>
      </c>
      <c r="C300" t="s">
        <v>6926</v>
      </c>
      <c r="D300" t="s">
        <v>6925</v>
      </c>
      <c r="F300" t="s">
        <v>6924</v>
      </c>
      <c r="G300" t="s">
        <v>9</v>
      </c>
      <c r="H300" t="s">
        <v>8</v>
      </c>
      <c r="I300" t="s">
        <v>6923</v>
      </c>
      <c r="J300" t="s">
        <v>6922</v>
      </c>
      <c r="K300" t="s">
        <v>6921</v>
      </c>
      <c r="L300" t="s">
        <v>6920</v>
      </c>
      <c r="M300" t="s">
        <v>6919</v>
      </c>
      <c r="N300">
        <v>6</v>
      </c>
      <c r="O300" t="s">
        <v>6918</v>
      </c>
      <c r="P300" t="s">
        <v>6917</v>
      </c>
      <c r="Q300" t="s">
        <v>6916</v>
      </c>
      <c r="R300" s="7">
        <v>36861</v>
      </c>
      <c r="S300" s="8">
        <f t="shared" si="32"/>
        <v>2000</v>
      </c>
      <c r="T300" s="8">
        <v>2000</v>
      </c>
      <c r="U300" s="8">
        <f t="shared" si="33"/>
        <v>22</v>
      </c>
      <c r="V300" s="7">
        <v>2000</v>
      </c>
      <c r="W300" t="s">
        <v>297</v>
      </c>
      <c r="X300" s="2">
        <v>1.3720000000000001</v>
      </c>
      <c r="Y300" s="6">
        <f t="shared" si="34"/>
        <v>3.662475641333654E-2</v>
      </c>
      <c r="AA300">
        <v>189480</v>
      </c>
      <c r="AB300">
        <v>17366</v>
      </c>
      <c r="AD300" t="s">
        <v>3</v>
      </c>
      <c r="AE300">
        <v>48</v>
      </c>
      <c r="AF300">
        <v>8</v>
      </c>
      <c r="AH300" t="s">
        <v>6915</v>
      </c>
      <c r="AI300" t="s">
        <v>6914</v>
      </c>
      <c r="AJ300" t="s">
        <v>6913</v>
      </c>
      <c r="AK300" t="s">
        <v>6912</v>
      </c>
      <c r="AL300">
        <v>29</v>
      </c>
      <c r="AM300" s="5">
        <f t="shared" si="35"/>
        <v>1.3181818181818181</v>
      </c>
      <c r="AN300" s="4">
        <f t="shared" si="36"/>
        <v>1.9964889332553097E-3</v>
      </c>
      <c r="AO300" s="3"/>
      <c r="AP300">
        <v>0</v>
      </c>
      <c r="AQ300" t="s">
        <v>36</v>
      </c>
      <c r="AR300" t="s">
        <v>1</v>
      </c>
      <c r="AS300" t="s">
        <v>35</v>
      </c>
      <c r="AT300" s="2" t="s">
        <v>0</v>
      </c>
      <c r="AU300" s="1">
        <f t="shared" si="37"/>
        <v>2.6236276169312167</v>
      </c>
      <c r="AV300" s="1">
        <f t="shared" si="38"/>
        <v>1.9310622673295925</v>
      </c>
      <c r="AW300" s="1">
        <f t="shared" si="39"/>
        <v>1.2384969177279679</v>
      </c>
    </row>
    <row r="301" spans="1:49" x14ac:dyDescent="0.2">
      <c r="A301">
        <v>299</v>
      </c>
      <c r="B301" t="s">
        <v>6911</v>
      </c>
      <c r="C301" t="s">
        <v>6910</v>
      </c>
      <c r="D301" t="s">
        <v>6909</v>
      </c>
      <c r="F301" t="s">
        <v>6908</v>
      </c>
      <c r="G301" t="s">
        <v>9</v>
      </c>
      <c r="H301" t="s">
        <v>8</v>
      </c>
      <c r="I301" t="s">
        <v>921</v>
      </c>
      <c r="J301" t="s">
        <v>6907</v>
      </c>
      <c r="K301" t="s">
        <v>6906</v>
      </c>
      <c r="L301" t="s">
        <v>6905</v>
      </c>
      <c r="M301" t="s">
        <v>19</v>
      </c>
      <c r="N301">
        <v>3</v>
      </c>
      <c r="O301" t="s">
        <v>6904</v>
      </c>
      <c r="P301" t="s">
        <v>6903</v>
      </c>
      <c r="Q301" t="s">
        <v>6902</v>
      </c>
      <c r="R301" s="7">
        <v>36861</v>
      </c>
      <c r="S301" s="8">
        <f t="shared" si="32"/>
        <v>2000</v>
      </c>
      <c r="T301" s="8">
        <v>2000</v>
      </c>
      <c r="U301" s="8">
        <f t="shared" si="33"/>
        <v>22</v>
      </c>
      <c r="V301" s="7">
        <v>2000</v>
      </c>
      <c r="W301" t="s">
        <v>6901</v>
      </c>
      <c r="X301" s="2" t="s">
        <v>0</v>
      </c>
      <c r="Y301" s="6" t="e">
        <f t="shared" si="34"/>
        <v>#VALUE!</v>
      </c>
      <c r="AA301">
        <v>10577130</v>
      </c>
      <c r="AB301">
        <v>34461</v>
      </c>
      <c r="AD301" t="s">
        <v>3</v>
      </c>
      <c r="AE301">
        <v>47</v>
      </c>
      <c r="AF301">
        <v>8</v>
      </c>
      <c r="AH301" t="s">
        <v>6900</v>
      </c>
      <c r="AI301" t="s">
        <v>6899</v>
      </c>
      <c r="AJ301" t="s">
        <v>6898</v>
      </c>
      <c r="AK301" t="s">
        <v>6897</v>
      </c>
      <c r="AL301">
        <v>8</v>
      </c>
      <c r="AM301" s="5">
        <f t="shared" si="35"/>
        <v>0.36363636363636365</v>
      </c>
      <c r="AN301" s="4">
        <f t="shared" si="36"/>
        <v>5.5075556779456819E-4</v>
      </c>
      <c r="AO301" s="3"/>
      <c r="AP301">
        <v>0</v>
      </c>
      <c r="AQ301" t="s">
        <v>6896</v>
      </c>
      <c r="AR301" t="s">
        <v>1</v>
      </c>
      <c r="AS301" t="s">
        <v>6895</v>
      </c>
      <c r="AT301" s="2" t="s">
        <v>0</v>
      </c>
      <c r="AU301" s="1" t="e">
        <f t="shared" si="37"/>
        <v>#VALUE!</v>
      </c>
      <c r="AV301" s="1" t="e">
        <f t="shared" si="38"/>
        <v>#VALUE!</v>
      </c>
      <c r="AW301" s="1" t="e">
        <f t="shared" si="39"/>
        <v>#VALUE!</v>
      </c>
    </row>
    <row r="302" spans="1:49" x14ac:dyDescent="0.2">
      <c r="A302">
        <v>300</v>
      </c>
      <c r="B302" t="s">
        <v>6894</v>
      </c>
      <c r="C302" t="s">
        <v>6893</v>
      </c>
      <c r="F302" t="s">
        <v>6892</v>
      </c>
      <c r="G302" t="s">
        <v>9</v>
      </c>
      <c r="H302" t="s">
        <v>8</v>
      </c>
      <c r="I302" t="s">
        <v>6891</v>
      </c>
      <c r="J302">
        <v>60017597</v>
      </c>
      <c r="K302" t="s">
        <v>508</v>
      </c>
      <c r="L302" t="s">
        <v>507</v>
      </c>
      <c r="M302" t="s">
        <v>16</v>
      </c>
      <c r="N302">
        <v>1</v>
      </c>
      <c r="O302" t="s">
        <v>6890</v>
      </c>
      <c r="P302">
        <v>7004256343</v>
      </c>
      <c r="Q302">
        <v>60017597</v>
      </c>
      <c r="R302" s="7">
        <v>36861</v>
      </c>
      <c r="S302" s="8">
        <f t="shared" si="32"/>
        <v>2000</v>
      </c>
      <c r="T302" s="8">
        <v>2000</v>
      </c>
      <c r="U302" s="8">
        <f t="shared" si="33"/>
        <v>22</v>
      </c>
      <c r="V302" s="7">
        <v>2000</v>
      </c>
      <c r="W302" t="s">
        <v>352</v>
      </c>
      <c r="X302" s="2">
        <v>1.137</v>
      </c>
      <c r="Y302" s="6">
        <f t="shared" si="34"/>
        <v>3.0351565628253384E-2</v>
      </c>
      <c r="AA302">
        <v>189251</v>
      </c>
      <c r="AB302">
        <v>17336</v>
      </c>
      <c r="AD302" t="s">
        <v>3</v>
      </c>
      <c r="AE302">
        <v>36</v>
      </c>
      <c r="AF302" t="s">
        <v>6829</v>
      </c>
      <c r="AH302" t="s">
        <v>6889</v>
      </c>
      <c r="AI302" t="s">
        <v>6888</v>
      </c>
      <c r="AK302" t="s">
        <v>6887</v>
      </c>
      <c r="AL302">
        <v>59</v>
      </c>
      <c r="AM302" s="5">
        <f t="shared" si="35"/>
        <v>2.6818181818181817</v>
      </c>
      <c r="AN302" s="4">
        <f t="shared" si="36"/>
        <v>4.0618223124849404E-3</v>
      </c>
      <c r="AO302" s="3"/>
      <c r="AP302">
        <v>0</v>
      </c>
      <c r="AR302" t="s">
        <v>1</v>
      </c>
      <c r="AT302" s="2" t="s">
        <v>0</v>
      </c>
      <c r="AU302" s="1">
        <f t="shared" si="37"/>
        <v>2.2464642633522849</v>
      </c>
      <c r="AV302" s="1">
        <f t="shared" si="38"/>
        <v>1.7206693970369162</v>
      </c>
      <c r="AW302" s="1">
        <f t="shared" si="39"/>
        <v>1.1948745307215474</v>
      </c>
    </row>
    <row r="303" spans="1:49" x14ac:dyDescent="0.2">
      <c r="A303">
        <v>301</v>
      </c>
      <c r="B303" t="s">
        <v>6886</v>
      </c>
      <c r="C303" t="s">
        <v>6885</v>
      </c>
      <c r="D303" t="s">
        <v>6884</v>
      </c>
      <c r="F303" t="s">
        <v>6883</v>
      </c>
      <c r="G303" t="s">
        <v>9</v>
      </c>
      <c r="H303" t="s">
        <v>8</v>
      </c>
      <c r="I303" t="s">
        <v>6882</v>
      </c>
      <c r="J303" t="s">
        <v>6881</v>
      </c>
      <c r="K303" t="s">
        <v>6880</v>
      </c>
      <c r="L303" t="s">
        <v>6879</v>
      </c>
      <c r="M303" t="s">
        <v>19</v>
      </c>
      <c r="N303">
        <v>3</v>
      </c>
      <c r="O303" t="s">
        <v>6878</v>
      </c>
      <c r="P303" t="s">
        <v>6877</v>
      </c>
      <c r="Q303" t="s">
        <v>6876</v>
      </c>
      <c r="R303" s="7">
        <v>36861</v>
      </c>
      <c r="S303" s="8">
        <f t="shared" si="32"/>
        <v>2000</v>
      </c>
      <c r="T303" s="8">
        <v>2000</v>
      </c>
      <c r="U303" s="8">
        <f t="shared" si="33"/>
        <v>22</v>
      </c>
      <c r="V303" s="7">
        <v>2000</v>
      </c>
      <c r="W303" t="s">
        <v>297</v>
      </c>
      <c r="X303" s="2">
        <v>1.3720000000000001</v>
      </c>
      <c r="Y303" s="6">
        <f t="shared" si="34"/>
        <v>3.662475641333654E-2</v>
      </c>
      <c r="AA303">
        <v>189480</v>
      </c>
      <c r="AB303">
        <v>17366</v>
      </c>
      <c r="AD303" t="s">
        <v>3</v>
      </c>
      <c r="AE303">
        <v>48</v>
      </c>
      <c r="AF303" t="s">
        <v>6875</v>
      </c>
      <c r="AH303" t="s">
        <v>6874</v>
      </c>
      <c r="AI303" t="s">
        <v>6873</v>
      </c>
      <c r="AJ303" t="s">
        <v>6872</v>
      </c>
      <c r="AK303" t="s">
        <v>6871</v>
      </c>
      <c r="AL303">
        <v>11</v>
      </c>
      <c r="AM303" s="5">
        <f t="shared" si="35"/>
        <v>0.5</v>
      </c>
      <c r="AN303" s="4">
        <f t="shared" si="36"/>
        <v>7.572889057175312E-4</v>
      </c>
      <c r="AO303" s="3"/>
      <c r="AP303">
        <v>0</v>
      </c>
      <c r="AR303" t="s">
        <v>1</v>
      </c>
      <c r="AT303" s="2" t="s">
        <v>0</v>
      </c>
      <c r="AU303" s="1">
        <f t="shared" si="37"/>
        <v>2.5864516161050837</v>
      </c>
      <c r="AV303" s="1">
        <f t="shared" si="38"/>
        <v>1.8691022659527035</v>
      </c>
      <c r="AW303" s="1">
        <f t="shared" si="39"/>
        <v>1.1517529158003235</v>
      </c>
    </row>
    <row r="304" spans="1:49" x14ac:dyDescent="0.2">
      <c r="A304">
        <v>302</v>
      </c>
      <c r="B304" t="s">
        <v>6870</v>
      </c>
      <c r="C304" t="s">
        <v>6869</v>
      </c>
      <c r="D304" t="s">
        <v>6868</v>
      </c>
      <c r="F304" t="s">
        <v>6867</v>
      </c>
      <c r="G304" t="s">
        <v>9</v>
      </c>
      <c r="H304" t="s">
        <v>8</v>
      </c>
      <c r="I304" t="s">
        <v>536</v>
      </c>
      <c r="J304" t="s">
        <v>6866</v>
      </c>
      <c r="K304" t="s">
        <v>6865</v>
      </c>
      <c r="L304" t="s">
        <v>6864</v>
      </c>
      <c r="M304" t="s">
        <v>428</v>
      </c>
      <c r="N304">
        <v>4</v>
      </c>
      <c r="O304" t="s">
        <v>535</v>
      </c>
      <c r="P304" t="s">
        <v>534</v>
      </c>
      <c r="Q304" t="s">
        <v>6863</v>
      </c>
      <c r="R304" s="7">
        <v>36861</v>
      </c>
      <c r="S304" s="8">
        <f t="shared" si="32"/>
        <v>2000</v>
      </c>
      <c r="T304" s="8">
        <v>2000</v>
      </c>
      <c r="U304" s="8">
        <f t="shared" si="33"/>
        <v>22</v>
      </c>
      <c r="V304" s="7">
        <v>2000</v>
      </c>
      <c r="W304" t="s">
        <v>297</v>
      </c>
      <c r="X304" s="2">
        <v>1.3720000000000001</v>
      </c>
      <c r="Y304" s="6">
        <f t="shared" si="34"/>
        <v>3.662475641333654E-2</v>
      </c>
      <c r="AA304">
        <v>189480</v>
      </c>
      <c r="AB304">
        <v>17366</v>
      </c>
      <c r="AD304" t="s">
        <v>3</v>
      </c>
      <c r="AE304">
        <v>48</v>
      </c>
      <c r="AF304" t="s">
        <v>6851</v>
      </c>
      <c r="AH304" t="s">
        <v>6862</v>
      </c>
      <c r="AI304" t="s">
        <v>6861</v>
      </c>
      <c r="AJ304" t="s">
        <v>6860</v>
      </c>
      <c r="AK304" t="s">
        <v>6859</v>
      </c>
      <c r="AL304">
        <v>224</v>
      </c>
      <c r="AM304" s="5">
        <f t="shared" si="35"/>
        <v>10.181818181818182</v>
      </c>
      <c r="AN304" s="4">
        <f t="shared" si="36"/>
        <v>1.5421155898247909E-2</v>
      </c>
      <c r="AO304" s="3"/>
      <c r="AP304">
        <v>0</v>
      </c>
      <c r="AR304" t="s">
        <v>1</v>
      </c>
      <c r="AT304" s="2" t="s">
        <v>0</v>
      </c>
      <c r="AU304" s="1">
        <f t="shared" si="37"/>
        <v>3.0263676258809951</v>
      </c>
      <c r="AV304" s="1">
        <f t="shared" si="38"/>
        <v>2.6022956155792225</v>
      </c>
      <c r="AW304" s="1">
        <f t="shared" si="39"/>
        <v>2.1782236052774495</v>
      </c>
    </row>
    <row r="305" spans="1:49" x14ac:dyDescent="0.2">
      <c r="A305">
        <v>303</v>
      </c>
      <c r="B305" t="s">
        <v>6858</v>
      </c>
      <c r="C305" t="s">
        <v>6857</v>
      </c>
      <c r="D305" t="s">
        <v>6856</v>
      </c>
      <c r="F305" t="s">
        <v>6855</v>
      </c>
      <c r="G305" t="s">
        <v>9</v>
      </c>
      <c r="H305" t="s">
        <v>8</v>
      </c>
      <c r="I305" t="s">
        <v>6854</v>
      </c>
      <c r="J305">
        <v>60110755</v>
      </c>
      <c r="K305" t="s">
        <v>459</v>
      </c>
      <c r="L305" t="s">
        <v>458</v>
      </c>
      <c r="M305" t="s">
        <v>105</v>
      </c>
      <c r="N305">
        <v>2</v>
      </c>
      <c r="O305" t="s">
        <v>6853</v>
      </c>
      <c r="P305" t="s">
        <v>6852</v>
      </c>
      <c r="Q305" t="s">
        <v>4237</v>
      </c>
      <c r="R305" s="7">
        <v>36861</v>
      </c>
      <c r="S305" s="8">
        <f t="shared" si="32"/>
        <v>2000</v>
      </c>
      <c r="T305" s="8">
        <v>2000</v>
      </c>
      <c r="U305" s="8">
        <f t="shared" si="33"/>
        <v>22</v>
      </c>
      <c r="V305" s="7">
        <v>2000</v>
      </c>
      <c r="W305" t="s">
        <v>297</v>
      </c>
      <c r="X305" s="2">
        <v>1.3720000000000001</v>
      </c>
      <c r="Y305" s="6">
        <f t="shared" si="34"/>
        <v>3.662475641333654E-2</v>
      </c>
      <c r="AA305">
        <v>189480</v>
      </c>
      <c r="AB305">
        <v>17366</v>
      </c>
      <c r="AD305" t="s">
        <v>3</v>
      </c>
      <c r="AE305">
        <v>48</v>
      </c>
      <c r="AF305" t="s">
        <v>6851</v>
      </c>
      <c r="AH305" t="s">
        <v>6850</v>
      </c>
      <c r="AI305" t="s">
        <v>6849</v>
      </c>
      <c r="AJ305" t="s">
        <v>6848</v>
      </c>
      <c r="AK305" t="s">
        <v>6847</v>
      </c>
      <c r="AL305">
        <v>24</v>
      </c>
      <c r="AM305" s="5">
        <f t="shared" si="35"/>
        <v>1.0909090909090908</v>
      </c>
      <c r="AN305" s="4">
        <f t="shared" si="36"/>
        <v>1.6522667033837045E-3</v>
      </c>
      <c r="AO305" s="3"/>
      <c r="AP305">
        <v>0</v>
      </c>
      <c r="AR305" t="s">
        <v>1</v>
      </c>
      <c r="AT305" s="2" t="s">
        <v>0</v>
      </c>
      <c r="AU305" s="1">
        <f t="shared" si="37"/>
        <v>2.6133009500350686</v>
      </c>
      <c r="AV305" s="1">
        <f t="shared" si="38"/>
        <v>1.9138511558360123</v>
      </c>
      <c r="AW305" s="1">
        <f t="shared" si="39"/>
        <v>1.2144013616369556</v>
      </c>
    </row>
    <row r="306" spans="1:49" x14ac:dyDescent="0.2">
      <c r="A306">
        <v>304</v>
      </c>
      <c r="B306" t="s">
        <v>6846</v>
      </c>
      <c r="C306" t="s">
        <v>6845</v>
      </c>
      <c r="F306" t="s">
        <v>6844</v>
      </c>
      <c r="G306" t="s">
        <v>9</v>
      </c>
      <c r="H306" t="s">
        <v>8</v>
      </c>
      <c r="I306" t="s">
        <v>6843</v>
      </c>
      <c r="J306">
        <v>60022904</v>
      </c>
      <c r="K306" t="s">
        <v>6842</v>
      </c>
      <c r="L306" t="s">
        <v>6841</v>
      </c>
      <c r="M306" t="s">
        <v>5</v>
      </c>
      <c r="N306">
        <v>2</v>
      </c>
      <c r="O306" t="s">
        <v>6840</v>
      </c>
      <c r="P306" t="s">
        <v>6839</v>
      </c>
      <c r="Q306" t="s">
        <v>6838</v>
      </c>
      <c r="R306" s="7">
        <v>36861</v>
      </c>
      <c r="S306" s="8">
        <f t="shared" si="32"/>
        <v>2000</v>
      </c>
      <c r="T306" s="8">
        <v>2000</v>
      </c>
      <c r="U306" s="8">
        <f t="shared" si="33"/>
        <v>22</v>
      </c>
      <c r="V306" s="7">
        <v>2000</v>
      </c>
      <c r="W306" t="s">
        <v>352</v>
      </c>
      <c r="X306" s="2">
        <v>1.137</v>
      </c>
      <c r="Y306" s="6">
        <f t="shared" si="34"/>
        <v>3.0351565628253384E-2</v>
      </c>
      <c r="AA306">
        <v>189251</v>
      </c>
      <c r="AB306">
        <v>17336</v>
      </c>
      <c r="AD306" t="s">
        <v>3</v>
      </c>
      <c r="AE306">
        <v>36</v>
      </c>
      <c r="AF306" t="s">
        <v>6829</v>
      </c>
      <c r="AH306" t="s">
        <v>6837</v>
      </c>
      <c r="AI306" t="s">
        <v>6836</v>
      </c>
      <c r="AK306" t="s">
        <v>6835</v>
      </c>
      <c r="AL306">
        <v>55</v>
      </c>
      <c r="AM306" s="5">
        <f t="shared" si="35"/>
        <v>2.5</v>
      </c>
      <c r="AN306" s="4">
        <f t="shared" si="36"/>
        <v>3.7864445285876562E-3</v>
      </c>
      <c r="AO306" s="3"/>
      <c r="AP306">
        <v>0</v>
      </c>
      <c r="AQ306" t="s">
        <v>306</v>
      </c>
      <c r="AR306" t="s">
        <v>468</v>
      </c>
      <c r="AS306" t="s">
        <v>305</v>
      </c>
      <c r="AT306" s="2" t="s">
        <v>0</v>
      </c>
      <c r="AU306" s="1">
        <f t="shared" si="37"/>
        <v>2.2382029298353663</v>
      </c>
      <c r="AV306" s="1">
        <f t="shared" si="38"/>
        <v>1.7069005078420518</v>
      </c>
      <c r="AW306" s="1">
        <f t="shared" si="39"/>
        <v>1.1755980858487374</v>
      </c>
    </row>
    <row r="307" spans="1:49" x14ac:dyDescent="0.2">
      <c r="A307">
        <v>305</v>
      </c>
      <c r="B307" t="s">
        <v>6834</v>
      </c>
      <c r="C307" t="s">
        <v>6833</v>
      </c>
      <c r="F307" t="s">
        <v>6832</v>
      </c>
      <c r="G307" t="s">
        <v>9</v>
      </c>
      <c r="H307" t="s">
        <v>8</v>
      </c>
      <c r="I307" t="s">
        <v>6831</v>
      </c>
      <c r="J307">
        <v>60005248</v>
      </c>
      <c r="K307" t="s">
        <v>533</v>
      </c>
      <c r="L307" t="s">
        <v>272</v>
      </c>
      <c r="M307" t="s">
        <v>5</v>
      </c>
      <c r="N307">
        <v>1</v>
      </c>
      <c r="O307" t="s">
        <v>6830</v>
      </c>
      <c r="P307">
        <v>35775324300</v>
      </c>
      <c r="Q307">
        <v>60005248</v>
      </c>
      <c r="R307" s="7">
        <v>36861</v>
      </c>
      <c r="S307" s="8">
        <f t="shared" si="32"/>
        <v>2000</v>
      </c>
      <c r="T307" s="8">
        <v>2000</v>
      </c>
      <c r="U307" s="8">
        <f t="shared" si="33"/>
        <v>22</v>
      </c>
      <c r="V307" s="7">
        <v>2000</v>
      </c>
      <c r="W307" t="s">
        <v>352</v>
      </c>
      <c r="X307" s="2">
        <v>1.137</v>
      </c>
      <c r="Y307" s="6">
        <f t="shared" si="34"/>
        <v>3.0351565628253384E-2</v>
      </c>
      <c r="AA307">
        <v>189251</v>
      </c>
      <c r="AB307">
        <v>17336</v>
      </c>
      <c r="AD307" t="s">
        <v>3</v>
      </c>
      <c r="AE307">
        <v>36</v>
      </c>
      <c r="AF307" t="s">
        <v>6829</v>
      </c>
      <c r="AH307" t="s">
        <v>6828</v>
      </c>
      <c r="AI307" t="s">
        <v>6827</v>
      </c>
      <c r="AK307" t="s">
        <v>6826</v>
      </c>
      <c r="AL307">
        <v>2</v>
      </c>
      <c r="AM307" s="5">
        <f t="shared" si="35"/>
        <v>9.0909090909090912E-2</v>
      </c>
      <c r="AN307" s="4">
        <f t="shared" si="36"/>
        <v>1.3768889194864205E-4</v>
      </c>
      <c r="AO307" s="3"/>
      <c r="AP307">
        <v>0</v>
      </c>
      <c r="AR307" t="s">
        <v>1</v>
      </c>
      <c r="AT307" s="2" t="s">
        <v>0</v>
      </c>
      <c r="AU307" s="1">
        <f t="shared" si="37"/>
        <v>2.1287402607361958</v>
      </c>
      <c r="AV307" s="1">
        <f t="shared" si="38"/>
        <v>1.5244627260101011</v>
      </c>
      <c r="AW307" s="1">
        <f t="shared" si="39"/>
        <v>0.92018519128400644</v>
      </c>
    </row>
    <row r="308" spans="1:49" x14ac:dyDescent="0.2">
      <c r="A308">
        <v>306</v>
      </c>
      <c r="B308" t="s">
        <v>6825</v>
      </c>
      <c r="C308" t="s">
        <v>6824</v>
      </c>
      <c r="D308" t="s">
        <v>6823</v>
      </c>
      <c r="F308" t="s">
        <v>6822</v>
      </c>
      <c r="G308" t="s">
        <v>9</v>
      </c>
      <c r="H308" t="s">
        <v>8</v>
      </c>
      <c r="I308" t="s">
        <v>1244</v>
      </c>
      <c r="J308" t="s">
        <v>1243</v>
      </c>
      <c r="K308" t="s">
        <v>1242</v>
      </c>
      <c r="L308" t="s">
        <v>1241</v>
      </c>
      <c r="M308" t="s">
        <v>286</v>
      </c>
      <c r="N308">
        <v>3</v>
      </c>
      <c r="O308" t="s">
        <v>1240</v>
      </c>
      <c r="P308" t="s">
        <v>1239</v>
      </c>
      <c r="Q308" t="s">
        <v>6821</v>
      </c>
      <c r="R308" s="7">
        <v>36861</v>
      </c>
      <c r="S308" s="8">
        <f t="shared" si="32"/>
        <v>2000</v>
      </c>
      <c r="T308" s="8">
        <v>2000</v>
      </c>
      <c r="U308" s="8">
        <f t="shared" si="33"/>
        <v>22</v>
      </c>
      <c r="V308" s="7">
        <v>2000</v>
      </c>
      <c r="W308" t="s">
        <v>1223</v>
      </c>
      <c r="X308" s="2">
        <v>0.62</v>
      </c>
      <c r="Y308" s="6">
        <f t="shared" si="34"/>
        <v>1.6550545901070447E-2</v>
      </c>
      <c r="AA308">
        <v>189464</v>
      </c>
      <c r="AB308">
        <v>17364</v>
      </c>
      <c r="AD308" t="s">
        <v>3</v>
      </c>
      <c r="AE308">
        <v>36</v>
      </c>
      <c r="AF308" t="s">
        <v>6653</v>
      </c>
      <c r="AH308" t="s">
        <v>6820</v>
      </c>
      <c r="AI308" t="s">
        <v>6819</v>
      </c>
      <c r="AJ308" t="s">
        <v>6818</v>
      </c>
      <c r="AK308" t="s">
        <v>6817</v>
      </c>
      <c r="AL308">
        <v>12</v>
      </c>
      <c r="AM308" s="5">
        <f t="shared" si="35"/>
        <v>0.54545454545454541</v>
      </c>
      <c r="AN308" s="4">
        <f t="shared" si="36"/>
        <v>8.2613335169185224E-4</v>
      </c>
      <c r="AO308" s="3"/>
      <c r="AP308">
        <v>0</v>
      </c>
      <c r="AR308" t="s">
        <v>1</v>
      </c>
      <c r="AT308" s="2">
        <v>1.7</v>
      </c>
      <c r="AU308" s="1">
        <f t="shared" si="37"/>
        <v>1.1833222136256867</v>
      </c>
      <c r="AV308" s="1">
        <f t="shared" si="38"/>
        <v>0.86883396263811496</v>
      </c>
      <c r="AW308" s="1">
        <f t="shared" si="39"/>
        <v>0.55434571165054303</v>
      </c>
    </row>
    <row r="309" spans="1:49" x14ac:dyDescent="0.2">
      <c r="A309">
        <v>307</v>
      </c>
      <c r="B309" t="s">
        <v>6816</v>
      </c>
      <c r="C309" t="s">
        <v>6815</v>
      </c>
      <c r="F309" t="s">
        <v>6814</v>
      </c>
      <c r="G309" t="s">
        <v>9</v>
      </c>
      <c r="H309" t="s">
        <v>8</v>
      </c>
      <c r="I309" t="s">
        <v>6813</v>
      </c>
      <c r="J309">
        <v>60023345</v>
      </c>
      <c r="K309" t="s">
        <v>465</v>
      </c>
      <c r="L309" t="s">
        <v>464</v>
      </c>
      <c r="M309" t="s">
        <v>251</v>
      </c>
      <c r="N309">
        <v>1</v>
      </c>
      <c r="O309" t="s">
        <v>6812</v>
      </c>
      <c r="P309">
        <v>55491681600</v>
      </c>
      <c r="Q309">
        <v>60023345</v>
      </c>
      <c r="R309" s="7">
        <v>36861</v>
      </c>
      <c r="S309" s="8">
        <f t="shared" si="32"/>
        <v>2000</v>
      </c>
      <c r="T309" s="8">
        <v>2000</v>
      </c>
      <c r="U309" s="8">
        <f t="shared" si="33"/>
        <v>22</v>
      </c>
      <c r="V309" s="7">
        <v>2000</v>
      </c>
      <c r="W309" t="s">
        <v>473</v>
      </c>
      <c r="X309" s="2">
        <v>0.88100000000000001</v>
      </c>
      <c r="Y309" s="6">
        <f t="shared" si="34"/>
        <v>2.3517791836843653E-2</v>
      </c>
      <c r="AA309">
        <v>10459243</v>
      </c>
      <c r="AB309">
        <v>17248</v>
      </c>
      <c r="AD309" t="s">
        <v>3</v>
      </c>
      <c r="AE309">
        <v>42</v>
      </c>
      <c r="AF309">
        <v>3</v>
      </c>
      <c r="AH309" t="s">
        <v>6811</v>
      </c>
      <c r="AI309" t="s">
        <v>6810</v>
      </c>
      <c r="AJ309" t="s">
        <v>6809</v>
      </c>
      <c r="AK309" t="s">
        <v>6808</v>
      </c>
      <c r="AL309">
        <v>8</v>
      </c>
      <c r="AM309" s="5">
        <f t="shared" si="35"/>
        <v>0.36363636363636365</v>
      </c>
      <c r="AN309" s="4">
        <f t="shared" si="36"/>
        <v>5.5075556779456819E-4</v>
      </c>
      <c r="AO309" s="3"/>
      <c r="AP309">
        <v>0</v>
      </c>
      <c r="AR309" t="s">
        <v>1</v>
      </c>
      <c r="AT309" s="2" t="s">
        <v>0</v>
      </c>
      <c r="AU309" s="1">
        <f t="shared" si="37"/>
        <v>1.6627680956128925</v>
      </c>
      <c r="AV309" s="1">
        <f t="shared" si="38"/>
        <v>1.2034273702319112</v>
      </c>
      <c r="AW309" s="1">
        <f t="shared" si="39"/>
        <v>0.74408664485092935</v>
      </c>
    </row>
    <row r="310" spans="1:49" x14ac:dyDescent="0.2">
      <c r="A310">
        <v>308</v>
      </c>
      <c r="B310" t="s">
        <v>6807</v>
      </c>
      <c r="C310" t="s">
        <v>6806</v>
      </c>
      <c r="D310" t="s">
        <v>6805</v>
      </c>
      <c r="F310" t="s">
        <v>6804</v>
      </c>
      <c r="G310" t="s">
        <v>9</v>
      </c>
      <c r="H310" t="s">
        <v>8</v>
      </c>
      <c r="I310" t="s">
        <v>6803</v>
      </c>
      <c r="J310" t="s">
        <v>6802</v>
      </c>
      <c r="K310" t="s">
        <v>6801</v>
      </c>
      <c r="L310" t="s">
        <v>6800</v>
      </c>
      <c r="M310" t="s">
        <v>183</v>
      </c>
      <c r="N310">
        <v>2</v>
      </c>
      <c r="O310" t="s">
        <v>6799</v>
      </c>
      <c r="P310" t="s">
        <v>6798</v>
      </c>
      <c r="Q310" t="s">
        <v>6797</v>
      </c>
      <c r="R310" s="7">
        <v>36861</v>
      </c>
      <c r="S310" s="8">
        <f t="shared" si="32"/>
        <v>2000</v>
      </c>
      <c r="T310" s="8">
        <v>2000</v>
      </c>
      <c r="U310" s="8">
        <f t="shared" si="33"/>
        <v>22</v>
      </c>
      <c r="V310" s="7">
        <v>2000</v>
      </c>
      <c r="W310" t="s">
        <v>6796</v>
      </c>
      <c r="X310" s="2">
        <v>1.022</v>
      </c>
      <c r="Y310" s="6">
        <f t="shared" si="34"/>
        <v>2.7281706307893543E-2</v>
      </c>
      <c r="AA310">
        <v>10636692</v>
      </c>
      <c r="AB310">
        <v>27237</v>
      </c>
      <c r="AD310" t="s">
        <v>3</v>
      </c>
      <c r="AE310">
        <v>8</v>
      </c>
      <c r="AF310">
        <v>3</v>
      </c>
      <c r="AH310" t="s">
        <v>6795</v>
      </c>
      <c r="AI310" t="s">
        <v>6794</v>
      </c>
      <c r="AJ310" t="s">
        <v>6793</v>
      </c>
      <c r="AK310" t="s">
        <v>6792</v>
      </c>
      <c r="AL310">
        <v>16</v>
      </c>
      <c r="AM310" s="5">
        <f t="shared" si="35"/>
        <v>0.72727272727272729</v>
      </c>
      <c r="AN310" s="4">
        <f t="shared" si="36"/>
        <v>1.1015111355891364E-3</v>
      </c>
      <c r="AO310" s="3"/>
      <c r="AP310">
        <v>0</v>
      </c>
      <c r="AR310" t="s">
        <v>1</v>
      </c>
      <c r="AT310" s="2" t="s">
        <v>0</v>
      </c>
      <c r="AU310" s="1">
        <f t="shared" si="37"/>
        <v>1.9427647756202222</v>
      </c>
      <c r="AV310" s="1">
        <f t="shared" si="38"/>
        <v>1.419160872174134</v>
      </c>
      <c r="AW310" s="1">
        <f t="shared" si="39"/>
        <v>0.8955569687280458</v>
      </c>
    </row>
    <row r="311" spans="1:49" x14ac:dyDescent="0.2">
      <c r="A311">
        <v>309</v>
      </c>
      <c r="B311" t="s">
        <v>6791</v>
      </c>
      <c r="C311" t="s">
        <v>6790</v>
      </c>
      <c r="F311" t="s">
        <v>6789</v>
      </c>
      <c r="G311" t="s">
        <v>9</v>
      </c>
      <c r="H311" t="s">
        <v>8</v>
      </c>
      <c r="I311" t="s">
        <v>6788</v>
      </c>
      <c r="J311">
        <v>60000145</v>
      </c>
      <c r="K311" t="s">
        <v>6787</v>
      </c>
      <c r="L311" t="s">
        <v>457</v>
      </c>
      <c r="M311" t="s">
        <v>317</v>
      </c>
      <c r="N311">
        <v>1</v>
      </c>
      <c r="O311" t="s">
        <v>6786</v>
      </c>
      <c r="P311">
        <v>6603595537</v>
      </c>
      <c r="Q311">
        <v>60000145</v>
      </c>
      <c r="R311" s="7">
        <v>36861</v>
      </c>
      <c r="S311" s="8">
        <f t="shared" si="32"/>
        <v>2000</v>
      </c>
      <c r="T311" s="8">
        <v>2000</v>
      </c>
      <c r="U311" s="8">
        <f t="shared" si="33"/>
        <v>22</v>
      </c>
      <c r="V311" s="7">
        <v>2000</v>
      </c>
      <c r="W311" t="s">
        <v>473</v>
      </c>
      <c r="X311" s="2">
        <v>0.88100000000000001</v>
      </c>
      <c r="Y311" s="6">
        <f t="shared" si="34"/>
        <v>2.3517791836843653E-2</v>
      </c>
      <c r="AA311">
        <v>10459243</v>
      </c>
      <c r="AB311">
        <v>17248</v>
      </c>
      <c r="AD311" t="s">
        <v>3</v>
      </c>
      <c r="AE311">
        <v>42</v>
      </c>
      <c r="AF311">
        <v>3</v>
      </c>
      <c r="AH311" t="s">
        <v>6785</v>
      </c>
      <c r="AI311" t="s">
        <v>6784</v>
      </c>
      <c r="AJ311" t="s">
        <v>6783</v>
      </c>
      <c r="AK311" t="s">
        <v>6782</v>
      </c>
      <c r="AL311">
        <v>31</v>
      </c>
      <c r="AM311" s="5">
        <f t="shared" si="35"/>
        <v>1.4090909090909092</v>
      </c>
      <c r="AN311" s="4">
        <f t="shared" si="36"/>
        <v>2.1341778252039517E-3</v>
      </c>
      <c r="AO311" s="3"/>
      <c r="AP311">
        <v>0</v>
      </c>
      <c r="AR311" t="s">
        <v>1</v>
      </c>
      <c r="AT311" s="2" t="s">
        <v>0</v>
      </c>
      <c r="AU311" s="1">
        <f t="shared" si="37"/>
        <v>1.7102707633351741</v>
      </c>
      <c r="AV311" s="1">
        <f t="shared" si="38"/>
        <v>1.2825984831023802</v>
      </c>
      <c r="AW311" s="1">
        <f t="shared" si="39"/>
        <v>0.8549262028695862</v>
      </c>
    </row>
    <row r="312" spans="1:49" x14ac:dyDescent="0.2">
      <c r="A312">
        <v>310</v>
      </c>
      <c r="B312" t="s">
        <v>6781</v>
      </c>
      <c r="C312" t="s">
        <v>6780</v>
      </c>
      <c r="D312" t="s">
        <v>6779</v>
      </c>
      <c r="F312" t="s">
        <v>6778</v>
      </c>
      <c r="G312" t="s">
        <v>9</v>
      </c>
      <c r="H312" t="s">
        <v>8</v>
      </c>
      <c r="I312" t="s">
        <v>6777</v>
      </c>
      <c r="J312">
        <v>60027550</v>
      </c>
      <c r="K312" t="s">
        <v>38</v>
      </c>
      <c r="L312" t="s">
        <v>37</v>
      </c>
      <c r="M312" t="s">
        <v>5</v>
      </c>
      <c r="N312">
        <v>5</v>
      </c>
      <c r="O312" t="s">
        <v>6776</v>
      </c>
      <c r="P312" t="s">
        <v>6775</v>
      </c>
      <c r="Q312" t="s">
        <v>6774</v>
      </c>
      <c r="R312" s="7">
        <v>36861</v>
      </c>
      <c r="S312" s="8">
        <f t="shared" si="32"/>
        <v>2000</v>
      </c>
      <c r="T312" s="8">
        <v>2000</v>
      </c>
      <c r="U312" s="8">
        <f t="shared" si="33"/>
        <v>22</v>
      </c>
      <c r="V312" s="7">
        <v>2000</v>
      </c>
      <c r="W312" t="s">
        <v>297</v>
      </c>
      <c r="X312" s="2">
        <v>1.3720000000000001</v>
      </c>
      <c r="Y312" s="6">
        <f t="shared" si="34"/>
        <v>3.662475641333654E-2</v>
      </c>
      <c r="AA312">
        <v>189480</v>
      </c>
      <c r="AB312">
        <v>17366</v>
      </c>
      <c r="AD312" t="s">
        <v>3</v>
      </c>
      <c r="AE312">
        <v>48</v>
      </c>
      <c r="AF312">
        <v>6</v>
      </c>
      <c r="AH312" t="s">
        <v>6773</v>
      </c>
      <c r="AI312" t="s">
        <v>6772</v>
      </c>
      <c r="AJ312" t="s">
        <v>6771</v>
      </c>
      <c r="AK312" t="s">
        <v>6770</v>
      </c>
      <c r="AL312">
        <v>298</v>
      </c>
      <c r="AM312" s="5">
        <f t="shared" si="35"/>
        <v>13.545454545454545</v>
      </c>
      <c r="AN312" s="4">
        <f t="shared" si="36"/>
        <v>2.0515644900347664E-2</v>
      </c>
      <c r="AO312" s="3"/>
      <c r="AP312">
        <v>0</v>
      </c>
      <c r="AR312" t="s">
        <v>6769</v>
      </c>
      <c r="AT312" s="2" t="s">
        <v>0</v>
      </c>
      <c r="AU312" s="1">
        <f t="shared" si="37"/>
        <v>3.1792022959439876</v>
      </c>
      <c r="AV312" s="1">
        <f t="shared" si="38"/>
        <v>2.8570200656842104</v>
      </c>
      <c r="AW312" s="1">
        <f t="shared" si="39"/>
        <v>2.5348378354244328</v>
      </c>
    </row>
    <row r="313" spans="1:49" x14ac:dyDescent="0.2">
      <c r="A313">
        <v>311</v>
      </c>
      <c r="B313" t="s">
        <v>6768</v>
      </c>
      <c r="C313" t="s">
        <v>6767</v>
      </c>
      <c r="D313" t="s">
        <v>6766</v>
      </c>
      <c r="F313" t="s">
        <v>6765</v>
      </c>
      <c r="G313" t="s">
        <v>9</v>
      </c>
      <c r="H313" t="s">
        <v>8</v>
      </c>
      <c r="I313" t="s">
        <v>888</v>
      </c>
      <c r="J313" t="s">
        <v>6764</v>
      </c>
      <c r="K313" t="s">
        <v>6763</v>
      </c>
      <c r="L313" t="s">
        <v>6762</v>
      </c>
      <c r="M313" t="s">
        <v>4695</v>
      </c>
      <c r="N313">
        <v>2</v>
      </c>
      <c r="O313" t="s">
        <v>6761</v>
      </c>
      <c r="P313" t="s">
        <v>6760</v>
      </c>
      <c r="Q313" t="s">
        <v>6759</v>
      </c>
      <c r="R313" s="7">
        <v>36861</v>
      </c>
      <c r="S313" s="8">
        <f t="shared" si="32"/>
        <v>2000</v>
      </c>
      <c r="T313" s="8">
        <v>2000</v>
      </c>
      <c r="U313" s="8">
        <f t="shared" si="33"/>
        <v>22</v>
      </c>
      <c r="V313" s="7">
        <v>2000</v>
      </c>
      <c r="W313" t="s">
        <v>221</v>
      </c>
      <c r="X313" s="2">
        <v>1.365</v>
      </c>
      <c r="Y313" s="6">
        <f t="shared" si="34"/>
        <v>3.6437895411227675E-2</v>
      </c>
      <c r="AA313">
        <v>189545</v>
      </c>
      <c r="AB313">
        <v>17393</v>
      </c>
      <c r="AD313" t="s">
        <v>3</v>
      </c>
      <c r="AE313">
        <v>49</v>
      </c>
      <c r="AF313">
        <v>4</v>
      </c>
      <c r="AH313" t="s">
        <v>6758</v>
      </c>
      <c r="AI313" t="s">
        <v>6757</v>
      </c>
      <c r="AJ313" t="s">
        <v>6756</v>
      </c>
      <c r="AK313" t="s">
        <v>6755</v>
      </c>
      <c r="AL313">
        <v>5</v>
      </c>
      <c r="AM313" s="5">
        <f t="shared" si="35"/>
        <v>0.22727272727272727</v>
      </c>
      <c r="AN313" s="4">
        <f t="shared" si="36"/>
        <v>3.4422222987160508E-4</v>
      </c>
      <c r="AO313" s="3"/>
      <c r="AP313">
        <v>0</v>
      </c>
      <c r="AR313" t="s">
        <v>1</v>
      </c>
      <c r="AT313" s="2" t="s">
        <v>0</v>
      </c>
      <c r="AU313" s="1">
        <f t="shared" si="37"/>
        <v>2.5609793456820853</v>
      </c>
      <c r="AV313" s="1">
        <f t="shared" si="38"/>
        <v>1.8391058820549639</v>
      </c>
      <c r="AW313" s="1">
        <f t="shared" si="39"/>
        <v>1.1172324184278426</v>
      </c>
    </row>
    <row r="314" spans="1:49" x14ac:dyDescent="0.2">
      <c r="A314">
        <v>312</v>
      </c>
      <c r="B314" t="s">
        <v>6754</v>
      </c>
      <c r="C314" t="s">
        <v>6753</v>
      </c>
      <c r="D314" t="s">
        <v>6752</v>
      </c>
      <c r="F314" t="s">
        <v>6751</v>
      </c>
      <c r="G314" t="s">
        <v>9</v>
      </c>
      <c r="H314" t="s">
        <v>8</v>
      </c>
      <c r="I314" t="s">
        <v>6750</v>
      </c>
      <c r="J314">
        <v>60031126</v>
      </c>
      <c r="K314" t="s">
        <v>500</v>
      </c>
      <c r="L314" t="s">
        <v>163</v>
      </c>
      <c r="M314" t="s">
        <v>43</v>
      </c>
      <c r="N314">
        <v>1</v>
      </c>
      <c r="O314" t="s">
        <v>6749</v>
      </c>
      <c r="P314">
        <v>7006377339</v>
      </c>
      <c r="Q314">
        <v>60031126</v>
      </c>
      <c r="R314" s="7">
        <v>36861</v>
      </c>
      <c r="S314" s="8">
        <f t="shared" si="32"/>
        <v>2000</v>
      </c>
      <c r="T314" s="8">
        <v>2000</v>
      </c>
      <c r="U314" s="8">
        <f t="shared" si="33"/>
        <v>22</v>
      </c>
      <c r="V314" s="7">
        <v>2000</v>
      </c>
      <c r="W314" t="s">
        <v>221</v>
      </c>
      <c r="X314" s="2">
        <v>1.365</v>
      </c>
      <c r="Y314" s="6">
        <f t="shared" si="34"/>
        <v>3.6437895411227675E-2</v>
      </c>
      <c r="AA314">
        <v>189545</v>
      </c>
      <c r="AB314">
        <v>17393</v>
      </c>
      <c r="AD314" t="s">
        <v>3</v>
      </c>
      <c r="AE314">
        <v>49</v>
      </c>
      <c r="AF314">
        <v>4</v>
      </c>
      <c r="AH314" t="s">
        <v>6748</v>
      </c>
      <c r="AI314" t="s">
        <v>6747</v>
      </c>
      <c r="AJ314" t="s">
        <v>6746</v>
      </c>
      <c r="AK314" t="s">
        <v>6745</v>
      </c>
      <c r="AL314">
        <v>8</v>
      </c>
      <c r="AM314" s="5">
        <f t="shared" si="35"/>
        <v>0.36363636363636365</v>
      </c>
      <c r="AN314" s="4">
        <f t="shared" si="36"/>
        <v>5.5075556779456819E-4</v>
      </c>
      <c r="AO314" s="3"/>
      <c r="AP314">
        <v>0</v>
      </c>
      <c r="AR314" t="s">
        <v>1</v>
      </c>
      <c r="AT314" s="2" t="s">
        <v>0</v>
      </c>
      <c r="AU314" s="1">
        <f t="shared" si="37"/>
        <v>2.5671753458197739</v>
      </c>
      <c r="AV314" s="1">
        <f t="shared" si="38"/>
        <v>1.8494325489511121</v>
      </c>
      <c r="AW314" s="1">
        <f t="shared" si="39"/>
        <v>1.1316897520824498</v>
      </c>
    </row>
    <row r="315" spans="1:49" x14ac:dyDescent="0.2">
      <c r="A315">
        <v>313</v>
      </c>
      <c r="B315" t="s">
        <v>6744</v>
      </c>
      <c r="C315" t="s">
        <v>6743</v>
      </c>
      <c r="D315" t="s">
        <v>6742</v>
      </c>
      <c r="F315" t="s">
        <v>6741</v>
      </c>
      <c r="G315" t="s">
        <v>9</v>
      </c>
      <c r="H315" t="s">
        <v>8</v>
      </c>
      <c r="I315" t="s">
        <v>6740</v>
      </c>
      <c r="J315" t="s">
        <v>6739</v>
      </c>
      <c r="K315" t="s">
        <v>6738</v>
      </c>
      <c r="L315" t="s">
        <v>6737</v>
      </c>
      <c r="M315" t="s">
        <v>760</v>
      </c>
      <c r="N315">
        <v>4</v>
      </c>
      <c r="O315" t="s">
        <v>6736</v>
      </c>
      <c r="P315" t="s">
        <v>6735</v>
      </c>
      <c r="Q315" t="s">
        <v>6734</v>
      </c>
      <c r="R315" s="7">
        <v>36861</v>
      </c>
      <c r="S315" s="8">
        <f t="shared" si="32"/>
        <v>2000</v>
      </c>
      <c r="T315" s="8">
        <v>2000</v>
      </c>
      <c r="U315" s="8">
        <f t="shared" si="33"/>
        <v>22</v>
      </c>
      <c r="V315" s="7">
        <v>2000</v>
      </c>
      <c r="W315" t="s">
        <v>291</v>
      </c>
      <c r="X315" s="2">
        <v>1.6519999999999999</v>
      </c>
      <c r="Y315" s="6">
        <f t="shared" si="34"/>
        <v>4.409919649769093E-2</v>
      </c>
      <c r="AA315" t="s">
        <v>290</v>
      </c>
      <c r="AB315">
        <v>17337</v>
      </c>
      <c r="AD315" t="s">
        <v>3</v>
      </c>
      <c r="AE315">
        <v>48</v>
      </c>
      <c r="AF315">
        <v>5</v>
      </c>
      <c r="AH315" t="s">
        <v>6733</v>
      </c>
      <c r="AI315" t="s">
        <v>6732</v>
      </c>
      <c r="AJ315" t="s">
        <v>6731</v>
      </c>
      <c r="AK315" t="s">
        <v>6730</v>
      </c>
      <c r="AL315">
        <v>91</v>
      </c>
      <c r="AM315" s="5">
        <f t="shared" si="35"/>
        <v>4.1363636363636367</v>
      </c>
      <c r="AN315" s="4">
        <f t="shared" si="36"/>
        <v>6.2648445836632136E-3</v>
      </c>
      <c r="AO315" s="3"/>
      <c r="AP315">
        <v>0</v>
      </c>
      <c r="AQ315" t="s">
        <v>36</v>
      </c>
      <c r="AR315" t="s">
        <v>6729</v>
      </c>
      <c r="AS315" t="s">
        <v>35</v>
      </c>
      <c r="AT315" s="2" t="s">
        <v>0</v>
      </c>
      <c r="AU315" s="1">
        <f t="shared" si="37"/>
        <v>3.2748890923482614</v>
      </c>
      <c r="AV315" s="1">
        <f t="shared" si="38"/>
        <v>2.5182020540677073</v>
      </c>
      <c r="AW315" s="1">
        <f t="shared" si="39"/>
        <v>1.7615150157871529</v>
      </c>
    </row>
    <row r="316" spans="1:49" x14ac:dyDescent="0.2">
      <c r="A316">
        <v>314</v>
      </c>
      <c r="B316" t="s">
        <v>6728</v>
      </c>
      <c r="C316" t="s">
        <v>6727</v>
      </c>
      <c r="D316" t="s">
        <v>6726</v>
      </c>
      <c r="F316" t="s">
        <v>6725</v>
      </c>
      <c r="G316" t="s">
        <v>9</v>
      </c>
      <c r="H316" t="s">
        <v>8</v>
      </c>
      <c r="I316" t="s">
        <v>6724</v>
      </c>
      <c r="J316" t="s">
        <v>6723</v>
      </c>
      <c r="K316" t="s">
        <v>6722</v>
      </c>
      <c r="L316" t="s">
        <v>6721</v>
      </c>
      <c r="M316" t="s">
        <v>28</v>
      </c>
      <c r="N316">
        <v>4</v>
      </c>
      <c r="O316" t="s">
        <v>6720</v>
      </c>
      <c r="P316" t="s">
        <v>6719</v>
      </c>
      <c r="Q316" t="s">
        <v>6718</v>
      </c>
      <c r="R316" s="7">
        <v>36861</v>
      </c>
      <c r="S316" s="8">
        <f t="shared" si="32"/>
        <v>2000</v>
      </c>
      <c r="T316" s="8">
        <v>2000</v>
      </c>
      <c r="U316" s="8">
        <f t="shared" si="33"/>
        <v>22</v>
      </c>
      <c r="V316" s="7">
        <v>2000</v>
      </c>
      <c r="W316" t="s">
        <v>291</v>
      </c>
      <c r="X316" s="2">
        <v>1.6519999999999999</v>
      </c>
      <c r="Y316" s="6">
        <f t="shared" si="34"/>
        <v>4.409919649769093E-2</v>
      </c>
      <c r="AA316" t="s">
        <v>290</v>
      </c>
      <c r="AB316">
        <v>17337</v>
      </c>
      <c r="AD316" t="s">
        <v>3</v>
      </c>
      <c r="AE316">
        <v>48</v>
      </c>
      <c r="AF316">
        <v>5</v>
      </c>
      <c r="AH316" t="s">
        <v>6717</v>
      </c>
      <c r="AI316" t="s">
        <v>6716</v>
      </c>
      <c r="AJ316" t="s">
        <v>6715</v>
      </c>
      <c r="AK316" t="s">
        <v>6714</v>
      </c>
      <c r="AL316">
        <v>9</v>
      </c>
      <c r="AM316" s="5">
        <f t="shared" si="35"/>
        <v>0.40909090909090912</v>
      </c>
      <c r="AN316" s="4">
        <f t="shared" si="36"/>
        <v>6.1960001376888923E-4</v>
      </c>
      <c r="AO316" s="3"/>
      <c r="AP316">
        <v>0</v>
      </c>
      <c r="AQ316" t="s">
        <v>210</v>
      </c>
      <c r="AR316" t="s">
        <v>6713</v>
      </c>
      <c r="AS316" t="s">
        <v>209</v>
      </c>
      <c r="AT316" s="2" t="s">
        <v>0</v>
      </c>
      <c r="AU316" s="1">
        <f t="shared" si="37"/>
        <v>3.1055317552514317</v>
      </c>
      <c r="AV316" s="1">
        <f t="shared" si="38"/>
        <v>2.235939825572991</v>
      </c>
      <c r="AW316" s="1">
        <f t="shared" si="39"/>
        <v>1.3663478958945501</v>
      </c>
    </row>
    <row r="317" spans="1:49" x14ac:dyDescent="0.2">
      <c r="A317">
        <v>315</v>
      </c>
      <c r="B317" t="s">
        <v>6712</v>
      </c>
      <c r="C317" t="s">
        <v>6711</v>
      </c>
      <c r="D317" t="s">
        <v>6710</v>
      </c>
      <c r="F317" t="s">
        <v>6709</v>
      </c>
      <c r="G317" t="s">
        <v>9</v>
      </c>
      <c r="H317" t="s">
        <v>8</v>
      </c>
      <c r="I317" t="s">
        <v>6708</v>
      </c>
      <c r="J317" t="s">
        <v>6707</v>
      </c>
      <c r="K317" t="s">
        <v>6706</v>
      </c>
      <c r="L317" t="s">
        <v>6705</v>
      </c>
      <c r="M317" t="s">
        <v>760</v>
      </c>
      <c r="N317">
        <v>3</v>
      </c>
      <c r="O317" t="s">
        <v>6704</v>
      </c>
      <c r="P317" t="s">
        <v>6703</v>
      </c>
      <c r="Q317" t="s">
        <v>6702</v>
      </c>
      <c r="R317" s="7">
        <v>36861</v>
      </c>
      <c r="S317" s="8">
        <f t="shared" si="32"/>
        <v>2000</v>
      </c>
      <c r="T317" s="8">
        <v>2000</v>
      </c>
      <c r="U317" s="8">
        <f t="shared" si="33"/>
        <v>22</v>
      </c>
      <c r="V317" s="7">
        <v>2000</v>
      </c>
      <c r="W317" t="s">
        <v>291</v>
      </c>
      <c r="X317" s="2">
        <v>1.6519999999999999</v>
      </c>
      <c r="Y317" s="6">
        <f t="shared" si="34"/>
        <v>4.409919649769093E-2</v>
      </c>
      <c r="AA317" t="s">
        <v>290</v>
      </c>
      <c r="AB317">
        <v>17337</v>
      </c>
      <c r="AD317" t="s">
        <v>3</v>
      </c>
      <c r="AE317">
        <v>48</v>
      </c>
      <c r="AF317">
        <v>5</v>
      </c>
      <c r="AH317" t="s">
        <v>6701</v>
      </c>
      <c r="AI317" t="s">
        <v>6700</v>
      </c>
      <c r="AJ317" t="s">
        <v>6699</v>
      </c>
      <c r="AK317" t="s">
        <v>6698</v>
      </c>
      <c r="AL317">
        <v>40</v>
      </c>
      <c r="AM317" s="5">
        <f t="shared" si="35"/>
        <v>1.8181818181818181</v>
      </c>
      <c r="AN317" s="4">
        <f t="shared" si="36"/>
        <v>2.7537778389728406E-3</v>
      </c>
      <c r="AO317" s="3"/>
      <c r="AP317">
        <v>0</v>
      </c>
      <c r="AQ317" t="s">
        <v>6635</v>
      </c>
      <c r="AR317" t="s">
        <v>408</v>
      </c>
      <c r="AS317" t="s">
        <v>6633</v>
      </c>
      <c r="AT317" s="2" t="s">
        <v>0</v>
      </c>
      <c r="AU317" s="1">
        <f t="shared" si="37"/>
        <v>3.16955709000755</v>
      </c>
      <c r="AV317" s="1">
        <f t="shared" si="38"/>
        <v>2.3426487168331884</v>
      </c>
      <c r="AW317" s="1">
        <f t="shared" si="39"/>
        <v>1.5157403436588268</v>
      </c>
    </row>
    <row r="318" spans="1:49" x14ac:dyDescent="0.2">
      <c r="A318">
        <v>316</v>
      </c>
      <c r="B318" t="s">
        <v>6697</v>
      </c>
      <c r="C318" t="s">
        <v>6696</v>
      </c>
      <c r="D318" t="s">
        <v>6695</v>
      </c>
      <c r="F318" t="s">
        <v>6694</v>
      </c>
      <c r="G318" t="s">
        <v>9</v>
      </c>
      <c r="H318" t="s">
        <v>8</v>
      </c>
      <c r="I318" t="s">
        <v>6693</v>
      </c>
      <c r="J318" t="s">
        <v>6692</v>
      </c>
      <c r="K318" t="s">
        <v>6691</v>
      </c>
      <c r="L318" t="s">
        <v>6690</v>
      </c>
      <c r="M318" t="s">
        <v>28</v>
      </c>
      <c r="N318">
        <v>3</v>
      </c>
      <c r="O318" t="s">
        <v>6689</v>
      </c>
      <c r="P318" t="s">
        <v>6688</v>
      </c>
      <c r="Q318" t="s">
        <v>6687</v>
      </c>
      <c r="R318" s="7">
        <v>36861</v>
      </c>
      <c r="S318" s="8">
        <f t="shared" si="32"/>
        <v>2000</v>
      </c>
      <c r="T318" s="8">
        <v>2000</v>
      </c>
      <c r="U318" s="8">
        <f t="shared" si="33"/>
        <v>22</v>
      </c>
      <c r="V318" s="7">
        <v>2000</v>
      </c>
      <c r="W318" t="s">
        <v>291</v>
      </c>
      <c r="X318" s="2">
        <v>1.6519999999999999</v>
      </c>
      <c r="Y318" s="6">
        <f t="shared" si="34"/>
        <v>4.409919649769093E-2</v>
      </c>
      <c r="AA318" t="s">
        <v>290</v>
      </c>
      <c r="AB318">
        <v>17337</v>
      </c>
      <c r="AD318" t="s">
        <v>3</v>
      </c>
      <c r="AE318">
        <v>48</v>
      </c>
      <c r="AF318">
        <v>5</v>
      </c>
      <c r="AH318" t="s">
        <v>6686</v>
      </c>
      <c r="AI318" t="s">
        <v>6685</v>
      </c>
      <c r="AJ318" t="s">
        <v>6684</v>
      </c>
      <c r="AK318" t="s">
        <v>6683</v>
      </c>
      <c r="AL318">
        <v>158</v>
      </c>
      <c r="AM318" s="5">
        <f t="shared" si="35"/>
        <v>7.1818181818181817</v>
      </c>
      <c r="AN318" s="4">
        <f t="shared" si="36"/>
        <v>1.087742246394272E-2</v>
      </c>
      <c r="AO318" s="3"/>
      <c r="AP318">
        <v>0</v>
      </c>
      <c r="AR318" t="s">
        <v>1</v>
      </c>
      <c r="AT318" s="2" t="s">
        <v>0</v>
      </c>
      <c r="AU318" s="1">
        <f t="shared" si="37"/>
        <v>3.4132664287566463</v>
      </c>
      <c r="AV318" s="1">
        <f t="shared" si="38"/>
        <v>2.7488309480816828</v>
      </c>
      <c r="AW318" s="1">
        <f t="shared" si="39"/>
        <v>2.084395467406718</v>
      </c>
    </row>
    <row r="319" spans="1:49" x14ac:dyDescent="0.2">
      <c r="A319">
        <v>317</v>
      </c>
      <c r="B319" t="s">
        <v>6682</v>
      </c>
      <c r="C319" t="s">
        <v>6681</v>
      </c>
      <c r="D319" t="s">
        <v>6680</v>
      </c>
      <c r="F319" t="s">
        <v>6679</v>
      </c>
      <c r="G319" t="s">
        <v>9</v>
      </c>
      <c r="H319" t="s">
        <v>8</v>
      </c>
      <c r="I319" t="s">
        <v>6678</v>
      </c>
      <c r="J319">
        <v>60009037</v>
      </c>
      <c r="K319" t="s">
        <v>313</v>
      </c>
      <c r="L319" t="s">
        <v>312</v>
      </c>
      <c r="M319" t="s">
        <v>5</v>
      </c>
      <c r="N319">
        <v>6</v>
      </c>
      <c r="O319" t="s">
        <v>6677</v>
      </c>
      <c r="P319" t="s">
        <v>6676</v>
      </c>
      <c r="Q319" t="s">
        <v>501</v>
      </c>
      <c r="R319" s="7">
        <v>36861</v>
      </c>
      <c r="S319" s="8">
        <f t="shared" si="32"/>
        <v>2000</v>
      </c>
      <c r="T319" s="8">
        <v>2000</v>
      </c>
      <c r="U319" s="8">
        <f t="shared" si="33"/>
        <v>22</v>
      </c>
      <c r="V319" s="7">
        <v>2000</v>
      </c>
      <c r="W319" t="s">
        <v>297</v>
      </c>
      <c r="X319" s="2">
        <v>1.3720000000000001</v>
      </c>
      <c r="Y319" s="6">
        <f t="shared" si="34"/>
        <v>3.662475641333654E-2</v>
      </c>
      <c r="AA319">
        <v>189480</v>
      </c>
      <c r="AB319">
        <v>17366</v>
      </c>
      <c r="AD319" t="s">
        <v>3</v>
      </c>
      <c r="AE319">
        <v>48</v>
      </c>
      <c r="AF319" t="s">
        <v>6675</v>
      </c>
      <c r="AH319" t="s">
        <v>6674</v>
      </c>
      <c r="AI319" t="s">
        <v>6673</v>
      </c>
      <c r="AJ319" t="s">
        <v>6672</v>
      </c>
      <c r="AK319" t="s">
        <v>6671</v>
      </c>
      <c r="AL319">
        <v>66</v>
      </c>
      <c r="AM319" s="5">
        <f t="shared" si="35"/>
        <v>3</v>
      </c>
      <c r="AN319" s="4">
        <f t="shared" si="36"/>
        <v>4.5437334343051876E-3</v>
      </c>
      <c r="AO319" s="3"/>
      <c r="AP319">
        <v>0</v>
      </c>
      <c r="AQ319" t="s">
        <v>311</v>
      </c>
      <c r="AR319" t="s">
        <v>1</v>
      </c>
      <c r="AS319" t="s">
        <v>310</v>
      </c>
      <c r="AT319" s="2" t="s">
        <v>0</v>
      </c>
      <c r="AU319" s="1">
        <f t="shared" si="37"/>
        <v>2.7000449519627132</v>
      </c>
      <c r="AV319" s="1">
        <f t="shared" si="38"/>
        <v>2.0584244923820867</v>
      </c>
      <c r="AW319" s="1">
        <f t="shared" si="39"/>
        <v>1.4168040328014595</v>
      </c>
    </row>
    <row r="320" spans="1:49" x14ac:dyDescent="0.2">
      <c r="A320">
        <v>318</v>
      </c>
      <c r="B320" t="s">
        <v>6670</v>
      </c>
      <c r="C320" t="s">
        <v>6669</v>
      </c>
      <c r="D320" t="s">
        <v>6668</v>
      </c>
      <c r="F320" t="s">
        <v>6667</v>
      </c>
      <c r="G320" t="s">
        <v>9</v>
      </c>
      <c r="H320" t="s">
        <v>8</v>
      </c>
      <c r="I320" t="s">
        <v>77</v>
      </c>
      <c r="J320">
        <v>60003003</v>
      </c>
      <c r="K320" t="s">
        <v>654</v>
      </c>
      <c r="L320" t="s">
        <v>76</v>
      </c>
      <c r="M320" t="s">
        <v>53</v>
      </c>
      <c r="N320">
        <v>2</v>
      </c>
      <c r="O320" t="s">
        <v>6666</v>
      </c>
      <c r="P320" t="s">
        <v>6665</v>
      </c>
      <c r="Q320" t="s">
        <v>653</v>
      </c>
      <c r="R320" s="7">
        <v>36861</v>
      </c>
      <c r="S320" s="8">
        <f t="shared" si="32"/>
        <v>2000</v>
      </c>
      <c r="T320" s="8">
        <v>2000</v>
      </c>
      <c r="U320" s="8">
        <f t="shared" si="33"/>
        <v>22</v>
      </c>
      <c r="V320" s="7">
        <v>2000</v>
      </c>
      <c r="W320" t="s">
        <v>297</v>
      </c>
      <c r="X320" s="2">
        <v>1.3720000000000001</v>
      </c>
      <c r="Y320" s="6">
        <f t="shared" si="34"/>
        <v>3.662475641333654E-2</v>
      </c>
      <c r="AA320">
        <v>189480</v>
      </c>
      <c r="AB320">
        <v>17366</v>
      </c>
      <c r="AD320" t="s">
        <v>3</v>
      </c>
      <c r="AE320">
        <v>48</v>
      </c>
      <c r="AF320" t="s">
        <v>6653</v>
      </c>
      <c r="AH320" t="s">
        <v>6664</v>
      </c>
      <c r="AI320" t="s">
        <v>6663</v>
      </c>
      <c r="AJ320" t="s">
        <v>6662</v>
      </c>
      <c r="AK320" t="s">
        <v>6661</v>
      </c>
      <c r="AL320">
        <v>27</v>
      </c>
      <c r="AM320" s="5">
        <f t="shared" si="35"/>
        <v>1.2272727272727273</v>
      </c>
      <c r="AN320" s="4">
        <f t="shared" si="36"/>
        <v>1.8588000413066676E-3</v>
      </c>
      <c r="AO320" s="3"/>
      <c r="AP320">
        <v>0</v>
      </c>
      <c r="AR320" t="s">
        <v>1</v>
      </c>
      <c r="AT320" s="2" t="s">
        <v>0</v>
      </c>
      <c r="AU320" s="1">
        <f t="shared" si="37"/>
        <v>2.6194969501727576</v>
      </c>
      <c r="AV320" s="1">
        <f t="shared" si="38"/>
        <v>1.9241778227321604</v>
      </c>
      <c r="AW320" s="1">
        <f t="shared" si="39"/>
        <v>1.228858695291563</v>
      </c>
    </row>
    <row r="321" spans="1:49" x14ac:dyDescent="0.2">
      <c r="A321">
        <v>319</v>
      </c>
      <c r="B321" t="s">
        <v>6660</v>
      </c>
      <c r="C321" t="s">
        <v>6659</v>
      </c>
      <c r="D321" t="s">
        <v>6658</v>
      </c>
      <c r="F321" t="s">
        <v>6657</v>
      </c>
      <c r="G321" t="s">
        <v>9</v>
      </c>
      <c r="H321" t="s">
        <v>8</v>
      </c>
      <c r="I321" t="s">
        <v>6656</v>
      </c>
      <c r="J321">
        <v>60007592</v>
      </c>
      <c r="K321" t="s">
        <v>111</v>
      </c>
      <c r="L321" t="s">
        <v>110</v>
      </c>
      <c r="M321" t="s">
        <v>109</v>
      </c>
      <c r="N321">
        <v>4</v>
      </c>
      <c r="O321" t="s">
        <v>6655</v>
      </c>
      <c r="P321" t="s">
        <v>6654</v>
      </c>
      <c r="Q321" t="s">
        <v>873</v>
      </c>
      <c r="R321" s="7">
        <v>36861</v>
      </c>
      <c r="S321" s="8">
        <f t="shared" si="32"/>
        <v>2000</v>
      </c>
      <c r="T321" s="8">
        <v>2000</v>
      </c>
      <c r="U321" s="8">
        <f t="shared" si="33"/>
        <v>22</v>
      </c>
      <c r="V321" s="7">
        <v>2000</v>
      </c>
      <c r="W321" t="s">
        <v>297</v>
      </c>
      <c r="X321" s="2">
        <v>1.3720000000000001</v>
      </c>
      <c r="Y321" s="6">
        <f t="shared" si="34"/>
        <v>3.662475641333654E-2</v>
      </c>
      <c r="AA321">
        <v>189480</v>
      </c>
      <c r="AB321">
        <v>17366</v>
      </c>
      <c r="AD321" t="s">
        <v>3</v>
      </c>
      <c r="AE321">
        <v>48</v>
      </c>
      <c r="AF321" t="s">
        <v>6653</v>
      </c>
      <c r="AH321" t="s">
        <v>6652</v>
      </c>
      <c r="AI321" t="s">
        <v>6651</v>
      </c>
      <c r="AJ321" t="s">
        <v>6650</v>
      </c>
      <c r="AK321" t="s">
        <v>6649</v>
      </c>
      <c r="AL321">
        <v>37</v>
      </c>
      <c r="AM321" s="5">
        <f t="shared" si="35"/>
        <v>1.6818181818181819</v>
      </c>
      <c r="AN321" s="4">
        <f t="shared" si="36"/>
        <v>2.547244501049878E-3</v>
      </c>
      <c r="AO321" s="3"/>
      <c r="AP321">
        <v>0</v>
      </c>
      <c r="AQ321" t="s">
        <v>304</v>
      </c>
      <c r="AR321" t="s">
        <v>303</v>
      </c>
      <c r="AS321" t="s">
        <v>302</v>
      </c>
      <c r="AT321" s="2" t="s">
        <v>0</v>
      </c>
      <c r="AU321" s="1">
        <f t="shared" si="37"/>
        <v>2.6401502839650539</v>
      </c>
      <c r="AV321" s="1">
        <f t="shared" si="38"/>
        <v>1.9586000457193209</v>
      </c>
      <c r="AW321" s="1">
        <f t="shared" si="39"/>
        <v>1.2770498074735877</v>
      </c>
    </row>
    <row r="322" spans="1:49" x14ac:dyDescent="0.2">
      <c r="A322">
        <v>320</v>
      </c>
      <c r="B322" t="s">
        <v>6648</v>
      </c>
      <c r="C322" t="s">
        <v>6647</v>
      </c>
      <c r="D322" t="s">
        <v>6646</v>
      </c>
      <c r="F322" t="s">
        <v>6645</v>
      </c>
      <c r="G322" t="s">
        <v>9</v>
      </c>
      <c r="H322" t="s">
        <v>8</v>
      </c>
      <c r="I322" t="s">
        <v>6644</v>
      </c>
      <c r="J322">
        <v>60009780</v>
      </c>
      <c r="K322" t="s">
        <v>6643</v>
      </c>
      <c r="L322" t="s">
        <v>6642</v>
      </c>
      <c r="M322" t="s">
        <v>109</v>
      </c>
      <c r="N322">
        <v>2</v>
      </c>
      <c r="O322" t="s">
        <v>6641</v>
      </c>
      <c r="P322" t="s">
        <v>6640</v>
      </c>
      <c r="Q322" t="s">
        <v>6639</v>
      </c>
      <c r="R322" s="7">
        <v>36861</v>
      </c>
      <c r="S322" s="8">
        <f t="shared" ref="S322:S385" si="40">YEAR(R322)</f>
        <v>2000</v>
      </c>
      <c r="T322" s="8">
        <v>2000</v>
      </c>
      <c r="U322" s="8">
        <f t="shared" ref="U322:U385" si="41">2022-T322</f>
        <v>22</v>
      </c>
      <c r="V322" s="7">
        <v>2000</v>
      </c>
      <c r="W322" t="s">
        <v>221</v>
      </c>
      <c r="X322" s="2">
        <v>1.365</v>
      </c>
      <c r="Y322" s="6">
        <f t="shared" ref="Y322:Y385" si="42">(X322-$Z$3)/($Z$2-$Z$3)</f>
        <v>3.6437895411227675E-2</v>
      </c>
      <c r="AA322">
        <v>189545</v>
      </c>
      <c r="AB322">
        <v>17393</v>
      </c>
      <c r="AD322" t="s">
        <v>3</v>
      </c>
      <c r="AE322">
        <v>49</v>
      </c>
      <c r="AF322">
        <v>2</v>
      </c>
      <c r="AH322" t="s">
        <v>6638</v>
      </c>
      <c r="AI322" t="s">
        <v>6637</v>
      </c>
      <c r="AK322" t="s">
        <v>6636</v>
      </c>
      <c r="AL322">
        <v>6</v>
      </c>
      <c r="AM322" s="5">
        <f t="shared" ref="AM322:AM385" si="43">AL322/U322</f>
        <v>0.27272727272727271</v>
      </c>
      <c r="AN322" s="4">
        <f t="shared" ref="AN322:AN385" si="44">(AM322-$AO$3)/($AO$2-$AO$3)</f>
        <v>4.1306667584592612E-4</v>
      </c>
      <c r="AO322" s="3"/>
      <c r="AP322">
        <v>0</v>
      </c>
      <c r="AQ322" t="s">
        <v>6635</v>
      </c>
      <c r="AR322" t="s">
        <v>6634</v>
      </c>
      <c r="AS322" t="s">
        <v>6633</v>
      </c>
      <c r="AT322" s="2" t="s">
        <v>0</v>
      </c>
      <c r="AU322" s="1">
        <f t="shared" ref="AU322:AU385" si="45">(Y322*0.7+AN322*0.3)*100</f>
        <v>2.5630446790613148</v>
      </c>
      <c r="AV322" s="1">
        <f t="shared" ref="AV322:AV385" si="46">(Y322*0.5+AN322*0.5)*100</f>
        <v>1.84254810435368</v>
      </c>
      <c r="AW322" s="1">
        <f t="shared" ref="AW322:AW385" si="47">(Y322*0.3+AN322*0.7)*100</f>
        <v>1.1220515296460449</v>
      </c>
    </row>
    <row r="323" spans="1:49" x14ac:dyDescent="0.2">
      <c r="A323">
        <v>321</v>
      </c>
      <c r="B323" t="s">
        <v>6632</v>
      </c>
      <c r="C323" t="s">
        <v>6631</v>
      </c>
      <c r="D323" t="s">
        <v>6630</v>
      </c>
      <c r="F323" t="s">
        <v>6629</v>
      </c>
      <c r="G323" t="s">
        <v>9</v>
      </c>
      <c r="H323" t="s">
        <v>8</v>
      </c>
      <c r="I323" t="s">
        <v>6628</v>
      </c>
      <c r="J323">
        <v>60022134</v>
      </c>
      <c r="K323" t="s">
        <v>836</v>
      </c>
      <c r="L323" t="s">
        <v>835</v>
      </c>
      <c r="M323" t="s">
        <v>615</v>
      </c>
      <c r="N323">
        <v>3</v>
      </c>
      <c r="O323" t="s">
        <v>6627</v>
      </c>
      <c r="P323" t="s">
        <v>6626</v>
      </c>
      <c r="Q323" t="s">
        <v>6625</v>
      </c>
      <c r="R323" s="7">
        <v>36861</v>
      </c>
      <c r="S323" s="8">
        <f t="shared" si="40"/>
        <v>2000</v>
      </c>
      <c r="T323" s="8">
        <v>2000</v>
      </c>
      <c r="U323" s="8">
        <f t="shared" si="41"/>
        <v>22</v>
      </c>
      <c r="V323" s="7">
        <v>2000</v>
      </c>
      <c r="W323" t="s">
        <v>221</v>
      </c>
      <c r="X323" s="2">
        <v>1.365</v>
      </c>
      <c r="Y323" s="6">
        <f t="shared" si="42"/>
        <v>3.6437895411227675E-2</v>
      </c>
      <c r="AA323">
        <v>189545</v>
      </c>
      <c r="AB323">
        <v>17393</v>
      </c>
      <c r="AD323" t="s">
        <v>3</v>
      </c>
      <c r="AE323">
        <v>49</v>
      </c>
      <c r="AF323">
        <v>2</v>
      </c>
      <c r="AH323" t="s">
        <v>6624</v>
      </c>
      <c r="AI323" t="s">
        <v>6623</v>
      </c>
      <c r="AJ323" t="s">
        <v>6622</v>
      </c>
      <c r="AK323" t="s">
        <v>6621</v>
      </c>
      <c r="AL323">
        <v>522</v>
      </c>
      <c r="AM323" s="5">
        <f t="shared" si="43"/>
        <v>23.727272727272727</v>
      </c>
      <c r="AN323" s="4">
        <f t="shared" si="44"/>
        <v>3.593680079859557E-2</v>
      </c>
      <c r="AO323" s="3"/>
      <c r="AP323">
        <v>0</v>
      </c>
      <c r="AQ323" t="s">
        <v>6522</v>
      </c>
      <c r="AR323" t="s">
        <v>1</v>
      </c>
      <c r="AS323" t="s">
        <v>1517</v>
      </c>
      <c r="AT323" s="2" t="s">
        <v>0</v>
      </c>
      <c r="AU323" s="1">
        <f t="shared" si="45"/>
        <v>3.6287567027438037</v>
      </c>
      <c r="AV323" s="1">
        <f t="shared" si="46"/>
        <v>3.6187348104911621</v>
      </c>
      <c r="AW323" s="1">
        <f t="shared" si="47"/>
        <v>3.60871291823852</v>
      </c>
    </row>
    <row r="324" spans="1:49" x14ac:dyDescent="0.2">
      <c r="A324">
        <v>322</v>
      </c>
      <c r="B324" t="s">
        <v>6620</v>
      </c>
      <c r="C324" t="s">
        <v>6619</v>
      </c>
      <c r="D324" t="s">
        <v>6618</v>
      </c>
      <c r="F324" t="s">
        <v>6617</v>
      </c>
      <c r="G324" t="s">
        <v>9</v>
      </c>
      <c r="H324" t="s">
        <v>8</v>
      </c>
      <c r="I324" t="s">
        <v>6616</v>
      </c>
      <c r="J324">
        <v>60012370</v>
      </c>
      <c r="K324" t="s">
        <v>688</v>
      </c>
      <c r="L324" t="s">
        <v>580</v>
      </c>
      <c r="M324" t="s">
        <v>214</v>
      </c>
      <c r="N324">
        <v>4</v>
      </c>
      <c r="O324" t="s">
        <v>6615</v>
      </c>
      <c r="P324" t="s">
        <v>6614</v>
      </c>
      <c r="Q324" t="s">
        <v>6613</v>
      </c>
      <c r="R324" s="7">
        <v>36861</v>
      </c>
      <c r="S324" s="8">
        <f t="shared" si="40"/>
        <v>2000</v>
      </c>
      <c r="T324" s="8">
        <v>2000</v>
      </c>
      <c r="U324" s="8">
        <f t="shared" si="41"/>
        <v>22</v>
      </c>
      <c r="V324" s="7">
        <v>2000</v>
      </c>
      <c r="W324" t="s">
        <v>221</v>
      </c>
      <c r="X324" s="2">
        <v>1.365</v>
      </c>
      <c r="Y324" s="6">
        <f t="shared" si="42"/>
        <v>3.6437895411227675E-2</v>
      </c>
      <c r="AA324">
        <v>189545</v>
      </c>
      <c r="AB324">
        <v>17393</v>
      </c>
      <c r="AD324" t="s">
        <v>3</v>
      </c>
      <c r="AE324">
        <v>49</v>
      </c>
      <c r="AF324">
        <v>2</v>
      </c>
      <c r="AH324" t="s">
        <v>6612</v>
      </c>
      <c r="AI324" t="s">
        <v>6611</v>
      </c>
      <c r="AJ324" t="s">
        <v>6610</v>
      </c>
      <c r="AK324" t="s">
        <v>6609</v>
      </c>
      <c r="AL324">
        <v>4</v>
      </c>
      <c r="AM324" s="5">
        <f t="shared" si="43"/>
        <v>0.18181818181818182</v>
      </c>
      <c r="AN324" s="4">
        <f t="shared" si="44"/>
        <v>2.753777838972841E-4</v>
      </c>
      <c r="AO324" s="3"/>
      <c r="AP324">
        <v>0</v>
      </c>
      <c r="AQ324" t="s">
        <v>332</v>
      </c>
      <c r="AR324" t="s">
        <v>6608</v>
      </c>
      <c r="AS324" t="s">
        <v>331</v>
      </c>
      <c r="AT324" s="2" t="s">
        <v>0</v>
      </c>
      <c r="AU324" s="1">
        <f t="shared" si="45"/>
        <v>2.5589140123028558</v>
      </c>
      <c r="AV324" s="1">
        <f t="shared" si="46"/>
        <v>1.8356636597562477</v>
      </c>
      <c r="AW324" s="1">
        <f t="shared" si="47"/>
        <v>1.11241330720964</v>
      </c>
    </row>
    <row r="325" spans="1:49" x14ac:dyDescent="0.2">
      <c r="A325">
        <v>323</v>
      </c>
      <c r="B325" t="s">
        <v>6607</v>
      </c>
      <c r="C325" t="s">
        <v>6606</v>
      </c>
      <c r="E325">
        <v>10763289</v>
      </c>
      <c r="F325" t="s">
        <v>6605</v>
      </c>
      <c r="G325" t="s">
        <v>9</v>
      </c>
      <c r="H325" t="s">
        <v>8</v>
      </c>
      <c r="I325" t="s">
        <v>6604</v>
      </c>
      <c r="J325" t="s">
        <v>6603</v>
      </c>
      <c r="K325" t="s">
        <v>6602</v>
      </c>
      <c r="L325" t="s">
        <v>6601</v>
      </c>
      <c r="M325" t="s">
        <v>183</v>
      </c>
      <c r="N325">
        <v>4</v>
      </c>
      <c r="O325" t="s">
        <v>6600</v>
      </c>
      <c r="P325" t="s">
        <v>6599</v>
      </c>
      <c r="Q325" t="s">
        <v>6598</v>
      </c>
      <c r="R325" s="7">
        <v>36861</v>
      </c>
      <c r="S325" s="8">
        <f t="shared" si="40"/>
        <v>2000</v>
      </c>
      <c r="T325" s="8">
        <v>2000</v>
      </c>
      <c r="U325" s="8">
        <f t="shared" si="41"/>
        <v>22</v>
      </c>
      <c r="V325" s="7">
        <v>2000</v>
      </c>
      <c r="W325" t="s">
        <v>5576</v>
      </c>
      <c r="X325" s="2">
        <v>1.1479999999999999</v>
      </c>
      <c r="Y325" s="6">
        <f t="shared" si="42"/>
        <v>3.0645204345853019E-2</v>
      </c>
      <c r="AA325">
        <v>189294</v>
      </c>
      <c r="AB325">
        <v>16318</v>
      </c>
      <c r="AD325" t="s">
        <v>3</v>
      </c>
      <c r="AE325">
        <v>47</v>
      </c>
      <c r="AF325">
        <v>4</v>
      </c>
      <c r="AH325" t="s">
        <v>6597</v>
      </c>
      <c r="AI325" t="s">
        <v>6596</v>
      </c>
      <c r="AJ325" t="s">
        <v>6595</v>
      </c>
      <c r="AK325" t="s">
        <v>6594</v>
      </c>
      <c r="AL325">
        <v>25</v>
      </c>
      <c r="AM325" s="5">
        <f t="shared" si="43"/>
        <v>1.1363636363636365</v>
      </c>
      <c r="AN325" s="4">
        <f t="shared" si="44"/>
        <v>1.7211111493580257E-3</v>
      </c>
      <c r="AO325" s="3"/>
      <c r="AP325">
        <v>0</v>
      </c>
      <c r="AQ325" t="s">
        <v>425</v>
      </c>
      <c r="AR325" t="s">
        <v>6593</v>
      </c>
      <c r="AS325" t="s">
        <v>424</v>
      </c>
      <c r="AT325" s="2" t="s">
        <v>0</v>
      </c>
      <c r="AU325" s="1">
        <f t="shared" si="45"/>
        <v>2.1967976386904522</v>
      </c>
      <c r="AV325" s="1">
        <f t="shared" si="46"/>
        <v>1.6183157747605523</v>
      </c>
      <c r="AW325" s="1">
        <f t="shared" si="47"/>
        <v>1.0398339108306522</v>
      </c>
    </row>
    <row r="326" spans="1:49" x14ac:dyDescent="0.2">
      <c r="A326">
        <v>324</v>
      </c>
      <c r="B326" t="s">
        <v>6592</v>
      </c>
      <c r="C326" t="s">
        <v>6591</v>
      </c>
      <c r="D326" t="s">
        <v>6590</v>
      </c>
      <c r="E326">
        <v>10851807</v>
      </c>
      <c r="F326" t="s">
        <v>6589</v>
      </c>
      <c r="G326" t="s">
        <v>9</v>
      </c>
      <c r="H326" t="s">
        <v>8</v>
      </c>
      <c r="I326" t="s">
        <v>6588</v>
      </c>
      <c r="J326" t="s">
        <v>6587</v>
      </c>
      <c r="K326" t="s">
        <v>6586</v>
      </c>
      <c r="L326" t="s">
        <v>6585</v>
      </c>
      <c r="M326" t="s">
        <v>441</v>
      </c>
      <c r="N326">
        <v>6</v>
      </c>
      <c r="O326" t="s">
        <v>6584</v>
      </c>
      <c r="P326" t="s">
        <v>6583</v>
      </c>
      <c r="Q326" t="s">
        <v>6582</v>
      </c>
      <c r="R326" s="7">
        <v>36861</v>
      </c>
      <c r="S326" s="8">
        <f t="shared" si="40"/>
        <v>2000</v>
      </c>
      <c r="T326" s="8">
        <v>2000</v>
      </c>
      <c r="U326" s="8">
        <f t="shared" si="41"/>
        <v>22</v>
      </c>
      <c r="V326" s="7">
        <v>2000</v>
      </c>
      <c r="W326" t="s">
        <v>5576</v>
      </c>
      <c r="X326" s="2">
        <v>1.1479999999999999</v>
      </c>
      <c r="Y326" s="6">
        <f t="shared" si="42"/>
        <v>3.0645204345853019E-2</v>
      </c>
      <c r="AA326">
        <v>189294</v>
      </c>
      <c r="AB326">
        <v>16318</v>
      </c>
      <c r="AD326" t="s">
        <v>3</v>
      </c>
      <c r="AE326">
        <v>47</v>
      </c>
      <c r="AF326">
        <v>5</v>
      </c>
      <c r="AH326" t="s">
        <v>6581</v>
      </c>
      <c r="AI326" t="s">
        <v>6580</v>
      </c>
      <c r="AJ326" t="s">
        <v>6579</v>
      </c>
      <c r="AK326" t="s">
        <v>6578</v>
      </c>
      <c r="AL326">
        <v>20</v>
      </c>
      <c r="AM326" s="5">
        <f t="shared" si="43"/>
        <v>0.90909090909090906</v>
      </c>
      <c r="AN326" s="4">
        <f t="shared" si="44"/>
        <v>1.3768889194864203E-3</v>
      </c>
      <c r="AO326" s="3"/>
      <c r="AP326">
        <v>0</v>
      </c>
      <c r="AR326" t="s">
        <v>1</v>
      </c>
      <c r="AT326" s="2" t="s">
        <v>0</v>
      </c>
      <c r="AU326" s="1">
        <f t="shared" si="45"/>
        <v>2.1864709717943036</v>
      </c>
      <c r="AV326" s="1">
        <f t="shared" si="46"/>
        <v>1.6011046632669719</v>
      </c>
      <c r="AW326" s="1">
        <f t="shared" si="47"/>
        <v>1.0157383547396399</v>
      </c>
    </row>
    <row r="327" spans="1:49" x14ac:dyDescent="0.2">
      <c r="A327">
        <v>325</v>
      </c>
      <c r="B327" t="s">
        <v>6577</v>
      </c>
      <c r="C327" t="s">
        <v>6576</v>
      </c>
      <c r="D327" t="s">
        <v>6575</v>
      </c>
      <c r="F327" t="s">
        <v>6574</v>
      </c>
      <c r="G327" t="s">
        <v>9</v>
      </c>
      <c r="H327" t="s">
        <v>8</v>
      </c>
      <c r="I327" t="s">
        <v>258</v>
      </c>
      <c r="J327" t="s">
        <v>6573</v>
      </c>
      <c r="K327" t="s">
        <v>6572</v>
      </c>
      <c r="L327" t="s">
        <v>6571</v>
      </c>
      <c r="M327" t="s">
        <v>183</v>
      </c>
      <c r="N327">
        <v>4</v>
      </c>
      <c r="O327" t="s">
        <v>6570</v>
      </c>
      <c r="P327" t="s">
        <v>6569</v>
      </c>
      <c r="Q327" t="s">
        <v>6568</v>
      </c>
      <c r="R327" s="7">
        <v>36861</v>
      </c>
      <c r="S327" s="8">
        <f t="shared" si="40"/>
        <v>2000</v>
      </c>
      <c r="T327" s="8">
        <v>2000</v>
      </c>
      <c r="U327" s="8">
        <f t="shared" si="41"/>
        <v>22</v>
      </c>
      <c r="V327" s="7">
        <v>2000</v>
      </c>
      <c r="W327" t="s">
        <v>289</v>
      </c>
      <c r="X327" s="2">
        <v>0.65500000000000003</v>
      </c>
      <c r="Y327" s="6">
        <f t="shared" si="42"/>
        <v>1.7484850911614749E-2</v>
      </c>
      <c r="AA327">
        <v>189375</v>
      </c>
      <c r="AB327">
        <v>26051</v>
      </c>
      <c r="AD327" t="s">
        <v>3</v>
      </c>
      <c r="AE327">
        <v>42</v>
      </c>
      <c r="AF327">
        <v>1</v>
      </c>
      <c r="AH327" t="s">
        <v>6567</v>
      </c>
      <c r="AI327" t="s">
        <v>6566</v>
      </c>
      <c r="AJ327" t="s">
        <v>6565</v>
      </c>
      <c r="AK327" t="s">
        <v>6564</v>
      </c>
      <c r="AL327">
        <v>23</v>
      </c>
      <c r="AM327" s="5">
        <f t="shared" si="43"/>
        <v>1.0454545454545454</v>
      </c>
      <c r="AN327" s="4">
        <f t="shared" si="44"/>
        <v>1.5834222574093834E-3</v>
      </c>
      <c r="AO327" s="3"/>
      <c r="AP327">
        <v>0</v>
      </c>
      <c r="AR327" t="s">
        <v>1</v>
      </c>
      <c r="AT327" s="2" t="s">
        <v>0</v>
      </c>
      <c r="AU327" s="1">
        <f t="shared" si="45"/>
        <v>1.2714422315353138</v>
      </c>
      <c r="AV327" s="1">
        <f t="shared" si="46"/>
        <v>0.95341365845120662</v>
      </c>
      <c r="AW327" s="1">
        <f t="shared" si="47"/>
        <v>0.63538508536709926</v>
      </c>
    </row>
    <row r="328" spans="1:49" x14ac:dyDescent="0.2">
      <c r="A328">
        <v>326</v>
      </c>
      <c r="B328" t="s">
        <v>6563</v>
      </c>
      <c r="C328" t="s">
        <v>6562</v>
      </c>
      <c r="D328" t="s">
        <v>6561</v>
      </c>
      <c r="F328" t="s">
        <v>6560</v>
      </c>
      <c r="G328" t="s">
        <v>9</v>
      </c>
      <c r="H328" t="s">
        <v>8</v>
      </c>
      <c r="I328" t="s">
        <v>6559</v>
      </c>
      <c r="J328" t="s">
        <v>6558</v>
      </c>
      <c r="K328" t="s">
        <v>6557</v>
      </c>
      <c r="L328" t="s">
        <v>6556</v>
      </c>
      <c r="M328" t="s">
        <v>19</v>
      </c>
      <c r="N328">
        <v>4</v>
      </c>
      <c r="O328" t="s">
        <v>6555</v>
      </c>
      <c r="P328" t="s">
        <v>6554</v>
      </c>
      <c r="Q328" t="s">
        <v>6553</v>
      </c>
      <c r="R328" s="7">
        <v>36861</v>
      </c>
      <c r="S328" s="8">
        <f t="shared" si="40"/>
        <v>2000</v>
      </c>
      <c r="T328" s="8">
        <v>2000</v>
      </c>
      <c r="U328" s="8">
        <f t="shared" si="41"/>
        <v>22</v>
      </c>
      <c r="V328" s="7">
        <v>2000</v>
      </c>
      <c r="W328" t="s">
        <v>297</v>
      </c>
      <c r="X328" s="2">
        <v>1.3720000000000001</v>
      </c>
      <c r="Y328" s="6">
        <f t="shared" si="42"/>
        <v>3.662475641333654E-2</v>
      </c>
      <c r="AA328">
        <v>189480</v>
      </c>
      <c r="AB328">
        <v>17366</v>
      </c>
      <c r="AD328" t="s">
        <v>3</v>
      </c>
      <c r="AE328">
        <v>48</v>
      </c>
      <c r="AF328">
        <v>1</v>
      </c>
      <c r="AH328" t="s">
        <v>6552</v>
      </c>
      <c r="AI328" t="s">
        <v>6551</v>
      </c>
      <c r="AJ328" t="s">
        <v>6550</v>
      </c>
      <c r="AK328" t="s">
        <v>6549</v>
      </c>
      <c r="AL328">
        <v>84</v>
      </c>
      <c r="AM328" s="5">
        <f t="shared" si="43"/>
        <v>3.8181818181818183</v>
      </c>
      <c r="AN328" s="4">
        <f t="shared" si="44"/>
        <v>5.7829334618429663E-3</v>
      </c>
      <c r="AO328" s="3"/>
      <c r="AP328">
        <v>0</v>
      </c>
      <c r="AQ328" t="s">
        <v>311</v>
      </c>
      <c r="AR328" t="s">
        <v>1</v>
      </c>
      <c r="AS328" t="s">
        <v>310</v>
      </c>
      <c r="AT328" s="2" t="s">
        <v>0</v>
      </c>
      <c r="AU328" s="1">
        <f t="shared" si="45"/>
        <v>2.7372209527888467</v>
      </c>
      <c r="AV328" s="1">
        <f t="shared" si="46"/>
        <v>2.1203844937589751</v>
      </c>
      <c r="AW328" s="1">
        <f t="shared" si="47"/>
        <v>1.5035480347291039</v>
      </c>
    </row>
    <row r="329" spans="1:49" x14ac:dyDescent="0.2">
      <c r="A329">
        <v>327</v>
      </c>
      <c r="B329" t="s">
        <v>6548</v>
      </c>
      <c r="C329" t="s">
        <v>6547</v>
      </c>
      <c r="D329" t="s">
        <v>6546</v>
      </c>
      <c r="F329" t="s">
        <v>6545</v>
      </c>
      <c r="G329" t="s">
        <v>9</v>
      </c>
      <c r="H329" t="s">
        <v>8</v>
      </c>
      <c r="I329" t="s">
        <v>6544</v>
      </c>
      <c r="J329" t="s">
        <v>6543</v>
      </c>
      <c r="K329" t="s">
        <v>6542</v>
      </c>
      <c r="L329" t="s">
        <v>3899</v>
      </c>
      <c r="M329" t="s">
        <v>27</v>
      </c>
      <c r="N329">
        <v>2</v>
      </c>
      <c r="O329" t="s">
        <v>6541</v>
      </c>
      <c r="P329" t="s">
        <v>6540</v>
      </c>
      <c r="Q329" t="s">
        <v>6539</v>
      </c>
      <c r="R329" s="7">
        <v>36861</v>
      </c>
      <c r="S329" s="8">
        <f t="shared" si="40"/>
        <v>2000</v>
      </c>
      <c r="T329" s="8">
        <v>2000</v>
      </c>
      <c r="U329" s="8">
        <f t="shared" si="41"/>
        <v>22</v>
      </c>
      <c r="V329" s="7">
        <v>2000</v>
      </c>
      <c r="W329" t="s">
        <v>297</v>
      </c>
      <c r="X329" s="2">
        <v>1.3720000000000001</v>
      </c>
      <c r="Y329" s="6">
        <f t="shared" si="42"/>
        <v>3.662475641333654E-2</v>
      </c>
      <c r="AA329">
        <v>189480</v>
      </c>
      <c r="AB329">
        <v>17366</v>
      </c>
      <c r="AD329" t="s">
        <v>3</v>
      </c>
      <c r="AE329">
        <v>48</v>
      </c>
      <c r="AF329">
        <v>1</v>
      </c>
      <c r="AH329" t="s">
        <v>6538</v>
      </c>
      <c r="AI329" t="s">
        <v>6537</v>
      </c>
      <c r="AJ329" t="s">
        <v>6536</v>
      </c>
      <c r="AK329" t="s">
        <v>6535</v>
      </c>
      <c r="AL329">
        <v>78</v>
      </c>
      <c r="AM329" s="5">
        <f t="shared" si="43"/>
        <v>3.5454545454545454</v>
      </c>
      <c r="AN329" s="4">
        <f t="shared" si="44"/>
        <v>5.3698667859970392E-3</v>
      </c>
      <c r="AO329" s="3"/>
      <c r="AP329">
        <v>0</v>
      </c>
      <c r="AR329" t="s">
        <v>1</v>
      </c>
      <c r="AT329" s="2" t="s">
        <v>0</v>
      </c>
      <c r="AU329" s="1">
        <f t="shared" si="45"/>
        <v>2.7248289525134686</v>
      </c>
      <c r="AV329" s="1">
        <f t="shared" si="46"/>
        <v>2.0997311599666788</v>
      </c>
      <c r="AW329" s="1">
        <f t="shared" si="47"/>
        <v>1.474633367419889</v>
      </c>
    </row>
    <row r="330" spans="1:49" x14ac:dyDescent="0.2">
      <c r="A330">
        <v>328</v>
      </c>
      <c r="B330" t="s">
        <v>6534</v>
      </c>
      <c r="C330" t="s">
        <v>6533</v>
      </c>
      <c r="D330" t="s">
        <v>6532</v>
      </c>
      <c r="F330" t="s">
        <v>6531</v>
      </c>
      <c r="G330" t="s">
        <v>9</v>
      </c>
      <c r="H330" t="s">
        <v>8</v>
      </c>
      <c r="I330" t="s">
        <v>6530</v>
      </c>
      <c r="J330">
        <v>60083611</v>
      </c>
      <c r="K330" t="s">
        <v>6529</v>
      </c>
      <c r="L330" t="s">
        <v>6528</v>
      </c>
      <c r="M330" t="s">
        <v>615</v>
      </c>
      <c r="N330">
        <v>1</v>
      </c>
      <c r="O330" t="s">
        <v>6527</v>
      </c>
      <c r="P330">
        <v>14325451600</v>
      </c>
      <c r="Q330">
        <v>60083611</v>
      </c>
      <c r="R330" s="7">
        <v>36861</v>
      </c>
      <c r="S330" s="8">
        <f t="shared" si="40"/>
        <v>2000</v>
      </c>
      <c r="T330" s="8">
        <v>2000</v>
      </c>
      <c r="U330" s="8">
        <f t="shared" si="41"/>
        <v>22</v>
      </c>
      <c r="V330" s="7">
        <v>2000</v>
      </c>
      <c r="W330" t="s">
        <v>297</v>
      </c>
      <c r="X330" s="2">
        <v>1.3720000000000001</v>
      </c>
      <c r="Y330" s="6">
        <f t="shared" si="42"/>
        <v>3.662475641333654E-2</v>
      </c>
      <c r="AA330">
        <v>189480</v>
      </c>
      <c r="AB330">
        <v>17366</v>
      </c>
      <c r="AD330" t="s">
        <v>3</v>
      </c>
      <c r="AE330">
        <v>48</v>
      </c>
      <c r="AF330">
        <v>2</v>
      </c>
      <c r="AH330" t="s">
        <v>6526</v>
      </c>
      <c r="AI330" t="s">
        <v>6525</v>
      </c>
      <c r="AJ330" t="s">
        <v>6524</v>
      </c>
      <c r="AK330" t="s">
        <v>6523</v>
      </c>
      <c r="AL330">
        <v>0</v>
      </c>
      <c r="AM330" s="5">
        <f t="shared" si="43"/>
        <v>0</v>
      </c>
      <c r="AN330" s="4">
        <f t="shared" si="44"/>
        <v>0</v>
      </c>
      <c r="AO330" s="3"/>
      <c r="AP330">
        <v>0</v>
      </c>
      <c r="AQ330" t="s">
        <v>6522</v>
      </c>
      <c r="AR330" t="s">
        <v>6521</v>
      </c>
      <c r="AS330" t="s">
        <v>6520</v>
      </c>
      <c r="AT330" s="2" t="s">
        <v>0</v>
      </c>
      <c r="AU330" s="1">
        <f t="shared" si="45"/>
        <v>2.5637329489335574</v>
      </c>
      <c r="AV330" s="1">
        <f t="shared" si="46"/>
        <v>1.8312378206668269</v>
      </c>
      <c r="AW330" s="1">
        <f t="shared" si="47"/>
        <v>1.0987426924000963</v>
      </c>
    </row>
    <row r="331" spans="1:49" x14ac:dyDescent="0.2">
      <c r="A331">
        <v>329</v>
      </c>
      <c r="B331" t="s">
        <v>6519</v>
      </c>
      <c r="C331" t="s">
        <v>6518</v>
      </c>
      <c r="D331" t="s">
        <v>6517</v>
      </c>
      <c r="F331" t="s">
        <v>6516</v>
      </c>
      <c r="G331" t="s">
        <v>9</v>
      </c>
      <c r="H331" t="s">
        <v>8</v>
      </c>
      <c r="I331" t="s">
        <v>6515</v>
      </c>
      <c r="J331" t="s">
        <v>6514</v>
      </c>
      <c r="K331" t="s">
        <v>6513</v>
      </c>
      <c r="L331" t="s">
        <v>6512</v>
      </c>
      <c r="M331" t="s">
        <v>815</v>
      </c>
      <c r="N331">
        <v>5</v>
      </c>
      <c r="O331" t="s">
        <v>6511</v>
      </c>
      <c r="P331" t="s">
        <v>6510</v>
      </c>
      <c r="Q331" t="s">
        <v>6509</v>
      </c>
      <c r="R331" s="7">
        <v>36861</v>
      </c>
      <c r="S331" s="8">
        <f t="shared" si="40"/>
        <v>2000</v>
      </c>
      <c r="T331" s="8">
        <v>2000</v>
      </c>
      <c r="U331" s="8">
        <f t="shared" si="41"/>
        <v>22</v>
      </c>
      <c r="V331" s="7">
        <v>2000</v>
      </c>
      <c r="W331" t="s">
        <v>297</v>
      </c>
      <c r="X331" s="2">
        <v>1.3720000000000001</v>
      </c>
      <c r="Y331" s="6">
        <f t="shared" si="42"/>
        <v>3.662475641333654E-2</v>
      </c>
      <c r="AA331">
        <v>189480</v>
      </c>
      <c r="AB331">
        <v>17366</v>
      </c>
      <c r="AD331" t="s">
        <v>3</v>
      </c>
      <c r="AE331">
        <v>48</v>
      </c>
      <c r="AF331">
        <v>1</v>
      </c>
      <c r="AH331" t="s">
        <v>6508</v>
      </c>
      <c r="AI331" t="s">
        <v>6507</v>
      </c>
      <c r="AJ331" t="s">
        <v>6506</v>
      </c>
      <c r="AK331" t="s">
        <v>6505</v>
      </c>
      <c r="AL331">
        <v>23</v>
      </c>
      <c r="AM331" s="5">
        <f t="shared" si="43"/>
        <v>1.0454545454545454</v>
      </c>
      <c r="AN331" s="4">
        <f t="shared" si="44"/>
        <v>1.5834222574093834E-3</v>
      </c>
      <c r="AO331" s="3"/>
      <c r="AP331">
        <v>0</v>
      </c>
      <c r="AQ331" t="s">
        <v>364</v>
      </c>
      <c r="AR331" t="s">
        <v>6504</v>
      </c>
      <c r="AS331" t="s">
        <v>363</v>
      </c>
      <c r="AT331" s="2" t="s">
        <v>0</v>
      </c>
      <c r="AU331" s="1">
        <f t="shared" si="45"/>
        <v>2.611235616655839</v>
      </c>
      <c r="AV331" s="1">
        <f t="shared" si="46"/>
        <v>1.9104089335372962</v>
      </c>
      <c r="AW331" s="1">
        <f t="shared" si="47"/>
        <v>1.209582250418753</v>
      </c>
    </row>
    <row r="332" spans="1:49" x14ac:dyDescent="0.2">
      <c r="A332">
        <v>330</v>
      </c>
      <c r="B332" t="s">
        <v>6503</v>
      </c>
      <c r="C332" t="s">
        <v>6502</v>
      </c>
      <c r="F332" t="s">
        <v>6501</v>
      </c>
      <c r="G332" t="s">
        <v>9</v>
      </c>
      <c r="H332" t="s">
        <v>8</v>
      </c>
      <c r="I332" t="s">
        <v>6500</v>
      </c>
      <c r="J332">
        <v>60021199</v>
      </c>
      <c r="K332" t="s">
        <v>618</v>
      </c>
      <c r="L332" t="s">
        <v>169</v>
      </c>
      <c r="M332" t="s">
        <v>53</v>
      </c>
      <c r="N332">
        <v>4</v>
      </c>
      <c r="O332" t="s">
        <v>6499</v>
      </c>
      <c r="P332" t="s">
        <v>6498</v>
      </c>
      <c r="Q332" t="s">
        <v>6497</v>
      </c>
      <c r="R332" s="7">
        <v>36861</v>
      </c>
      <c r="S332" s="8">
        <f t="shared" si="40"/>
        <v>2000</v>
      </c>
      <c r="T332" s="8">
        <v>2000</v>
      </c>
      <c r="U332" s="8">
        <f t="shared" si="41"/>
        <v>22</v>
      </c>
      <c r="V332" s="7">
        <v>2000</v>
      </c>
      <c r="W332" t="s">
        <v>473</v>
      </c>
      <c r="X332" s="2">
        <v>0.88100000000000001</v>
      </c>
      <c r="Y332" s="6">
        <f t="shared" si="42"/>
        <v>2.3517791836843653E-2</v>
      </c>
      <c r="AA332">
        <v>10459243</v>
      </c>
      <c r="AB332">
        <v>17248</v>
      </c>
      <c r="AD332" t="s">
        <v>3</v>
      </c>
      <c r="AE332">
        <v>42</v>
      </c>
      <c r="AF332">
        <v>1</v>
      </c>
      <c r="AH332" t="s">
        <v>6496</v>
      </c>
      <c r="AI332" t="s">
        <v>6495</v>
      </c>
      <c r="AJ332" t="s">
        <v>6494</v>
      </c>
      <c r="AK332" t="s">
        <v>6493</v>
      </c>
      <c r="AL332">
        <v>3</v>
      </c>
      <c r="AM332" s="5">
        <f t="shared" si="43"/>
        <v>0.13636363636363635</v>
      </c>
      <c r="AN332" s="4">
        <f t="shared" si="44"/>
        <v>2.0653333792296306E-4</v>
      </c>
      <c r="AO332" s="3"/>
      <c r="AP332">
        <v>0</v>
      </c>
      <c r="AR332" t="s">
        <v>1</v>
      </c>
      <c r="AT332" s="2" t="s">
        <v>0</v>
      </c>
      <c r="AU332" s="1">
        <f t="shared" si="45"/>
        <v>1.6524414287167444</v>
      </c>
      <c r="AV332" s="1">
        <f t="shared" si="46"/>
        <v>1.1862162587383307</v>
      </c>
      <c r="AW332" s="1">
        <f t="shared" si="47"/>
        <v>0.71999108875991702</v>
      </c>
    </row>
    <row r="333" spans="1:49" x14ac:dyDescent="0.2">
      <c r="A333">
        <v>331</v>
      </c>
      <c r="B333" t="s">
        <v>6492</v>
      </c>
      <c r="C333" t="s">
        <v>6491</v>
      </c>
      <c r="D333" t="s">
        <v>6490</v>
      </c>
      <c r="F333" t="s">
        <v>6489</v>
      </c>
      <c r="G333" t="s">
        <v>9</v>
      </c>
      <c r="H333" t="s">
        <v>8</v>
      </c>
      <c r="I333" t="s">
        <v>625</v>
      </c>
      <c r="J333">
        <v>60019909</v>
      </c>
      <c r="K333" t="s">
        <v>6488</v>
      </c>
      <c r="L333" t="s">
        <v>6487</v>
      </c>
      <c r="M333" t="s">
        <v>5</v>
      </c>
      <c r="N333">
        <v>2</v>
      </c>
      <c r="O333" t="s">
        <v>6486</v>
      </c>
      <c r="P333" t="s">
        <v>6485</v>
      </c>
      <c r="Q333" t="s">
        <v>6484</v>
      </c>
      <c r="R333" s="7">
        <v>36861</v>
      </c>
      <c r="S333" s="8">
        <f t="shared" si="40"/>
        <v>2000</v>
      </c>
      <c r="T333" s="8">
        <v>2000</v>
      </c>
      <c r="U333" s="8">
        <f t="shared" si="41"/>
        <v>22</v>
      </c>
      <c r="V333" s="7">
        <v>2000</v>
      </c>
      <c r="W333" t="s">
        <v>297</v>
      </c>
      <c r="X333" s="2">
        <v>1.3720000000000001</v>
      </c>
      <c r="Y333" s="6">
        <f t="shared" si="42"/>
        <v>3.662475641333654E-2</v>
      </c>
      <c r="AA333">
        <v>189480</v>
      </c>
      <c r="AB333">
        <v>17366</v>
      </c>
      <c r="AD333" t="s">
        <v>3</v>
      </c>
      <c r="AE333">
        <v>48</v>
      </c>
      <c r="AF333">
        <v>1</v>
      </c>
      <c r="AH333" t="s">
        <v>6483</v>
      </c>
      <c r="AI333" t="s">
        <v>6482</v>
      </c>
      <c r="AJ333" t="s">
        <v>6481</v>
      </c>
      <c r="AK333" t="s">
        <v>6480</v>
      </c>
      <c r="AL333">
        <v>34</v>
      </c>
      <c r="AM333" s="5">
        <f t="shared" si="43"/>
        <v>1.5454545454545454</v>
      </c>
      <c r="AN333" s="4">
        <f t="shared" si="44"/>
        <v>2.3407111631269148E-3</v>
      </c>
      <c r="AO333" s="3"/>
      <c r="AP333">
        <v>0</v>
      </c>
      <c r="AR333" t="s">
        <v>1</v>
      </c>
      <c r="AT333" s="2" t="s">
        <v>0</v>
      </c>
      <c r="AU333" s="1">
        <f t="shared" si="45"/>
        <v>2.6339542838273649</v>
      </c>
      <c r="AV333" s="1">
        <f t="shared" si="46"/>
        <v>1.9482733788231728</v>
      </c>
      <c r="AW333" s="1">
        <f t="shared" si="47"/>
        <v>1.2625924738189802</v>
      </c>
    </row>
    <row r="334" spans="1:49" x14ac:dyDescent="0.2">
      <c r="A334">
        <v>332</v>
      </c>
      <c r="B334" t="s">
        <v>6479</v>
      </c>
      <c r="C334" t="s">
        <v>6478</v>
      </c>
      <c r="F334" t="s">
        <v>6477</v>
      </c>
      <c r="G334" t="s">
        <v>9</v>
      </c>
      <c r="H334" t="s">
        <v>8</v>
      </c>
      <c r="I334" t="s">
        <v>6476</v>
      </c>
      <c r="J334">
        <v>100405616</v>
      </c>
      <c r="K334" t="s">
        <v>6475</v>
      </c>
      <c r="L334" t="s">
        <v>479</v>
      </c>
      <c r="M334" t="s">
        <v>191</v>
      </c>
      <c r="N334">
        <v>1</v>
      </c>
      <c r="O334" t="s">
        <v>6474</v>
      </c>
      <c r="P334">
        <v>6506092693</v>
      </c>
      <c r="Q334">
        <v>100405616</v>
      </c>
      <c r="R334" s="7">
        <v>36861</v>
      </c>
      <c r="S334" s="8">
        <f t="shared" si="40"/>
        <v>2000</v>
      </c>
      <c r="T334" s="8">
        <v>2000</v>
      </c>
      <c r="U334" s="8">
        <f t="shared" si="41"/>
        <v>22</v>
      </c>
      <c r="V334" s="7">
        <v>2000</v>
      </c>
      <c r="W334" t="s">
        <v>473</v>
      </c>
      <c r="X334" s="2">
        <v>0.88100000000000001</v>
      </c>
      <c r="Y334" s="6">
        <f t="shared" si="42"/>
        <v>2.3517791836843653E-2</v>
      </c>
      <c r="AA334">
        <v>10459243</v>
      </c>
      <c r="AB334">
        <v>17248</v>
      </c>
      <c r="AD334" t="s">
        <v>3</v>
      </c>
      <c r="AE334">
        <v>42</v>
      </c>
      <c r="AF334">
        <v>1</v>
      </c>
      <c r="AH334" t="s">
        <v>6473</v>
      </c>
      <c r="AI334" t="s">
        <v>6472</v>
      </c>
      <c r="AJ334" t="s">
        <v>6471</v>
      </c>
      <c r="AK334" t="s">
        <v>6470</v>
      </c>
      <c r="AL334">
        <v>6</v>
      </c>
      <c r="AM334" s="5">
        <f t="shared" si="43"/>
        <v>0.27272727272727271</v>
      </c>
      <c r="AN334" s="4">
        <f t="shared" si="44"/>
        <v>4.1306667584592612E-4</v>
      </c>
      <c r="AO334" s="3"/>
      <c r="AP334">
        <v>0</v>
      </c>
      <c r="AR334" t="s">
        <v>1</v>
      </c>
      <c r="AT334" s="2" t="s">
        <v>0</v>
      </c>
      <c r="AU334" s="1">
        <f t="shared" si="45"/>
        <v>1.6586374288544334</v>
      </c>
      <c r="AV334" s="1">
        <f t="shared" si="46"/>
        <v>1.1965429256344788</v>
      </c>
      <c r="AW334" s="1">
        <f t="shared" si="47"/>
        <v>0.73444842241452446</v>
      </c>
    </row>
    <row r="335" spans="1:49" x14ac:dyDescent="0.2">
      <c r="A335">
        <v>333</v>
      </c>
      <c r="B335" t="s">
        <v>6469</v>
      </c>
      <c r="C335" t="s">
        <v>6468</v>
      </c>
      <c r="D335" t="s">
        <v>6467</v>
      </c>
      <c r="F335" t="s">
        <v>6466</v>
      </c>
      <c r="G335" t="s">
        <v>9</v>
      </c>
      <c r="H335" t="s">
        <v>8</v>
      </c>
      <c r="I335" t="s">
        <v>6465</v>
      </c>
      <c r="J335">
        <v>60026638</v>
      </c>
      <c r="K335" t="s">
        <v>576</v>
      </c>
      <c r="L335" t="s">
        <v>152</v>
      </c>
      <c r="M335" t="s">
        <v>22</v>
      </c>
      <c r="N335">
        <v>1</v>
      </c>
      <c r="O335" t="s">
        <v>6464</v>
      </c>
      <c r="P335">
        <v>7006042748</v>
      </c>
      <c r="Q335">
        <v>60026638</v>
      </c>
      <c r="R335" s="7">
        <v>36861</v>
      </c>
      <c r="S335" s="8">
        <f t="shared" si="40"/>
        <v>2000</v>
      </c>
      <c r="T335" s="8">
        <v>2000</v>
      </c>
      <c r="U335" s="8">
        <f t="shared" si="41"/>
        <v>22</v>
      </c>
      <c r="V335" s="7">
        <v>2000</v>
      </c>
      <c r="W335" t="s">
        <v>297</v>
      </c>
      <c r="X335" s="2">
        <v>1.3720000000000001</v>
      </c>
      <c r="Y335" s="6">
        <f t="shared" si="42"/>
        <v>3.662475641333654E-2</v>
      </c>
      <c r="AA335">
        <v>189480</v>
      </c>
      <c r="AB335">
        <v>17366</v>
      </c>
      <c r="AD335" t="s">
        <v>3</v>
      </c>
      <c r="AE335">
        <v>48</v>
      </c>
      <c r="AF335">
        <v>2</v>
      </c>
      <c r="AH335" t="s">
        <v>6463</v>
      </c>
      <c r="AI335" t="s">
        <v>6462</v>
      </c>
      <c r="AJ335" t="s">
        <v>6461</v>
      </c>
      <c r="AK335" t="s">
        <v>6460</v>
      </c>
      <c r="AL335">
        <v>10</v>
      </c>
      <c r="AM335" s="5">
        <f t="shared" si="43"/>
        <v>0.45454545454545453</v>
      </c>
      <c r="AN335" s="4">
        <f t="shared" si="44"/>
        <v>6.8844445974321016E-4</v>
      </c>
      <c r="AO335" s="3"/>
      <c r="AP335">
        <v>0</v>
      </c>
      <c r="AQ335" t="s">
        <v>210</v>
      </c>
      <c r="AR335" t="s">
        <v>6459</v>
      </c>
      <c r="AS335" t="s">
        <v>209</v>
      </c>
      <c r="AT335" s="2" t="s">
        <v>0</v>
      </c>
      <c r="AU335" s="1">
        <f t="shared" si="45"/>
        <v>2.5843862827258537</v>
      </c>
      <c r="AV335" s="1">
        <f t="shared" si="46"/>
        <v>1.8656600436539876</v>
      </c>
      <c r="AW335" s="1">
        <f t="shared" si="47"/>
        <v>1.1469338045821209</v>
      </c>
    </row>
    <row r="336" spans="1:49" x14ac:dyDescent="0.2">
      <c r="A336">
        <v>334</v>
      </c>
      <c r="B336" t="s">
        <v>6458</v>
      </c>
      <c r="C336" t="s">
        <v>6457</v>
      </c>
      <c r="D336" t="s">
        <v>6456</v>
      </c>
      <c r="E336">
        <v>11006399</v>
      </c>
      <c r="F336" t="s">
        <v>6455</v>
      </c>
      <c r="G336" t="s">
        <v>9</v>
      </c>
      <c r="H336" t="s">
        <v>8</v>
      </c>
      <c r="I336" t="s">
        <v>6454</v>
      </c>
      <c r="J336" t="s">
        <v>6453</v>
      </c>
      <c r="K336" t="s">
        <v>6452</v>
      </c>
      <c r="L336" t="s">
        <v>6451</v>
      </c>
      <c r="M336" t="s">
        <v>440</v>
      </c>
      <c r="N336">
        <v>4</v>
      </c>
      <c r="O336" t="s">
        <v>6450</v>
      </c>
      <c r="P336" t="s">
        <v>6449</v>
      </c>
      <c r="Q336" t="s">
        <v>6448</v>
      </c>
      <c r="R336" s="7">
        <v>36861</v>
      </c>
      <c r="S336" s="8">
        <f t="shared" si="40"/>
        <v>2000</v>
      </c>
      <c r="T336" s="8">
        <v>2000</v>
      </c>
      <c r="U336" s="8">
        <f t="shared" si="41"/>
        <v>22</v>
      </c>
      <c r="V336" s="7">
        <v>36861</v>
      </c>
      <c r="W336" t="s">
        <v>6447</v>
      </c>
      <c r="X336" s="2">
        <v>0.82599999999999996</v>
      </c>
      <c r="Y336" s="6">
        <f t="shared" si="42"/>
        <v>2.2049598248845465E-2</v>
      </c>
      <c r="AA336">
        <v>219290</v>
      </c>
      <c r="AB336">
        <v>15846</v>
      </c>
      <c r="AD336" t="s">
        <v>3</v>
      </c>
      <c r="AE336">
        <v>33</v>
      </c>
      <c r="AF336">
        <v>12</v>
      </c>
      <c r="AH336" t="s">
        <v>6446</v>
      </c>
      <c r="AI336" t="s">
        <v>6445</v>
      </c>
      <c r="AJ336" t="s">
        <v>6444</v>
      </c>
      <c r="AK336" t="s">
        <v>6443</v>
      </c>
      <c r="AL336">
        <v>63</v>
      </c>
      <c r="AM336" s="5">
        <f t="shared" si="43"/>
        <v>2.8636363636363638</v>
      </c>
      <c r="AN336" s="4">
        <f t="shared" si="44"/>
        <v>4.3372000963822245E-3</v>
      </c>
      <c r="AO336" s="3"/>
      <c r="AP336">
        <v>0</v>
      </c>
      <c r="AQ336" t="s">
        <v>409</v>
      </c>
      <c r="AR336" t="s">
        <v>6442</v>
      </c>
      <c r="AS336" t="s">
        <v>407</v>
      </c>
      <c r="AT336" s="2">
        <v>2.7120000000000002</v>
      </c>
      <c r="AU336" s="1">
        <f t="shared" si="45"/>
        <v>1.6735878803106494</v>
      </c>
      <c r="AV336" s="1">
        <f t="shared" si="46"/>
        <v>1.3193399172613844</v>
      </c>
      <c r="AW336" s="1">
        <f t="shared" si="47"/>
        <v>0.96509195421211957</v>
      </c>
    </row>
    <row r="337" spans="1:49" x14ac:dyDescent="0.2">
      <c r="A337">
        <v>335</v>
      </c>
      <c r="B337" t="s">
        <v>6441</v>
      </c>
      <c r="C337" t="s">
        <v>6440</v>
      </c>
      <c r="F337" t="s">
        <v>6439</v>
      </c>
      <c r="G337" t="s">
        <v>9</v>
      </c>
      <c r="H337" t="s">
        <v>8</v>
      </c>
      <c r="I337" t="s">
        <v>6438</v>
      </c>
      <c r="J337">
        <v>60009037</v>
      </c>
      <c r="K337" t="s">
        <v>313</v>
      </c>
      <c r="L337" t="s">
        <v>312</v>
      </c>
      <c r="M337" t="s">
        <v>5</v>
      </c>
      <c r="N337">
        <v>3</v>
      </c>
      <c r="O337" t="s">
        <v>6437</v>
      </c>
      <c r="P337" t="s">
        <v>6436</v>
      </c>
      <c r="Q337" t="s">
        <v>560</v>
      </c>
      <c r="R337" s="7">
        <v>36861</v>
      </c>
      <c r="S337" s="8">
        <f t="shared" si="40"/>
        <v>2000</v>
      </c>
      <c r="T337" s="8">
        <v>2000</v>
      </c>
      <c r="U337" s="8">
        <f t="shared" si="41"/>
        <v>22</v>
      </c>
      <c r="V337" s="7">
        <v>2000</v>
      </c>
      <c r="W337" t="s">
        <v>473</v>
      </c>
      <c r="X337" s="2">
        <v>0.88100000000000001</v>
      </c>
      <c r="Y337" s="6">
        <f t="shared" si="42"/>
        <v>2.3517791836843653E-2</v>
      </c>
      <c r="AA337">
        <v>10459243</v>
      </c>
      <c r="AB337">
        <v>17248</v>
      </c>
      <c r="AD337" t="s">
        <v>3</v>
      </c>
      <c r="AE337">
        <v>42</v>
      </c>
      <c r="AF337">
        <v>2</v>
      </c>
      <c r="AH337" t="s">
        <v>6435</v>
      </c>
      <c r="AI337" t="s">
        <v>6434</v>
      </c>
      <c r="AJ337" t="s">
        <v>6433</v>
      </c>
      <c r="AK337" t="s">
        <v>6432</v>
      </c>
      <c r="AL337">
        <v>28</v>
      </c>
      <c r="AM337" s="5">
        <f t="shared" si="43"/>
        <v>1.2727272727272727</v>
      </c>
      <c r="AN337" s="4">
        <f t="shared" si="44"/>
        <v>1.9276444872809886E-3</v>
      </c>
      <c r="AO337" s="3"/>
      <c r="AP337">
        <v>0</v>
      </c>
      <c r="AR337" t="s">
        <v>1</v>
      </c>
      <c r="AT337" s="2" t="s">
        <v>0</v>
      </c>
      <c r="AU337" s="1">
        <f t="shared" si="45"/>
        <v>1.7040747631974853</v>
      </c>
      <c r="AV337" s="1">
        <f t="shared" si="46"/>
        <v>1.2722718162062321</v>
      </c>
      <c r="AW337" s="1">
        <f t="shared" si="47"/>
        <v>0.84046886921497876</v>
      </c>
    </row>
    <row r="338" spans="1:49" x14ac:dyDescent="0.2">
      <c r="A338">
        <v>336</v>
      </c>
      <c r="B338" t="s">
        <v>6431</v>
      </c>
      <c r="C338" t="s">
        <v>6430</v>
      </c>
      <c r="F338" t="s">
        <v>6429</v>
      </c>
      <c r="G338" t="s">
        <v>9</v>
      </c>
      <c r="H338" t="s">
        <v>8</v>
      </c>
      <c r="I338" t="s">
        <v>6428</v>
      </c>
      <c r="J338" t="s">
        <v>6427</v>
      </c>
      <c r="K338" t="s">
        <v>6426</v>
      </c>
      <c r="L338" t="s">
        <v>6425</v>
      </c>
      <c r="M338" t="s">
        <v>6424</v>
      </c>
      <c r="N338">
        <v>7</v>
      </c>
      <c r="O338" t="s">
        <v>6423</v>
      </c>
      <c r="P338" t="s">
        <v>6422</v>
      </c>
      <c r="Q338" t="s">
        <v>6421</v>
      </c>
      <c r="R338" s="7">
        <v>36861</v>
      </c>
      <c r="S338" s="8">
        <f t="shared" si="40"/>
        <v>2000</v>
      </c>
      <c r="T338" s="8">
        <v>2000</v>
      </c>
      <c r="U338" s="8">
        <f t="shared" si="41"/>
        <v>22</v>
      </c>
      <c r="V338" s="7">
        <v>2000</v>
      </c>
      <c r="W338" t="s">
        <v>473</v>
      </c>
      <c r="X338" s="2">
        <v>0.88100000000000001</v>
      </c>
      <c r="Y338" s="6">
        <f t="shared" si="42"/>
        <v>2.3517791836843653E-2</v>
      </c>
      <c r="AA338">
        <v>10459243</v>
      </c>
      <c r="AB338">
        <v>17248</v>
      </c>
      <c r="AD338" t="s">
        <v>3</v>
      </c>
      <c r="AE338">
        <v>42</v>
      </c>
      <c r="AF338">
        <v>2</v>
      </c>
      <c r="AH338" t="s">
        <v>6420</v>
      </c>
      <c r="AI338" t="s">
        <v>6419</v>
      </c>
      <c r="AJ338" t="s">
        <v>6418</v>
      </c>
      <c r="AK338" t="s">
        <v>6417</v>
      </c>
      <c r="AL338">
        <v>69</v>
      </c>
      <c r="AM338" s="5">
        <f t="shared" si="43"/>
        <v>3.1363636363636362</v>
      </c>
      <c r="AN338" s="4">
        <f t="shared" si="44"/>
        <v>4.7502667722281507E-3</v>
      </c>
      <c r="AO338" s="3"/>
      <c r="AP338">
        <v>0</v>
      </c>
      <c r="AQ338" t="s">
        <v>210</v>
      </c>
      <c r="AR338" t="s">
        <v>6416</v>
      </c>
      <c r="AS338" t="s">
        <v>209</v>
      </c>
      <c r="AT338" s="2" t="s">
        <v>0</v>
      </c>
      <c r="AU338" s="1">
        <f t="shared" si="45"/>
        <v>1.7887534317459</v>
      </c>
      <c r="AV338" s="1">
        <f t="shared" si="46"/>
        <v>1.4134029304535902</v>
      </c>
      <c r="AW338" s="1">
        <f t="shared" si="47"/>
        <v>1.0380524291612803</v>
      </c>
    </row>
    <row r="339" spans="1:49" x14ac:dyDescent="0.2">
      <c r="A339">
        <v>337</v>
      </c>
      <c r="B339" t="s">
        <v>6415</v>
      </c>
      <c r="C339" t="s">
        <v>6414</v>
      </c>
      <c r="D339" t="s">
        <v>6413</v>
      </c>
      <c r="F339" t="s">
        <v>6412</v>
      </c>
      <c r="G339" t="s">
        <v>9</v>
      </c>
      <c r="H339" t="s">
        <v>8</v>
      </c>
      <c r="I339" t="s">
        <v>6404</v>
      </c>
      <c r="J339" t="s">
        <v>6403</v>
      </c>
      <c r="K339" t="s">
        <v>6402</v>
      </c>
      <c r="L339" t="s">
        <v>6401</v>
      </c>
      <c r="M339" t="s">
        <v>6400</v>
      </c>
      <c r="N339">
        <v>4</v>
      </c>
      <c r="O339" t="s">
        <v>6399</v>
      </c>
      <c r="P339" t="s">
        <v>6398</v>
      </c>
      <c r="Q339" t="s">
        <v>6397</v>
      </c>
      <c r="R339" s="7">
        <v>36861</v>
      </c>
      <c r="S339" s="8">
        <f t="shared" si="40"/>
        <v>2000</v>
      </c>
      <c r="T339" s="8">
        <v>2000</v>
      </c>
      <c r="U339" s="8">
        <f t="shared" si="41"/>
        <v>22</v>
      </c>
      <c r="V339" s="7">
        <v>2000</v>
      </c>
      <c r="W339" t="s">
        <v>291</v>
      </c>
      <c r="X339" s="2">
        <v>1.6519999999999999</v>
      </c>
      <c r="Y339" s="6">
        <f t="shared" si="42"/>
        <v>4.409919649769093E-2</v>
      </c>
      <c r="AA339" t="s">
        <v>290</v>
      </c>
      <c r="AB339">
        <v>17337</v>
      </c>
      <c r="AD339" t="s">
        <v>3</v>
      </c>
      <c r="AE339">
        <v>48</v>
      </c>
      <c r="AF339">
        <v>4</v>
      </c>
      <c r="AH339" t="s">
        <v>6411</v>
      </c>
      <c r="AI339" t="s">
        <v>6410</v>
      </c>
      <c r="AJ339" t="s">
        <v>6394</v>
      </c>
      <c r="AK339" t="s">
        <v>6409</v>
      </c>
      <c r="AL339">
        <v>75</v>
      </c>
      <c r="AM339" s="5">
        <f t="shared" si="43"/>
        <v>3.4090909090909092</v>
      </c>
      <c r="AN339" s="4">
        <f t="shared" si="44"/>
        <v>5.163333448074077E-3</v>
      </c>
      <c r="AO339" s="3"/>
      <c r="AP339">
        <v>0</v>
      </c>
      <c r="AR339" t="s">
        <v>1</v>
      </c>
      <c r="AT339" s="2" t="s">
        <v>0</v>
      </c>
      <c r="AU339" s="1">
        <f t="shared" si="45"/>
        <v>3.2418437582805875</v>
      </c>
      <c r="AV339" s="1">
        <f t="shared" si="46"/>
        <v>2.4631264972882505</v>
      </c>
      <c r="AW339" s="1">
        <f t="shared" si="47"/>
        <v>1.6844092362959133</v>
      </c>
    </row>
    <row r="340" spans="1:49" x14ac:dyDescent="0.2">
      <c r="A340">
        <v>338</v>
      </c>
      <c r="B340" t="s">
        <v>6408</v>
      </c>
      <c r="C340" t="s">
        <v>6407</v>
      </c>
      <c r="D340" t="s">
        <v>6406</v>
      </c>
      <c r="F340" t="s">
        <v>6405</v>
      </c>
      <c r="G340" t="s">
        <v>9</v>
      </c>
      <c r="H340" t="s">
        <v>8</v>
      </c>
      <c r="I340" t="s">
        <v>6404</v>
      </c>
      <c r="J340" t="s">
        <v>6403</v>
      </c>
      <c r="K340" t="s">
        <v>6402</v>
      </c>
      <c r="L340" t="s">
        <v>6401</v>
      </c>
      <c r="M340" t="s">
        <v>6400</v>
      </c>
      <c r="N340">
        <v>4</v>
      </c>
      <c r="O340" t="s">
        <v>6399</v>
      </c>
      <c r="P340" t="s">
        <v>6398</v>
      </c>
      <c r="Q340" t="s">
        <v>6397</v>
      </c>
      <c r="R340" s="7">
        <v>36861</v>
      </c>
      <c r="S340" s="8">
        <f t="shared" si="40"/>
        <v>2000</v>
      </c>
      <c r="T340" s="8">
        <v>2000</v>
      </c>
      <c r="U340" s="8">
        <f t="shared" si="41"/>
        <v>22</v>
      </c>
      <c r="V340" s="7">
        <v>2000</v>
      </c>
      <c r="W340" t="s">
        <v>291</v>
      </c>
      <c r="X340" s="2">
        <v>1.6519999999999999</v>
      </c>
      <c r="Y340" s="6">
        <f t="shared" si="42"/>
        <v>4.409919649769093E-2</v>
      </c>
      <c r="AA340" t="s">
        <v>290</v>
      </c>
      <c r="AB340">
        <v>17337</v>
      </c>
      <c r="AD340" t="s">
        <v>3</v>
      </c>
      <c r="AE340">
        <v>48</v>
      </c>
      <c r="AF340">
        <v>4</v>
      </c>
      <c r="AH340" t="s">
        <v>6396</v>
      </c>
      <c r="AI340" t="s">
        <v>6395</v>
      </c>
      <c r="AJ340" t="s">
        <v>6394</v>
      </c>
      <c r="AK340" t="s">
        <v>6393</v>
      </c>
      <c r="AL340">
        <v>57</v>
      </c>
      <c r="AM340" s="5">
        <f t="shared" si="43"/>
        <v>2.5909090909090908</v>
      </c>
      <c r="AN340" s="4">
        <f t="shared" si="44"/>
        <v>3.9241334205362983E-3</v>
      </c>
      <c r="AO340" s="3"/>
      <c r="AP340">
        <v>0</v>
      </c>
      <c r="AR340" t="s">
        <v>1</v>
      </c>
      <c r="AT340" s="2" t="s">
        <v>0</v>
      </c>
      <c r="AU340" s="1">
        <f t="shared" si="45"/>
        <v>3.204667757454454</v>
      </c>
      <c r="AV340" s="1">
        <f t="shared" si="46"/>
        <v>2.4011664959113612</v>
      </c>
      <c r="AW340" s="1">
        <f t="shared" si="47"/>
        <v>1.5976652343682687</v>
      </c>
    </row>
    <row r="341" spans="1:49" x14ac:dyDescent="0.2">
      <c r="A341">
        <v>339</v>
      </c>
      <c r="B341" t="s">
        <v>6392</v>
      </c>
      <c r="C341" t="s">
        <v>6391</v>
      </c>
      <c r="D341" t="s">
        <v>6390</v>
      </c>
      <c r="F341" t="s">
        <v>6389</v>
      </c>
      <c r="G341" t="s">
        <v>9</v>
      </c>
      <c r="H341" t="s">
        <v>8</v>
      </c>
      <c r="I341" t="s">
        <v>346</v>
      </c>
      <c r="J341" t="s">
        <v>6388</v>
      </c>
      <c r="K341" t="s">
        <v>6387</v>
      </c>
      <c r="L341" t="s">
        <v>6386</v>
      </c>
      <c r="M341" t="s">
        <v>360</v>
      </c>
      <c r="N341">
        <v>5</v>
      </c>
      <c r="O341" t="s">
        <v>6385</v>
      </c>
      <c r="P341" t="s">
        <v>6384</v>
      </c>
      <c r="Q341" t="s">
        <v>6383</v>
      </c>
      <c r="R341" s="7">
        <v>36861</v>
      </c>
      <c r="S341" s="8">
        <f t="shared" si="40"/>
        <v>2000</v>
      </c>
      <c r="T341" s="8">
        <v>2000</v>
      </c>
      <c r="U341" s="8">
        <f t="shared" si="41"/>
        <v>22</v>
      </c>
      <c r="V341" s="7">
        <v>2000</v>
      </c>
      <c r="W341" t="s">
        <v>221</v>
      </c>
      <c r="X341" s="2">
        <v>1.365</v>
      </c>
      <c r="Y341" s="6">
        <f t="shared" si="42"/>
        <v>3.6437895411227675E-2</v>
      </c>
      <c r="AA341">
        <v>189545</v>
      </c>
      <c r="AB341">
        <v>17393</v>
      </c>
      <c r="AD341" t="s">
        <v>3</v>
      </c>
      <c r="AE341">
        <v>49</v>
      </c>
      <c r="AF341">
        <v>3</v>
      </c>
      <c r="AH341" t="s">
        <v>6382</v>
      </c>
      <c r="AI341" t="s">
        <v>6381</v>
      </c>
      <c r="AJ341" t="s">
        <v>6380</v>
      </c>
      <c r="AK341" t="s">
        <v>6379</v>
      </c>
      <c r="AL341">
        <v>5</v>
      </c>
      <c r="AM341" s="5">
        <f t="shared" si="43"/>
        <v>0.22727272727272727</v>
      </c>
      <c r="AN341" s="4">
        <f t="shared" si="44"/>
        <v>3.4422222987160508E-4</v>
      </c>
      <c r="AO341" s="3"/>
      <c r="AP341">
        <v>0</v>
      </c>
      <c r="AQ341" t="s">
        <v>167</v>
      </c>
      <c r="AR341" t="s">
        <v>6378</v>
      </c>
      <c r="AS341" t="s">
        <v>166</v>
      </c>
      <c r="AT341" s="2" t="s">
        <v>0</v>
      </c>
      <c r="AU341" s="1">
        <f t="shared" si="45"/>
        <v>2.5609793456820853</v>
      </c>
      <c r="AV341" s="1">
        <f t="shared" si="46"/>
        <v>1.8391058820549639</v>
      </c>
      <c r="AW341" s="1">
        <f t="shared" si="47"/>
        <v>1.1172324184278426</v>
      </c>
    </row>
    <row r="342" spans="1:49" x14ac:dyDescent="0.2">
      <c r="A342">
        <v>340</v>
      </c>
      <c r="B342" t="s">
        <v>6377</v>
      </c>
      <c r="C342" t="s">
        <v>6376</v>
      </c>
      <c r="D342" t="s">
        <v>6375</v>
      </c>
      <c r="F342" t="s">
        <v>6374</v>
      </c>
      <c r="G342" t="s">
        <v>9</v>
      </c>
      <c r="H342" t="s">
        <v>8</v>
      </c>
      <c r="I342" t="s">
        <v>6373</v>
      </c>
      <c r="J342">
        <v>60107350</v>
      </c>
      <c r="K342" t="s">
        <v>5388</v>
      </c>
      <c r="L342" t="s">
        <v>632</v>
      </c>
      <c r="M342" t="s">
        <v>43</v>
      </c>
      <c r="N342">
        <v>3</v>
      </c>
      <c r="O342" t="s">
        <v>6372</v>
      </c>
      <c r="P342" t="s">
        <v>6371</v>
      </c>
      <c r="Q342" t="s">
        <v>6370</v>
      </c>
      <c r="R342" s="7">
        <v>36861</v>
      </c>
      <c r="S342" s="8">
        <f t="shared" si="40"/>
        <v>2000</v>
      </c>
      <c r="T342" s="8">
        <v>2000</v>
      </c>
      <c r="U342" s="8">
        <f t="shared" si="41"/>
        <v>22</v>
      </c>
      <c r="V342" s="7">
        <v>2000</v>
      </c>
      <c r="W342" t="s">
        <v>221</v>
      </c>
      <c r="X342" s="2">
        <v>1.365</v>
      </c>
      <c r="Y342" s="6">
        <f t="shared" si="42"/>
        <v>3.6437895411227675E-2</v>
      </c>
      <c r="AA342">
        <v>189545</v>
      </c>
      <c r="AB342">
        <v>17393</v>
      </c>
      <c r="AD342" t="s">
        <v>3</v>
      </c>
      <c r="AE342">
        <v>49</v>
      </c>
      <c r="AF342">
        <v>3</v>
      </c>
      <c r="AH342" t="s">
        <v>6369</v>
      </c>
      <c r="AI342" t="s">
        <v>6368</v>
      </c>
      <c r="AJ342" t="s">
        <v>6367</v>
      </c>
      <c r="AK342" t="s">
        <v>6366</v>
      </c>
      <c r="AL342">
        <v>32</v>
      </c>
      <c r="AM342" s="5">
        <f t="shared" si="43"/>
        <v>1.4545454545454546</v>
      </c>
      <c r="AN342" s="4">
        <f t="shared" si="44"/>
        <v>2.2030222711782728E-3</v>
      </c>
      <c r="AO342" s="3"/>
      <c r="AP342">
        <v>0</v>
      </c>
      <c r="AR342" t="s">
        <v>1</v>
      </c>
      <c r="AT342" s="2" t="s">
        <v>0</v>
      </c>
      <c r="AU342" s="1">
        <f t="shared" si="45"/>
        <v>2.6167433469212851</v>
      </c>
      <c r="AV342" s="1">
        <f t="shared" si="46"/>
        <v>1.9320458841202974</v>
      </c>
      <c r="AW342" s="1">
        <f t="shared" si="47"/>
        <v>1.2473484213193093</v>
      </c>
    </row>
    <row r="343" spans="1:49" x14ac:dyDescent="0.2">
      <c r="A343">
        <v>341</v>
      </c>
      <c r="B343" t="s">
        <v>6365</v>
      </c>
      <c r="F343" t="s">
        <v>6364</v>
      </c>
      <c r="G343" t="s">
        <v>9</v>
      </c>
      <c r="H343" t="s">
        <v>8</v>
      </c>
      <c r="I343" t="s">
        <v>6363</v>
      </c>
      <c r="J343">
        <v>60051492</v>
      </c>
      <c r="K343" t="s">
        <v>6362</v>
      </c>
      <c r="L343" t="s">
        <v>6361</v>
      </c>
      <c r="M343" t="s">
        <v>6360</v>
      </c>
      <c r="N343">
        <v>4</v>
      </c>
      <c r="O343" t="s">
        <v>6359</v>
      </c>
      <c r="P343" t="s">
        <v>6358</v>
      </c>
      <c r="Q343" t="s">
        <v>6357</v>
      </c>
      <c r="R343" s="7">
        <v>36861</v>
      </c>
      <c r="S343" s="8">
        <f t="shared" si="40"/>
        <v>2000</v>
      </c>
      <c r="T343" s="8">
        <v>2000</v>
      </c>
      <c r="U343" s="8">
        <f t="shared" si="41"/>
        <v>22</v>
      </c>
      <c r="V343" s="7">
        <v>2000</v>
      </c>
      <c r="W343" t="s">
        <v>6356</v>
      </c>
      <c r="X343" s="2" t="s">
        <v>0</v>
      </c>
      <c r="Y343" s="6" t="e">
        <f t="shared" si="42"/>
        <v>#VALUE!</v>
      </c>
      <c r="AA343">
        <v>1919040</v>
      </c>
      <c r="AB343">
        <v>4700152842</v>
      </c>
      <c r="AD343" t="s">
        <v>3</v>
      </c>
      <c r="AE343">
        <v>20</v>
      </c>
      <c r="AF343">
        <v>3</v>
      </c>
      <c r="AH343" t="s">
        <v>6355</v>
      </c>
      <c r="AI343" t="s">
        <v>6354</v>
      </c>
      <c r="AJ343" t="s">
        <v>6353</v>
      </c>
      <c r="AK343" t="s">
        <v>6352</v>
      </c>
      <c r="AL343">
        <v>26</v>
      </c>
      <c r="AM343" s="5">
        <f t="shared" si="43"/>
        <v>1.1818181818181819</v>
      </c>
      <c r="AN343" s="4">
        <f t="shared" si="44"/>
        <v>1.7899555953323468E-3</v>
      </c>
      <c r="AO343" s="3"/>
      <c r="AP343">
        <v>0</v>
      </c>
      <c r="AR343" t="s">
        <v>1</v>
      </c>
      <c r="AT343" s="2" t="s">
        <v>0</v>
      </c>
      <c r="AU343" s="1" t="e">
        <f t="shared" si="45"/>
        <v>#VALUE!</v>
      </c>
      <c r="AV343" s="1" t="e">
        <f t="shared" si="46"/>
        <v>#VALUE!</v>
      </c>
      <c r="AW343" s="1" t="e">
        <f t="shared" si="47"/>
        <v>#VALUE!</v>
      </c>
    </row>
    <row r="344" spans="1:49" x14ac:dyDescent="0.2">
      <c r="A344">
        <v>342</v>
      </c>
      <c r="B344" t="s">
        <v>6351</v>
      </c>
      <c r="F344" t="s">
        <v>6350</v>
      </c>
      <c r="G344" t="s">
        <v>9</v>
      </c>
      <c r="H344" t="s">
        <v>8</v>
      </c>
      <c r="I344" t="s">
        <v>6349</v>
      </c>
      <c r="J344" t="s">
        <v>6348</v>
      </c>
      <c r="K344" t="s">
        <v>6347</v>
      </c>
      <c r="L344" t="s">
        <v>6346</v>
      </c>
      <c r="M344" t="s">
        <v>6345</v>
      </c>
      <c r="N344">
        <v>4</v>
      </c>
      <c r="O344" t="s">
        <v>6344</v>
      </c>
      <c r="P344" t="s">
        <v>6343</v>
      </c>
      <c r="Q344" t="s">
        <v>6342</v>
      </c>
      <c r="R344" s="7">
        <v>36861</v>
      </c>
      <c r="S344" s="8">
        <f t="shared" si="40"/>
        <v>2000</v>
      </c>
      <c r="T344" s="8">
        <v>2000</v>
      </c>
      <c r="U344" s="8">
        <f t="shared" si="41"/>
        <v>22</v>
      </c>
      <c r="V344" s="7">
        <v>2000</v>
      </c>
      <c r="W344" t="s">
        <v>6308</v>
      </c>
      <c r="X344" s="2">
        <v>2.137</v>
      </c>
      <c r="Y344" s="6">
        <f t="shared" si="42"/>
        <v>5.7045994500947654E-2</v>
      </c>
      <c r="AA344">
        <v>46361</v>
      </c>
      <c r="AB344">
        <v>26750</v>
      </c>
      <c r="AD344" t="s">
        <v>3</v>
      </c>
      <c r="AE344">
        <v>353</v>
      </c>
      <c r="AF344">
        <v>3</v>
      </c>
      <c r="AI344" t="s">
        <v>6341</v>
      </c>
      <c r="AJ344" t="s">
        <v>6340</v>
      </c>
      <c r="AK344" t="s">
        <v>6339</v>
      </c>
      <c r="AL344">
        <v>6</v>
      </c>
      <c r="AM344" s="5">
        <f t="shared" si="43"/>
        <v>0.27272727272727271</v>
      </c>
      <c r="AN344" s="4">
        <f t="shared" si="44"/>
        <v>4.1306667584592612E-4</v>
      </c>
      <c r="AO344" s="3"/>
      <c r="AP344">
        <v>0</v>
      </c>
      <c r="AR344" t="s">
        <v>1</v>
      </c>
      <c r="AT344" s="2" t="s">
        <v>0</v>
      </c>
      <c r="AU344" s="1">
        <f t="shared" si="45"/>
        <v>4.0056116153417127</v>
      </c>
      <c r="AV344" s="1">
        <f t="shared" si="46"/>
        <v>2.8729530588396788</v>
      </c>
      <c r="AW344" s="1">
        <f t="shared" si="47"/>
        <v>1.7402945023376444</v>
      </c>
    </row>
    <row r="345" spans="1:49" x14ac:dyDescent="0.2">
      <c r="A345">
        <v>343</v>
      </c>
      <c r="B345" t="s">
        <v>6338</v>
      </c>
      <c r="C345" t="s">
        <v>6337</v>
      </c>
      <c r="D345" t="s">
        <v>6336</v>
      </c>
      <c r="F345" t="s">
        <v>6335</v>
      </c>
      <c r="G345" t="s">
        <v>9</v>
      </c>
      <c r="H345" t="s">
        <v>8</v>
      </c>
      <c r="I345" t="s">
        <v>6334</v>
      </c>
      <c r="J345">
        <v>60028673</v>
      </c>
      <c r="K345" t="s">
        <v>648</v>
      </c>
      <c r="L345" t="s">
        <v>461</v>
      </c>
      <c r="M345" t="s">
        <v>13</v>
      </c>
      <c r="N345">
        <v>1</v>
      </c>
      <c r="O345" t="s">
        <v>6333</v>
      </c>
      <c r="P345">
        <v>54781799400</v>
      </c>
      <c r="Q345">
        <v>60028673</v>
      </c>
      <c r="R345" s="7">
        <v>36861</v>
      </c>
      <c r="S345" s="8">
        <f t="shared" si="40"/>
        <v>2000</v>
      </c>
      <c r="T345" s="8">
        <v>2000</v>
      </c>
      <c r="U345" s="8">
        <f t="shared" si="41"/>
        <v>22</v>
      </c>
      <c r="V345" s="7">
        <v>2000</v>
      </c>
      <c r="W345" t="s">
        <v>291</v>
      </c>
      <c r="X345" s="2">
        <v>1.6519999999999999</v>
      </c>
      <c r="Y345" s="6">
        <f t="shared" si="42"/>
        <v>4.409919649769093E-2</v>
      </c>
      <c r="AA345" t="s">
        <v>290</v>
      </c>
      <c r="AB345">
        <v>17337</v>
      </c>
      <c r="AD345" t="s">
        <v>3</v>
      </c>
      <c r="AE345">
        <v>48</v>
      </c>
      <c r="AF345">
        <v>3</v>
      </c>
      <c r="AH345" t="s">
        <v>6332</v>
      </c>
      <c r="AI345" t="s">
        <v>6331</v>
      </c>
      <c r="AJ345" t="s">
        <v>6330</v>
      </c>
      <c r="AK345" t="s">
        <v>6329</v>
      </c>
      <c r="AL345">
        <v>62</v>
      </c>
      <c r="AM345" s="5">
        <f t="shared" si="43"/>
        <v>2.8181818181818183</v>
      </c>
      <c r="AN345" s="4">
        <f t="shared" si="44"/>
        <v>4.2683556504079035E-3</v>
      </c>
      <c r="AO345" s="3"/>
      <c r="AP345">
        <v>0</v>
      </c>
      <c r="AR345" t="s">
        <v>1</v>
      </c>
      <c r="AT345" s="2" t="s">
        <v>0</v>
      </c>
      <c r="AU345" s="1">
        <f t="shared" si="45"/>
        <v>3.2149944243506021</v>
      </c>
      <c r="AV345" s="1">
        <f t="shared" si="46"/>
        <v>2.4183776074049415</v>
      </c>
      <c r="AW345" s="1">
        <f t="shared" si="47"/>
        <v>1.6217607904592808</v>
      </c>
    </row>
    <row r="346" spans="1:49" x14ac:dyDescent="0.2">
      <c r="A346">
        <v>344</v>
      </c>
      <c r="B346" t="s">
        <v>6328</v>
      </c>
      <c r="F346" t="s">
        <v>6327</v>
      </c>
      <c r="G346" t="s">
        <v>9</v>
      </c>
      <c r="H346" t="s">
        <v>8</v>
      </c>
      <c r="I346" t="s">
        <v>6326</v>
      </c>
      <c r="J346">
        <v>60022313</v>
      </c>
      <c r="K346" t="s">
        <v>4146</v>
      </c>
      <c r="L346" t="s">
        <v>4145</v>
      </c>
      <c r="M346" t="s">
        <v>43</v>
      </c>
      <c r="N346">
        <v>8</v>
      </c>
      <c r="O346" t="s">
        <v>6325</v>
      </c>
      <c r="P346" t="s">
        <v>6324</v>
      </c>
      <c r="Q346" t="s">
        <v>6323</v>
      </c>
      <c r="R346" s="7">
        <v>36861</v>
      </c>
      <c r="S346" s="8">
        <f t="shared" si="40"/>
        <v>2000</v>
      </c>
      <c r="T346" s="8">
        <v>2000</v>
      </c>
      <c r="U346" s="8">
        <f t="shared" si="41"/>
        <v>22</v>
      </c>
      <c r="V346" s="7">
        <v>2000</v>
      </c>
      <c r="W346" t="s">
        <v>6322</v>
      </c>
      <c r="X346" s="2" t="s">
        <v>0</v>
      </c>
      <c r="Y346" s="6" t="e">
        <f t="shared" si="42"/>
        <v>#VALUE!</v>
      </c>
      <c r="AA346">
        <v>2043564</v>
      </c>
      <c r="AB346">
        <v>29732</v>
      </c>
      <c r="AD346" t="s">
        <v>3</v>
      </c>
      <c r="AE346">
        <v>22</v>
      </c>
      <c r="AF346">
        <v>4</v>
      </c>
      <c r="AH346" t="s">
        <v>124</v>
      </c>
      <c r="AI346" t="s">
        <v>6321</v>
      </c>
      <c r="AJ346" t="s">
        <v>6320</v>
      </c>
      <c r="AK346" t="s">
        <v>6319</v>
      </c>
      <c r="AL346">
        <v>9</v>
      </c>
      <c r="AM346" s="5">
        <f t="shared" si="43"/>
        <v>0.40909090909090912</v>
      </c>
      <c r="AN346" s="4">
        <f t="shared" si="44"/>
        <v>6.1960001376888923E-4</v>
      </c>
      <c r="AO346" s="3"/>
      <c r="AP346">
        <v>0</v>
      </c>
      <c r="AR346" t="s">
        <v>1</v>
      </c>
      <c r="AT346" s="2" t="s">
        <v>0</v>
      </c>
      <c r="AU346" s="1" t="e">
        <f t="shared" si="45"/>
        <v>#VALUE!</v>
      </c>
      <c r="AV346" s="1" t="e">
        <f t="shared" si="46"/>
        <v>#VALUE!</v>
      </c>
      <c r="AW346" s="1" t="e">
        <f t="shared" si="47"/>
        <v>#VALUE!</v>
      </c>
    </row>
    <row r="347" spans="1:49" x14ac:dyDescent="0.2">
      <c r="A347">
        <v>345</v>
      </c>
      <c r="B347" t="s">
        <v>6318</v>
      </c>
      <c r="F347" t="s">
        <v>6317</v>
      </c>
      <c r="G347" t="s">
        <v>9</v>
      </c>
      <c r="H347" t="s">
        <v>8</v>
      </c>
      <c r="I347" t="s">
        <v>6316</v>
      </c>
      <c r="J347" t="s">
        <v>6315</v>
      </c>
      <c r="K347" t="s">
        <v>6314</v>
      </c>
      <c r="L347" t="s">
        <v>6313</v>
      </c>
      <c r="M347" t="s">
        <v>6312</v>
      </c>
      <c r="N347">
        <v>5</v>
      </c>
      <c r="O347" t="s">
        <v>6311</v>
      </c>
      <c r="P347" t="s">
        <v>6310</v>
      </c>
      <c r="Q347" t="s">
        <v>6309</v>
      </c>
      <c r="R347" s="7">
        <v>36861</v>
      </c>
      <c r="S347" s="8">
        <f t="shared" si="40"/>
        <v>2000</v>
      </c>
      <c r="T347" s="8">
        <v>2000</v>
      </c>
      <c r="U347" s="8">
        <f t="shared" si="41"/>
        <v>22</v>
      </c>
      <c r="V347" s="7">
        <v>2000</v>
      </c>
      <c r="W347" t="s">
        <v>6308</v>
      </c>
      <c r="X347" s="2">
        <v>2.137</v>
      </c>
      <c r="Y347" s="6">
        <f t="shared" si="42"/>
        <v>5.7045994500947654E-2</v>
      </c>
      <c r="AA347">
        <v>46361</v>
      </c>
      <c r="AB347">
        <v>26750</v>
      </c>
      <c r="AD347" t="s">
        <v>3</v>
      </c>
      <c r="AE347">
        <v>356</v>
      </c>
      <c r="AF347">
        <v>3</v>
      </c>
      <c r="AI347" t="s">
        <v>6307</v>
      </c>
      <c r="AJ347" t="s">
        <v>6306</v>
      </c>
      <c r="AK347" t="s">
        <v>6305</v>
      </c>
      <c r="AL347">
        <v>31</v>
      </c>
      <c r="AM347" s="5">
        <f t="shared" si="43"/>
        <v>1.4090909090909092</v>
      </c>
      <c r="AN347" s="4">
        <f t="shared" si="44"/>
        <v>2.1341778252039517E-3</v>
      </c>
      <c r="AO347" s="3"/>
      <c r="AP347">
        <v>0</v>
      </c>
      <c r="AR347" t="s">
        <v>1</v>
      </c>
      <c r="AT347" s="2" t="s">
        <v>0</v>
      </c>
      <c r="AU347" s="1">
        <f t="shared" si="45"/>
        <v>4.0572449498224543</v>
      </c>
      <c r="AV347" s="1">
        <f t="shared" si="46"/>
        <v>2.9590086163075804</v>
      </c>
      <c r="AW347" s="1">
        <f t="shared" si="47"/>
        <v>1.860772282792706</v>
      </c>
    </row>
    <row r="348" spans="1:49" x14ac:dyDescent="0.2">
      <c r="A348">
        <v>346</v>
      </c>
      <c r="B348" t="s">
        <v>6304</v>
      </c>
      <c r="F348" t="s">
        <v>6303</v>
      </c>
      <c r="G348" t="s">
        <v>9</v>
      </c>
      <c r="H348" t="s">
        <v>8</v>
      </c>
      <c r="I348" t="s">
        <v>6302</v>
      </c>
      <c r="J348">
        <v>60007670</v>
      </c>
      <c r="K348" t="s">
        <v>6301</v>
      </c>
      <c r="L348" t="s">
        <v>92</v>
      </c>
      <c r="M348" t="s">
        <v>5</v>
      </c>
      <c r="N348">
        <v>2</v>
      </c>
      <c r="O348" t="s">
        <v>6300</v>
      </c>
      <c r="P348" t="s">
        <v>6299</v>
      </c>
      <c r="Q348" t="s">
        <v>6298</v>
      </c>
      <c r="R348" s="7">
        <v>36861</v>
      </c>
      <c r="S348" s="8">
        <f t="shared" si="40"/>
        <v>2000</v>
      </c>
      <c r="T348" s="8">
        <v>2000</v>
      </c>
      <c r="U348" s="8">
        <f t="shared" si="41"/>
        <v>22</v>
      </c>
      <c r="V348" s="7">
        <v>2000</v>
      </c>
      <c r="W348" t="s">
        <v>948</v>
      </c>
      <c r="X348" s="2">
        <v>0.26900000000000002</v>
      </c>
      <c r="Y348" s="6">
        <f t="shared" si="42"/>
        <v>7.1808013667547591E-3</v>
      </c>
      <c r="AA348" t="s">
        <v>947</v>
      </c>
      <c r="AB348">
        <v>13669</v>
      </c>
      <c r="AD348" t="s">
        <v>3</v>
      </c>
      <c r="AE348">
        <v>113</v>
      </c>
      <c r="AF348">
        <v>1</v>
      </c>
      <c r="AH348" t="s">
        <v>6297</v>
      </c>
      <c r="AI348" t="s">
        <v>6296</v>
      </c>
      <c r="AK348" t="s">
        <v>6295</v>
      </c>
      <c r="AL348">
        <v>7</v>
      </c>
      <c r="AM348" s="5">
        <f t="shared" si="43"/>
        <v>0.31818181818181818</v>
      </c>
      <c r="AN348" s="4">
        <f t="shared" si="44"/>
        <v>4.8191112182024716E-4</v>
      </c>
      <c r="AO348" s="3"/>
      <c r="AP348">
        <v>0</v>
      </c>
      <c r="AR348" t="s">
        <v>1</v>
      </c>
      <c r="AT348" s="2" t="s">
        <v>0</v>
      </c>
      <c r="AU348" s="1">
        <f t="shared" si="45"/>
        <v>0.51711342932744053</v>
      </c>
      <c r="AV348" s="1">
        <f t="shared" si="46"/>
        <v>0.38313562442875032</v>
      </c>
      <c r="AW348" s="1">
        <f t="shared" si="47"/>
        <v>0.24915781953006008</v>
      </c>
    </row>
    <row r="349" spans="1:49" x14ac:dyDescent="0.2">
      <c r="A349">
        <v>347</v>
      </c>
      <c r="B349" t="s">
        <v>6294</v>
      </c>
      <c r="C349" t="s">
        <v>6293</v>
      </c>
      <c r="F349" t="s">
        <v>6292</v>
      </c>
      <c r="G349" t="s">
        <v>9</v>
      </c>
      <c r="H349" t="s">
        <v>8</v>
      </c>
      <c r="I349" t="s">
        <v>6291</v>
      </c>
      <c r="J349" t="s">
        <v>6290</v>
      </c>
      <c r="K349" t="s">
        <v>6289</v>
      </c>
      <c r="L349" t="s">
        <v>6288</v>
      </c>
      <c r="M349" t="s">
        <v>19</v>
      </c>
      <c r="N349">
        <v>6</v>
      </c>
      <c r="O349" t="s">
        <v>6287</v>
      </c>
      <c r="P349" t="s">
        <v>6286</v>
      </c>
      <c r="Q349" t="s">
        <v>6285</v>
      </c>
      <c r="R349" s="7">
        <v>36861</v>
      </c>
      <c r="S349" s="8">
        <f t="shared" si="40"/>
        <v>2000</v>
      </c>
      <c r="T349" s="8">
        <v>2000</v>
      </c>
      <c r="U349" s="8">
        <f t="shared" si="41"/>
        <v>22</v>
      </c>
      <c r="V349" s="7">
        <v>2000</v>
      </c>
      <c r="W349" t="s">
        <v>473</v>
      </c>
      <c r="X349" s="2">
        <v>0.88100000000000001</v>
      </c>
      <c r="Y349" s="6">
        <f t="shared" si="42"/>
        <v>2.3517791836843653E-2</v>
      </c>
      <c r="AA349">
        <v>10459243</v>
      </c>
      <c r="AB349">
        <v>17248</v>
      </c>
      <c r="AD349" t="s">
        <v>3</v>
      </c>
      <c r="AE349">
        <v>42</v>
      </c>
      <c r="AF349">
        <v>2</v>
      </c>
      <c r="AH349" t="s">
        <v>6284</v>
      </c>
      <c r="AI349" t="s">
        <v>6283</v>
      </c>
      <c r="AJ349" t="s">
        <v>6282</v>
      </c>
      <c r="AK349" t="s">
        <v>6281</v>
      </c>
      <c r="AL349">
        <v>11</v>
      </c>
      <c r="AM349" s="5">
        <f t="shared" si="43"/>
        <v>0.5</v>
      </c>
      <c r="AN349" s="4">
        <f t="shared" si="44"/>
        <v>7.572889057175312E-4</v>
      </c>
      <c r="AO349" s="3"/>
      <c r="AP349">
        <v>0</v>
      </c>
      <c r="AR349" t="s">
        <v>6280</v>
      </c>
      <c r="AT349" s="2" t="s">
        <v>0</v>
      </c>
      <c r="AU349" s="1">
        <f t="shared" si="45"/>
        <v>1.6689640957505816</v>
      </c>
      <c r="AV349" s="1">
        <f t="shared" si="46"/>
        <v>1.2137540371280591</v>
      </c>
      <c r="AW349" s="1">
        <f t="shared" si="47"/>
        <v>0.75854397850553679</v>
      </c>
    </row>
    <row r="350" spans="1:49" x14ac:dyDescent="0.2">
      <c r="A350">
        <v>348</v>
      </c>
      <c r="B350" t="s">
        <v>6279</v>
      </c>
      <c r="C350" t="s">
        <v>6278</v>
      </c>
      <c r="D350" t="s">
        <v>6277</v>
      </c>
      <c r="F350" t="s">
        <v>6276</v>
      </c>
      <c r="G350" t="s">
        <v>9</v>
      </c>
      <c r="H350" t="s">
        <v>8</v>
      </c>
      <c r="I350" t="s">
        <v>6275</v>
      </c>
      <c r="J350">
        <v>60101612</v>
      </c>
      <c r="K350" t="s">
        <v>6274</v>
      </c>
      <c r="L350" t="s">
        <v>613</v>
      </c>
      <c r="M350" t="s">
        <v>16</v>
      </c>
      <c r="N350">
        <v>1</v>
      </c>
      <c r="O350" t="s">
        <v>6273</v>
      </c>
      <c r="P350">
        <v>6602573297</v>
      </c>
      <c r="Q350">
        <v>60101612</v>
      </c>
      <c r="R350" s="7">
        <v>36861</v>
      </c>
      <c r="S350" s="8">
        <f t="shared" si="40"/>
        <v>2000</v>
      </c>
      <c r="T350" s="8">
        <v>2000</v>
      </c>
      <c r="U350" s="8">
        <f t="shared" si="41"/>
        <v>22</v>
      </c>
      <c r="V350" s="7">
        <v>2000</v>
      </c>
      <c r="W350" t="s">
        <v>291</v>
      </c>
      <c r="X350" s="2">
        <v>1.6519999999999999</v>
      </c>
      <c r="Y350" s="6">
        <f t="shared" si="42"/>
        <v>4.409919649769093E-2</v>
      </c>
      <c r="AA350" t="s">
        <v>290</v>
      </c>
      <c r="AB350">
        <v>17337</v>
      </c>
      <c r="AD350" t="s">
        <v>3</v>
      </c>
      <c r="AE350">
        <v>48</v>
      </c>
      <c r="AF350">
        <v>3</v>
      </c>
      <c r="AH350" t="s">
        <v>6272</v>
      </c>
      <c r="AI350" t="s">
        <v>6271</v>
      </c>
      <c r="AJ350" t="s">
        <v>6270</v>
      </c>
      <c r="AK350" t="s">
        <v>6269</v>
      </c>
      <c r="AL350">
        <v>87</v>
      </c>
      <c r="AM350" s="5">
        <f t="shared" si="43"/>
        <v>3.9545454545454546</v>
      </c>
      <c r="AN350" s="4">
        <f t="shared" si="44"/>
        <v>5.9894667997659285E-3</v>
      </c>
      <c r="AO350" s="3"/>
      <c r="AP350">
        <v>0</v>
      </c>
      <c r="AR350" t="s">
        <v>1</v>
      </c>
      <c r="AT350" s="2" t="s">
        <v>0</v>
      </c>
      <c r="AU350" s="1">
        <f t="shared" si="45"/>
        <v>3.2666277588313428</v>
      </c>
      <c r="AV350" s="1">
        <f t="shared" si="46"/>
        <v>2.5044331648728426</v>
      </c>
      <c r="AW350" s="1">
        <f t="shared" si="47"/>
        <v>1.7422385709143426</v>
      </c>
    </row>
    <row r="351" spans="1:49" x14ac:dyDescent="0.2">
      <c r="A351">
        <v>349</v>
      </c>
      <c r="B351" t="s">
        <v>6268</v>
      </c>
      <c r="C351" t="s">
        <v>6267</v>
      </c>
      <c r="F351" t="s">
        <v>6266</v>
      </c>
      <c r="G351" t="s">
        <v>9</v>
      </c>
      <c r="H351" t="s">
        <v>8</v>
      </c>
      <c r="I351" t="s">
        <v>6265</v>
      </c>
      <c r="J351">
        <v>60027090</v>
      </c>
      <c r="K351" t="s">
        <v>746</v>
      </c>
      <c r="L351" t="s">
        <v>745</v>
      </c>
      <c r="M351" t="s">
        <v>5</v>
      </c>
      <c r="N351">
        <v>4</v>
      </c>
      <c r="O351" t="s">
        <v>6264</v>
      </c>
      <c r="P351" t="s">
        <v>6263</v>
      </c>
      <c r="Q351" t="s">
        <v>6262</v>
      </c>
      <c r="R351" s="7">
        <v>36861</v>
      </c>
      <c r="S351" s="8">
        <f t="shared" si="40"/>
        <v>2000</v>
      </c>
      <c r="T351" s="8">
        <v>2000</v>
      </c>
      <c r="U351" s="8">
        <f t="shared" si="41"/>
        <v>22</v>
      </c>
      <c r="V351" s="7">
        <v>2000</v>
      </c>
      <c r="W351" t="s">
        <v>473</v>
      </c>
      <c r="X351" s="2">
        <v>0.88100000000000001</v>
      </c>
      <c r="Y351" s="6">
        <f t="shared" si="42"/>
        <v>2.3517791836843653E-2</v>
      </c>
      <c r="AA351">
        <v>10459243</v>
      </c>
      <c r="AB351">
        <v>17248</v>
      </c>
      <c r="AD351" t="s">
        <v>3</v>
      </c>
      <c r="AE351">
        <v>42</v>
      </c>
      <c r="AF351">
        <v>5</v>
      </c>
      <c r="AH351" t="s">
        <v>6261</v>
      </c>
      <c r="AJ351" t="s">
        <v>6260</v>
      </c>
      <c r="AL351">
        <v>61</v>
      </c>
      <c r="AM351" s="5">
        <f t="shared" si="43"/>
        <v>2.7727272727272729</v>
      </c>
      <c r="AN351" s="4">
        <f t="shared" si="44"/>
        <v>4.1995112044335824E-3</v>
      </c>
      <c r="AO351" s="3"/>
      <c r="AP351">
        <v>0</v>
      </c>
      <c r="AR351" t="s">
        <v>1</v>
      </c>
      <c r="AT351" s="2" t="s">
        <v>0</v>
      </c>
      <c r="AU351" s="1">
        <f t="shared" si="45"/>
        <v>1.7722307647120632</v>
      </c>
      <c r="AV351" s="1">
        <f t="shared" si="46"/>
        <v>1.3858651520638618</v>
      </c>
      <c r="AW351" s="1">
        <f t="shared" si="47"/>
        <v>0.99949953941566028</v>
      </c>
    </row>
    <row r="352" spans="1:49" x14ac:dyDescent="0.2">
      <c r="A352">
        <v>350</v>
      </c>
      <c r="B352" t="s">
        <v>6259</v>
      </c>
      <c r="C352" t="s">
        <v>6258</v>
      </c>
      <c r="F352" t="s">
        <v>6257</v>
      </c>
      <c r="G352" t="s">
        <v>9</v>
      </c>
      <c r="H352" t="s">
        <v>8</v>
      </c>
      <c r="I352" t="s">
        <v>6256</v>
      </c>
      <c r="J352">
        <v>60025528</v>
      </c>
      <c r="K352" t="s">
        <v>6255</v>
      </c>
      <c r="L352" t="s">
        <v>44</v>
      </c>
      <c r="M352" t="s">
        <v>43</v>
      </c>
      <c r="N352">
        <v>1</v>
      </c>
      <c r="O352" t="s">
        <v>6254</v>
      </c>
      <c r="P352">
        <v>7103229916</v>
      </c>
      <c r="Q352">
        <v>60025528</v>
      </c>
      <c r="R352" s="7">
        <v>36861</v>
      </c>
      <c r="S352" s="8">
        <f t="shared" si="40"/>
        <v>2000</v>
      </c>
      <c r="T352" s="8">
        <v>2000</v>
      </c>
      <c r="U352" s="8">
        <f t="shared" si="41"/>
        <v>22</v>
      </c>
      <c r="V352" s="7">
        <v>2000</v>
      </c>
      <c r="W352" t="s">
        <v>6253</v>
      </c>
      <c r="X352" s="2" t="s">
        <v>0</v>
      </c>
      <c r="Y352" s="6" t="e">
        <f t="shared" si="42"/>
        <v>#VALUE!</v>
      </c>
      <c r="AA352" t="s">
        <v>6252</v>
      </c>
      <c r="AB352">
        <v>62317</v>
      </c>
      <c r="AD352" t="s">
        <v>3</v>
      </c>
      <c r="AF352">
        <v>16</v>
      </c>
      <c r="AH352" t="s">
        <v>6251</v>
      </c>
      <c r="AI352" t="s">
        <v>6250</v>
      </c>
      <c r="AK352" t="s">
        <v>6249</v>
      </c>
      <c r="AL352">
        <v>95</v>
      </c>
      <c r="AM352" s="5">
        <f t="shared" si="43"/>
        <v>4.3181818181818183</v>
      </c>
      <c r="AN352" s="4">
        <f t="shared" si="44"/>
        <v>6.5402223675604977E-3</v>
      </c>
      <c r="AO352" s="3"/>
      <c r="AP352">
        <v>0</v>
      </c>
      <c r="AR352" t="s">
        <v>1</v>
      </c>
      <c r="AT352" s="2" t="s">
        <v>0</v>
      </c>
      <c r="AU352" s="1" t="e">
        <f t="shared" si="45"/>
        <v>#VALUE!</v>
      </c>
      <c r="AV352" s="1" t="e">
        <f t="shared" si="46"/>
        <v>#VALUE!</v>
      </c>
      <c r="AW352" s="1" t="e">
        <f t="shared" si="47"/>
        <v>#VALUE!</v>
      </c>
    </row>
    <row r="353" spans="1:49" x14ac:dyDescent="0.2">
      <c r="A353">
        <v>351</v>
      </c>
      <c r="B353" t="s">
        <v>6248</v>
      </c>
      <c r="C353" t="s">
        <v>6247</v>
      </c>
      <c r="D353" t="s">
        <v>6246</v>
      </c>
      <c r="F353" t="s">
        <v>6245</v>
      </c>
      <c r="G353" t="s">
        <v>9</v>
      </c>
      <c r="H353" t="s">
        <v>8</v>
      </c>
      <c r="I353" t="s">
        <v>691</v>
      </c>
      <c r="J353">
        <v>60013983</v>
      </c>
      <c r="K353" t="s">
        <v>162</v>
      </c>
      <c r="L353" t="s">
        <v>161</v>
      </c>
      <c r="M353" t="s">
        <v>160</v>
      </c>
      <c r="N353">
        <v>1</v>
      </c>
      <c r="O353" t="s">
        <v>690</v>
      </c>
      <c r="P353">
        <v>56415172000</v>
      </c>
      <c r="Q353">
        <v>60013983</v>
      </c>
      <c r="R353" s="7">
        <v>36861</v>
      </c>
      <c r="S353" s="8">
        <f t="shared" si="40"/>
        <v>2000</v>
      </c>
      <c r="T353" s="8">
        <v>2000</v>
      </c>
      <c r="U353" s="8">
        <f t="shared" si="41"/>
        <v>22</v>
      </c>
      <c r="V353" s="7">
        <v>2000</v>
      </c>
      <c r="W353" t="s">
        <v>291</v>
      </c>
      <c r="X353" s="2">
        <v>1.6519999999999999</v>
      </c>
      <c r="Y353" s="6">
        <f t="shared" si="42"/>
        <v>4.409919649769093E-2</v>
      </c>
      <c r="AA353" t="s">
        <v>290</v>
      </c>
      <c r="AB353">
        <v>17337</v>
      </c>
      <c r="AD353" t="s">
        <v>3</v>
      </c>
      <c r="AE353">
        <v>48</v>
      </c>
      <c r="AF353">
        <v>3</v>
      </c>
      <c r="AH353" t="s">
        <v>6244</v>
      </c>
      <c r="AI353" t="s">
        <v>6243</v>
      </c>
      <c r="AJ353" t="s">
        <v>6242</v>
      </c>
      <c r="AK353" t="s">
        <v>6241</v>
      </c>
      <c r="AL353">
        <v>16</v>
      </c>
      <c r="AM353" s="5">
        <f t="shared" si="43"/>
        <v>0.72727272727272729</v>
      </c>
      <c r="AN353" s="4">
        <f t="shared" si="44"/>
        <v>1.1015111355891364E-3</v>
      </c>
      <c r="AO353" s="3"/>
      <c r="AP353">
        <v>0</v>
      </c>
      <c r="AR353" t="s">
        <v>6240</v>
      </c>
      <c r="AT353" s="2" t="s">
        <v>0</v>
      </c>
      <c r="AU353" s="1">
        <f t="shared" si="45"/>
        <v>3.1199890889060393</v>
      </c>
      <c r="AV353" s="1">
        <f t="shared" si="46"/>
        <v>2.2600353816640033</v>
      </c>
      <c r="AW353" s="1">
        <f t="shared" si="47"/>
        <v>1.4000816744219673</v>
      </c>
    </row>
    <row r="354" spans="1:49" x14ac:dyDescent="0.2">
      <c r="A354">
        <v>352</v>
      </c>
      <c r="B354" t="s">
        <v>6239</v>
      </c>
      <c r="F354" t="s">
        <v>6238</v>
      </c>
      <c r="G354" t="s">
        <v>9</v>
      </c>
      <c r="H354" t="s">
        <v>8</v>
      </c>
      <c r="I354" t="s">
        <v>6237</v>
      </c>
      <c r="J354" t="s">
        <v>6236</v>
      </c>
      <c r="K354" t="s">
        <v>6235</v>
      </c>
      <c r="L354" t="s">
        <v>6234</v>
      </c>
      <c r="M354" t="s">
        <v>607</v>
      </c>
      <c r="N354">
        <v>6</v>
      </c>
      <c r="O354" t="s">
        <v>6233</v>
      </c>
      <c r="P354" t="s">
        <v>6232</v>
      </c>
      <c r="Q354" t="s">
        <v>6231</v>
      </c>
      <c r="R354" s="7">
        <v>36861</v>
      </c>
      <c r="S354" s="8">
        <f t="shared" si="40"/>
        <v>2000</v>
      </c>
      <c r="T354" s="8">
        <v>2000</v>
      </c>
      <c r="U354" s="8">
        <f t="shared" si="41"/>
        <v>22</v>
      </c>
      <c r="V354" s="7">
        <v>36861</v>
      </c>
      <c r="W354" t="s">
        <v>6230</v>
      </c>
      <c r="X354" s="2" t="s">
        <v>0</v>
      </c>
      <c r="Y354" s="6" t="e">
        <f t="shared" si="42"/>
        <v>#VALUE!</v>
      </c>
      <c r="AA354">
        <v>5777496</v>
      </c>
      <c r="AB354">
        <v>17923</v>
      </c>
      <c r="AD354" t="s">
        <v>3</v>
      </c>
      <c r="AE354">
        <v>42</v>
      </c>
      <c r="AF354">
        <v>12</v>
      </c>
      <c r="AH354" t="s">
        <v>6229</v>
      </c>
      <c r="AI354" t="s">
        <v>6228</v>
      </c>
      <c r="AJ354" t="s">
        <v>6227</v>
      </c>
      <c r="AK354" t="s">
        <v>6226</v>
      </c>
      <c r="AL354">
        <v>6</v>
      </c>
      <c r="AM354" s="5">
        <f t="shared" si="43"/>
        <v>0.27272727272727271</v>
      </c>
      <c r="AN354" s="4">
        <f t="shared" si="44"/>
        <v>4.1306667584592612E-4</v>
      </c>
      <c r="AO354" s="3"/>
      <c r="AP354">
        <v>0</v>
      </c>
      <c r="AR354" t="s">
        <v>1</v>
      </c>
      <c r="AT354" s="2" t="s">
        <v>0</v>
      </c>
      <c r="AU354" s="1" t="e">
        <f t="shared" si="45"/>
        <v>#VALUE!</v>
      </c>
      <c r="AV354" s="1" t="e">
        <f t="shared" si="46"/>
        <v>#VALUE!</v>
      </c>
      <c r="AW354" s="1" t="e">
        <f t="shared" si="47"/>
        <v>#VALUE!</v>
      </c>
    </row>
    <row r="355" spans="1:49" x14ac:dyDescent="0.2">
      <c r="A355">
        <v>353</v>
      </c>
      <c r="B355" t="s">
        <v>6225</v>
      </c>
      <c r="C355" t="s">
        <v>6224</v>
      </c>
      <c r="D355" t="s">
        <v>6223</v>
      </c>
      <c r="F355" t="s">
        <v>6222</v>
      </c>
      <c r="G355" t="s">
        <v>9</v>
      </c>
      <c r="H355" t="s">
        <v>8</v>
      </c>
      <c r="I355" t="s">
        <v>883</v>
      </c>
      <c r="J355" t="s">
        <v>2198</v>
      </c>
      <c r="K355" t="s">
        <v>2203</v>
      </c>
      <c r="L355" t="s">
        <v>2202</v>
      </c>
      <c r="M355" t="s">
        <v>2201</v>
      </c>
      <c r="N355">
        <v>2</v>
      </c>
      <c r="O355" t="s">
        <v>882</v>
      </c>
      <c r="P355" t="s">
        <v>881</v>
      </c>
      <c r="Q355" t="s">
        <v>6221</v>
      </c>
      <c r="R355" s="7">
        <v>36861</v>
      </c>
      <c r="S355" s="8">
        <f t="shared" si="40"/>
        <v>2000</v>
      </c>
      <c r="T355" s="8">
        <v>2000</v>
      </c>
      <c r="U355" s="8">
        <f t="shared" si="41"/>
        <v>22</v>
      </c>
      <c r="V355" s="7">
        <v>2000</v>
      </c>
      <c r="W355" t="s">
        <v>291</v>
      </c>
      <c r="X355" s="2">
        <v>1.6519999999999999</v>
      </c>
      <c r="Y355" s="6">
        <f t="shared" si="42"/>
        <v>4.409919649769093E-2</v>
      </c>
      <c r="AA355" t="s">
        <v>290</v>
      </c>
      <c r="AB355">
        <v>17337</v>
      </c>
      <c r="AD355" t="s">
        <v>3</v>
      </c>
      <c r="AE355">
        <v>48</v>
      </c>
      <c r="AF355">
        <v>8</v>
      </c>
      <c r="AH355" t="s">
        <v>506</v>
      </c>
      <c r="AI355" t="s">
        <v>6220</v>
      </c>
      <c r="AJ355" t="s">
        <v>6219</v>
      </c>
      <c r="AK355" t="s">
        <v>6218</v>
      </c>
      <c r="AL355">
        <v>164</v>
      </c>
      <c r="AM355" s="5">
        <f t="shared" si="43"/>
        <v>7.4545454545454541</v>
      </c>
      <c r="AN355" s="4">
        <f t="shared" si="44"/>
        <v>1.1290489139788647E-2</v>
      </c>
      <c r="AO355" s="3"/>
      <c r="AP355">
        <v>0</v>
      </c>
      <c r="AQ355" t="s">
        <v>306</v>
      </c>
      <c r="AR355" t="s">
        <v>2208</v>
      </c>
      <c r="AS355" t="s">
        <v>305</v>
      </c>
      <c r="AT355" s="2" t="s">
        <v>0</v>
      </c>
      <c r="AU355" s="1">
        <f t="shared" si="45"/>
        <v>3.4256584290320244</v>
      </c>
      <c r="AV355" s="1">
        <f t="shared" si="46"/>
        <v>2.7694842818739787</v>
      </c>
      <c r="AW355" s="1">
        <f t="shared" si="47"/>
        <v>2.1133101347159329</v>
      </c>
    </row>
    <row r="356" spans="1:49" x14ac:dyDescent="0.2">
      <c r="A356">
        <v>354</v>
      </c>
      <c r="B356" t="s">
        <v>6217</v>
      </c>
      <c r="C356" t="s">
        <v>6216</v>
      </c>
      <c r="D356" t="s">
        <v>6215</v>
      </c>
      <c r="F356" t="s">
        <v>6214</v>
      </c>
      <c r="G356" t="s">
        <v>9</v>
      </c>
      <c r="H356" t="s">
        <v>8</v>
      </c>
      <c r="I356" t="s">
        <v>6213</v>
      </c>
      <c r="J356">
        <v>60011357</v>
      </c>
      <c r="K356" t="s">
        <v>216</v>
      </c>
      <c r="L356" t="s">
        <v>215</v>
      </c>
      <c r="M356" t="s">
        <v>214</v>
      </c>
      <c r="N356">
        <v>2</v>
      </c>
      <c r="O356" t="s">
        <v>6212</v>
      </c>
      <c r="P356" t="s">
        <v>6211</v>
      </c>
      <c r="Q356" t="s">
        <v>211</v>
      </c>
      <c r="R356" s="7">
        <v>36861</v>
      </c>
      <c r="S356" s="8">
        <f t="shared" si="40"/>
        <v>2000</v>
      </c>
      <c r="T356" s="8">
        <v>2000</v>
      </c>
      <c r="U356" s="8">
        <f t="shared" si="41"/>
        <v>22</v>
      </c>
      <c r="V356" s="7">
        <v>2000</v>
      </c>
      <c r="W356" t="s">
        <v>291</v>
      </c>
      <c r="X356" s="2">
        <v>1.6519999999999999</v>
      </c>
      <c r="Y356" s="6">
        <f t="shared" si="42"/>
        <v>4.409919649769093E-2</v>
      </c>
      <c r="AA356" t="s">
        <v>290</v>
      </c>
      <c r="AB356">
        <v>17337</v>
      </c>
      <c r="AD356" t="s">
        <v>3</v>
      </c>
      <c r="AE356">
        <v>48</v>
      </c>
      <c r="AF356">
        <v>8</v>
      </c>
      <c r="AH356" t="s">
        <v>6210</v>
      </c>
      <c r="AI356" t="s">
        <v>6209</v>
      </c>
      <c r="AJ356" t="s">
        <v>6208</v>
      </c>
      <c r="AK356" t="s">
        <v>6207</v>
      </c>
      <c r="AL356">
        <v>101</v>
      </c>
      <c r="AM356" s="5">
        <f t="shared" si="43"/>
        <v>4.5909090909090908</v>
      </c>
      <c r="AN356" s="4">
        <f t="shared" si="44"/>
        <v>6.9532890434064231E-3</v>
      </c>
      <c r="AO356" s="3"/>
      <c r="AP356">
        <v>0</v>
      </c>
      <c r="AR356" t="s">
        <v>1</v>
      </c>
      <c r="AT356" s="2" t="s">
        <v>0</v>
      </c>
      <c r="AU356" s="1">
        <f t="shared" si="45"/>
        <v>3.2955424261405577</v>
      </c>
      <c r="AV356" s="1">
        <f t="shared" si="46"/>
        <v>2.5526242770548677</v>
      </c>
      <c r="AW356" s="1">
        <f t="shared" si="47"/>
        <v>1.8097061279691775</v>
      </c>
    </row>
    <row r="357" spans="1:49" x14ac:dyDescent="0.2">
      <c r="A357">
        <v>355</v>
      </c>
      <c r="B357" t="s">
        <v>6206</v>
      </c>
      <c r="F357" t="s">
        <v>6205</v>
      </c>
      <c r="G357" t="s">
        <v>9</v>
      </c>
      <c r="H357" t="s">
        <v>8</v>
      </c>
      <c r="I357" t="s">
        <v>553</v>
      </c>
      <c r="J357" t="s">
        <v>6204</v>
      </c>
      <c r="K357" t="s">
        <v>6203</v>
      </c>
      <c r="L357" t="s">
        <v>6202</v>
      </c>
      <c r="M357" t="s">
        <v>6201</v>
      </c>
      <c r="N357">
        <v>8</v>
      </c>
      <c r="O357" t="s">
        <v>6200</v>
      </c>
      <c r="P357" t="s">
        <v>6199</v>
      </c>
      <c r="Q357" t="s">
        <v>6198</v>
      </c>
      <c r="R357" s="7">
        <v>36861</v>
      </c>
      <c r="S357" s="8">
        <f t="shared" si="40"/>
        <v>2000</v>
      </c>
      <c r="T357" s="8">
        <v>2000</v>
      </c>
      <c r="U357" s="8">
        <f t="shared" si="41"/>
        <v>22</v>
      </c>
      <c r="V357" s="7">
        <v>2000</v>
      </c>
      <c r="W357" t="s">
        <v>6197</v>
      </c>
      <c r="X357" s="2" t="s">
        <v>0</v>
      </c>
      <c r="Y357" s="6" t="e">
        <f t="shared" si="42"/>
        <v>#VALUE!</v>
      </c>
      <c r="AA357">
        <v>10020071</v>
      </c>
      <c r="AB357">
        <v>22367</v>
      </c>
      <c r="AD357" t="s">
        <v>3</v>
      </c>
      <c r="AE357">
        <v>10</v>
      </c>
      <c r="AF357">
        <v>8</v>
      </c>
      <c r="AH357" t="s">
        <v>6196</v>
      </c>
      <c r="AI357" t="s">
        <v>6195</v>
      </c>
      <c r="AJ357" t="s">
        <v>6194</v>
      </c>
      <c r="AK357" t="s">
        <v>6193</v>
      </c>
      <c r="AL357">
        <v>12</v>
      </c>
      <c r="AM357" s="5">
        <f t="shared" si="43"/>
        <v>0.54545454545454541</v>
      </c>
      <c r="AN357" s="4">
        <f t="shared" si="44"/>
        <v>8.2613335169185224E-4</v>
      </c>
      <c r="AO357" s="3"/>
      <c r="AP357">
        <v>0</v>
      </c>
      <c r="AR357" t="s">
        <v>1</v>
      </c>
      <c r="AT357" s="2" t="s">
        <v>0</v>
      </c>
      <c r="AU357" s="1" t="e">
        <f t="shared" si="45"/>
        <v>#VALUE!</v>
      </c>
      <c r="AV357" s="1" t="e">
        <f t="shared" si="46"/>
        <v>#VALUE!</v>
      </c>
      <c r="AW357" s="1" t="e">
        <f t="shared" si="47"/>
        <v>#VALUE!</v>
      </c>
    </row>
    <row r="358" spans="1:49" x14ac:dyDescent="0.2">
      <c r="A358">
        <v>356</v>
      </c>
      <c r="B358" t="s">
        <v>6192</v>
      </c>
      <c r="C358" t="s">
        <v>6191</v>
      </c>
      <c r="F358" t="s">
        <v>6190</v>
      </c>
      <c r="G358" t="s">
        <v>9</v>
      </c>
      <c r="H358" t="s">
        <v>8</v>
      </c>
      <c r="I358" t="s">
        <v>6189</v>
      </c>
      <c r="J358">
        <v>60030988</v>
      </c>
      <c r="K358" t="s">
        <v>6188</v>
      </c>
      <c r="L358" t="s">
        <v>6187</v>
      </c>
      <c r="M358" t="s">
        <v>357</v>
      </c>
      <c r="N358">
        <v>1</v>
      </c>
      <c r="O358" t="s">
        <v>6186</v>
      </c>
      <c r="P358">
        <v>6602468124</v>
      </c>
      <c r="Q358">
        <v>60030988</v>
      </c>
      <c r="R358" s="7">
        <v>36861</v>
      </c>
      <c r="S358" s="8">
        <f t="shared" si="40"/>
        <v>2000</v>
      </c>
      <c r="T358" s="8">
        <v>2000</v>
      </c>
      <c r="U358" s="8">
        <f t="shared" si="41"/>
        <v>22</v>
      </c>
      <c r="V358" s="7">
        <v>2000</v>
      </c>
      <c r="W358" t="s">
        <v>473</v>
      </c>
      <c r="X358" s="2">
        <v>0.88100000000000001</v>
      </c>
      <c r="Y358" s="6">
        <f t="shared" si="42"/>
        <v>2.3517791836843653E-2</v>
      </c>
      <c r="AA358">
        <v>10459243</v>
      </c>
      <c r="AB358">
        <v>17248</v>
      </c>
      <c r="AD358" t="s">
        <v>3</v>
      </c>
      <c r="AE358">
        <v>42</v>
      </c>
      <c r="AF358">
        <v>3</v>
      </c>
      <c r="AH358" t="s">
        <v>6185</v>
      </c>
      <c r="AI358" t="s">
        <v>6184</v>
      </c>
      <c r="AJ358" t="s">
        <v>6183</v>
      </c>
      <c r="AK358" t="s">
        <v>6182</v>
      </c>
      <c r="AL358">
        <v>270</v>
      </c>
      <c r="AM358" s="5">
        <f t="shared" si="43"/>
        <v>12.272727272727273</v>
      </c>
      <c r="AN358" s="4">
        <f t="shared" si="44"/>
        <v>1.8588000413066678E-2</v>
      </c>
      <c r="AO358" s="3"/>
      <c r="AP358">
        <v>0</v>
      </c>
      <c r="AR358" t="s">
        <v>1</v>
      </c>
      <c r="AT358" s="2" t="s">
        <v>0</v>
      </c>
      <c r="AU358" s="1">
        <f t="shared" si="45"/>
        <v>2.2038854409710562</v>
      </c>
      <c r="AV358" s="1">
        <f t="shared" si="46"/>
        <v>2.1052896124955165</v>
      </c>
      <c r="AW358" s="1">
        <f t="shared" si="47"/>
        <v>2.0066937840199772</v>
      </c>
    </row>
    <row r="359" spans="1:49" x14ac:dyDescent="0.2">
      <c r="A359">
        <v>357</v>
      </c>
      <c r="B359" t="s">
        <v>6181</v>
      </c>
      <c r="C359" t="s">
        <v>6180</v>
      </c>
      <c r="D359" t="s">
        <v>6179</v>
      </c>
      <c r="F359" t="s">
        <v>6178</v>
      </c>
      <c r="G359" t="s">
        <v>9</v>
      </c>
      <c r="H359" t="s">
        <v>8</v>
      </c>
      <c r="I359" t="s">
        <v>6177</v>
      </c>
      <c r="J359">
        <v>60121579</v>
      </c>
      <c r="K359" t="s">
        <v>3953</v>
      </c>
      <c r="L359" t="s">
        <v>273</v>
      </c>
      <c r="M359" t="s">
        <v>5</v>
      </c>
      <c r="N359">
        <v>1</v>
      </c>
      <c r="O359" t="s">
        <v>6176</v>
      </c>
      <c r="P359">
        <v>7003479114</v>
      </c>
      <c r="Q359">
        <v>60121579</v>
      </c>
      <c r="R359" s="7">
        <v>36861</v>
      </c>
      <c r="S359" s="8">
        <f t="shared" si="40"/>
        <v>2000</v>
      </c>
      <c r="T359" s="8">
        <v>2000</v>
      </c>
      <c r="U359" s="8">
        <f t="shared" si="41"/>
        <v>22</v>
      </c>
      <c r="V359" s="7">
        <v>2000</v>
      </c>
      <c r="W359" t="s">
        <v>291</v>
      </c>
      <c r="X359" s="2">
        <v>1.6519999999999999</v>
      </c>
      <c r="Y359" s="6">
        <f t="shared" si="42"/>
        <v>4.409919649769093E-2</v>
      </c>
      <c r="AA359" t="s">
        <v>290</v>
      </c>
      <c r="AB359">
        <v>17337</v>
      </c>
      <c r="AD359" t="s">
        <v>3</v>
      </c>
      <c r="AE359">
        <v>48</v>
      </c>
      <c r="AF359">
        <v>3</v>
      </c>
      <c r="AH359" t="s">
        <v>6175</v>
      </c>
      <c r="AI359" t="s">
        <v>6174</v>
      </c>
      <c r="AJ359" t="s">
        <v>6173</v>
      </c>
      <c r="AK359" t="s">
        <v>6172</v>
      </c>
      <c r="AL359">
        <v>45</v>
      </c>
      <c r="AM359" s="5">
        <f t="shared" si="43"/>
        <v>2.0454545454545454</v>
      </c>
      <c r="AN359" s="4">
        <f t="shared" si="44"/>
        <v>3.0980000688444458E-3</v>
      </c>
      <c r="AO359" s="3"/>
      <c r="AP359">
        <v>0</v>
      </c>
      <c r="AQ359" t="s">
        <v>476</v>
      </c>
      <c r="AR359" t="s">
        <v>1</v>
      </c>
      <c r="AS359" t="s">
        <v>475</v>
      </c>
      <c r="AT359" s="2" t="s">
        <v>0</v>
      </c>
      <c r="AU359" s="1">
        <f t="shared" si="45"/>
        <v>3.1798837569036986</v>
      </c>
      <c r="AV359" s="1">
        <f t="shared" si="46"/>
        <v>2.3598598283267691</v>
      </c>
      <c r="AW359" s="1">
        <f t="shared" si="47"/>
        <v>1.5398358997498391</v>
      </c>
    </row>
    <row r="360" spans="1:49" x14ac:dyDescent="0.2">
      <c r="A360">
        <v>358</v>
      </c>
      <c r="B360" t="s">
        <v>6171</v>
      </c>
      <c r="C360" t="s">
        <v>6170</v>
      </c>
      <c r="D360" t="s">
        <v>6169</v>
      </c>
      <c r="F360" t="s">
        <v>6168</v>
      </c>
      <c r="G360" t="s">
        <v>9</v>
      </c>
      <c r="H360" t="s">
        <v>8</v>
      </c>
      <c r="I360" t="s">
        <v>149</v>
      </c>
      <c r="J360">
        <v>60001439</v>
      </c>
      <c r="K360" t="s">
        <v>120</v>
      </c>
      <c r="L360" t="s">
        <v>119</v>
      </c>
      <c r="M360" t="s">
        <v>5</v>
      </c>
      <c r="N360">
        <v>1</v>
      </c>
      <c r="O360" t="s">
        <v>148</v>
      </c>
      <c r="P360">
        <v>55925714300</v>
      </c>
      <c r="Q360">
        <v>60001439</v>
      </c>
      <c r="R360" s="7">
        <v>36861</v>
      </c>
      <c r="S360" s="8">
        <f t="shared" si="40"/>
        <v>2000</v>
      </c>
      <c r="T360" s="8">
        <v>2000</v>
      </c>
      <c r="U360" s="8">
        <f t="shared" si="41"/>
        <v>22</v>
      </c>
      <c r="V360" s="7">
        <v>2000</v>
      </c>
      <c r="W360" t="s">
        <v>291</v>
      </c>
      <c r="X360" s="2">
        <v>1.6519999999999999</v>
      </c>
      <c r="Y360" s="6">
        <f t="shared" si="42"/>
        <v>4.409919649769093E-2</v>
      </c>
      <c r="AA360" t="s">
        <v>290</v>
      </c>
      <c r="AB360">
        <v>17337</v>
      </c>
      <c r="AD360" t="s">
        <v>3</v>
      </c>
      <c r="AE360">
        <v>48</v>
      </c>
      <c r="AF360">
        <v>3</v>
      </c>
      <c r="AH360" t="s">
        <v>6167</v>
      </c>
      <c r="AI360" t="s">
        <v>6166</v>
      </c>
      <c r="AJ360" t="s">
        <v>6165</v>
      </c>
      <c r="AK360" t="s">
        <v>6164</v>
      </c>
      <c r="AL360">
        <v>69</v>
      </c>
      <c r="AM360" s="5">
        <f t="shared" si="43"/>
        <v>3.1363636363636362</v>
      </c>
      <c r="AN360" s="4">
        <f t="shared" si="44"/>
        <v>4.7502667722281507E-3</v>
      </c>
      <c r="AO360" s="3"/>
      <c r="AP360">
        <v>0</v>
      </c>
      <c r="AR360" t="s">
        <v>1</v>
      </c>
      <c r="AT360" s="2" t="s">
        <v>0</v>
      </c>
      <c r="AU360" s="1">
        <f t="shared" si="45"/>
        <v>3.2294517580052098</v>
      </c>
      <c r="AV360" s="1">
        <f t="shared" si="46"/>
        <v>2.4424731634959542</v>
      </c>
      <c r="AW360" s="1">
        <f t="shared" si="47"/>
        <v>1.6554945689866984</v>
      </c>
    </row>
    <row r="361" spans="1:49" x14ac:dyDescent="0.2">
      <c r="A361">
        <v>359</v>
      </c>
      <c r="B361" t="s">
        <v>6163</v>
      </c>
      <c r="C361" t="s">
        <v>6162</v>
      </c>
      <c r="E361">
        <v>11117752</v>
      </c>
      <c r="F361" t="s">
        <v>6161</v>
      </c>
      <c r="G361" t="s">
        <v>9</v>
      </c>
      <c r="H361" t="s">
        <v>8</v>
      </c>
      <c r="I361" t="s">
        <v>6160</v>
      </c>
      <c r="J361">
        <v>60007971</v>
      </c>
      <c r="K361" t="s">
        <v>2700</v>
      </c>
      <c r="L361" t="s">
        <v>2699</v>
      </c>
      <c r="M361" t="s">
        <v>615</v>
      </c>
      <c r="N361">
        <v>5</v>
      </c>
      <c r="O361" t="s">
        <v>6159</v>
      </c>
      <c r="P361" t="s">
        <v>6158</v>
      </c>
      <c r="Q361" t="s">
        <v>6157</v>
      </c>
      <c r="R361" s="7">
        <v>36860</v>
      </c>
      <c r="S361" s="8">
        <f t="shared" si="40"/>
        <v>2000</v>
      </c>
      <c r="T361" s="8">
        <v>2000</v>
      </c>
      <c r="U361" s="8">
        <f t="shared" si="41"/>
        <v>22</v>
      </c>
      <c r="V361" s="7">
        <v>36860</v>
      </c>
      <c r="W361" t="s">
        <v>733</v>
      </c>
      <c r="X361" s="2">
        <v>15.993</v>
      </c>
      <c r="Y361" s="6">
        <f t="shared" si="42"/>
        <v>0.42692400096099947</v>
      </c>
      <c r="AA361">
        <v>280836</v>
      </c>
      <c r="AB361">
        <v>21206</v>
      </c>
      <c r="AD361" t="s">
        <v>3</v>
      </c>
      <c r="AE361">
        <v>408</v>
      </c>
      <c r="AF361">
        <v>6812</v>
      </c>
      <c r="AH361" t="s">
        <v>6156</v>
      </c>
      <c r="AI361" t="s">
        <v>6155</v>
      </c>
      <c r="AK361" t="s">
        <v>6154</v>
      </c>
      <c r="AL361">
        <v>275</v>
      </c>
      <c r="AM361" s="5">
        <f t="shared" si="43"/>
        <v>12.5</v>
      </c>
      <c r="AN361" s="4">
        <f t="shared" si="44"/>
        <v>1.8932222642938281E-2</v>
      </c>
      <c r="AO361" s="3"/>
      <c r="AP361">
        <v>0</v>
      </c>
      <c r="AR361" t="s">
        <v>1</v>
      </c>
      <c r="AT361" s="2">
        <v>49.962000000000003</v>
      </c>
      <c r="AU361" s="1">
        <f t="shared" si="45"/>
        <v>30.452646746558109</v>
      </c>
      <c r="AV361" s="1">
        <f t="shared" si="46"/>
        <v>22.292811180196885</v>
      </c>
      <c r="AW361" s="1">
        <f t="shared" si="47"/>
        <v>14.132975613835663</v>
      </c>
    </row>
    <row r="362" spans="1:49" x14ac:dyDescent="0.2">
      <c r="A362">
        <v>360</v>
      </c>
      <c r="B362" t="s">
        <v>6153</v>
      </c>
      <c r="C362" t="s">
        <v>6152</v>
      </c>
      <c r="D362" t="s">
        <v>6151</v>
      </c>
      <c r="F362" t="s">
        <v>6150</v>
      </c>
      <c r="G362" t="s">
        <v>9</v>
      </c>
      <c r="H362" t="s">
        <v>8</v>
      </c>
      <c r="I362" t="s">
        <v>6149</v>
      </c>
      <c r="J362" t="s">
        <v>6148</v>
      </c>
      <c r="K362" t="s">
        <v>6147</v>
      </c>
      <c r="L362" t="s">
        <v>6146</v>
      </c>
      <c r="M362" t="s">
        <v>6145</v>
      </c>
      <c r="N362">
        <v>5</v>
      </c>
      <c r="O362" t="s">
        <v>6144</v>
      </c>
      <c r="P362" t="s">
        <v>6143</v>
      </c>
      <c r="Q362" t="s">
        <v>6142</v>
      </c>
      <c r="R362" s="7">
        <v>36860</v>
      </c>
      <c r="S362" s="8">
        <f t="shared" si="40"/>
        <v>2000</v>
      </c>
      <c r="T362" s="8">
        <v>2000</v>
      </c>
      <c r="U362" s="8">
        <f t="shared" si="41"/>
        <v>22</v>
      </c>
      <c r="V362" s="7">
        <v>36860</v>
      </c>
      <c r="W362" t="s">
        <v>6141</v>
      </c>
      <c r="X362" s="2">
        <v>0.80800000000000005</v>
      </c>
      <c r="Y362" s="6">
        <f t="shared" si="42"/>
        <v>2.1569098529136972E-2</v>
      </c>
      <c r="AA362">
        <v>9218890</v>
      </c>
      <c r="AB362">
        <v>18079</v>
      </c>
      <c r="AD362" t="s">
        <v>3</v>
      </c>
      <c r="AE362">
        <v>33</v>
      </c>
      <c r="AF362">
        <v>2</v>
      </c>
      <c r="AH362" t="s">
        <v>6140</v>
      </c>
      <c r="AI362" t="s">
        <v>6139</v>
      </c>
      <c r="AK362" t="s">
        <v>6138</v>
      </c>
      <c r="AL362">
        <v>6</v>
      </c>
      <c r="AM362" s="5">
        <f t="shared" si="43"/>
        <v>0.27272727272727271</v>
      </c>
      <c r="AN362" s="4">
        <f t="shared" si="44"/>
        <v>4.1306667584592612E-4</v>
      </c>
      <c r="AO362" s="3"/>
      <c r="AP362">
        <v>0</v>
      </c>
      <c r="AR362" t="s">
        <v>1</v>
      </c>
      <c r="AT362" s="2">
        <v>3.12</v>
      </c>
      <c r="AU362" s="1">
        <f t="shared" si="45"/>
        <v>1.5222288973149656</v>
      </c>
      <c r="AV362" s="1">
        <f t="shared" si="46"/>
        <v>1.0991082602491449</v>
      </c>
      <c r="AW362" s="1">
        <f t="shared" si="47"/>
        <v>0.67598762318332395</v>
      </c>
    </row>
    <row r="363" spans="1:49" x14ac:dyDescent="0.2">
      <c r="A363">
        <v>361</v>
      </c>
      <c r="B363" t="s">
        <v>6137</v>
      </c>
      <c r="C363" t="s">
        <v>6136</v>
      </c>
      <c r="F363" t="s">
        <v>6135</v>
      </c>
      <c r="G363" t="s">
        <v>9</v>
      </c>
      <c r="H363" t="s">
        <v>8</v>
      </c>
      <c r="I363" t="s">
        <v>6134</v>
      </c>
      <c r="J363" t="s">
        <v>6133</v>
      </c>
      <c r="K363" t="s">
        <v>6132</v>
      </c>
      <c r="L363" t="s">
        <v>6131</v>
      </c>
      <c r="M363" t="s">
        <v>6130</v>
      </c>
      <c r="N363">
        <v>4</v>
      </c>
      <c r="O363" t="s">
        <v>6129</v>
      </c>
      <c r="P363" t="s">
        <v>6128</v>
      </c>
      <c r="Q363" t="s">
        <v>6127</v>
      </c>
      <c r="R363" s="7">
        <v>36860</v>
      </c>
      <c r="S363" s="8">
        <f t="shared" si="40"/>
        <v>2000</v>
      </c>
      <c r="T363" s="8">
        <v>2000</v>
      </c>
      <c r="U363" s="8">
        <f t="shared" si="41"/>
        <v>22</v>
      </c>
      <c r="V363" s="7">
        <v>36860</v>
      </c>
      <c r="W363" t="s">
        <v>750</v>
      </c>
      <c r="X363" s="2">
        <v>0.86399999999999999</v>
      </c>
      <c r="Y363" s="6">
        <f t="shared" si="42"/>
        <v>2.3063986546007848E-2</v>
      </c>
      <c r="AA363">
        <v>15206106</v>
      </c>
      <c r="AB363">
        <v>26970</v>
      </c>
      <c r="AD363" t="s">
        <v>3</v>
      </c>
      <c r="AE363">
        <v>104</v>
      </c>
      <c r="AF363">
        <v>47</v>
      </c>
      <c r="AH363" t="s">
        <v>6126</v>
      </c>
      <c r="AI363" t="s">
        <v>6125</v>
      </c>
      <c r="AK363" t="s">
        <v>6124</v>
      </c>
      <c r="AL363">
        <v>53</v>
      </c>
      <c r="AM363" s="5">
        <f t="shared" si="43"/>
        <v>2.4090909090909092</v>
      </c>
      <c r="AN363" s="4">
        <f t="shared" si="44"/>
        <v>3.6487556366390141E-3</v>
      </c>
      <c r="AO363" s="3"/>
      <c r="AP363">
        <v>0</v>
      </c>
      <c r="AR363" t="s">
        <v>1</v>
      </c>
      <c r="AT363" s="2">
        <v>2.9910000000000001</v>
      </c>
      <c r="AU363" s="1">
        <f t="shared" si="45"/>
        <v>1.7239417273197195</v>
      </c>
      <c r="AV363" s="1">
        <f t="shared" si="46"/>
        <v>1.3356371091323431</v>
      </c>
      <c r="AW363" s="1">
        <f t="shared" si="47"/>
        <v>0.9473324909449663</v>
      </c>
    </row>
    <row r="364" spans="1:49" x14ac:dyDescent="0.2">
      <c r="A364">
        <v>362</v>
      </c>
      <c r="B364" t="s">
        <v>6123</v>
      </c>
      <c r="E364">
        <v>11003832</v>
      </c>
      <c r="F364" t="s">
        <v>6122</v>
      </c>
      <c r="G364" t="s">
        <v>9</v>
      </c>
      <c r="H364" t="s">
        <v>8</v>
      </c>
      <c r="I364" t="s">
        <v>6121</v>
      </c>
      <c r="J364">
        <v>60025272</v>
      </c>
      <c r="K364" t="s">
        <v>283</v>
      </c>
      <c r="L364" t="s">
        <v>163</v>
      </c>
      <c r="M364" t="s">
        <v>43</v>
      </c>
      <c r="N364">
        <v>6</v>
      </c>
      <c r="O364" t="s">
        <v>6120</v>
      </c>
      <c r="P364" t="s">
        <v>6119</v>
      </c>
      <c r="Q364" t="s">
        <v>6118</v>
      </c>
      <c r="R364" s="7">
        <v>36857</v>
      </c>
      <c r="S364" s="8">
        <f t="shared" si="40"/>
        <v>2000</v>
      </c>
      <c r="T364" s="8">
        <v>2000</v>
      </c>
      <c r="U364" s="8">
        <f t="shared" si="41"/>
        <v>22</v>
      </c>
      <c r="V364" s="7">
        <v>2000</v>
      </c>
      <c r="W364" t="s">
        <v>48</v>
      </c>
      <c r="X364" s="2">
        <v>0.15</v>
      </c>
      <c r="Y364" s="6">
        <f t="shared" si="42"/>
        <v>4.0041643309041402E-3</v>
      </c>
      <c r="AA364">
        <v>9501991</v>
      </c>
      <c r="AB364">
        <v>14531</v>
      </c>
      <c r="AD364" t="s">
        <v>3</v>
      </c>
      <c r="AE364">
        <v>127</v>
      </c>
      <c r="AF364">
        <v>20</v>
      </c>
      <c r="AH364" t="s">
        <v>6117</v>
      </c>
      <c r="AI364" t="s">
        <v>6116</v>
      </c>
      <c r="AJ364" t="s">
        <v>6115</v>
      </c>
      <c r="AK364" t="s">
        <v>6114</v>
      </c>
      <c r="AL364">
        <v>41</v>
      </c>
      <c r="AM364" s="5">
        <f t="shared" si="43"/>
        <v>1.8636363636363635</v>
      </c>
      <c r="AN364" s="4">
        <f t="shared" si="44"/>
        <v>2.8226222849471617E-3</v>
      </c>
      <c r="AO364" s="3"/>
      <c r="AP364">
        <v>0</v>
      </c>
      <c r="AR364" t="s">
        <v>1</v>
      </c>
      <c r="AT364" s="2">
        <v>6.8680000000000003</v>
      </c>
      <c r="AU364" s="1">
        <f t="shared" si="45"/>
        <v>0.36497017171170465</v>
      </c>
      <c r="AV364" s="1">
        <f t="shared" si="46"/>
        <v>0.34133933079256507</v>
      </c>
      <c r="AW364" s="1">
        <f t="shared" si="47"/>
        <v>0.31770848987342554</v>
      </c>
    </row>
    <row r="365" spans="1:49" x14ac:dyDescent="0.2">
      <c r="A365">
        <v>363</v>
      </c>
      <c r="B365" t="s">
        <v>6113</v>
      </c>
      <c r="C365" t="s">
        <v>6112</v>
      </c>
      <c r="F365" t="s">
        <v>6111</v>
      </c>
      <c r="G365" t="s">
        <v>9</v>
      </c>
      <c r="H365" t="s">
        <v>8</v>
      </c>
      <c r="I365" t="s">
        <v>6110</v>
      </c>
      <c r="J365" t="s">
        <v>6109</v>
      </c>
      <c r="K365" t="s">
        <v>6108</v>
      </c>
      <c r="L365" t="s">
        <v>6107</v>
      </c>
      <c r="M365" t="s">
        <v>910</v>
      </c>
      <c r="N365">
        <v>3</v>
      </c>
      <c r="O365" t="s">
        <v>6106</v>
      </c>
      <c r="P365" t="s">
        <v>6105</v>
      </c>
      <c r="Q365" t="s">
        <v>6104</v>
      </c>
      <c r="R365" s="7">
        <v>36853</v>
      </c>
      <c r="S365" s="8">
        <f t="shared" si="40"/>
        <v>2000</v>
      </c>
      <c r="T365" s="8">
        <v>2000</v>
      </c>
      <c r="U365" s="8">
        <f t="shared" si="41"/>
        <v>22</v>
      </c>
      <c r="V365" s="7">
        <v>36853</v>
      </c>
      <c r="W365" t="s">
        <v>718</v>
      </c>
      <c r="X365" s="2">
        <v>0.375</v>
      </c>
      <c r="Y365" s="6">
        <f t="shared" si="42"/>
        <v>1.0010410827260351E-2</v>
      </c>
      <c r="AA365">
        <v>135194</v>
      </c>
      <c r="AB365">
        <v>24918</v>
      </c>
      <c r="AD365" t="s">
        <v>3</v>
      </c>
      <c r="AE365">
        <v>36</v>
      </c>
      <c r="AF365">
        <v>24</v>
      </c>
      <c r="AH365" t="s">
        <v>6103</v>
      </c>
      <c r="AI365" t="s">
        <v>6102</v>
      </c>
      <c r="AK365" t="s">
        <v>6101</v>
      </c>
      <c r="AL365">
        <v>3</v>
      </c>
      <c r="AM365" s="5">
        <f t="shared" si="43"/>
        <v>0.13636363636363635</v>
      </c>
      <c r="AN365" s="4">
        <f t="shared" si="44"/>
        <v>2.0653333792296306E-4</v>
      </c>
      <c r="AO365" s="3"/>
      <c r="AP365">
        <v>0</v>
      </c>
      <c r="AR365" t="s">
        <v>1</v>
      </c>
      <c r="AT365" s="2">
        <v>1.3140000000000001</v>
      </c>
      <c r="AU365" s="1">
        <f t="shared" si="45"/>
        <v>0.70692475804591348</v>
      </c>
      <c r="AV365" s="1">
        <f t="shared" si="46"/>
        <v>0.51084720825916563</v>
      </c>
      <c r="AW365" s="1">
        <f t="shared" si="47"/>
        <v>0.31476965847241795</v>
      </c>
    </row>
    <row r="366" spans="1:49" x14ac:dyDescent="0.2">
      <c r="A366">
        <v>364</v>
      </c>
      <c r="B366" t="s">
        <v>6100</v>
      </c>
      <c r="C366" t="s">
        <v>6099</v>
      </c>
      <c r="F366" t="s">
        <v>6098</v>
      </c>
      <c r="G366" t="s">
        <v>9</v>
      </c>
      <c r="H366" t="s">
        <v>8</v>
      </c>
      <c r="I366" t="s">
        <v>6097</v>
      </c>
      <c r="N366">
        <v>3</v>
      </c>
      <c r="O366" t="s">
        <v>6096</v>
      </c>
      <c r="P366" t="s">
        <v>6095</v>
      </c>
      <c r="Q366" t="s">
        <v>198</v>
      </c>
      <c r="R366" s="7">
        <v>36853</v>
      </c>
      <c r="S366" s="8">
        <f t="shared" si="40"/>
        <v>2000</v>
      </c>
      <c r="T366" s="8">
        <v>2000</v>
      </c>
      <c r="U366" s="8">
        <f t="shared" si="41"/>
        <v>22</v>
      </c>
      <c r="V366" s="7">
        <v>36853</v>
      </c>
      <c r="W366" t="s">
        <v>718</v>
      </c>
      <c r="X366" s="2">
        <v>0.375</v>
      </c>
      <c r="Y366" s="6">
        <f t="shared" si="42"/>
        <v>1.0010410827260351E-2</v>
      </c>
      <c r="AA366">
        <v>135194</v>
      </c>
      <c r="AB366">
        <v>24918</v>
      </c>
      <c r="AD366" t="s">
        <v>3</v>
      </c>
      <c r="AE366">
        <v>36</v>
      </c>
      <c r="AF366">
        <v>24</v>
      </c>
      <c r="AH366" t="s">
        <v>6094</v>
      </c>
      <c r="AI366" t="s">
        <v>6093</v>
      </c>
      <c r="AK366" t="s">
        <v>6092</v>
      </c>
      <c r="AL366">
        <v>3</v>
      </c>
      <c r="AM366" s="5">
        <f t="shared" si="43"/>
        <v>0.13636363636363635</v>
      </c>
      <c r="AN366" s="4">
        <f t="shared" si="44"/>
        <v>2.0653333792296306E-4</v>
      </c>
      <c r="AO366" s="3"/>
      <c r="AP366">
        <v>0</v>
      </c>
      <c r="AR366" t="s">
        <v>1</v>
      </c>
      <c r="AT366" s="2">
        <v>1.3140000000000001</v>
      </c>
      <c r="AU366" s="1">
        <f t="shared" si="45"/>
        <v>0.70692475804591348</v>
      </c>
      <c r="AV366" s="1">
        <f t="shared" si="46"/>
        <v>0.51084720825916563</v>
      </c>
      <c r="AW366" s="1">
        <f t="shared" si="47"/>
        <v>0.31476965847241795</v>
      </c>
    </row>
    <row r="367" spans="1:49" x14ac:dyDescent="0.2">
      <c r="A367">
        <v>365</v>
      </c>
      <c r="B367" t="s">
        <v>6091</v>
      </c>
      <c r="C367" t="s">
        <v>6090</v>
      </c>
      <c r="F367" t="s">
        <v>6089</v>
      </c>
      <c r="G367" t="s">
        <v>9</v>
      </c>
      <c r="H367" t="s">
        <v>8</v>
      </c>
      <c r="I367" t="s">
        <v>682</v>
      </c>
      <c r="J367">
        <v>60002798</v>
      </c>
      <c r="K367" t="s">
        <v>6088</v>
      </c>
      <c r="L367" t="s">
        <v>160</v>
      </c>
      <c r="M367" t="s">
        <v>160</v>
      </c>
      <c r="N367">
        <v>2</v>
      </c>
      <c r="O367" t="s">
        <v>6087</v>
      </c>
      <c r="P367" t="s">
        <v>6086</v>
      </c>
      <c r="Q367" t="s">
        <v>6085</v>
      </c>
      <c r="R367" s="7">
        <v>36853</v>
      </c>
      <c r="S367" s="8">
        <f t="shared" si="40"/>
        <v>2000</v>
      </c>
      <c r="T367" s="8">
        <v>2000</v>
      </c>
      <c r="U367" s="8">
        <f t="shared" si="41"/>
        <v>22</v>
      </c>
      <c r="V367" s="7">
        <v>36853</v>
      </c>
      <c r="W367" t="s">
        <v>718</v>
      </c>
      <c r="X367" s="2">
        <v>0.375</v>
      </c>
      <c r="Y367" s="6">
        <f t="shared" si="42"/>
        <v>1.0010410827260351E-2</v>
      </c>
      <c r="AA367">
        <v>135194</v>
      </c>
      <c r="AB367">
        <v>24918</v>
      </c>
      <c r="AD367" t="s">
        <v>3</v>
      </c>
      <c r="AE367">
        <v>36</v>
      </c>
      <c r="AF367">
        <v>24</v>
      </c>
      <c r="AH367" t="s">
        <v>6084</v>
      </c>
      <c r="AI367" t="s">
        <v>6083</v>
      </c>
      <c r="AK367" t="s">
        <v>6082</v>
      </c>
      <c r="AL367">
        <v>46</v>
      </c>
      <c r="AM367" s="5">
        <f t="shared" si="43"/>
        <v>2.0909090909090908</v>
      </c>
      <c r="AN367" s="4">
        <f t="shared" si="44"/>
        <v>3.1668445148187669E-3</v>
      </c>
      <c r="AO367" s="3"/>
      <c r="AP367">
        <v>0</v>
      </c>
      <c r="AR367" t="s">
        <v>1</v>
      </c>
      <c r="AT367" s="2">
        <v>1.3140000000000001</v>
      </c>
      <c r="AU367" s="1">
        <f t="shared" si="45"/>
        <v>0.79573409335278755</v>
      </c>
      <c r="AV367" s="1">
        <f t="shared" si="46"/>
        <v>0.65886276710395586</v>
      </c>
      <c r="AW367" s="1">
        <f t="shared" si="47"/>
        <v>0.52199144085512428</v>
      </c>
    </row>
    <row r="368" spans="1:49" x14ac:dyDescent="0.2">
      <c r="A368">
        <v>366</v>
      </c>
      <c r="B368" t="s">
        <v>6081</v>
      </c>
      <c r="C368" t="s">
        <v>6080</v>
      </c>
      <c r="F368" t="s">
        <v>6079</v>
      </c>
      <c r="G368" t="s">
        <v>9</v>
      </c>
      <c r="H368" t="s">
        <v>8</v>
      </c>
      <c r="I368" t="s">
        <v>6078</v>
      </c>
      <c r="J368">
        <v>60004636</v>
      </c>
      <c r="K368" t="s">
        <v>955</v>
      </c>
      <c r="L368" t="s">
        <v>954</v>
      </c>
      <c r="M368" t="s">
        <v>87</v>
      </c>
      <c r="N368">
        <v>6</v>
      </c>
      <c r="O368" t="s">
        <v>6077</v>
      </c>
      <c r="P368" t="s">
        <v>6076</v>
      </c>
      <c r="Q368" t="s">
        <v>6075</v>
      </c>
      <c r="R368" s="7">
        <v>36853</v>
      </c>
      <c r="S368" s="8">
        <f t="shared" si="40"/>
        <v>2000</v>
      </c>
      <c r="T368" s="8">
        <v>2000</v>
      </c>
      <c r="U368" s="8">
        <f t="shared" si="41"/>
        <v>22</v>
      </c>
      <c r="V368" s="7">
        <v>36853</v>
      </c>
      <c r="W368" t="s">
        <v>718</v>
      </c>
      <c r="X368" s="2">
        <v>0.375</v>
      </c>
      <c r="Y368" s="6">
        <f t="shared" si="42"/>
        <v>1.0010410827260351E-2</v>
      </c>
      <c r="AA368">
        <v>135194</v>
      </c>
      <c r="AB368">
        <v>24918</v>
      </c>
      <c r="AD368" t="s">
        <v>3</v>
      </c>
      <c r="AE368">
        <v>36</v>
      </c>
      <c r="AF368">
        <v>24</v>
      </c>
      <c r="AH368" t="s">
        <v>6074</v>
      </c>
      <c r="AI368" t="s">
        <v>6073</v>
      </c>
      <c r="AK368" t="s">
        <v>6072</v>
      </c>
      <c r="AL368">
        <v>60</v>
      </c>
      <c r="AM368" s="5">
        <f t="shared" si="43"/>
        <v>2.7272727272727271</v>
      </c>
      <c r="AN368" s="4">
        <f t="shared" si="44"/>
        <v>4.1306667584592614E-3</v>
      </c>
      <c r="AO368" s="3"/>
      <c r="AP368">
        <v>0</v>
      </c>
      <c r="AR368" t="s">
        <v>1</v>
      </c>
      <c r="AT368" s="2">
        <v>1.3140000000000001</v>
      </c>
      <c r="AU368" s="1">
        <f t="shared" si="45"/>
        <v>0.82464876066200232</v>
      </c>
      <c r="AV368" s="1">
        <f t="shared" si="46"/>
        <v>0.70705387928598062</v>
      </c>
      <c r="AW368" s="1">
        <f t="shared" si="47"/>
        <v>0.58945899790995882</v>
      </c>
    </row>
    <row r="369" spans="1:49" x14ac:dyDescent="0.2">
      <c r="A369">
        <v>367</v>
      </c>
      <c r="B369" t="s">
        <v>6071</v>
      </c>
      <c r="C369" t="s">
        <v>6070</v>
      </c>
      <c r="F369" t="s">
        <v>6069</v>
      </c>
      <c r="G369" t="s">
        <v>9</v>
      </c>
      <c r="H369" t="s">
        <v>8</v>
      </c>
      <c r="I369" t="s">
        <v>6068</v>
      </c>
      <c r="J369">
        <v>60028419</v>
      </c>
      <c r="K369" t="s">
        <v>227</v>
      </c>
      <c r="L369" t="s">
        <v>226</v>
      </c>
      <c r="M369" t="s">
        <v>109</v>
      </c>
      <c r="N369">
        <v>4</v>
      </c>
      <c r="O369" t="s">
        <v>6067</v>
      </c>
      <c r="P369" t="s">
        <v>6066</v>
      </c>
      <c r="Q369" t="s">
        <v>647</v>
      </c>
      <c r="R369" s="7">
        <v>36853</v>
      </c>
      <c r="S369" s="8">
        <f t="shared" si="40"/>
        <v>2000</v>
      </c>
      <c r="T369" s="8">
        <v>2000</v>
      </c>
      <c r="U369" s="8">
        <f t="shared" si="41"/>
        <v>22</v>
      </c>
      <c r="V369" s="7">
        <v>36853</v>
      </c>
      <c r="W369" t="s">
        <v>718</v>
      </c>
      <c r="X369" s="2">
        <v>0.375</v>
      </c>
      <c r="Y369" s="6">
        <f t="shared" si="42"/>
        <v>1.0010410827260351E-2</v>
      </c>
      <c r="AA369">
        <v>135194</v>
      </c>
      <c r="AB369">
        <v>24918</v>
      </c>
      <c r="AD369" t="s">
        <v>3</v>
      </c>
      <c r="AE369">
        <v>36</v>
      </c>
      <c r="AF369">
        <v>24</v>
      </c>
      <c r="AH369" t="s">
        <v>6065</v>
      </c>
      <c r="AI369" t="s">
        <v>6064</v>
      </c>
      <c r="AK369" t="s">
        <v>6063</v>
      </c>
      <c r="AL369">
        <v>12</v>
      </c>
      <c r="AM369" s="5">
        <f t="shared" si="43"/>
        <v>0.54545454545454541</v>
      </c>
      <c r="AN369" s="4">
        <f t="shared" si="44"/>
        <v>8.2613335169185224E-4</v>
      </c>
      <c r="AO369" s="3"/>
      <c r="AP369">
        <v>0</v>
      </c>
      <c r="AR369" t="s">
        <v>1</v>
      </c>
      <c r="AT369" s="2">
        <v>1.3140000000000001</v>
      </c>
      <c r="AU369" s="1">
        <f t="shared" si="45"/>
        <v>0.72551275845898011</v>
      </c>
      <c r="AV369" s="1">
        <f t="shared" si="46"/>
        <v>0.54182720894761016</v>
      </c>
      <c r="AW369" s="1">
        <f t="shared" si="47"/>
        <v>0.35814165943624016</v>
      </c>
    </row>
    <row r="370" spans="1:49" x14ac:dyDescent="0.2">
      <c r="A370">
        <v>368</v>
      </c>
      <c r="B370" t="s">
        <v>6062</v>
      </c>
      <c r="C370" t="s">
        <v>6061</v>
      </c>
      <c r="F370" t="s">
        <v>6060</v>
      </c>
      <c r="G370" t="s">
        <v>9</v>
      </c>
      <c r="H370" t="s">
        <v>8</v>
      </c>
      <c r="I370" t="s">
        <v>6059</v>
      </c>
      <c r="J370">
        <v>60019702</v>
      </c>
      <c r="K370" t="s">
        <v>6058</v>
      </c>
      <c r="L370" t="s">
        <v>6057</v>
      </c>
      <c r="M370" t="s">
        <v>87</v>
      </c>
      <c r="N370">
        <v>3</v>
      </c>
      <c r="O370" t="s">
        <v>6056</v>
      </c>
      <c r="P370" t="s">
        <v>6055</v>
      </c>
      <c r="Q370" t="s">
        <v>6054</v>
      </c>
      <c r="R370" s="7">
        <v>36853</v>
      </c>
      <c r="S370" s="8">
        <f t="shared" si="40"/>
        <v>2000</v>
      </c>
      <c r="T370" s="8">
        <v>2000</v>
      </c>
      <c r="U370" s="8">
        <f t="shared" si="41"/>
        <v>22</v>
      </c>
      <c r="V370" s="7">
        <v>36853</v>
      </c>
      <c r="W370" t="s">
        <v>718</v>
      </c>
      <c r="X370" s="2">
        <v>0.375</v>
      </c>
      <c r="Y370" s="6">
        <f t="shared" si="42"/>
        <v>1.0010410827260351E-2</v>
      </c>
      <c r="AA370">
        <v>135194</v>
      </c>
      <c r="AB370">
        <v>24918</v>
      </c>
      <c r="AD370" t="s">
        <v>3</v>
      </c>
      <c r="AE370">
        <v>36</v>
      </c>
      <c r="AF370">
        <v>24</v>
      </c>
      <c r="AH370" t="s">
        <v>6053</v>
      </c>
      <c r="AI370" t="s">
        <v>6052</v>
      </c>
      <c r="AK370" t="s">
        <v>2606</v>
      </c>
      <c r="AL370">
        <v>50</v>
      </c>
      <c r="AM370" s="5">
        <f t="shared" si="43"/>
        <v>2.2727272727272729</v>
      </c>
      <c r="AN370" s="4">
        <f t="shared" si="44"/>
        <v>3.4422222987160515E-3</v>
      </c>
      <c r="AO370" s="3"/>
      <c r="AP370">
        <v>0</v>
      </c>
      <c r="AR370" t="s">
        <v>1</v>
      </c>
      <c r="AT370" s="2">
        <v>1.3140000000000001</v>
      </c>
      <c r="AU370" s="1">
        <f t="shared" si="45"/>
        <v>0.80399542686970615</v>
      </c>
      <c r="AV370" s="1">
        <f t="shared" si="46"/>
        <v>0.67263165629882016</v>
      </c>
      <c r="AW370" s="1">
        <f t="shared" si="47"/>
        <v>0.54126788572793405</v>
      </c>
    </row>
    <row r="371" spans="1:49" x14ac:dyDescent="0.2">
      <c r="A371">
        <v>369</v>
      </c>
      <c r="B371" t="s">
        <v>6051</v>
      </c>
      <c r="C371" t="s">
        <v>6050</v>
      </c>
      <c r="F371" t="s">
        <v>6049</v>
      </c>
      <c r="G371" t="s">
        <v>9</v>
      </c>
      <c r="H371" t="s">
        <v>8</v>
      </c>
      <c r="I371" t="s">
        <v>6048</v>
      </c>
      <c r="J371">
        <v>60020650</v>
      </c>
      <c r="K371" t="s">
        <v>504</v>
      </c>
      <c r="L371" t="s">
        <v>503</v>
      </c>
      <c r="M371" t="s">
        <v>87</v>
      </c>
      <c r="N371">
        <v>4</v>
      </c>
      <c r="O371" t="s">
        <v>6047</v>
      </c>
      <c r="P371" t="s">
        <v>6046</v>
      </c>
      <c r="Q371" t="s">
        <v>6045</v>
      </c>
      <c r="R371" s="7">
        <v>36853</v>
      </c>
      <c r="S371" s="8">
        <f t="shared" si="40"/>
        <v>2000</v>
      </c>
      <c r="T371" s="8">
        <v>2000</v>
      </c>
      <c r="U371" s="8">
        <f t="shared" si="41"/>
        <v>22</v>
      </c>
      <c r="V371" s="7">
        <v>36853</v>
      </c>
      <c r="W371" t="s">
        <v>718</v>
      </c>
      <c r="X371" s="2">
        <v>0.375</v>
      </c>
      <c r="Y371" s="6">
        <f t="shared" si="42"/>
        <v>1.0010410827260351E-2</v>
      </c>
      <c r="AA371">
        <v>135194</v>
      </c>
      <c r="AB371">
        <v>24918</v>
      </c>
      <c r="AD371" t="s">
        <v>3</v>
      </c>
      <c r="AE371">
        <v>36</v>
      </c>
      <c r="AF371">
        <v>24</v>
      </c>
      <c r="AH371" t="s">
        <v>6044</v>
      </c>
      <c r="AI371" t="s">
        <v>6043</v>
      </c>
      <c r="AK371" t="s">
        <v>6042</v>
      </c>
      <c r="AL371">
        <v>28</v>
      </c>
      <c r="AM371" s="5">
        <f t="shared" si="43"/>
        <v>1.2727272727272727</v>
      </c>
      <c r="AN371" s="4">
        <f t="shared" si="44"/>
        <v>1.9276444872809886E-3</v>
      </c>
      <c r="AO371" s="3"/>
      <c r="AP371">
        <v>0</v>
      </c>
      <c r="AR371" t="s">
        <v>1</v>
      </c>
      <c r="AT371" s="2">
        <v>1.3140000000000001</v>
      </c>
      <c r="AU371" s="1">
        <f t="shared" si="45"/>
        <v>0.75855809252665418</v>
      </c>
      <c r="AV371" s="1">
        <f t="shared" si="46"/>
        <v>0.59690276572706702</v>
      </c>
      <c r="AW371" s="1">
        <f t="shared" si="47"/>
        <v>0.43524743892747969</v>
      </c>
    </row>
    <row r="372" spans="1:49" x14ac:dyDescent="0.2">
      <c r="A372">
        <v>370</v>
      </c>
      <c r="B372" t="s">
        <v>6041</v>
      </c>
      <c r="C372" t="s">
        <v>6040</v>
      </c>
      <c r="F372" t="s">
        <v>6039</v>
      </c>
      <c r="G372" t="s">
        <v>9</v>
      </c>
      <c r="H372" t="s">
        <v>8</v>
      </c>
      <c r="I372" t="s">
        <v>6038</v>
      </c>
      <c r="J372" t="s">
        <v>6037</v>
      </c>
      <c r="K372" t="s">
        <v>6036</v>
      </c>
      <c r="L372" t="s">
        <v>6035</v>
      </c>
      <c r="M372" t="s">
        <v>6034</v>
      </c>
      <c r="N372">
        <v>4</v>
      </c>
      <c r="O372" t="s">
        <v>6033</v>
      </c>
      <c r="P372" t="s">
        <v>6032</v>
      </c>
      <c r="Q372" t="s">
        <v>6031</v>
      </c>
      <c r="R372" s="7">
        <v>36853</v>
      </c>
      <c r="S372" s="8">
        <f t="shared" si="40"/>
        <v>2000</v>
      </c>
      <c r="T372" s="8">
        <v>2000</v>
      </c>
      <c r="U372" s="8">
        <f t="shared" si="41"/>
        <v>22</v>
      </c>
      <c r="V372" s="7">
        <v>36853</v>
      </c>
      <c r="W372" t="s">
        <v>718</v>
      </c>
      <c r="X372" s="2">
        <v>0.375</v>
      </c>
      <c r="Y372" s="6">
        <f t="shared" si="42"/>
        <v>1.0010410827260351E-2</v>
      </c>
      <c r="AA372">
        <v>135194</v>
      </c>
      <c r="AB372">
        <v>24918</v>
      </c>
      <c r="AD372" t="s">
        <v>3</v>
      </c>
      <c r="AE372">
        <v>36</v>
      </c>
      <c r="AF372">
        <v>24</v>
      </c>
      <c r="AH372" t="s">
        <v>6030</v>
      </c>
      <c r="AI372" t="s">
        <v>6029</v>
      </c>
      <c r="AK372" t="s">
        <v>6028</v>
      </c>
      <c r="AL372">
        <v>15</v>
      </c>
      <c r="AM372" s="5">
        <f t="shared" si="43"/>
        <v>0.68181818181818177</v>
      </c>
      <c r="AN372" s="4">
        <f t="shared" si="44"/>
        <v>1.0326666896148153E-3</v>
      </c>
      <c r="AO372" s="3"/>
      <c r="AP372">
        <v>0</v>
      </c>
      <c r="AR372" t="s">
        <v>1</v>
      </c>
      <c r="AT372" s="2">
        <v>1.3140000000000001</v>
      </c>
      <c r="AU372" s="1">
        <f t="shared" si="45"/>
        <v>0.73170875859666895</v>
      </c>
      <c r="AV372" s="1">
        <f t="shared" si="46"/>
        <v>0.5521538758437583</v>
      </c>
      <c r="AW372" s="1">
        <f t="shared" si="47"/>
        <v>0.3725989930908476</v>
      </c>
    </row>
    <row r="373" spans="1:49" x14ac:dyDescent="0.2">
      <c r="A373">
        <v>371</v>
      </c>
      <c r="B373" t="s">
        <v>6027</v>
      </c>
      <c r="E373">
        <v>10976041</v>
      </c>
      <c r="F373" t="s">
        <v>6026</v>
      </c>
      <c r="G373" t="s">
        <v>9</v>
      </c>
      <c r="H373" t="s">
        <v>8</v>
      </c>
      <c r="I373" t="s">
        <v>6025</v>
      </c>
      <c r="J373">
        <v>60002306</v>
      </c>
      <c r="K373" t="s">
        <v>6024</v>
      </c>
      <c r="L373" t="s">
        <v>6023</v>
      </c>
      <c r="M373" t="s">
        <v>16</v>
      </c>
      <c r="N373">
        <v>4</v>
      </c>
      <c r="O373" t="s">
        <v>6022</v>
      </c>
      <c r="P373" t="s">
        <v>6021</v>
      </c>
      <c r="Q373" t="s">
        <v>6020</v>
      </c>
      <c r="R373" s="7">
        <v>36853</v>
      </c>
      <c r="S373" s="8">
        <f t="shared" si="40"/>
        <v>2000</v>
      </c>
      <c r="T373" s="8">
        <v>2000</v>
      </c>
      <c r="U373" s="8">
        <f t="shared" si="41"/>
        <v>22</v>
      </c>
      <c r="V373" s="7">
        <v>2000</v>
      </c>
      <c r="W373" t="s">
        <v>48</v>
      </c>
      <c r="X373" s="2">
        <v>0.15</v>
      </c>
      <c r="Y373" s="6">
        <f t="shared" si="42"/>
        <v>4.0041643309041402E-3</v>
      </c>
      <c r="AA373">
        <v>9501991</v>
      </c>
      <c r="AB373">
        <v>14531</v>
      </c>
      <c r="AD373" t="s">
        <v>3</v>
      </c>
      <c r="AE373">
        <v>127</v>
      </c>
      <c r="AF373">
        <v>19</v>
      </c>
      <c r="AH373" t="s">
        <v>6019</v>
      </c>
      <c r="AI373" t="s">
        <v>6018</v>
      </c>
      <c r="AJ373" t="s">
        <v>6017</v>
      </c>
      <c r="AK373" t="s">
        <v>6016</v>
      </c>
      <c r="AL373">
        <v>9</v>
      </c>
      <c r="AM373" s="5">
        <f t="shared" si="43"/>
        <v>0.40909090909090912</v>
      </c>
      <c r="AN373" s="4">
        <f t="shared" si="44"/>
        <v>6.1960001376888923E-4</v>
      </c>
      <c r="AO373" s="3"/>
      <c r="AP373">
        <v>0</v>
      </c>
      <c r="AR373" t="s">
        <v>1</v>
      </c>
      <c r="AT373" s="2">
        <v>6.8680000000000003</v>
      </c>
      <c r="AU373" s="1">
        <f t="shared" si="45"/>
        <v>0.29887950357635645</v>
      </c>
      <c r="AV373" s="1">
        <f t="shared" si="46"/>
        <v>0.23118821723365149</v>
      </c>
      <c r="AW373" s="1">
        <f t="shared" si="47"/>
        <v>0.16349693089094644</v>
      </c>
    </row>
    <row r="374" spans="1:49" x14ac:dyDescent="0.2">
      <c r="A374">
        <v>372</v>
      </c>
      <c r="B374" t="s">
        <v>6015</v>
      </c>
      <c r="E374">
        <v>10976034</v>
      </c>
      <c r="F374" t="s">
        <v>6014</v>
      </c>
      <c r="G374" t="s">
        <v>9</v>
      </c>
      <c r="H374" t="s">
        <v>8</v>
      </c>
      <c r="I374" t="s">
        <v>6013</v>
      </c>
      <c r="J374">
        <v>60015457</v>
      </c>
      <c r="K374" t="s">
        <v>6012</v>
      </c>
      <c r="L374" t="s">
        <v>6011</v>
      </c>
      <c r="M374" t="s">
        <v>5</v>
      </c>
      <c r="N374">
        <v>2</v>
      </c>
      <c r="O374" t="s">
        <v>6010</v>
      </c>
      <c r="P374" t="s">
        <v>6009</v>
      </c>
      <c r="Q374" t="s">
        <v>6008</v>
      </c>
      <c r="R374" s="7">
        <v>36852</v>
      </c>
      <c r="S374" s="8">
        <f t="shared" si="40"/>
        <v>2000</v>
      </c>
      <c r="T374" s="8">
        <v>2000</v>
      </c>
      <c r="U374" s="8">
        <f t="shared" si="41"/>
        <v>22</v>
      </c>
      <c r="V374" s="7">
        <v>2000</v>
      </c>
      <c r="W374" t="s">
        <v>282</v>
      </c>
      <c r="X374" s="2">
        <v>1.367</v>
      </c>
      <c r="Y374" s="6">
        <f t="shared" si="42"/>
        <v>3.6491284268973065E-2</v>
      </c>
      <c r="AA374">
        <v>220949</v>
      </c>
      <c r="AB374">
        <v>29605</v>
      </c>
      <c r="AD374" t="s">
        <v>3</v>
      </c>
      <c r="AE374">
        <v>203</v>
      </c>
      <c r="AF374">
        <v>19</v>
      </c>
      <c r="AH374" t="s">
        <v>6007</v>
      </c>
      <c r="AI374" t="s">
        <v>6006</v>
      </c>
      <c r="AJ374" t="s">
        <v>6005</v>
      </c>
      <c r="AK374" t="s">
        <v>6004</v>
      </c>
      <c r="AL374">
        <v>90</v>
      </c>
      <c r="AM374" s="5">
        <f t="shared" si="43"/>
        <v>4.0909090909090908</v>
      </c>
      <c r="AN374" s="4">
        <f t="shared" si="44"/>
        <v>6.1960001376888917E-3</v>
      </c>
      <c r="AO374" s="3"/>
      <c r="AP374">
        <v>0</v>
      </c>
      <c r="AR374" t="s">
        <v>1</v>
      </c>
      <c r="AT374" s="2">
        <v>3.3119999999999998</v>
      </c>
      <c r="AU374" s="1">
        <f t="shared" si="45"/>
        <v>2.7402699029587811</v>
      </c>
      <c r="AV374" s="1">
        <f t="shared" si="46"/>
        <v>2.1343642203330981</v>
      </c>
      <c r="AW374" s="1">
        <f t="shared" si="47"/>
        <v>1.5284585377074142</v>
      </c>
    </row>
    <row r="375" spans="1:49" x14ac:dyDescent="0.2">
      <c r="A375">
        <v>373</v>
      </c>
      <c r="B375" t="s">
        <v>6003</v>
      </c>
      <c r="C375" t="s">
        <v>6002</v>
      </c>
      <c r="F375" t="s">
        <v>6001</v>
      </c>
      <c r="G375" t="s">
        <v>9</v>
      </c>
      <c r="H375" t="s">
        <v>8</v>
      </c>
      <c r="I375" t="s">
        <v>6000</v>
      </c>
      <c r="J375">
        <v>60006288</v>
      </c>
      <c r="K375" t="s">
        <v>739</v>
      </c>
      <c r="L375" t="s">
        <v>738</v>
      </c>
      <c r="M375" t="s">
        <v>29</v>
      </c>
      <c r="N375">
        <v>4</v>
      </c>
      <c r="O375" t="s">
        <v>5999</v>
      </c>
      <c r="P375" t="s">
        <v>5998</v>
      </c>
      <c r="Q375" t="s">
        <v>5997</v>
      </c>
      <c r="R375" s="7">
        <v>36850</v>
      </c>
      <c r="S375" s="8">
        <f t="shared" si="40"/>
        <v>2000</v>
      </c>
      <c r="T375" s="8">
        <v>2000</v>
      </c>
      <c r="U375" s="8">
        <f t="shared" si="41"/>
        <v>22</v>
      </c>
      <c r="V375" s="7">
        <v>36850</v>
      </c>
      <c r="W375" t="s">
        <v>150</v>
      </c>
      <c r="X375" s="2">
        <v>0.30399999999999999</v>
      </c>
      <c r="Y375" s="6">
        <f t="shared" si="42"/>
        <v>8.115106377299057E-3</v>
      </c>
      <c r="AA375">
        <v>8952477</v>
      </c>
      <c r="AB375">
        <v>12250</v>
      </c>
      <c r="AD375" t="s">
        <v>3</v>
      </c>
      <c r="AE375">
        <v>27</v>
      </c>
      <c r="AF375">
        <v>4</v>
      </c>
      <c r="AH375" t="s">
        <v>5996</v>
      </c>
      <c r="AI375" t="s">
        <v>5995</v>
      </c>
      <c r="AK375" t="s">
        <v>5994</v>
      </c>
      <c r="AL375">
        <v>0</v>
      </c>
      <c r="AM375" s="5">
        <f t="shared" si="43"/>
        <v>0</v>
      </c>
      <c r="AN375" s="4">
        <f t="shared" si="44"/>
        <v>0</v>
      </c>
      <c r="AO375" s="3"/>
      <c r="AP375">
        <v>0</v>
      </c>
      <c r="AR375" t="s">
        <v>1</v>
      </c>
      <c r="AT375" s="2" t="s">
        <v>0</v>
      </c>
      <c r="AU375" s="1">
        <f t="shared" si="45"/>
        <v>0.56805744641093392</v>
      </c>
      <c r="AV375" s="1">
        <f t="shared" si="46"/>
        <v>0.40575531886495286</v>
      </c>
      <c r="AW375" s="1">
        <f t="shared" si="47"/>
        <v>0.24345319131897172</v>
      </c>
    </row>
    <row r="376" spans="1:49" x14ac:dyDescent="0.2">
      <c r="A376">
        <v>374</v>
      </c>
      <c r="B376" t="s">
        <v>5993</v>
      </c>
      <c r="C376" t="s">
        <v>5992</v>
      </c>
      <c r="D376" t="s">
        <v>5991</v>
      </c>
      <c r="E376">
        <v>11106774</v>
      </c>
      <c r="F376" t="s">
        <v>5990</v>
      </c>
      <c r="G376" t="s">
        <v>9</v>
      </c>
      <c r="H376" t="s">
        <v>8</v>
      </c>
      <c r="I376" t="s">
        <v>5989</v>
      </c>
      <c r="J376" t="s">
        <v>5988</v>
      </c>
      <c r="K376" t="s">
        <v>5987</v>
      </c>
      <c r="L376" t="s">
        <v>5986</v>
      </c>
      <c r="M376" t="s">
        <v>5985</v>
      </c>
      <c r="N376">
        <v>5</v>
      </c>
      <c r="O376" t="s">
        <v>5984</v>
      </c>
      <c r="P376" t="s">
        <v>5983</v>
      </c>
      <c r="Q376" t="s">
        <v>5982</v>
      </c>
      <c r="R376" s="7">
        <v>36850</v>
      </c>
      <c r="S376" s="8">
        <f t="shared" si="40"/>
        <v>2000</v>
      </c>
      <c r="T376" s="8">
        <v>2000</v>
      </c>
      <c r="U376" s="8">
        <f t="shared" si="41"/>
        <v>22</v>
      </c>
      <c r="V376" s="7">
        <v>36850</v>
      </c>
      <c r="W376" t="s">
        <v>705</v>
      </c>
      <c r="X376" s="2">
        <v>1.59</v>
      </c>
      <c r="Y376" s="6">
        <f t="shared" si="42"/>
        <v>4.2444141907583888E-2</v>
      </c>
      <c r="AA376">
        <v>52728</v>
      </c>
      <c r="AB376">
        <v>16791</v>
      </c>
      <c r="AD376" t="s">
        <v>3</v>
      </c>
      <c r="AE376">
        <v>1460</v>
      </c>
      <c r="AF376" s="10">
        <v>44257</v>
      </c>
      <c r="AH376" t="s">
        <v>5981</v>
      </c>
      <c r="AI376" t="s">
        <v>5980</v>
      </c>
      <c r="AJ376" t="s">
        <v>5979</v>
      </c>
      <c r="AK376" t="s">
        <v>5978</v>
      </c>
      <c r="AL376">
        <v>19</v>
      </c>
      <c r="AM376" s="5">
        <f t="shared" si="43"/>
        <v>0.86363636363636365</v>
      </c>
      <c r="AN376" s="4">
        <f t="shared" si="44"/>
        <v>1.3080444735120995E-3</v>
      </c>
      <c r="AO376" s="3"/>
      <c r="AP376">
        <v>1</v>
      </c>
      <c r="AQ376" t="s">
        <v>36</v>
      </c>
      <c r="AR376" t="s">
        <v>1</v>
      </c>
      <c r="AS376" t="s">
        <v>35</v>
      </c>
      <c r="AT376" s="2" t="s">
        <v>0</v>
      </c>
      <c r="AU376" s="1">
        <f t="shared" si="45"/>
        <v>3.0103312677362348</v>
      </c>
      <c r="AV376" s="1">
        <f t="shared" si="46"/>
        <v>2.1876093190547992</v>
      </c>
      <c r="AW376" s="1">
        <f t="shared" si="47"/>
        <v>1.3648873703733635</v>
      </c>
    </row>
    <row r="377" spans="1:49" x14ac:dyDescent="0.2">
      <c r="A377">
        <v>375</v>
      </c>
      <c r="B377" t="s">
        <v>5977</v>
      </c>
      <c r="C377" t="s">
        <v>5976</v>
      </c>
      <c r="D377" t="s">
        <v>5975</v>
      </c>
      <c r="E377">
        <v>11106770</v>
      </c>
      <c r="F377" t="s">
        <v>5974</v>
      </c>
      <c r="G377" t="s">
        <v>9</v>
      </c>
      <c r="H377" t="s">
        <v>8</v>
      </c>
      <c r="I377" t="s">
        <v>5973</v>
      </c>
      <c r="J377">
        <v>60068856</v>
      </c>
      <c r="K377" t="s">
        <v>447</v>
      </c>
      <c r="L377" t="s">
        <v>446</v>
      </c>
      <c r="M377" t="s">
        <v>445</v>
      </c>
      <c r="N377">
        <v>2</v>
      </c>
      <c r="O377" t="s">
        <v>5972</v>
      </c>
      <c r="P377" t="s">
        <v>5971</v>
      </c>
      <c r="Q377" t="s">
        <v>444</v>
      </c>
      <c r="R377" s="7">
        <v>36850</v>
      </c>
      <c r="S377" s="8">
        <f t="shared" si="40"/>
        <v>2000</v>
      </c>
      <c r="T377" s="8">
        <v>2000</v>
      </c>
      <c r="U377" s="8">
        <f t="shared" si="41"/>
        <v>22</v>
      </c>
      <c r="V377" s="7">
        <v>36850</v>
      </c>
      <c r="W377" t="s">
        <v>705</v>
      </c>
      <c r="X377" s="2">
        <v>1.59</v>
      </c>
      <c r="Y377" s="6">
        <f t="shared" si="42"/>
        <v>4.2444141907583888E-2</v>
      </c>
      <c r="AA377">
        <v>52728</v>
      </c>
      <c r="AB377">
        <v>16791</v>
      </c>
      <c r="AD377" t="s">
        <v>3</v>
      </c>
      <c r="AE377">
        <v>1460</v>
      </c>
      <c r="AF377" s="10">
        <v>44257</v>
      </c>
      <c r="AH377" t="s">
        <v>5970</v>
      </c>
      <c r="AI377" t="s">
        <v>5969</v>
      </c>
      <c r="AJ377" t="s">
        <v>5968</v>
      </c>
      <c r="AK377" t="s">
        <v>5967</v>
      </c>
      <c r="AL377">
        <v>25</v>
      </c>
      <c r="AM377" s="5">
        <f t="shared" si="43"/>
        <v>1.1363636363636365</v>
      </c>
      <c r="AN377" s="4">
        <f t="shared" si="44"/>
        <v>1.7211111493580257E-3</v>
      </c>
      <c r="AO377" s="3"/>
      <c r="AP377">
        <v>1</v>
      </c>
      <c r="AR377" t="s">
        <v>1</v>
      </c>
      <c r="AT377" s="2" t="s">
        <v>0</v>
      </c>
      <c r="AU377" s="1">
        <f t="shared" si="45"/>
        <v>3.022723268011613</v>
      </c>
      <c r="AV377" s="1">
        <f t="shared" si="46"/>
        <v>2.2082626528470954</v>
      </c>
      <c r="AW377" s="1">
        <f t="shared" si="47"/>
        <v>1.3938020376825784</v>
      </c>
    </row>
    <row r="378" spans="1:49" x14ac:dyDescent="0.2">
      <c r="A378">
        <v>376</v>
      </c>
      <c r="B378" t="s">
        <v>5966</v>
      </c>
      <c r="C378" t="s">
        <v>5965</v>
      </c>
      <c r="F378" t="s">
        <v>5964</v>
      </c>
      <c r="G378" t="s">
        <v>9</v>
      </c>
      <c r="H378" t="s">
        <v>8</v>
      </c>
      <c r="I378" t="s">
        <v>567</v>
      </c>
      <c r="J378">
        <v>60017161</v>
      </c>
      <c r="K378" t="s">
        <v>75</v>
      </c>
      <c r="L378" t="s">
        <v>74</v>
      </c>
      <c r="M378" t="s">
        <v>73</v>
      </c>
      <c r="N378">
        <v>4</v>
      </c>
      <c r="O378" t="s">
        <v>5102</v>
      </c>
      <c r="P378" t="s">
        <v>5101</v>
      </c>
      <c r="Q378" t="s">
        <v>219</v>
      </c>
      <c r="R378" s="7">
        <v>36850</v>
      </c>
      <c r="S378" s="8">
        <f t="shared" si="40"/>
        <v>2000</v>
      </c>
      <c r="T378" s="8">
        <v>2000</v>
      </c>
      <c r="U378" s="8">
        <f t="shared" si="41"/>
        <v>22</v>
      </c>
      <c r="V378" s="7">
        <v>36850</v>
      </c>
      <c r="W378" t="s">
        <v>150</v>
      </c>
      <c r="X378" s="2">
        <v>0.30399999999999999</v>
      </c>
      <c r="Y378" s="6">
        <f t="shared" si="42"/>
        <v>8.115106377299057E-3</v>
      </c>
      <c r="AA378">
        <v>8952477</v>
      </c>
      <c r="AB378">
        <v>12250</v>
      </c>
      <c r="AD378" t="s">
        <v>3</v>
      </c>
      <c r="AE378">
        <v>27</v>
      </c>
      <c r="AF378">
        <v>4</v>
      </c>
      <c r="AH378" t="s">
        <v>772</v>
      </c>
      <c r="AI378" t="s">
        <v>5963</v>
      </c>
      <c r="AK378" t="s">
        <v>5962</v>
      </c>
      <c r="AL378">
        <v>0</v>
      </c>
      <c r="AM378" s="5">
        <f t="shared" si="43"/>
        <v>0</v>
      </c>
      <c r="AN378" s="4">
        <f t="shared" si="44"/>
        <v>0</v>
      </c>
      <c r="AO378" s="3"/>
      <c r="AP378">
        <v>0</v>
      </c>
      <c r="AR378" t="s">
        <v>1</v>
      </c>
      <c r="AT378" s="2" t="s">
        <v>0</v>
      </c>
      <c r="AU378" s="1">
        <f t="shared" si="45"/>
        <v>0.56805744641093392</v>
      </c>
      <c r="AV378" s="1">
        <f t="shared" si="46"/>
        <v>0.40575531886495286</v>
      </c>
      <c r="AW378" s="1">
        <f t="shared" si="47"/>
        <v>0.24345319131897172</v>
      </c>
    </row>
    <row r="379" spans="1:49" x14ac:dyDescent="0.2">
      <c r="A379">
        <v>377</v>
      </c>
      <c r="B379" t="s">
        <v>5961</v>
      </c>
      <c r="C379" t="s">
        <v>5960</v>
      </c>
      <c r="F379" t="s">
        <v>5959</v>
      </c>
      <c r="G379" t="s">
        <v>9</v>
      </c>
      <c r="H379" t="s">
        <v>8</v>
      </c>
      <c r="I379" t="s">
        <v>243</v>
      </c>
      <c r="J379">
        <v>60007284</v>
      </c>
      <c r="K379" t="s">
        <v>519</v>
      </c>
      <c r="L379" t="s">
        <v>74</v>
      </c>
      <c r="M379" t="s">
        <v>73</v>
      </c>
      <c r="N379">
        <v>2</v>
      </c>
      <c r="O379" t="s">
        <v>5958</v>
      </c>
      <c r="P379" t="s">
        <v>5957</v>
      </c>
      <c r="Q379" t="s">
        <v>518</v>
      </c>
      <c r="R379" s="7">
        <v>36850</v>
      </c>
      <c r="S379" s="8">
        <f t="shared" si="40"/>
        <v>2000</v>
      </c>
      <c r="T379" s="8">
        <v>2000</v>
      </c>
      <c r="U379" s="8">
        <f t="shared" si="41"/>
        <v>22</v>
      </c>
      <c r="V379" s="7">
        <v>36850</v>
      </c>
      <c r="W379" t="s">
        <v>150</v>
      </c>
      <c r="X379" s="2">
        <v>0.30399999999999999</v>
      </c>
      <c r="Y379" s="6">
        <f t="shared" si="42"/>
        <v>8.115106377299057E-3</v>
      </c>
      <c r="AA379">
        <v>8952477</v>
      </c>
      <c r="AB379">
        <v>12250</v>
      </c>
      <c r="AD379" t="s">
        <v>3</v>
      </c>
      <c r="AE379">
        <v>27</v>
      </c>
      <c r="AF379">
        <v>4</v>
      </c>
      <c r="AH379" t="s">
        <v>769</v>
      </c>
      <c r="AI379" t="s">
        <v>5956</v>
      </c>
      <c r="AK379" t="s">
        <v>5955</v>
      </c>
      <c r="AL379">
        <v>21</v>
      </c>
      <c r="AM379" s="5">
        <f t="shared" si="43"/>
        <v>0.95454545454545459</v>
      </c>
      <c r="AN379" s="4">
        <f t="shared" si="44"/>
        <v>1.4457333654607416E-3</v>
      </c>
      <c r="AO379" s="3"/>
      <c r="AP379">
        <v>0</v>
      </c>
      <c r="AR379" t="s">
        <v>1</v>
      </c>
      <c r="AT379" s="2" t="s">
        <v>0</v>
      </c>
      <c r="AU379" s="1">
        <f t="shared" si="45"/>
        <v>0.61142944737475624</v>
      </c>
      <c r="AV379" s="1">
        <f t="shared" si="46"/>
        <v>0.4780419871379899</v>
      </c>
      <c r="AW379" s="1">
        <f t="shared" si="47"/>
        <v>0.34465452690122361</v>
      </c>
    </row>
    <row r="380" spans="1:49" x14ac:dyDescent="0.2">
      <c r="A380">
        <v>378</v>
      </c>
      <c r="B380" t="s">
        <v>5954</v>
      </c>
      <c r="C380" t="s">
        <v>5953</v>
      </c>
      <c r="F380" t="s">
        <v>5952</v>
      </c>
      <c r="G380" t="s">
        <v>9</v>
      </c>
      <c r="H380" t="s">
        <v>8</v>
      </c>
      <c r="I380" t="s">
        <v>5951</v>
      </c>
      <c r="J380">
        <v>60104081</v>
      </c>
      <c r="K380" t="s">
        <v>3094</v>
      </c>
      <c r="L380" t="s">
        <v>3093</v>
      </c>
      <c r="M380" t="s">
        <v>105</v>
      </c>
      <c r="N380">
        <v>1</v>
      </c>
      <c r="O380" t="s">
        <v>5950</v>
      </c>
      <c r="P380">
        <v>6701775173</v>
      </c>
      <c r="Q380">
        <v>60104081</v>
      </c>
      <c r="R380" s="7">
        <v>36850</v>
      </c>
      <c r="S380" s="8">
        <f t="shared" si="40"/>
        <v>2000</v>
      </c>
      <c r="T380" s="8">
        <v>2000</v>
      </c>
      <c r="U380" s="8">
        <f t="shared" si="41"/>
        <v>22</v>
      </c>
      <c r="V380" s="7">
        <v>36850</v>
      </c>
      <c r="W380" t="s">
        <v>150</v>
      </c>
      <c r="X380" s="2">
        <v>0.30399999999999999</v>
      </c>
      <c r="Y380" s="6">
        <f t="shared" si="42"/>
        <v>8.115106377299057E-3</v>
      </c>
      <c r="AA380">
        <v>8952477</v>
      </c>
      <c r="AB380">
        <v>12250</v>
      </c>
      <c r="AD380" t="s">
        <v>3</v>
      </c>
      <c r="AE380">
        <v>27</v>
      </c>
      <c r="AF380">
        <v>4</v>
      </c>
      <c r="AH380" t="s">
        <v>5949</v>
      </c>
      <c r="AI380" t="s">
        <v>5948</v>
      </c>
      <c r="AK380" t="s">
        <v>5947</v>
      </c>
      <c r="AL380">
        <v>1</v>
      </c>
      <c r="AM380" s="5">
        <f t="shared" si="43"/>
        <v>4.5454545454545456E-2</v>
      </c>
      <c r="AN380" s="4">
        <f t="shared" si="44"/>
        <v>6.8844445974321024E-5</v>
      </c>
      <c r="AO380" s="3"/>
      <c r="AP380">
        <v>0</v>
      </c>
      <c r="AR380" t="s">
        <v>1</v>
      </c>
      <c r="AT380" s="2" t="s">
        <v>0</v>
      </c>
      <c r="AU380" s="1">
        <f t="shared" si="45"/>
        <v>0.57012277979016357</v>
      </c>
      <c r="AV380" s="1">
        <f t="shared" si="46"/>
        <v>0.40919754116366885</v>
      </c>
      <c r="AW380" s="1">
        <f t="shared" si="47"/>
        <v>0.24827230253717419</v>
      </c>
    </row>
    <row r="381" spans="1:49" x14ac:dyDescent="0.2">
      <c r="A381">
        <v>379</v>
      </c>
      <c r="B381" t="s">
        <v>5946</v>
      </c>
      <c r="C381" t="s">
        <v>5945</v>
      </c>
      <c r="F381" t="s">
        <v>5944</v>
      </c>
      <c r="G381" t="s">
        <v>9</v>
      </c>
      <c r="H381" t="s">
        <v>8</v>
      </c>
      <c r="I381" t="s">
        <v>4963</v>
      </c>
      <c r="J381" t="s">
        <v>5943</v>
      </c>
      <c r="K381" t="s">
        <v>5942</v>
      </c>
      <c r="L381" t="s">
        <v>5941</v>
      </c>
      <c r="M381" t="s">
        <v>63</v>
      </c>
      <c r="N381">
        <v>2</v>
      </c>
      <c r="O381" t="s">
        <v>5940</v>
      </c>
      <c r="P381" t="s">
        <v>5939</v>
      </c>
      <c r="Q381" t="s">
        <v>5938</v>
      </c>
      <c r="R381" s="7">
        <v>36850</v>
      </c>
      <c r="S381" s="8">
        <f t="shared" si="40"/>
        <v>2000</v>
      </c>
      <c r="T381" s="8">
        <v>2000</v>
      </c>
      <c r="U381" s="8">
        <f t="shared" si="41"/>
        <v>22</v>
      </c>
      <c r="V381" s="7">
        <v>36850</v>
      </c>
      <c r="W381" t="s">
        <v>150</v>
      </c>
      <c r="X381" s="2">
        <v>0.30399999999999999</v>
      </c>
      <c r="Y381" s="6">
        <f t="shared" si="42"/>
        <v>8.115106377299057E-3</v>
      </c>
      <c r="AA381">
        <v>8952477</v>
      </c>
      <c r="AB381">
        <v>12250</v>
      </c>
      <c r="AD381" t="s">
        <v>3</v>
      </c>
      <c r="AE381">
        <v>27</v>
      </c>
      <c r="AF381">
        <v>4</v>
      </c>
      <c r="AH381" t="s">
        <v>5937</v>
      </c>
      <c r="AI381" t="s">
        <v>5936</v>
      </c>
      <c r="AK381" t="s">
        <v>5935</v>
      </c>
      <c r="AL381">
        <v>1</v>
      </c>
      <c r="AM381" s="5">
        <f t="shared" si="43"/>
        <v>4.5454545454545456E-2</v>
      </c>
      <c r="AN381" s="4">
        <f t="shared" si="44"/>
        <v>6.8844445974321024E-5</v>
      </c>
      <c r="AO381" s="3"/>
      <c r="AP381">
        <v>0</v>
      </c>
      <c r="AR381" t="s">
        <v>1</v>
      </c>
      <c r="AT381" s="2" t="s">
        <v>0</v>
      </c>
      <c r="AU381" s="1">
        <f t="shared" si="45"/>
        <v>0.57012277979016357</v>
      </c>
      <c r="AV381" s="1">
        <f t="shared" si="46"/>
        <v>0.40919754116366885</v>
      </c>
      <c r="AW381" s="1">
        <f t="shared" si="47"/>
        <v>0.24827230253717419</v>
      </c>
    </row>
    <row r="382" spans="1:49" x14ac:dyDescent="0.2">
      <c r="A382">
        <v>380</v>
      </c>
      <c r="B382" t="s">
        <v>5934</v>
      </c>
      <c r="C382" t="s">
        <v>5933</v>
      </c>
      <c r="F382" t="s">
        <v>5932</v>
      </c>
      <c r="G382" t="s">
        <v>9</v>
      </c>
      <c r="H382" t="s">
        <v>8</v>
      </c>
      <c r="I382" t="s">
        <v>5931</v>
      </c>
      <c r="J382">
        <v>60103653</v>
      </c>
      <c r="K382" t="s">
        <v>153</v>
      </c>
      <c r="L382" t="s">
        <v>152</v>
      </c>
      <c r="M382" t="s">
        <v>22</v>
      </c>
      <c r="N382">
        <v>4</v>
      </c>
      <c r="O382" t="s">
        <v>5930</v>
      </c>
      <c r="P382" t="s">
        <v>5929</v>
      </c>
      <c r="Q382" t="s">
        <v>5928</v>
      </c>
      <c r="R382" s="7">
        <v>36850</v>
      </c>
      <c r="S382" s="8">
        <f t="shared" si="40"/>
        <v>2000</v>
      </c>
      <c r="T382" s="8">
        <v>2000</v>
      </c>
      <c r="U382" s="8">
        <f t="shared" si="41"/>
        <v>22</v>
      </c>
      <c r="V382" s="7">
        <v>36850</v>
      </c>
      <c r="W382" t="s">
        <v>150</v>
      </c>
      <c r="X382" s="2">
        <v>0.30399999999999999</v>
      </c>
      <c r="Y382" s="6">
        <f t="shared" si="42"/>
        <v>8.115106377299057E-3</v>
      </c>
      <c r="AA382">
        <v>8952477</v>
      </c>
      <c r="AB382">
        <v>12250</v>
      </c>
      <c r="AD382" t="s">
        <v>3</v>
      </c>
      <c r="AE382">
        <v>27</v>
      </c>
      <c r="AF382">
        <v>4</v>
      </c>
      <c r="AH382" t="s">
        <v>879</v>
      </c>
      <c r="AI382" t="s">
        <v>5927</v>
      </c>
      <c r="AK382" t="s">
        <v>5926</v>
      </c>
      <c r="AL382">
        <v>5</v>
      </c>
      <c r="AM382" s="5">
        <f t="shared" si="43"/>
        <v>0.22727272727272727</v>
      </c>
      <c r="AN382" s="4">
        <f t="shared" si="44"/>
        <v>3.4422222987160508E-4</v>
      </c>
      <c r="AO382" s="3"/>
      <c r="AP382">
        <v>0</v>
      </c>
      <c r="AR382" t="s">
        <v>1</v>
      </c>
      <c r="AT382" s="2" t="s">
        <v>0</v>
      </c>
      <c r="AU382" s="1">
        <f t="shared" si="45"/>
        <v>0.57838411330708206</v>
      </c>
      <c r="AV382" s="1">
        <f t="shared" si="46"/>
        <v>0.42296643035853304</v>
      </c>
      <c r="AW382" s="1">
        <f t="shared" si="47"/>
        <v>0.26754874740998408</v>
      </c>
    </row>
    <row r="383" spans="1:49" x14ac:dyDescent="0.2">
      <c r="A383">
        <v>381</v>
      </c>
      <c r="B383" t="s">
        <v>5925</v>
      </c>
      <c r="C383" t="s">
        <v>5924</v>
      </c>
      <c r="F383" t="s">
        <v>5923</v>
      </c>
      <c r="G383" t="s">
        <v>9</v>
      </c>
      <c r="H383" t="s">
        <v>8</v>
      </c>
      <c r="I383" t="s">
        <v>485</v>
      </c>
      <c r="J383">
        <v>60001439</v>
      </c>
      <c r="K383" t="s">
        <v>120</v>
      </c>
      <c r="L383" t="s">
        <v>119</v>
      </c>
      <c r="M383" t="s">
        <v>5</v>
      </c>
      <c r="N383">
        <v>3</v>
      </c>
      <c r="O383" t="s">
        <v>5922</v>
      </c>
      <c r="P383" t="s">
        <v>5921</v>
      </c>
      <c r="Q383" t="s">
        <v>588</v>
      </c>
      <c r="R383" s="7">
        <v>36850</v>
      </c>
      <c r="S383" s="8">
        <f t="shared" si="40"/>
        <v>2000</v>
      </c>
      <c r="T383" s="8">
        <v>2000</v>
      </c>
      <c r="U383" s="8">
        <f t="shared" si="41"/>
        <v>22</v>
      </c>
      <c r="V383" s="7">
        <v>36850</v>
      </c>
      <c r="W383" t="s">
        <v>150</v>
      </c>
      <c r="X383" s="2">
        <v>0.30399999999999999</v>
      </c>
      <c r="Y383" s="6">
        <f t="shared" si="42"/>
        <v>8.115106377299057E-3</v>
      </c>
      <c r="AA383">
        <v>8952477</v>
      </c>
      <c r="AB383">
        <v>12250</v>
      </c>
      <c r="AD383" t="s">
        <v>3</v>
      </c>
      <c r="AE383">
        <v>27</v>
      </c>
      <c r="AF383">
        <v>4</v>
      </c>
      <c r="AH383" t="s">
        <v>5920</v>
      </c>
      <c r="AI383" t="s">
        <v>5919</v>
      </c>
      <c r="AK383" t="s">
        <v>5918</v>
      </c>
      <c r="AL383">
        <v>6</v>
      </c>
      <c r="AM383" s="5">
        <f t="shared" si="43"/>
        <v>0.27272727272727271</v>
      </c>
      <c r="AN383" s="4">
        <f t="shared" si="44"/>
        <v>4.1306667584592612E-4</v>
      </c>
      <c r="AO383" s="3"/>
      <c r="AP383">
        <v>0</v>
      </c>
      <c r="AR383" t="s">
        <v>1</v>
      </c>
      <c r="AT383" s="2" t="s">
        <v>0</v>
      </c>
      <c r="AU383" s="1">
        <f t="shared" si="45"/>
        <v>0.58044944668631171</v>
      </c>
      <c r="AV383" s="1">
        <f t="shared" si="46"/>
        <v>0.42640865265724914</v>
      </c>
      <c r="AW383" s="1">
        <f t="shared" si="47"/>
        <v>0.27236785862818652</v>
      </c>
    </row>
    <row r="384" spans="1:49" x14ac:dyDescent="0.2">
      <c r="A384">
        <v>382</v>
      </c>
      <c r="B384" t="s">
        <v>5917</v>
      </c>
      <c r="C384" t="s">
        <v>5916</v>
      </c>
      <c r="F384" t="s">
        <v>5915</v>
      </c>
      <c r="G384" t="s">
        <v>9</v>
      </c>
      <c r="H384" t="s">
        <v>8</v>
      </c>
      <c r="I384" t="s">
        <v>5914</v>
      </c>
      <c r="J384">
        <v>60020825</v>
      </c>
      <c r="K384" t="s">
        <v>5913</v>
      </c>
      <c r="L384" t="s">
        <v>259</v>
      </c>
      <c r="M384" t="s">
        <v>251</v>
      </c>
      <c r="N384">
        <v>3</v>
      </c>
      <c r="O384" t="s">
        <v>5912</v>
      </c>
      <c r="P384" t="s">
        <v>5911</v>
      </c>
      <c r="Q384" t="s">
        <v>5910</v>
      </c>
      <c r="R384" s="7">
        <v>36850</v>
      </c>
      <c r="S384" s="8">
        <f t="shared" si="40"/>
        <v>2000</v>
      </c>
      <c r="T384" s="8">
        <v>2000</v>
      </c>
      <c r="U384" s="8">
        <f t="shared" si="41"/>
        <v>22</v>
      </c>
      <c r="V384" s="7">
        <v>36850</v>
      </c>
      <c r="W384" t="s">
        <v>150</v>
      </c>
      <c r="X384" s="2">
        <v>0.30399999999999999</v>
      </c>
      <c r="Y384" s="6">
        <f t="shared" si="42"/>
        <v>8.115106377299057E-3</v>
      </c>
      <c r="AA384">
        <v>8952477</v>
      </c>
      <c r="AB384">
        <v>12250</v>
      </c>
      <c r="AD384" t="s">
        <v>3</v>
      </c>
      <c r="AE384">
        <v>27</v>
      </c>
      <c r="AF384">
        <v>4</v>
      </c>
      <c r="AH384" t="s">
        <v>5909</v>
      </c>
      <c r="AI384" t="s">
        <v>5908</v>
      </c>
      <c r="AK384" t="s">
        <v>5907</v>
      </c>
      <c r="AL384">
        <v>7</v>
      </c>
      <c r="AM384" s="5">
        <f t="shared" si="43"/>
        <v>0.31818181818181818</v>
      </c>
      <c r="AN384" s="4">
        <f t="shared" si="44"/>
        <v>4.8191112182024716E-4</v>
      </c>
      <c r="AO384" s="3"/>
      <c r="AP384">
        <v>0</v>
      </c>
      <c r="AR384" t="s">
        <v>1</v>
      </c>
      <c r="AT384" s="2" t="s">
        <v>0</v>
      </c>
      <c r="AU384" s="1">
        <f t="shared" si="45"/>
        <v>0.58251478006554136</v>
      </c>
      <c r="AV384" s="1">
        <f t="shared" si="46"/>
        <v>0.42985087495596519</v>
      </c>
      <c r="AW384" s="1">
        <f t="shared" si="47"/>
        <v>0.27718696984638902</v>
      </c>
    </row>
    <row r="385" spans="1:49" x14ac:dyDescent="0.2">
      <c r="A385">
        <v>383</v>
      </c>
      <c r="B385" t="s">
        <v>5906</v>
      </c>
      <c r="C385" t="s">
        <v>5905</v>
      </c>
      <c r="F385" t="s">
        <v>5904</v>
      </c>
      <c r="G385" t="s">
        <v>9</v>
      </c>
      <c r="H385" t="s">
        <v>8</v>
      </c>
      <c r="I385" t="s">
        <v>5903</v>
      </c>
      <c r="J385">
        <v>60013983</v>
      </c>
      <c r="K385" t="s">
        <v>162</v>
      </c>
      <c r="L385" t="s">
        <v>161</v>
      </c>
      <c r="M385" t="s">
        <v>160</v>
      </c>
      <c r="N385">
        <v>4</v>
      </c>
      <c r="O385" t="s">
        <v>5902</v>
      </c>
      <c r="P385" t="s">
        <v>5901</v>
      </c>
      <c r="Q385" t="s">
        <v>324</v>
      </c>
      <c r="R385" s="7">
        <v>36850</v>
      </c>
      <c r="S385" s="8">
        <f t="shared" si="40"/>
        <v>2000</v>
      </c>
      <c r="T385" s="8">
        <v>2000</v>
      </c>
      <c r="U385" s="8">
        <f t="shared" si="41"/>
        <v>22</v>
      </c>
      <c r="V385" s="7">
        <v>36850</v>
      </c>
      <c r="W385" t="s">
        <v>150</v>
      </c>
      <c r="X385" s="2">
        <v>0.30399999999999999</v>
      </c>
      <c r="Y385" s="6">
        <f t="shared" si="42"/>
        <v>8.115106377299057E-3</v>
      </c>
      <c r="AA385">
        <v>8952477</v>
      </c>
      <c r="AB385">
        <v>12250</v>
      </c>
      <c r="AD385" t="s">
        <v>3</v>
      </c>
      <c r="AE385">
        <v>27</v>
      </c>
      <c r="AF385">
        <v>4</v>
      </c>
      <c r="AH385" t="s">
        <v>5900</v>
      </c>
      <c r="AI385" t="s">
        <v>5899</v>
      </c>
      <c r="AK385" t="s">
        <v>5898</v>
      </c>
      <c r="AL385">
        <v>22</v>
      </c>
      <c r="AM385" s="5">
        <f t="shared" si="43"/>
        <v>1</v>
      </c>
      <c r="AN385" s="4">
        <f t="shared" si="44"/>
        <v>1.5145778114350624E-3</v>
      </c>
      <c r="AO385" s="3"/>
      <c r="AP385">
        <v>0</v>
      </c>
      <c r="AR385" t="s">
        <v>1</v>
      </c>
      <c r="AT385" s="2" t="s">
        <v>0</v>
      </c>
      <c r="AU385" s="1">
        <f t="shared" si="45"/>
        <v>0.61349478075398578</v>
      </c>
      <c r="AV385" s="1">
        <f t="shared" si="46"/>
        <v>0.481484209436706</v>
      </c>
      <c r="AW385" s="1">
        <f t="shared" si="47"/>
        <v>0.34947363811942611</v>
      </c>
    </row>
    <row r="386" spans="1:49" x14ac:dyDescent="0.2">
      <c r="A386">
        <v>384</v>
      </c>
      <c r="B386" t="s">
        <v>5897</v>
      </c>
      <c r="C386" t="s">
        <v>5896</v>
      </c>
      <c r="F386" t="s">
        <v>5895</v>
      </c>
      <c r="G386" t="s">
        <v>9</v>
      </c>
      <c r="H386" t="s">
        <v>8</v>
      </c>
      <c r="I386" t="s">
        <v>330</v>
      </c>
      <c r="J386" t="s">
        <v>325</v>
      </c>
      <c r="K386" t="s">
        <v>329</v>
      </c>
      <c r="L386" t="s">
        <v>328</v>
      </c>
      <c r="M386" t="s">
        <v>274</v>
      </c>
      <c r="N386">
        <v>2</v>
      </c>
      <c r="O386" t="s">
        <v>327</v>
      </c>
      <c r="P386" t="s">
        <v>326</v>
      </c>
      <c r="Q386" t="s">
        <v>325</v>
      </c>
      <c r="R386" s="7">
        <v>36850</v>
      </c>
      <c r="S386" s="8">
        <f t="shared" ref="S386:S449" si="48">YEAR(R386)</f>
        <v>2000</v>
      </c>
      <c r="T386" s="8">
        <v>2000</v>
      </c>
      <c r="U386" s="8">
        <f t="shared" ref="U386:U449" si="49">2022-T386</f>
        <v>22</v>
      </c>
      <c r="V386" s="7">
        <v>36850</v>
      </c>
      <c r="W386" t="s">
        <v>150</v>
      </c>
      <c r="X386" s="2">
        <v>0.30399999999999999</v>
      </c>
      <c r="Y386" s="6">
        <f t="shared" ref="Y386:Y449" si="50">(X386-$Z$3)/($Z$2-$Z$3)</f>
        <v>8.115106377299057E-3</v>
      </c>
      <c r="AA386">
        <v>8952477</v>
      </c>
      <c r="AB386">
        <v>12250</v>
      </c>
      <c r="AD386" t="s">
        <v>3</v>
      </c>
      <c r="AE386">
        <v>27</v>
      </c>
      <c r="AF386">
        <v>4</v>
      </c>
      <c r="AH386" t="s">
        <v>5894</v>
      </c>
      <c r="AI386" t="s">
        <v>5893</v>
      </c>
      <c r="AK386" t="s">
        <v>5892</v>
      </c>
      <c r="AL386">
        <v>1</v>
      </c>
      <c r="AM386" s="5">
        <f t="shared" ref="AM386:AM449" si="51">AL386/U386</f>
        <v>4.5454545454545456E-2</v>
      </c>
      <c r="AN386" s="4">
        <f t="shared" ref="AN386:AN449" si="52">(AM386-$AO$3)/($AO$2-$AO$3)</f>
        <v>6.8844445974321024E-5</v>
      </c>
      <c r="AO386" s="3"/>
      <c r="AP386">
        <v>0</v>
      </c>
      <c r="AR386" t="s">
        <v>1</v>
      </c>
      <c r="AT386" s="2" t="s">
        <v>0</v>
      </c>
      <c r="AU386" s="1">
        <f t="shared" ref="AU386:AU449" si="53">(Y386*0.7+AN386*0.3)*100</f>
        <v>0.57012277979016357</v>
      </c>
      <c r="AV386" s="1">
        <f t="shared" ref="AV386:AV449" si="54">(Y386*0.5+AN386*0.5)*100</f>
        <v>0.40919754116366885</v>
      </c>
      <c r="AW386" s="1">
        <f t="shared" ref="AW386:AW449" si="55">(Y386*0.3+AN386*0.7)*100</f>
        <v>0.24827230253717419</v>
      </c>
    </row>
    <row r="387" spans="1:49" x14ac:dyDescent="0.2">
      <c r="A387">
        <v>385</v>
      </c>
      <c r="B387" t="s">
        <v>5891</v>
      </c>
      <c r="C387" t="s">
        <v>5890</v>
      </c>
      <c r="F387" t="s">
        <v>5889</v>
      </c>
      <c r="G387" t="s">
        <v>9</v>
      </c>
      <c r="H387" t="s">
        <v>8</v>
      </c>
      <c r="I387" t="s">
        <v>5888</v>
      </c>
      <c r="J387" t="s">
        <v>5887</v>
      </c>
      <c r="K387" t="s">
        <v>5886</v>
      </c>
      <c r="L387" t="s">
        <v>5885</v>
      </c>
      <c r="M387" t="s">
        <v>274</v>
      </c>
      <c r="N387">
        <v>3</v>
      </c>
      <c r="O387" t="s">
        <v>5884</v>
      </c>
      <c r="P387" t="s">
        <v>5883</v>
      </c>
      <c r="Q387" t="s">
        <v>5882</v>
      </c>
      <c r="R387" s="7">
        <v>36850</v>
      </c>
      <c r="S387" s="8">
        <f t="shared" si="48"/>
        <v>2000</v>
      </c>
      <c r="T387" s="8">
        <v>2000</v>
      </c>
      <c r="U387" s="8">
        <f t="shared" si="49"/>
        <v>22</v>
      </c>
      <c r="V387" s="7">
        <v>36850</v>
      </c>
      <c r="W387" t="s">
        <v>150</v>
      </c>
      <c r="X387" s="2">
        <v>0.30399999999999999</v>
      </c>
      <c r="Y387" s="6">
        <f t="shared" si="50"/>
        <v>8.115106377299057E-3</v>
      </c>
      <c r="AA387">
        <v>8952477</v>
      </c>
      <c r="AB387">
        <v>12250</v>
      </c>
      <c r="AD387" t="s">
        <v>3</v>
      </c>
      <c r="AE387">
        <v>27</v>
      </c>
      <c r="AF387">
        <v>4</v>
      </c>
      <c r="AH387" t="s">
        <v>5881</v>
      </c>
      <c r="AI387" t="s">
        <v>5880</v>
      </c>
      <c r="AK387" t="s">
        <v>5879</v>
      </c>
      <c r="AL387">
        <v>26</v>
      </c>
      <c r="AM387" s="5">
        <f t="shared" si="51"/>
        <v>1.1818181818181819</v>
      </c>
      <c r="AN387" s="4">
        <f t="shared" si="52"/>
        <v>1.7899555953323468E-3</v>
      </c>
      <c r="AO387" s="3"/>
      <c r="AP387">
        <v>0</v>
      </c>
      <c r="AR387" t="s">
        <v>1</v>
      </c>
      <c r="AT387" s="2" t="s">
        <v>0</v>
      </c>
      <c r="AU387" s="1">
        <f t="shared" si="53"/>
        <v>0.62175611427090438</v>
      </c>
      <c r="AV387" s="1">
        <f t="shared" si="54"/>
        <v>0.49525309863157019</v>
      </c>
      <c r="AW387" s="1">
        <f t="shared" si="55"/>
        <v>0.36875008299223599</v>
      </c>
    </row>
    <row r="388" spans="1:49" x14ac:dyDescent="0.2">
      <c r="A388">
        <v>386</v>
      </c>
      <c r="B388" t="s">
        <v>5878</v>
      </c>
      <c r="C388" t="s">
        <v>5877</v>
      </c>
      <c r="E388">
        <v>11110090</v>
      </c>
      <c r="F388" t="s">
        <v>5876</v>
      </c>
      <c r="G388" t="s">
        <v>9</v>
      </c>
      <c r="H388" t="s">
        <v>8</v>
      </c>
      <c r="I388" t="s">
        <v>5875</v>
      </c>
      <c r="J388">
        <v>60002634</v>
      </c>
      <c r="K388" t="s">
        <v>5874</v>
      </c>
      <c r="L388" t="s">
        <v>4211</v>
      </c>
      <c r="M388" t="s">
        <v>87</v>
      </c>
      <c r="N388">
        <v>1</v>
      </c>
      <c r="O388" t="s">
        <v>5873</v>
      </c>
      <c r="P388">
        <v>7202064593</v>
      </c>
      <c r="Q388">
        <v>60002634</v>
      </c>
      <c r="R388" s="7">
        <v>36850</v>
      </c>
      <c r="S388" s="8">
        <f t="shared" si="48"/>
        <v>2000</v>
      </c>
      <c r="T388" s="8">
        <v>2000</v>
      </c>
      <c r="U388" s="8">
        <f t="shared" si="49"/>
        <v>22</v>
      </c>
      <c r="V388" s="7">
        <v>2000</v>
      </c>
      <c r="W388" t="s">
        <v>5872</v>
      </c>
      <c r="X388" s="2">
        <v>0.47499999999999998</v>
      </c>
      <c r="Y388" s="6">
        <f t="shared" si="50"/>
        <v>1.2679853714529777E-2</v>
      </c>
      <c r="AA388">
        <v>10765174</v>
      </c>
      <c r="AB388">
        <v>24044</v>
      </c>
      <c r="AD388" t="s">
        <v>3</v>
      </c>
      <c r="AE388">
        <v>35</v>
      </c>
      <c r="AF388">
        <v>10</v>
      </c>
      <c r="AH388" t="s">
        <v>5871</v>
      </c>
      <c r="AI388" t="s">
        <v>5870</v>
      </c>
      <c r="AJ388" t="s">
        <v>5869</v>
      </c>
      <c r="AK388" t="s">
        <v>5868</v>
      </c>
      <c r="AL388">
        <v>156</v>
      </c>
      <c r="AM388" s="5">
        <f t="shared" si="51"/>
        <v>7.0909090909090908</v>
      </c>
      <c r="AN388" s="4">
        <f t="shared" si="52"/>
        <v>1.0739733571994078E-2</v>
      </c>
      <c r="AO388" s="3"/>
      <c r="AP388">
        <v>0</v>
      </c>
      <c r="AR388" t="s">
        <v>1</v>
      </c>
      <c r="AT388" s="2">
        <v>1.982</v>
      </c>
      <c r="AU388" s="1">
        <f t="shared" si="53"/>
        <v>1.2097817671769067</v>
      </c>
      <c r="AV388" s="1">
        <f t="shared" si="54"/>
        <v>1.1709793643261928</v>
      </c>
      <c r="AW388" s="1">
        <f t="shared" si="55"/>
        <v>1.1321769614754789</v>
      </c>
    </row>
    <row r="389" spans="1:49" x14ac:dyDescent="0.2">
      <c r="A389">
        <v>387</v>
      </c>
      <c r="B389" t="s">
        <v>5867</v>
      </c>
      <c r="C389" t="s">
        <v>5866</v>
      </c>
      <c r="E389">
        <v>11025550</v>
      </c>
      <c r="F389" t="s">
        <v>5865</v>
      </c>
      <c r="G389" t="s">
        <v>9</v>
      </c>
      <c r="H389" t="s">
        <v>8</v>
      </c>
      <c r="I389" t="s">
        <v>5864</v>
      </c>
      <c r="J389">
        <v>60050715</v>
      </c>
      <c r="K389" t="s">
        <v>5863</v>
      </c>
      <c r="L389" t="s">
        <v>5862</v>
      </c>
      <c r="M389" t="s">
        <v>53</v>
      </c>
      <c r="N389">
        <v>2</v>
      </c>
      <c r="O389" t="s">
        <v>5861</v>
      </c>
      <c r="P389" t="s">
        <v>5860</v>
      </c>
      <c r="Q389" t="s">
        <v>5859</v>
      </c>
      <c r="R389" s="7">
        <v>36845</v>
      </c>
      <c r="S389" s="8">
        <f t="shared" si="48"/>
        <v>2000</v>
      </c>
      <c r="T389" s="8">
        <v>2000</v>
      </c>
      <c r="U389" s="8">
        <f t="shared" si="49"/>
        <v>22</v>
      </c>
      <c r="V389" s="7">
        <v>36845</v>
      </c>
      <c r="W389" t="s">
        <v>5858</v>
      </c>
      <c r="X389" s="2">
        <v>1.6990000000000001</v>
      </c>
      <c r="Y389" s="6">
        <f t="shared" si="50"/>
        <v>4.5353834654707569E-2</v>
      </c>
      <c r="AA389">
        <v>8873585</v>
      </c>
      <c r="AB389">
        <v>14283</v>
      </c>
      <c r="AD389" t="s">
        <v>3</v>
      </c>
      <c r="AE389">
        <v>41</v>
      </c>
      <c r="AF389">
        <v>3</v>
      </c>
      <c r="AH389" t="s">
        <v>5857</v>
      </c>
      <c r="AI389" t="s">
        <v>5856</v>
      </c>
      <c r="AJ389" t="s">
        <v>5855</v>
      </c>
      <c r="AK389" t="s">
        <v>5854</v>
      </c>
      <c r="AL389">
        <v>19</v>
      </c>
      <c r="AM389" s="5">
        <f t="shared" si="51"/>
        <v>0.86363636363636365</v>
      </c>
      <c r="AN389" s="4">
        <f t="shared" si="52"/>
        <v>1.3080444735120995E-3</v>
      </c>
      <c r="AO389" s="3"/>
      <c r="AP389">
        <v>0</v>
      </c>
      <c r="AR389" t="s">
        <v>1</v>
      </c>
      <c r="AT389" s="2" t="s">
        <v>0</v>
      </c>
      <c r="AU389" s="1">
        <f t="shared" si="53"/>
        <v>3.2140097600348922</v>
      </c>
      <c r="AV389" s="1">
        <f t="shared" si="54"/>
        <v>2.3330939564109832</v>
      </c>
      <c r="AW389" s="1">
        <f t="shared" si="55"/>
        <v>1.4521781527870739</v>
      </c>
    </row>
    <row r="390" spans="1:49" x14ac:dyDescent="0.2">
      <c r="A390">
        <v>388</v>
      </c>
      <c r="B390" t="s">
        <v>5853</v>
      </c>
      <c r="C390" t="s">
        <v>5852</v>
      </c>
      <c r="E390">
        <v>11074462</v>
      </c>
      <c r="F390" t="s">
        <v>5851</v>
      </c>
      <c r="G390" t="s">
        <v>9</v>
      </c>
      <c r="H390" t="s">
        <v>8</v>
      </c>
      <c r="I390" t="s">
        <v>5850</v>
      </c>
      <c r="J390">
        <v>60008134</v>
      </c>
      <c r="K390" t="s">
        <v>285</v>
      </c>
      <c r="L390" t="s">
        <v>284</v>
      </c>
      <c r="M390" t="s">
        <v>105</v>
      </c>
      <c r="N390">
        <v>7</v>
      </c>
      <c r="O390" t="s">
        <v>5849</v>
      </c>
      <c r="P390" t="s">
        <v>5848</v>
      </c>
      <c r="Q390" t="s">
        <v>5847</v>
      </c>
      <c r="R390" s="7">
        <v>36845</v>
      </c>
      <c r="S390" s="8">
        <f t="shared" si="48"/>
        <v>2000</v>
      </c>
      <c r="T390" s="8">
        <v>2000</v>
      </c>
      <c r="U390" s="8">
        <f t="shared" si="49"/>
        <v>22</v>
      </c>
      <c r="V390" s="7">
        <v>36845</v>
      </c>
      <c r="W390" t="s">
        <v>949</v>
      </c>
      <c r="X390" s="2" t="s">
        <v>0</v>
      </c>
      <c r="Y390" s="6" t="e">
        <f t="shared" si="50"/>
        <v>#VALUE!</v>
      </c>
      <c r="AA390">
        <v>223034</v>
      </c>
      <c r="AB390">
        <v>23463</v>
      </c>
      <c r="AD390" t="s">
        <v>3</v>
      </c>
      <c r="AE390">
        <v>45</v>
      </c>
      <c r="AF390">
        <v>3</v>
      </c>
      <c r="AH390" t="s">
        <v>5846</v>
      </c>
      <c r="AI390" t="s">
        <v>5845</v>
      </c>
      <c r="AJ390" t="s">
        <v>5844</v>
      </c>
      <c r="AK390" t="s">
        <v>5843</v>
      </c>
      <c r="AL390">
        <v>57</v>
      </c>
      <c r="AM390" s="5">
        <f t="shared" si="51"/>
        <v>2.5909090909090908</v>
      </c>
      <c r="AN390" s="4">
        <f t="shared" si="52"/>
        <v>3.9241334205362983E-3</v>
      </c>
      <c r="AO390" s="3"/>
      <c r="AP390">
        <v>0</v>
      </c>
      <c r="AR390" t="s">
        <v>1</v>
      </c>
      <c r="AT390" s="2" t="s">
        <v>0</v>
      </c>
      <c r="AU390" s="1" t="e">
        <f t="shared" si="53"/>
        <v>#VALUE!</v>
      </c>
      <c r="AV390" s="1" t="e">
        <f t="shared" si="54"/>
        <v>#VALUE!</v>
      </c>
      <c r="AW390" s="1" t="e">
        <f t="shared" si="55"/>
        <v>#VALUE!</v>
      </c>
    </row>
    <row r="391" spans="1:49" x14ac:dyDescent="0.2">
      <c r="A391">
        <v>389</v>
      </c>
      <c r="B391" t="s">
        <v>5842</v>
      </c>
      <c r="C391" t="s">
        <v>5841</v>
      </c>
      <c r="F391" t="s">
        <v>5840</v>
      </c>
      <c r="G391" t="s">
        <v>9</v>
      </c>
      <c r="H391" t="s">
        <v>8</v>
      </c>
      <c r="I391" t="s">
        <v>5839</v>
      </c>
      <c r="J391" t="s">
        <v>5838</v>
      </c>
      <c r="K391" t="s">
        <v>5837</v>
      </c>
      <c r="L391" t="s">
        <v>5836</v>
      </c>
      <c r="M391" t="s">
        <v>638</v>
      </c>
      <c r="N391">
        <v>6</v>
      </c>
      <c r="O391" t="s">
        <v>5835</v>
      </c>
      <c r="P391" t="s">
        <v>5834</v>
      </c>
      <c r="Q391" t="s">
        <v>5833</v>
      </c>
      <c r="R391" s="7">
        <v>36845</v>
      </c>
      <c r="S391" s="8">
        <f t="shared" si="48"/>
        <v>2000</v>
      </c>
      <c r="T391" s="8">
        <v>2000</v>
      </c>
      <c r="U391" s="8">
        <f t="shared" si="49"/>
        <v>22</v>
      </c>
      <c r="V391" s="7">
        <v>36845</v>
      </c>
      <c r="W391" t="s">
        <v>281</v>
      </c>
      <c r="X391" s="2">
        <v>0.84299999999999997</v>
      </c>
      <c r="Y391" s="6">
        <f t="shared" si="50"/>
        <v>2.250340353968127E-2</v>
      </c>
      <c r="AA391">
        <v>188158</v>
      </c>
      <c r="AB391">
        <v>15168</v>
      </c>
      <c r="AD391" t="s">
        <v>3</v>
      </c>
      <c r="AE391">
        <v>439</v>
      </c>
      <c r="AH391" t="s">
        <v>5832</v>
      </c>
      <c r="AI391" t="s">
        <v>5831</v>
      </c>
      <c r="AJ391" t="s">
        <v>5830</v>
      </c>
      <c r="AK391" t="s">
        <v>5829</v>
      </c>
      <c r="AL391">
        <v>0</v>
      </c>
      <c r="AM391" s="5">
        <f t="shared" si="51"/>
        <v>0</v>
      </c>
      <c r="AN391" s="4">
        <f t="shared" si="52"/>
        <v>0</v>
      </c>
      <c r="AO391" s="3"/>
      <c r="AP391">
        <v>0</v>
      </c>
      <c r="AQ391" t="s">
        <v>5828</v>
      </c>
      <c r="AR391" t="s">
        <v>5827</v>
      </c>
      <c r="AS391" t="s">
        <v>202</v>
      </c>
      <c r="AT391" s="2">
        <v>2.694</v>
      </c>
      <c r="AU391" s="1">
        <f t="shared" si="53"/>
        <v>1.5752382477776889</v>
      </c>
      <c r="AV391" s="1">
        <f t="shared" si="54"/>
        <v>1.1251701769840634</v>
      </c>
      <c r="AW391" s="1">
        <f t="shared" si="55"/>
        <v>0.67510210619043809</v>
      </c>
    </row>
    <row r="392" spans="1:49" x14ac:dyDescent="0.2">
      <c r="A392">
        <v>390</v>
      </c>
      <c r="B392" t="s">
        <v>5826</v>
      </c>
      <c r="C392" t="s">
        <v>5825</v>
      </c>
      <c r="F392" t="s">
        <v>5824</v>
      </c>
      <c r="G392" t="s">
        <v>9</v>
      </c>
      <c r="H392" t="s">
        <v>8</v>
      </c>
      <c r="I392" t="s">
        <v>5823</v>
      </c>
      <c r="J392" t="s">
        <v>5822</v>
      </c>
      <c r="K392" t="s">
        <v>5821</v>
      </c>
      <c r="L392" t="s">
        <v>486</v>
      </c>
      <c r="M392" t="s">
        <v>94</v>
      </c>
      <c r="N392">
        <v>6</v>
      </c>
      <c r="O392" t="s">
        <v>5820</v>
      </c>
      <c r="P392" t="s">
        <v>5819</v>
      </c>
      <c r="Q392" t="s">
        <v>5818</v>
      </c>
      <c r="R392" s="7">
        <v>36845</v>
      </c>
      <c r="S392" s="8">
        <f t="shared" si="48"/>
        <v>2000</v>
      </c>
      <c r="T392" s="8">
        <v>2000</v>
      </c>
      <c r="U392" s="8">
        <f t="shared" si="49"/>
        <v>22</v>
      </c>
      <c r="V392" s="7">
        <v>36845</v>
      </c>
      <c r="W392" t="s">
        <v>616</v>
      </c>
      <c r="X392" s="2">
        <v>0.192</v>
      </c>
      <c r="Y392" s="6">
        <f t="shared" si="50"/>
        <v>5.1253303435572998E-3</v>
      </c>
      <c r="AA392" t="s">
        <v>589</v>
      </c>
      <c r="AB392">
        <v>40067</v>
      </c>
      <c r="AD392" t="s">
        <v>3</v>
      </c>
      <c r="AE392">
        <v>4135</v>
      </c>
      <c r="AF392">
        <v>1</v>
      </c>
      <c r="AH392" t="s">
        <v>5817</v>
      </c>
      <c r="AI392" t="s">
        <v>5816</v>
      </c>
      <c r="AJ392" t="s">
        <v>5815</v>
      </c>
      <c r="AK392" t="s">
        <v>5814</v>
      </c>
      <c r="AL392">
        <v>0</v>
      </c>
      <c r="AM392" s="5">
        <f t="shared" si="51"/>
        <v>0</v>
      </c>
      <c r="AN392" s="4">
        <f t="shared" si="52"/>
        <v>0</v>
      </c>
      <c r="AO392" s="3"/>
      <c r="AP392">
        <v>0</v>
      </c>
      <c r="AR392" t="s">
        <v>1</v>
      </c>
      <c r="AT392" s="2" t="s">
        <v>0</v>
      </c>
      <c r="AU392" s="1">
        <f t="shared" si="53"/>
        <v>0.35877312404901096</v>
      </c>
      <c r="AV392" s="1">
        <f t="shared" si="54"/>
        <v>0.25626651717786497</v>
      </c>
      <c r="AW392" s="1">
        <f t="shared" si="55"/>
        <v>0.15375991030671898</v>
      </c>
    </row>
    <row r="393" spans="1:49" x14ac:dyDescent="0.2">
      <c r="A393">
        <v>391</v>
      </c>
      <c r="B393" t="s">
        <v>5813</v>
      </c>
      <c r="C393" t="s">
        <v>5812</v>
      </c>
      <c r="F393" t="s">
        <v>5811</v>
      </c>
      <c r="G393" t="s">
        <v>9</v>
      </c>
      <c r="H393" t="s">
        <v>8</v>
      </c>
      <c r="I393" t="s">
        <v>5810</v>
      </c>
      <c r="J393">
        <v>60050138</v>
      </c>
      <c r="K393" t="s">
        <v>5809</v>
      </c>
      <c r="L393" t="s">
        <v>5808</v>
      </c>
      <c r="M393" t="s">
        <v>251</v>
      </c>
      <c r="N393">
        <v>5</v>
      </c>
      <c r="O393" t="s">
        <v>5807</v>
      </c>
      <c r="P393" t="s">
        <v>5806</v>
      </c>
      <c r="Q393" t="s">
        <v>5805</v>
      </c>
      <c r="R393" s="7">
        <v>36845</v>
      </c>
      <c r="S393" s="8">
        <f t="shared" si="48"/>
        <v>2000</v>
      </c>
      <c r="T393" s="8">
        <v>2000</v>
      </c>
      <c r="U393" s="8">
        <f t="shared" si="49"/>
        <v>22</v>
      </c>
      <c r="V393" s="7">
        <v>36845</v>
      </c>
      <c r="W393" t="s">
        <v>64</v>
      </c>
      <c r="X393" s="2">
        <v>2.0070000000000001</v>
      </c>
      <c r="Y393" s="6">
        <f t="shared" si="50"/>
        <v>5.3575718747497406E-2</v>
      </c>
      <c r="AA393">
        <v>948276</v>
      </c>
      <c r="AB393">
        <v>27962</v>
      </c>
      <c r="AD393" t="s">
        <v>3</v>
      </c>
      <c r="AE393">
        <v>27</v>
      </c>
      <c r="AF393">
        <v>22</v>
      </c>
      <c r="AH393" t="s">
        <v>5804</v>
      </c>
      <c r="AI393" t="s">
        <v>5803</v>
      </c>
      <c r="AK393" t="s">
        <v>5802</v>
      </c>
      <c r="AL393">
        <v>14</v>
      </c>
      <c r="AM393" s="5">
        <f t="shared" si="51"/>
        <v>0.63636363636363635</v>
      </c>
      <c r="AN393" s="4">
        <f t="shared" si="52"/>
        <v>9.6382224364049431E-4</v>
      </c>
      <c r="AO393" s="3"/>
      <c r="AP393">
        <v>1</v>
      </c>
      <c r="AR393" t="s">
        <v>1</v>
      </c>
      <c r="AT393" s="2">
        <v>4.72</v>
      </c>
      <c r="AU393" s="1">
        <f t="shared" si="53"/>
        <v>3.7792149796340331</v>
      </c>
      <c r="AV393" s="1">
        <f t="shared" si="54"/>
        <v>2.7269770495568948</v>
      </c>
      <c r="AW393" s="1">
        <f t="shared" si="55"/>
        <v>1.6747391194797567</v>
      </c>
    </row>
    <row r="394" spans="1:49" x14ac:dyDescent="0.2">
      <c r="A394">
        <v>392</v>
      </c>
      <c r="B394" t="s">
        <v>5801</v>
      </c>
      <c r="C394" t="s">
        <v>5800</v>
      </c>
      <c r="E394">
        <v>11085638</v>
      </c>
      <c r="F394" t="s">
        <v>5799</v>
      </c>
      <c r="G394" t="s">
        <v>9</v>
      </c>
      <c r="H394" t="s">
        <v>8</v>
      </c>
      <c r="I394" t="s">
        <v>5798</v>
      </c>
      <c r="J394">
        <v>60011047</v>
      </c>
      <c r="K394" t="s">
        <v>342</v>
      </c>
      <c r="L394" t="s">
        <v>341</v>
      </c>
      <c r="M394" t="s">
        <v>43</v>
      </c>
      <c r="N394">
        <v>2</v>
      </c>
      <c r="O394" t="s">
        <v>5797</v>
      </c>
      <c r="P394" t="s">
        <v>5796</v>
      </c>
      <c r="Q394" t="s">
        <v>340</v>
      </c>
      <c r="R394" s="7">
        <v>36841</v>
      </c>
      <c r="S394" s="8">
        <f t="shared" si="48"/>
        <v>2000</v>
      </c>
      <c r="T394" s="8">
        <v>2000</v>
      </c>
      <c r="U394" s="8">
        <f t="shared" si="49"/>
        <v>22</v>
      </c>
      <c r="V394" s="7">
        <v>2000</v>
      </c>
      <c r="W394" t="s">
        <v>338</v>
      </c>
      <c r="X394" s="2">
        <v>0.8</v>
      </c>
      <c r="Y394" s="6">
        <f t="shared" si="50"/>
        <v>2.1355543098155415E-2</v>
      </c>
      <c r="AA394">
        <v>3407594</v>
      </c>
      <c r="AB394">
        <v>23456</v>
      </c>
      <c r="AD394" t="s">
        <v>3</v>
      </c>
      <c r="AE394">
        <v>186</v>
      </c>
      <c r="AF394">
        <v>9</v>
      </c>
      <c r="AH394" t="s">
        <v>781</v>
      </c>
      <c r="AI394" t="s">
        <v>5795</v>
      </c>
      <c r="AJ394" t="s">
        <v>5794</v>
      </c>
      <c r="AK394" t="s">
        <v>5793</v>
      </c>
      <c r="AL394">
        <v>71</v>
      </c>
      <c r="AM394" s="5">
        <f t="shared" si="51"/>
        <v>3.2272727272727271</v>
      </c>
      <c r="AN394" s="4">
        <f t="shared" si="52"/>
        <v>4.8879556641767919E-3</v>
      </c>
      <c r="AO394" s="3"/>
      <c r="AP394">
        <v>0</v>
      </c>
      <c r="AR394" t="s">
        <v>1</v>
      </c>
      <c r="AT394" s="2" t="s">
        <v>0</v>
      </c>
      <c r="AU394" s="1">
        <f t="shared" si="53"/>
        <v>1.6415266867961824</v>
      </c>
      <c r="AV394" s="1">
        <f t="shared" si="54"/>
        <v>1.3121749381166103</v>
      </c>
      <c r="AW394" s="1">
        <f t="shared" si="55"/>
        <v>0.98282318943703784</v>
      </c>
    </row>
    <row r="395" spans="1:49" x14ac:dyDescent="0.2">
      <c r="A395">
        <v>393</v>
      </c>
      <c r="B395" t="s">
        <v>5792</v>
      </c>
      <c r="C395" t="s">
        <v>5791</v>
      </c>
      <c r="E395">
        <v>11085637</v>
      </c>
      <c r="F395" t="s">
        <v>5790</v>
      </c>
      <c r="G395" t="s">
        <v>9</v>
      </c>
      <c r="H395" t="s">
        <v>8</v>
      </c>
      <c r="I395" t="s">
        <v>5789</v>
      </c>
      <c r="J395" t="s">
        <v>5788</v>
      </c>
      <c r="K395" t="s">
        <v>5787</v>
      </c>
      <c r="L395" t="s">
        <v>5786</v>
      </c>
      <c r="M395" t="s">
        <v>5785</v>
      </c>
      <c r="N395">
        <v>3</v>
      </c>
      <c r="O395" t="s">
        <v>5784</v>
      </c>
      <c r="P395" t="s">
        <v>5783</v>
      </c>
      <c r="Q395" t="s">
        <v>5782</v>
      </c>
      <c r="R395" s="7">
        <v>36841</v>
      </c>
      <c r="S395" s="8">
        <f t="shared" si="48"/>
        <v>2000</v>
      </c>
      <c r="T395" s="8">
        <v>2000</v>
      </c>
      <c r="U395" s="8">
        <f t="shared" si="49"/>
        <v>22</v>
      </c>
      <c r="V395" s="7">
        <v>2000</v>
      </c>
      <c r="W395" t="s">
        <v>338</v>
      </c>
      <c r="X395" s="2">
        <v>0.8</v>
      </c>
      <c r="Y395" s="6">
        <f t="shared" si="50"/>
        <v>2.1355543098155415E-2</v>
      </c>
      <c r="AA395">
        <v>3407594</v>
      </c>
      <c r="AB395">
        <v>23456</v>
      </c>
      <c r="AD395" t="s">
        <v>3</v>
      </c>
      <c r="AE395">
        <v>186</v>
      </c>
      <c r="AF395">
        <v>9</v>
      </c>
      <c r="AH395" t="s">
        <v>5781</v>
      </c>
      <c r="AI395" t="s">
        <v>5780</v>
      </c>
      <c r="AJ395" t="s">
        <v>5779</v>
      </c>
      <c r="AK395" t="s">
        <v>5778</v>
      </c>
      <c r="AL395">
        <v>46</v>
      </c>
      <c r="AM395" s="5">
        <f t="shared" si="51"/>
        <v>2.0909090909090908</v>
      </c>
      <c r="AN395" s="4">
        <f t="shared" si="52"/>
        <v>3.1668445148187669E-3</v>
      </c>
      <c r="AO395" s="3"/>
      <c r="AP395">
        <v>0</v>
      </c>
      <c r="AQ395" t="s">
        <v>5777</v>
      </c>
      <c r="AR395" t="s">
        <v>5776</v>
      </c>
      <c r="AS395" t="s">
        <v>614</v>
      </c>
      <c r="AT395" s="2" t="s">
        <v>0</v>
      </c>
      <c r="AU395" s="1">
        <f t="shared" si="53"/>
        <v>1.5898933523154419</v>
      </c>
      <c r="AV395" s="1">
        <f t="shared" si="54"/>
        <v>1.2261193806487092</v>
      </c>
      <c r="AW395" s="1">
        <f t="shared" si="55"/>
        <v>0.8623454089819762</v>
      </c>
    </row>
    <row r="396" spans="1:49" x14ac:dyDescent="0.2">
      <c r="A396">
        <v>394</v>
      </c>
      <c r="B396" t="s">
        <v>5775</v>
      </c>
      <c r="C396" t="s">
        <v>5774</v>
      </c>
      <c r="F396" t="s">
        <v>5773</v>
      </c>
      <c r="G396" t="s">
        <v>9</v>
      </c>
      <c r="H396" t="s">
        <v>8</v>
      </c>
      <c r="I396" t="s">
        <v>5772</v>
      </c>
      <c r="J396">
        <v>60032144</v>
      </c>
      <c r="K396" t="s">
        <v>195</v>
      </c>
      <c r="L396" t="s">
        <v>194</v>
      </c>
      <c r="M396" t="s">
        <v>10</v>
      </c>
      <c r="N396">
        <v>2</v>
      </c>
      <c r="O396" t="s">
        <v>5771</v>
      </c>
      <c r="P396" t="s">
        <v>5770</v>
      </c>
      <c r="Q396" t="s">
        <v>193</v>
      </c>
      <c r="R396" s="7">
        <v>36839</v>
      </c>
      <c r="S396" s="8">
        <f t="shared" si="48"/>
        <v>2000</v>
      </c>
      <c r="T396" s="8">
        <v>2000</v>
      </c>
      <c r="U396" s="8">
        <f t="shared" si="49"/>
        <v>22</v>
      </c>
      <c r="V396" s="7">
        <v>36839</v>
      </c>
      <c r="W396" t="s">
        <v>718</v>
      </c>
      <c r="X396" s="2">
        <v>0.375</v>
      </c>
      <c r="Y396" s="6">
        <f t="shared" si="50"/>
        <v>1.0010410827260351E-2</v>
      </c>
      <c r="AA396">
        <v>135194</v>
      </c>
      <c r="AB396">
        <v>24918</v>
      </c>
      <c r="AD396" t="s">
        <v>3</v>
      </c>
      <c r="AE396">
        <v>36</v>
      </c>
      <c r="AF396">
        <v>23</v>
      </c>
      <c r="AH396" t="s">
        <v>5769</v>
      </c>
      <c r="AI396" t="s">
        <v>5768</v>
      </c>
      <c r="AK396" t="s">
        <v>5767</v>
      </c>
      <c r="AL396">
        <v>8</v>
      </c>
      <c r="AM396" s="5">
        <f t="shared" si="51"/>
        <v>0.36363636363636365</v>
      </c>
      <c r="AN396" s="4">
        <f t="shared" si="52"/>
        <v>5.5075556779456819E-4</v>
      </c>
      <c r="AO396" s="3"/>
      <c r="AP396">
        <v>0</v>
      </c>
      <c r="AR396" t="s">
        <v>1</v>
      </c>
      <c r="AT396" s="2">
        <v>1.3140000000000001</v>
      </c>
      <c r="AU396" s="1">
        <f t="shared" si="53"/>
        <v>0.71725142494206162</v>
      </c>
      <c r="AV396" s="1">
        <f t="shared" si="54"/>
        <v>0.52805831975274597</v>
      </c>
      <c r="AW396" s="1">
        <f t="shared" si="55"/>
        <v>0.33886521456343033</v>
      </c>
    </row>
    <row r="397" spans="1:49" x14ac:dyDescent="0.2">
      <c r="A397">
        <v>395</v>
      </c>
      <c r="B397" t="s">
        <v>5766</v>
      </c>
      <c r="C397" t="s">
        <v>5765</v>
      </c>
      <c r="F397" t="s">
        <v>5764</v>
      </c>
      <c r="G397" t="s">
        <v>9</v>
      </c>
      <c r="H397" t="s">
        <v>8</v>
      </c>
      <c r="I397" t="s">
        <v>891</v>
      </c>
      <c r="J397">
        <v>60016912</v>
      </c>
      <c r="K397" t="s">
        <v>416</v>
      </c>
      <c r="L397" t="s">
        <v>11</v>
      </c>
      <c r="M397" t="s">
        <v>10</v>
      </c>
      <c r="N397">
        <v>3</v>
      </c>
      <c r="O397" t="s">
        <v>5763</v>
      </c>
      <c r="P397" t="s">
        <v>5762</v>
      </c>
      <c r="Q397" t="s">
        <v>5761</v>
      </c>
      <c r="R397" s="7">
        <v>36839</v>
      </c>
      <c r="S397" s="8">
        <f t="shared" si="48"/>
        <v>2000</v>
      </c>
      <c r="T397" s="8">
        <v>2000</v>
      </c>
      <c r="U397" s="8">
        <f t="shared" si="49"/>
        <v>22</v>
      </c>
      <c r="V397" s="7">
        <v>36839</v>
      </c>
      <c r="W397" t="s">
        <v>718</v>
      </c>
      <c r="X397" s="2">
        <v>0.375</v>
      </c>
      <c r="Y397" s="6">
        <f t="shared" si="50"/>
        <v>1.0010410827260351E-2</v>
      </c>
      <c r="AA397">
        <v>135194</v>
      </c>
      <c r="AB397">
        <v>24918</v>
      </c>
      <c r="AD397" t="s">
        <v>3</v>
      </c>
      <c r="AE397">
        <v>36</v>
      </c>
      <c r="AF397">
        <v>23</v>
      </c>
      <c r="AH397" t="s">
        <v>5760</v>
      </c>
      <c r="AI397" t="s">
        <v>5759</v>
      </c>
      <c r="AK397" t="s">
        <v>5758</v>
      </c>
      <c r="AL397">
        <v>4</v>
      </c>
      <c r="AM397" s="5">
        <f t="shared" si="51"/>
        <v>0.18181818181818182</v>
      </c>
      <c r="AN397" s="4">
        <f t="shared" si="52"/>
        <v>2.753777838972841E-4</v>
      </c>
      <c r="AO397" s="3"/>
      <c r="AP397">
        <v>0</v>
      </c>
      <c r="AR397" t="s">
        <v>1</v>
      </c>
      <c r="AT397" s="2">
        <v>1.3140000000000001</v>
      </c>
      <c r="AU397" s="1">
        <f t="shared" si="53"/>
        <v>0.70899009142514313</v>
      </c>
      <c r="AV397" s="1">
        <f t="shared" si="54"/>
        <v>0.51428943055788179</v>
      </c>
      <c r="AW397" s="1">
        <f t="shared" si="55"/>
        <v>0.31958876969062039</v>
      </c>
    </row>
    <row r="398" spans="1:49" x14ac:dyDescent="0.2">
      <c r="A398">
        <v>396</v>
      </c>
      <c r="B398" t="s">
        <v>5757</v>
      </c>
      <c r="C398" t="s">
        <v>5756</v>
      </c>
      <c r="F398" t="s">
        <v>5755</v>
      </c>
      <c r="G398" t="s">
        <v>9</v>
      </c>
      <c r="H398" t="s">
        <v>8</v>
      </c>
      <c r="I398" t="s">
        <v>5754</v>
      </c>
      <c r="J398">
        <v>60032315</v>
      </c>
      <c r="K398" t="s">
        <v>85</v>
      </c>
      <c r="L398" t="s">
        <v>84</v>
      </c>
      <c r="M398" t="s">
        <v>43</v>
      </c>
      <c r="N398">
        <v>3</v>
      </c>
      <c r="O398" t="s">
        <v>5753</v>
      </c>
      <c r="P398" t="s">
        <v>5752</v>
      </c>
      <c r="Q398" t="s">
        <v>5751</v>
      </c>
      <c r="R398" s="7">
        <v>36839</v>
      </c>
      <c r="S398" s="8">
        <f t="shared" si="48"/>
        <v>2000</v>
      </c>
      <c r="T398" s="8">
        <v>2000</v>
      </c>
      <c r="U398" s="8">
        <f t="shared" si="49"/>
        <v>22</v>
      </c>
      <c r="V398" s="7">
        <v>36839</v>
      </c>
      <c r="W398" t="s">
        <v>718</v>
      </c>
      <c r="X398" s="2">
        <v>0.375</v>
      </c>
      <c r="Y398" s="6">
        <f t="shared" si="50"/>
        <v>1.0010410827260351E-2</v>
      </c>
      <c r="AA398">
        <v>135194</v>
      </c>
      <c r="AB398">
        <v>24918</v>
      </c>
      <c r="AD398" t="s">
        <v>3</v>
      </c>
      <c r="AE398">
        <v>36</v>
      </c>
      <c r="AF398">
        <v>23</v>
      </c>
      <c r="AH398" t="s">
        <v>5750</v>
      </c>
      <c r="AI398" t="s">
        <v>5749</v>
      </c>
      <c r="AK398" t="s">
        <v>5748</v>
      </c>
      <c r="AL398">
        <v>1</v>
      </c>
      <c r="AM398" s="5">
        <f t="shared" si="51"/>
        <v>4.5454545454545456E-2</v>
      </c>
      <c r="AN398" s="4">
        <f t="shared" si="52"/>
        <v>6.8844445974321024E-5</v>
      </c>
      <c r="AO398" s="3"/>
      <c r="AP398">
        <v>0</v>
      </c>
      <c r="AR398" t="s">
        <v>1</v>
      </c>
      <c r="AT398" s="2">
        <v>1.3140000000000001</v>
      </c>
      <c r="AU398" s="1">
        <f t="shared" si="53"/>
        <v>0.70279409128745418</v>
      </c>
      <c r="AV398" s="1">
        <f t="shared" si="54"/>
        <v>0.50396276366173354</v>
      </c>
      <c r="AW398" s="1">
        <f t="shared" si="55"/>
        <v>0.305131436036013</v>
      </c>
    </row>
    <row r="399" spans="1:49" x14ac:dyDescent="0.2">
      <c r="A399">
        <v>397</v>
      </c>
      <c r="B399" t="s">
        <v>5747</v>
      </c>
      <c r="C399" t="s">
        <v>5746</v>
      </c>
      <c r="F399" t="s">
        <v>5745</v>
      </c>
      <c r="G399" t="s">
        <v>9</v>
      </c>
      <c r="H399" t="s">
        <v>8</v>
      </c>
      <c r="I399" t="s">
        <v>5744</v>
      </c>
      <c r="J399">
        <v>60021097</v>
      </c>
      <c r="K399" t="s">
        <v>2383</v>
      </c>
      <c r="L399" t="s">
        <v>2382</v>
      </c>
      <c r="M399" t="s">
        <v>87</v>
      </c>
      <c r="N399">
        <v>2</v>
      </c>
      <c r="O399" t="s">
        <v>5743</v>
      </c>
      <c r="P399" t="s">
        <v>5742</v>
      </c>
      <c r="Q399" t="s">
        <v>5741</v>
      </c>
      <c r="R399" s="7">
        <v>36839</v>
      </c>
      <c r="S399" s="8">
        <f t="shared" si="48"/>
        <v>2000</v>
      </c>
      <c r="T399" s="8">
        <v>2000</v>
      </c>
      <c r="U399" s="8">
        <f t="shared" si="49"/>
        <v>22</v>
      </c>
      <c r="V399" s="7">
        <v>36839</v>
      </c>
      <c r="W399" t="s">
        <v>718</v>
      </c>
      <c r="X399" s="2">
        <v>0.375</v>
      </c>
      <c r="Y399" s="6">
        <f t="shared" si="50"/>
        <v>1.0010410827260351E-2</v>
      </c>
      <c r="AA399">
        <v>135194</v>
      </c>
      <c r="AB399">
        <v>24918</v>
      </c>
      <c r="AD399" t="s">
        <v>3</v>
      </c>
      <c r="AE399">
        <v>36</v>
      </c>
      <c r="AF399">
        <v>23</v>
      </c>
      <c r="AH399" t="s">
        <v>5740</v>
      </c>
      <c r="AI399" t="s">
        <v>5739</v>
      </c>
      <c r="AK399" t="s">
        <v>5738</v>
      </c>
      <c r="AL399">
        <v>0</v>
      </c>
      <c r="AM399" s="5">
        <f t="shared" si="51"/>
        <v>0</v>
      </c>
      <c r="AN399" s="4">
        <f t="shared" si="52"/>
        <v>0</v>
      </c>
      <c r="AO399" s="3"/>
      <c r="AP399">
        <v>0</v>
      </c>
      <c r="AR399" t="s">
        <v>1</v>
      </c>
      <c r="AT399" s="2">
        <v>1.3140000000000001</v>
      </c>
      <c r="AU399" s="1">
        <f t="shared" si="53"/>
        <v>0.70072875790822453</v>
      </c>
      <c r="AV399" s="1">
        <f t="shared" si="54"/>
        <v>0.5005205413630176</v>
      </c>
      <c r="AW399" s="1">
        <f t="shared" si="55"/>
        <v>0.30031232481781051</v>
      </c>
    </row>
    <row r="400" spans="1:49" x14ac:dyDescent="0.2">
      <c r="A400">
        <v>398</v>
      </c>
      <c r="B400" t="s">
        <v>5737</v>
      </c>
      <c r="C400" t="s">
        <v>5736</v>
      </c>
      <c r="F400" t="s">
        <v>5735</v>
      </c>
      <c r="G400" t="s">
        <v>9</v>
      </c>
      <c r="H400" t="s">
        <v>8</v>
      </c>
      <c r="I400" t="s">
        <v>5734</v>
      </c>
      <c r="J400" t="s">
        <v>5733</v>
      </c>
      <c r="K400" t="s">
        <v>5732</v>
      </c>
      <c r="L400" t="s">
        <v>5731</v>
      </c>
      <c r="M400" t="s">
        <v>168</v>
      </c>
      <c r="N400">
        <v>5</v>
      </c>
      <c r="O400" t="s">
        <v>5730</v>
      </c>
      <c r="P400" t="s">
        <v>5729</v>
      </c>
      <c r="Q400" t="s">
        <v>5728</v>
      </c>
      <c r="R400" s="7">
        <v>36836</v>
      </c>
      <c r="S400" s="8">
        <f t="shared" si="48"/>
        <v>2000</v>
      </c>
      <c r="T400" s="8">
        <v>2000</v>
      </c>
      <c r="U400" s="8">
        <f t="shared" si="49"/>
        <v>22</v>
      </c>
      <c r="V400" s="7">
        <v>36836</v>
      </c>
      <c r="W400" t="s">
        <v>803</v>
      </c>
      <c r="X400" s="2">
        <v>1.1819999999999999</v>
      </c>
      <c r="Y400" s="6">
        <f t="shared" si="50"/>
        <v>3.1552814927524625E-2</v>
      </c>
      <c r="AA400">
        <v>36951</v>
      </c>
      <c r="AB400">
        <v>27030</v>
      </c>
      <c r="AD400" t="s">
        <v>3</v>
      </c>
      <c r="AE400">
        <v>77</v>
      </c>
      <c r="AF400">
        <v>19</v>
      </c>
      <c r="AH400" t="s">
        <v>5727</v>
      </c>
      <c r="AI400" t="s">
        <v>5726</v>
      </c>
      <c r="AK400" t="s">
        <v>5725</v>
      </c>
      <c r="AL400">
        <v>21</v>
      </c>
      <c r="AM400" s="5">
        <f t="shared" si="51"/>
        <v>0.95454545454545459</v>
      </c>
      <c r="AN400" s="4">
        <f t="shared" si="52"/>
        <v>1.4457333654607416E-3</v>
      </c>
      <c r="AO400" s="3"/>
      <c r="AP400">
        <v>0</v>
      </c>
      <c r="AR400" t="s">
        <v>1</v>
      </c>
      <c r="AT400" s="2">
        <v>3.7909999999999999</v>
      </c>
      <c r="AU400" s="1">
        <f t="shared" si="53"/>
        <v>2.2520690458905457</v>
      </c>
      <c r="AV400" s="1">
        <f t="shared" si="54"/>
        <v>1.6499274146492684</v>
      </c>
      <c r="AW400" s="1">
        <f t="shared" si="55"/>
        <v>1.0477857834079907</v>
      </c>
    </row>
    <row r="401" spans="1:49" x14ac:dyDescent="0.2">
      <c r="A401">
        <v>399</v>
      </c>
      <c r="B401" t="s">
        <v>5724</v>
      </c>
      <c r="C401" t="s">
        <v>5723</v>
      </c>
      <c r="F401" t="s">
        <v>5722</v>
      </c>
      <c r="G401" t="s">
        <v>9</v>
      </c>
      <c r="H401" t="s">
        <v>8</v>
      </c>
      <c r="I401" t="s">
        <v>5721</v>
      </c>
      <c r="J401">
        <v>101777221</v>
      </c>
      <c r="K401" t="s">
        <v>5720</v>
      </c>
      <c r="L401" t="s">
        <v>178</v>
      </c>
      <c r="M401" t="s">
        <v>177</v>
      </c>
      <c r="N401">
        <v>3</v>
      </c>
      <c r="O401" t="s">
        <v>5719</v>
      </c>
      <c r="P401" t="s">
        <v>5718</v>
      </c>
      <c r="Q401" t="s">
        <v>5717</v>
      </c>
      <c r="R401" s="7">
        <v>36835</v>
      </c>
      <c r="S401" s="8">
        <f t="shared" si="48"/>
        <v>2000</v>
      </c>
      <c r="T401" s="8">
        <v>2000</v>
      </c>
      <c r="U401" s="8">
        <f t="shared" si="49"/>
        <v>22</v>
      </c>
      <c r="V401" s="7">
        <v>36835</v>
      </c>
      <c r="W401" t="s">
        <v>150</v>
      </c>
      <c r="X401" s="2">
        <v>0.30399999999999999</v>
      </c>
      <c r="Y401" s="6">
        <f t="shared" si="50"/>
        <v>8.115106377299057E-3</v>
      </c>
      <c r="AA401">
        <v>8952477</v>
      </c>
      <c r="AB401">
        <v>12250</v>
      </c>
      <c r="AD401" t="s">
        <v>3</v>
      </c>
      <c r="AE401">
        <v>27</v>
      </c>
      <c r="AF401">
        <v>3</v>
      </c>
      <c r="AH401" t="s">
        <v>5716</v>
      </c>
      <c r="AI401" t="s">
        <v>5715</v>
      </c>
      <c r="AK401" t="s">
        <v>5714</v>
      </c>
      <c r="AL401">
        <v>12</v>
      </c>
      <c r="AM401" s="5">
        <f t="shared" si="51"/>
        <v>0.54545454545454541</v>
      </c>
      <c r="AN401" s="4">
        <f t="shared" si="52"/>
        <v>8.2613335169185224E-4</v>
      </c>
      <c r="AO401" s="3"/>
      <c r="AP401">
        <v>0</v>
      </c>
      <c r="AR401" t="s">
        <v>1</v>
      </c>
      <c r="AT401" s="2" t="s">
        <v>0</v>
      </c>
      <c r="AU401" s="1">
        <f t="shared" si="53"/>
        <v>0.5928414469616895</v>
      </c>
      <c r="AV401" s="1">
        <f t="shared" si="54"/>
        <v>0.44706198644954548</v>
      </c>
      <c r="AW401" s="1">
        <f t="shared" si="55"/>
        <v>0.3012825259374014</v>
      </c>
    </row>
    <row r="402" spans="1:49" x14ac:dyDescent="0.2">
      <c r="A402">
        <v>400</v>
      </c>
      <c r="B402" t="s">
        <v>5713</v>
      </c>
      <c r="C402" t="s">
        <v>5712</v>
      </c>
      <c r="F402" t="s">
        <v>5711</v>
      </c>
      <c r="G402" t="s">
        <v>9</v>
      </c>
      <c r="H402" t="s">
        <v>8</v>
      </c>
      <c r="I402" t="s">
        <v>174</v>
      </c>
      <c r="J402">
        <v>60017161</v>
      </c>
      <c r="K402" t="s">
        <v>75</v>
      </c>
      <c r="L402" t="s">
        <v>74</v>
      </c>
      <c r="M402" t="s">
        <v>73</v>
      </c>
      <c r="N402">
        <v>2</v>
      </c>
      <c r="O402" t="s">
        <v>173</v>
      </c>
      <c r="P402" t="s">
        <v>172</v>
      </c>
      <c r="Q402" t="s">
        <v>171</v>
      </c>
      <c r="R402" s="7">
        <v>36835</v>
      </c>
      <c r="S402" s="8">
        <f t="shared" si="48"/>
        <v>2000</v>
      </c>
      <c r="T402" s="8">
        <v>2000</v>
      </c>
      <c r="U402" s="8">
        <f t="shared" si="49"/>
        <v>22</v>
      </c>
      <c r="V402" s="7">
        <v>36835</v>
      </c>
      <c r="W402" t="s">
        <v>150</v>
      </c>
      <c r="X402" s="2">
        <v>0.30399999999999999</v>
      </c>
      <c r="Y402" s="6">
        <f t="shared" si="50"/>
        <v>8.115106377299057E-3</v>
      </c>
      <c r="AA402">
        <v>8952477</v>
      </c>
      <c r="AB402">
        <v>12250</v>
      </c>
      <c r="AD402" t="s">
        <v>3</v>
      </c>
      <c r="AE402">
        <v>27</v>
      </c>
      <c r="AF402">
        <v>3</v>
      </c>
      <c r="AH402" t="s">
        <v>5710</v>
      </c>
      <c r="AI402" t="s">
        <v>5709</v>
      </c>
      <c r="AK402" t="s">
        <v>5708</v>
      </c>
      <c r="AL402">
        <v>26</v>
      </c>
      <c r="AM402" s="5">
        <f t="shared" si="51"/>
        <v>1.1818181818181819</v>
      </c>
      <c r="AN402" s="4">
        <f t="shared" si="52"/>
        <v>1.7899555953323468E-3</v>
      </c>
      <c r="AO402" s="3"/>
      <c r="AP402">
        <v>0</v>
      </c>
      <c r="AR402" t="s">
        <v>1</v>
      </c>
      <c r="AT402" s="2" t="s">
        <v>0</v>
      </c>
      <c r="AU402" s="1">
        <f t="shared" si="53"/>
        <v>0.62175611427090438</v>
      </c>
      <c r="AV402" s="1">
        <f t="shared" si="54"/>
        <v>0.49525309863157019</v>
      </c>
      <c r="AW402" s="1">
        <f t="shared" si="55"/>
        <v>0.36875008299223599</v>
      </c>
    </row>
    <row r="403" spans="1:49" x14ac:dyDescent="0.2">
      <c r="A403">
        <v>401</v>
      </c>
      <c r="B403" t="s">
        <v>5707</v>
      </c>
      <c r="C403" t="s">
        <v>5706</v>
      </c>
      <c r="F403" t="s">
        <v>5705</v>
      </c>
      <c r="G403" t="s">
        <v>9</v>
      </c>
      <c r="H403" t="s">
        <v>8</v>
      </c>
      <c r="I403" t="s">
        <v>5704</v>
      </c>
      <c r="J403">
        <v>60110755</v>
      </c>
      <c r="K403" t="s">
        <v>459</v>
      </c>
      <c r="L403" t="s">
        <v>458</v>
      </c>
      <c r="M403" t="s">
        <v>105</v>
      </c>
      <c r="N403">
        <v>2</v>
      </c>
      <c r="O403" t="s">
        <v>5703</v>
      </c>
      <c r="P403" t="s">
        <v>5702</v>
      </c>
      <c r="Q403" t="s">
        <v>4237</v>
      </c>
      <c r="R403" s="7">
        <v>36835</v>
      </c>
      <c r="S403" s="8">
        <f t="shared" si="48"/>
        <v>2000</v>
      </c>
      <c r="T403" s="8">
        <v>2000</v>
      </c>
      <c r="U403" s="8">
        <f t="shared" si="49"/>
        <v>22</v>
      </c>
      <c r="V403" s="7">
        <v>36835</v>
      </c>
      <c r="W403" t="s">
        <v>150</v>
      </c>
      <c r="X403" s="2">
        <v>0.30399999999999999</v>
      </c>
      <c r="Y403" s="6">
        <f t="shared" si="50"/>
        <v>8.115106377299057E-3</v>
      </c>
      <c r="AA403">
        <v>8952477</v>
      </c>
      <c r="AB403">
        <v>12250</v>
      </c>
      <c r="AD403" t="s">
        <v>3</v>
      </c>
      <c r="AE403">
        <v>27</v>
      </c>
      <c r="AF403">
        <v>3</v>
      </c>
      <c r="AH403" t="s">
        <v>5701</v>
      </c>
      <c r="AI403" t="s">
        <v>5700</v>
      </c>
      <c r="AK403" t="s">
        <v>5699</v>
      </c>
      <c r="AL403">
        <v>1</v>
      </c>
      <c r="AM403" s="5">
        <f t="shared" si="51"/>
        <v>4.5454545454545456E-2</v>
      </c>
      <c r="AN403" s="4">
        <f t="shared" si="52"/>
        <v>6.8844445974321024E-5</v>
      </c>
      <c r="AO403" s="3"/>
      <c r="AP403">
        <v>0</v>
      </c>
      <c r="AR403" t="s">
        <v>1</v>
      </c>
      <c r="AT403" s="2" t="s">
        <v>0</v>
      </c>
      <c r="AU403" s="1">
        <f t="shared" si="53"/>
        <v>0.57012277979016357</v>
      </c>
      <c r="AV403" s="1">
        <f t="shared" si="54"/>
        <v>0.40919754116366885</v>
      </c>
      <c r="AW403" s="1">
        <f t="shared" si="55"/>
        <v>0.24827230253717419</v>
      </c>
    </row>
    <row r="404" spans="1:49" x14ac:dyDescent="0.2">
      <c r="A404">
        <v>402</v>
      </c>
      <c r="B404" t="s">
        <v>5698</v>
      </c>
      <c r="C404" t="s">
        <v>5697</v>
      </c>
      <c r="F404" t="s">
        <v>5696</v>
      </c>
      <c r="G404" t="s">
        <v>9</v>
      </c>
      <c r="H404" t="s">
        <v>8</v>
      </c>
      <c r="I404" t="s">
        <v>5695</v>
      </c>
      <c r="J404">
        <v>60011357</v>
      </c>
      <c r="K404" t="s">
        <v>216</v>
      </c>
      <c r="L404" t="s">
        <v>215</v>
      </c>
      <c r="M404" t="s">
        <v>214</v>
      </c>
      <c r="N404">
        <v>2</v>
      </c>
      <c r="O404" t="s">
        <v>5694</v>
      </c>
      <c r="P404" t="s">
        <v>5693</v>
      </c>
      <c r="Q404" t="s">
        <v>211</v>
      </c>
      <c r="R404" s="7">
        <v>36835</v>
      </c>
      <c r="S404" s="8">
        <f t="shared" si="48"/>
        <v>2000</v>
      </c>
      <c r="T404" s="8">
        <v>2000</v>
      </c>
      <c r="U404" s="8">
        <f t="shared" si="49"/>
        <v>22</v>
      </c>
      <c r="V404" s="7">
        <v>36835</v>
      </c>
      <c r="W404" t="s">
        <v>150</v>
      </c>
      <c r="X404" s="2">
        <v>0.30399999999999999</v>
      </c>
      <c r="Y404" s="6">
        <f t="shared" si="50"/>
        <v>8.115106377299057E-3</v>
      </c>
      <c r="AA404">
        <v>8952477</v>
      </c>
      <c r="AB404">
        <v>12250</v>
      </c>
      <c r="AD404" t="s">
        <v>3</v>
      </c>
      <c r="AE404">
        <v>27</v>
      </c>
      <c r="AF404">
        <v>3</v>
      </c>
      <c r="AH404" t="s">
        <v>462</v>
      </c>
      <c r="AI404" t="s">
        <v>5692</v>
      </c>
      <c r="AJ404" t="s">
        <v>5691</v>
      </c>
      <c r="AK404" t="s">
        <v>5690</v>
      </c>
      <c r="AL404">
        <v>13</v>
      </c>
      <c r="AM404" s="5">
        <f t="shared" si="51"/>
        <v>0.59090909090909094</v>
      </c>
      <c r="AN404" s="4">
        <f t="shared" si="52"/>
        <v>8.9497779766617338E-4</v>
      </c>
      <c r="AO404" s="3"/>
      <c r="AP404">
        <v>0</v>
      </c>
      <c r="AR404" t="s">
        <v>1</v>
      </c>
      <c r="AT404" s="2" t="s">
        <v>0</v>
      </c>
      <c r="AU404" s="1">
        <f t="shared" si="53"/>
        <v>0.59490678034091915</v>
      </c>
      <c r="AV404" s="1">
        <f t="shared" si="54"/>
        <v>0.45050420874826147</v>
      </c>
      <c r="AW404" s="1">
        <f t="shared" si="55"/>
        <v>0.30610163715560385</v>
      </c>
    </row>
    <row r="405" spans="1:49" x14ac:dyDescent="0.2">
      <c r="A405">
        <v>403</v>
      </c>
      <c r="B405" t="s">
        <v>5689</v>
      </c>
      <c r="C405" t="s">
        <v>5688</v>
      </c>
      <c r="F405" t="s">
        <v>5687</v>
      </c>
      <c r="G405" t="s">
        <v>9</v>
      </c>
      <c r="H405" t="s">
        <v>8</v>
      </c>
      <c r="I405" t="s">
        <v>456</v>
      </c>
      <c r="J405">
        <v>60022381</v>
      </c>
      <c r="K405" t="s">
        <v>5686</v>
      </c>
      <c r="L405" t="s">
        <v>479</v>
      </c>
      <c r="M405" t="s">
        <v>191</v>
      </c>
      <c r="N405">
        <v>1</v>
      </c>
      <c r="O405" t="s">
        <v>5685</v>
      </c>
      <c r="P405">
        <v>56023493300</v>
      </c>
      <c r="Q405">
        <v>60022381</v>
      </c>
      <c r="R405" s="7">
        <v>36835</v>
      </c>
      <c r="S405" s="8">
        <f t="shared" si="48"/>
        <v>2000</v>
      </c>
      <c r="T405" s="8">
        <v>2000</v>
      </c>
      <c r="U405" s="8">
        <f t="shared" si="49"/>
        <v>22</v>
      </c>
      <c r="V405" s="7">
        <v>36835</v>
      </c>
      <c r="W405" t="s">
        <v>150</v>
      </c>
      <c r="X405" s="2">
        <v>0.30399999999999999</v>
      </c>
      <c r="Y405" s="6">
        <f t="shared" si="50"/>
        <v>8.115106377299057E-3</v>
      </c>
      <c r="AA405">
        <v>8952477</v>
      </c>
      <c r="AB405">
        <v>12250</v>
      </c>
      <c r="AD405" t="s">
        <v>3</v>
      </c>
      <c r="AE405">
        <v>27</v>
      </c>
      <c r="AF405">
        <v>3</v>
      </c>
      <c r="AH405" t="s">
        <v>5684</v>
      </c>
      <c r="AI405" t="s">
        <v>5683</v>
      </c>
      <c r="AK405" t="s">
        <v>5682</v>
      </c>
      <c r="AL405">
        <v>9</v>
      </c>
      <c r="AM405" s="5">
        <f t="shared" si="51"/>
        <v>0.40909090909090912</v>
      </c>
      <c r="AN405" s="4">
        <f t="shared" si="52"/>
        <v>6.1960001376888923E-4</v>
      </c>
      <c r="AO405" s="3"/>
      <c r="AP405">
        <v>0</v>
      </c>
      <c r="AR405" t="s">
        <v>1</v>
      </c>
      <c r="AT405" s="2" t="s">
        <v>0</v>
      </c>
      <c r="AU405" s="1">
        <f t="shared" si="53"/>
        <v>0.58664544682400055</v>
      </c>
      <c r="AV405" s="1">
        <f t="shared" si="54"/>
        <v>0.43673531955339728</v>
      </c>
      <c r="AW405" s="1">
        <f t="shared" si="55"/>
        <v>0.28682519228279396</v>
      </c>
    </row>
    <row r="406" spans="1:49" x14ac:dyDescent="0.2">
      <c r="A406">
        <v>404</v>
      </c>
      <c r="B406" t="s">
        <v>5681</v>
      </c>
      <c r="C406" t="s">
        <v>5680</v>
      </c>
      <c r="F406" t="s">
        <v>5679</v>
      </c>
      <c r="G406" t="s">
        <v>9</v>
      </c>
      <c r="H406" t="s">
        <v>8</v>
      </c>
      <c r="I406" t="s">
        <v>5678</v>
      </c>
      <c r="J406">
        <v>60031155</v>
      </c>
      <c r="K406" t="s">
        <v>2445</v>
      </c>
      <c r="L406" t="s">
        <v>2444</v>
      </c>
      <c r="M406" t="s">
        <v>357</v>
      </c>
      <c r="N406">
        <v>2</v>
      </c>
      <c r="O406" t="s">
        <v>5677</v>
      </c>
      <c r="P406" t="s">
        <v>5676</v>
      </c>
      <c r="Q406" t="s">
        <v>5675</v>
      </c>
      <c r="R406" s="7">
        <v>36832</v>
      </c>
      <c r="S406" s="8">
        <f t="shared" si="48"/>
        <v>2000</v>
      </c>
      <c r="T406" s="8">
        <v>2000</v>
      </c>
      <c r="U406" s="8">
        <f t="shared" si="49"/>
        <v>22</v>
      </c>
      <c r="V406" s="7">
        <v>36832</v>
      </c>
      <c r="W406" t="s">
        <v>5674</v>
      </c>
      <c r="X406" s="2">
        <v>10.707000000000001</v>
      </c>
      <c r="Y406" s="6">
        <f t="shared" si="50"/>
        <v>0.28581724993993757</v>
      </c>
      <c r="AA406">
        <v>9359648</v>
      </c>
      <c r="AB406">
        <v>19881</v>
      </c>
      <c r="AD406" t="s">
        <v>3</v>
      </c>
      <c r="AE406">
        <v>12</v>
      </c>
      <c r="AF406">
        <v>21</v>
      </c>
      <c r="AH406" t="s">
        <v>5673</v>
      </c>
      <c r="AI406" t="s">
        <v>5672</v>
      </c>
      <c r="AK406" t="s">
        <v>5671</v>
      </c>
      <c r="AL406">
        <v>25</v>
      </c>
      <c r="AM406" s="5">
        <f t="shared" si="51"/>
        <v>1.1363636363636365</v>
      </c>
      <c r="AN406" s="4">
        <f t="shared" si="52"/>
        <v>1.7211111493580257E-3</v>
      </c>
      <c r="AO406" s="3"/>
      <c r="AP406">
        <v>0</v>
      </c>
      <c r="AR406" t="s">
        <v>1</v>
      </c>
      <c r="AT406" s="2">
        <v>30.849</v>
      </c>
      <c r="AU406" s="1">
        <f t="shared" si="53"/>
        <v>20.05884083027637</v>
      </c>
      <c r="AV406" s="1">
        <f t="shared" si="54"/>
        <v>14.376918054464779</v>
      </c>
      <c r="AW406" s="1">
        <f t="shared" si="55"/>
        <v>8.6949952786531899</v>
      </c>
    </row>
    <row r="407" spans="1:49" x14ac:dyDescent="0.2">
      <c r="A407">
        <v>405</v>
      </c>
      <c r="B407" t="s">
        <v>5670</v>
      </c>
      <c r="F407" t="s">
        <v>5669</v>
      </c>
      <c r="G407" t="s">
        <v>9</v>
      </c>
      <c r="H407" t="s">
        <v>8</v>
      </c>
      <c r="I407" t="s">
        <v>5668</v>
      </c>
      <c r="J407" t="s">
        <v>5667</v>
      </c>
      <c r="K407" t="s">
        <v>5666</v>
      </c>
      <c r="L407" t="s">
        <v>367</v>
      </c>
      <c r="M407" t="s">
        <v>5665</v>
      </c>
      <c r="N407">
        <v>5</v>
      </c>
      <c r="O407" t="s">
        <v>5664</v>
      </c>
      <c r="P407" t="s">
        <v>5663</v>
      </c>
      <c r="Q407" t="s">
        <v>5662</v>
      </c>
      <c r="R407" s="7">
        <v>36831</v>
      </c>
      <c r="S407" s="8">
        <f t="shared" si="48"/>
        <v>2000</v>
      </c>
      <c r="T407" s="8">
        <v>2000</v>
      </c>
      <c r="U407" s="8">
        <f t="shared" si="49"/>
        <v>22</v>
      </c>
      <c r="V407" s="7">
        <v>36831</v>
      </c>
      <c r="W407" t="s">
        <v>852</v>
      </c>
      <c r="X407" s="2" t="s">
        <v>0</v>
      </c>
      <c r="Y407" s="6" t="e">
        <f t="shared" si="50"/>
        <v>#VALUE!</v>
      </c>
      <c r="AA407" t="s">
        <v>851</v>
      </c>
      <c r="AB407">
        <v>20050</v>
      </c>
      <c r="AD407" t="s">
        <v>3</v>
      </c>
      <c r="AF407">
        <v>469</v>
      </c>
      <c r="AI407" t="s">
        <v>5661</v>
      </c>
      <c r="AK407" t="s">
        <v>5660</v>
      </c>
      <c r="AL407">
        <v>0</v>
      </c>
      <c r="AM407" s="5">
        <f t="shared" si="51"/>
        <v>0</v>
      </c>
      <c r="AN407" s="4">
        <f t="shared" si="52"/>
        <v>0</v>
      </c>
      <c r="AO407" s="3"/>
      <c r="AP407">
        <v>0</v>
      </c>
      <c r="AR407" t="s">
        <v>1</v>
      </c>
      <c r="AT407" s="2" t="s">
        <v>0</v>
      </c>
      <c r="AU407" s="1" t="e">
        <f t="shared" si="53"/>
        <v>#VALUE!</v>
      </c>
      <c r="AV407" s="1" t="e">
        <f t="shared" si="54"/>
        <v>#VALUE!</v>
      </c>
      <c r="AW407" s="1" t="e">
        <f t="shared" si="55"/>
        <v>#VALUE!</v>
      </c>
    </row>
    <row r="408" spans="1:49" x14ac:dyDescent="0.2">
      <c r="A408">
        <v>406</v>
      </c>
      <c r="B408" t="s">
        <v>5659</v>
      </c>
      <c r="F408" t="s">
        <v>5658</v>
      </c>
      <c r="G408" t="s">
        <v>9</v>
      </c>
      <c r="H408" t="s">
        <v>8</v>
      </c>
      <c r="I408" t="s">
        <v>5657</v>
      </c>
      <c r="J408">
        <v>60012026</v>
      </c>
      <c r="K408" t="s">
        <v>5656</v>
      </c>
      <c r="L408" t="s">
        <v>5655</v>
      </c>
      <c r="M408" t="s">
        <v>5</v>
      </c>
      <c r="N408">
        <v>2</v>
      </c>
      <c r="O408" t="s">
        <v>5654</v>
      </c>
      <c r="P408" t="s">
        <v>5653</v>
      </c>
      <c r="Q408" t="s">
        <v>5652</v>
      </c>
      <c r="R408" s="7">
        <v>36831</v>
      </c>
      <c r="S408" s="8">
        <f t="shared" si="48"/>
        <v>2000</v>
      </c>
      <c r="T408" s="8">
        <v>2000</v>
      </c>
      <c r="U408" s="8">
        <f t="shared" si="49"/>
        <v>22</v>
      </c>
      <c r="V408" s="7">
        <v>36831</v>
      </c>
      <c r="W408" t="s">
        <v>2452</v>
      </c>
      <c r="X408" s="2" t="s">
        <v>0</v>
      </c>
      <c r="Y408" s="6" t="e">
        <f t="shared" si="50"/>
        <v>#VALUE!</v>
      </c>
      <c r="AA408">
        <v>87551985</v>
      </c>
      <c r="AB408">
        <v>12727</v>
      </c>
      <c r="AD408" t="s">
        <v>3</v>
      </c>
      <c r="AE408">
        <v>17</v>
      </c>
      <c r="AF408">
        <v>11</v>
      </c>
      <c r="AI408" t="s">
        <v>5651</v>
      </c>
      <c r="AK408" t="s">
        <v>5650</v>
      </c>
      <c r="AL408">
        <v>0</v>
      </c>
      <c r="AM408" s="5">
        <f t="shared" si="51"/>
        <v>0</v>
      </c>
      <c r="AN408" s="4">
        <f t="shared" si="52"/>
        <v>0</v>
      </c>
      <c r="AO408" s="3"/>
      <c r="AP408">
        <v>0</v>
      </c>
      <c r="AR408" t="s">
        <v>1</v>
      </c>
      <c r="AT408" s="2" t="s">
        <v>0</v>
      </c>
      <c r="AU408" s="1" t="e">
        <f t="shared" si="53"/>
        <v>#VALUE!</v>
      </c>
      <c r="AV408" s="1" t="e">
        <f t="shared" si="54"/>
        <v>#VALUE!</v>
      </c>
      <c r="AW408" s="1" t="e">
        <f t="shared" si="55"/>
        <v>#VALUE!</v>
      </c>
    </row>
    <row r="409" spans="1:49" x14ac:dyDescent="0.2">
      <c r="A409">
        <v>407</v>
      </c>
      <c r="B409" t="s">
        <v>5649</v>
      </c>
      <c r="F409" t="s">
        <v>5648</v>
      </c>
      <c r="G409" t="s">
        <v>9</v>
      </c>
      <c r="H409" t="s">
        <v>8</v>
      </c>
      <c r="I409" t="s">
        <v>5647</v>
      </c>
      <c r="J409" t="s">
        <v>5646</v>
      </c>
      <c r="K409" t="s">
        <v>5645</v>
      </c>
      <c r="L409" t="s">
        <v>5644</v>
      </c>
      <c r="M409" t="s">
        <v>5643</v>
      </c>
      <c r="N409">
        <v>5</v>
      </c>
      <c r="O409" t="s">
        <v>5642</v>
      </c>
      <c r="P409" t="s">
        <v>5641</v>
      </c>
      <c r="Q409" t="s">
        <v>5640</v>
      </c>
      <c r="R409" s="7">
        <v>36831</v>
      </c>
      <c r="S409" s="8">
        <f t="shared" si="48"/>
        <v>2000</v>
      </c>
      <c r="T409" s="8">
        <v>2000</v>
      </c>
      <c r="U409" s="8">
        <f t="shared" si="49"/>
        <v>22</v>
      </c>
      <c r="V409" s="7">
        <v>36831</v>
      </c>
      <c r="W409" t="s">
        <v>5639</v>
      </c>
      <c r="X409" s="2">
        <v>0.20799999999999999</v>
      </c>
      <c r="Y409" s="6">
        <f t="shared" si="50"/>
        <v>5.552441205520408E-3</v>
      </c>
      <c r="AA409">
        <v>10227954</v>
      </c>
      <c r="AB409">
        <v>19021</v>
      </c>
      <c r="AD409" t="s">
        <v>3</v>
      </c>
      <c r="AE409">
        <v>36</v>
      </c>
      <c r="AF409">
        <v>11</v>
      </c>
      <c r="AH409" t="s">
        <v>5638</v>
      </c>
      <c r="AI409" t="s">
        <v>5637</v>
      </c>
      <c r="AK409" t="s">
        <v>5636</v>
      </c>
      <c r="AL409">
        <v>0</v>
      </c>
      <c r="AM409" s="5">
        <f t="shared" si="51"/>
        <v>0</v>
      </c>
      <c r="AN409" s="4">
        <f t="shared" si="52"/>
        <v>0</v>
      </c>
      <c r="AO409" s="3"/>
      <c r="AP409">
        <v>0</v>
      </c>
      <c r="AR409" t="s">
        <v>1</v>
      </c>
      <c r="AT409" s="2">
        <v>0.58099999999999996</v>
      </c>
      <c r="AU409" s="1">
        <f t="shared" si="53"/>
        <v>0.38867088438642855</v>
      </c>
      <c r="AV409" s="1">
        <f t="shared" si="54"/>
        <v>0.27762206027602038</v>
      </c>
      <c r="AW409" s="1">
        <f t="shared" si="55"/>
        <v>0.16657323616561223</v>
      </c>
    </row>
    <row r="410" spans="1:49" x14ac:dyDescent="0.2">
      <c r="A410">
        <v>408</v>
      </c>
      <c r="B410" t="s">
        <v>5635</v>
      </c>
      <c r="F410" t="s">
        <v>5634</v>
      </c>
      <c r="G410" t="s">
        <v>9</v>
      </c>
      <c r="H410" t="s">
        <v>8</v>
      </c>
      <c r="I410" t="s">
        <v>5633</v>
      </c>
      <c r="J410">
        <v>60104665</v>
      </c>
      <c r="K410" t="s">
        <v>5632</v>
      </c>
      <c r="L410" t="s">
        <v>5631</v>
      </c>
      <c r="M410" t="s">
        <v>105</v>
      </c>
      <c r="N410">
        <v>3</v>
      </c>
      <c r="O410" t="s">
        <v>5630</v>
      </c>
      <c r="P410" t="s">
        <v>5629</v>
      </c>
      <c r="Q410" t="s">
        <v>5628</v>
      </c>
      <c r="R410" s="7">
        <v>36831</v>
      </c>
      <c r="S410" s="8">
        <f t="shared" si="48"/>
        <v>2000</v>
      </c>
      <c r="T410" s="8">
        <v>2000</v>
      </c>
      <c r="U410" s="8">
        <f t="shared" si="49"/>
        <v>22</v>
      </c>
      <c r="V410" s="7">
        <v>36831</v>
      </c>
      <c r="W410" t="s">
        <v>884</v>
      </c>
      <c r="X410" s="2">
        <v>0.33800000000000002</v>
      </c>
      <c r="Y410" s="6">
        <f t="shared" si="50"/>
        <v>9.0227169589706634E-3</v>
      </c>
      <c r="AA410">
        <v>34347</v>
      </c>
      <c r="AB410">
        <v>17722</v>
      </c>
      <c r="AC410">
        <v>19589395</v>
      </c>
      <c r="AD410" t="s">
        <v>3</v>
      </c>
      <c r="AE410">
        <v>55</v>
      </c>
      <c r="AF410" s="10">
        <v>44541</v>
      </c>
      <c r="AH410" t="s">
        <v>5627</v>
      </c>
      <c r="AI410" t="s">
        <v>5626</v>
      </c>
      <c r="AK410" t="s">
        <v>5625</v>
      </c>
      <c r="AL410">
        <v>9</v>
      </c>
      <c r="AM410" s="5">
        <f t="shared" si="51"/>
        <v>0.40909090909090912</v>
      </c>
      <c r="AN410" s="4">
        <f t="shared" si="52"/>
        <v>6.1960001376888923E-4</v>
      </c>
      <c r="AO410" s="3"/>
      <c r="AP410">
        <v>0</v>
      </c>
      <c r="AR410" t="s">
        <v>1</v>
      </c>
      <c r="AT410" s="2" t="s">
        <v>0</v>
      </c>
      <c r="AU410" s="1">
        <f t="shared" si="53"/>
        <v>0.65017818754101309</v>
      </c>
      <c r="AV410" s="1">
        <f t="shared" si="54"/>
        <v>0.4821158486369776</v>
      </c>
      <c r="AW410" s="1">
        <f t="shared" si="55"/>
        <v>0.3140535097329421</v>
      </c>
    </row>
    <row r="411" spans="1:49" x14ac:dyDescent="0.2">
      <c r="A411">
        <v>409</v>
      </c>
      <c r="B411" t="s">
        <v>5624</v>
      </c>
      <c r="C411" t="s">
        <v>5623</v>
      </c>
      <c r="F411" t="s">
        <v>5622</v>
      </c>
      <c r="G411" t="s">
        <v>9</v>
      </c>
      <c r="H411" t="s">
        <v>8</v>
      </c>
      <c r="I411" t="s">
        <v>5621</v>
      </c>
      <c r="J411" t="s">
        <v>5620</v>
      </c>
      <c r="K411" t="s">
        <v>5619</v>
      </c>
      <c r="L411" t="s">
        <v>5618</v>
      </c>
      <c r="M411" t="s">
        <v>5617</v>
      </c>
      <c r="N411">
        <v>5</v>
      </c>
      <c r="O411" t="s">
        <v>5616</v>
      </c>
      <c r="P411" t="s">
        <v>5615</v>
      </c>
      <c r="Q411" t="s">
        <v>5614</v>
      </c>
      <c r="R411" s="7">
        <v>36831</v>
      </c>
      <c r="S411" s="8">
        <f t="shared" si="48"/>
        <v>2000</v>
      </c>
      <c r="T411" s="8">
        <v>2000</v>
      </c>
      <c r="U411" s="8">
        <f t="shared" si="49"/>
        <v>22</v>
      </c>
      <c r="V411" s="7">
        <v>36831</v>
      </c>
      <c r="W411" t="s">
        <v>774</v>
      </c>
      <c r="X411" s="2">
        <v>1.524</v>
      </c>
      <c r="Y411" s="6">
        <f t="shared" si="50"/>
        <v>4.0682309601986065E-2</v>
      </c>
      <c r="AA411">
        <v>1469592</v>
      </c>
      <c r="AB411">
        <v>12863</v>
      </c>
      <c r="AD411" t="s">
        <v>3</v>
      </c>
      <c r="AE411">
        <v>25</v>
      </c>
      <c r="AF411">
        <v>21</v>
      </c>
      <c r="AH411" t="s">
        <v>5613</v>
      </c>
      <c r="AI411" t="s">
        <v>5612</v>
      </c>
      <c r="AK411" t="s">
        <v>5611</v>
      </c>
      <c r="AL411">
        <v>1</v>
      </c>
      <c r="AM411" s="5">
        <f t="shared" si="51"/>
        <v>4.5454545454545456E-2</v>
      </c>
      <c r="AN411" s="4">
        <f t="shared" si="52"/>
        <v>6.8844445974321024E-5</v>
      </c>
      <c r="AO411" s="3"/>
      <c r="AP411">
        <v>0</v>
      </c>
      <c r="AR411" t="s">
        <v>1</v>
      </c>
      <c r="AT411" s="2">
        <v>3.7759999999999998</v>
      </c>
      <c r="AU411" s="1">
        <f t="shared" si="53"/>
        <v>2.8498270055182537</v>
      </c>
      <c r="AV411" s="1">
        <f t="shared" si="54"/>
        <v>2.0375577023980194</v>
      </c>
      <c r="AW411" s="1">
        <f t="shared" si="55"/>
        <v>1.2252883992777845</v>
      </c>
    </row>
    <row r="412" spans="1:49" x14ac:dyDescent="0.2">
      <c r="A412">
        <v>410</v>
      </c>
      <c r="B412" t="s">
        <v>5610</v>
      </c>
      <c r="F412" t="s">
        <v>5609</v>
      </c>
      <c r="G412" t="s">
        <v>9</v>
      </c>
      <c r="H412" t="s">
        <v>8</v>
      </c>
      <c r="I412" t="s">
        <v>5608</v>
      </c>
      <c r="J412">
        <v>100463138</v>
      </c>
      <c r="K412" t="s">
        <v>736</v>
      </c>
      <c r="L412" t="s">
        <v>280</v>
      </c>
      <c r="M412" t="s">
        <v>42</v>
      </c>
      <c r="N412">
        <v>2</v>
      </c>
      <c r="O412" t="s">
        <v>5607</v>
      </c>
      <c r="P412" t="s">
        <v>5606</v>
      </c>
      <c r="Q412" t="s">
        <v>5605</v>
      </c>
      <c r="R412" s="7">
        <v>36831</v>
      </c>
      <c r="S412" s="8">
        <f t="shared" si="48"/>
        <v>2000</v>
      </c>
      <c r="T412" s="8">
        <v>2000</v>
      </c>
      <c r="U412" s="8">
        <f t="shared" si="49"/>
        <v>22</v>
      </c>
      <c r="V412" s="7">
        <v>36831</v>
      </c>
      <c r="W412" t="s">
        <v>639</v>
      </c>
      <c r="X412" s="2">
        <v>0.29499999999999998</v>
      </c>
      <c r="Y412" s="6">
        <f t="shared" si="50"/>
        <v>7.8748565174448087E-3</v>
      </c>
      <c r="AA412">
        <v>10642269</v>
      </c>
      <c r="AB412">
        <v>19554</v>
      </c>
      <c r="AD412" t="s">
        <v>3</v>
      </c>
      <c r="AE412">
        <v>45</v>
      </c>
      <c r="AF412">
        <v>11</v>
      </c>
      <c r="AH412" t="s">
        <v>5604</v>
      </c>
      <c r="AI412" t="s">
        <v>5603</v>
      </c>
      <c r="AK412" t="s">
        <v>5602</v>
      </c>
      <c r="AL412">
        <v>0</v>
      </c>
      <c r="AM412" s="5">
        <f t="shared" si="51"/>
        <v>0</v>
      </c>
      <c r="AN412" s="4">
        <f t="shared" si="52"/>
        <v>0</v>
      </c>
      <c r="AO412" s="3"/>
      <c r="AP412">
        <v>0</v>
      </c>
      <c r="AR412" t="s">
        <v>1</v>
      </c>
      <c r="AT412" s="2" t="s">
        <v>0</v>
      </c>
      <c r="AU412" s="1">
        <f t="shared" si="53"/>
        <v>0.55123995622113653</v>
      </c>
      <c r="AV412" s="1">
        <f t="shared" si="54"/>
        <v>0.39374282587224041</v>
      </c>
      <c r="AW412" s="1">
        <f t="shared" si="55"/>
        <v>0.23624569552334423</v>
      </c>
    </row>
    <row r="413" spans="1:49" x14ac:dyDescent="0.2">
      <c r="A413">
        <v>411</v>
      </c>
      <c r="B413" t="s">
        <v>5601</v>
      </c>
      <c r="F413" t="s">
        <v>5600</v>
      </c>
      <c r="G413" t="s">
        <v>9</v>
      </c>
      <c r="H413" t="s">
        <v>8</v>
      </c>
      <c r="I413" t="s">
        <v>5599</v>
      </c>
      <c r="J413">
        <v>60013567</v>
      </c>
      <c r="K413" t="s">
        <v>5598</v>
      </c>
      <c r="L413" t="s">
        <v>3851</v>
      </c>
      <c r="M413" t="s">
        <v>5</v>
      </c>
      <c r="N413">
        <v>1</v>
      </c>
      <c r="O413" t="s">
        <v>5597</v>
      </c>
      <c r="P413">
        <v>57199859583</v>
      </c>
      <c r="Q413">
        <v>60013567</v>
      </c>
      <c r="R413" s="7">
        <v>36831</v>
      </c>
      <c r="S413" s="8">
        <f t="shared" si="48"/>
        <v>2000</v>
      </c>
      <c r="T413" s="8">
        <v>2000</v>
      </c>
      <c r="U413" s="8">
        <f t="shared" si="49"/>
        <v>22</v>
      </c>
      <c r="V413" s="7">
        <v>36831</v>
      </c>
      <c r="W413" t="s">
        <v>5596</v>
      </c>
      <c r="X413" s="2">
        <v>0.437</v>
      </c>
      <c r="Y413" s="6">
        <f t="shared" si="50"/>
        <v>1.1665465417367396E-2</v>
      </c>
      <c r="AA413">
        <v>15299074</v>
      </c>
      <c r="AB413">
        <v>18794</v>
      </c>
      <c r="AD413" t="s">
        <v>3</v>
      </c>
      <c r="AE413">
        <v>41</v>
      </c>
      <c r="AF413">
        <v>6</v>
      </c>
      <c r="AH413" t="s">
        <v>5595</v>
      </c>
      <c r="AI413" t="s">
        <v>5594</v>
      </c>
      <c r="AK413" t="s">
        <v>5593</v>
      </c>
      <c r="AL413">
        <v>5</v>
      </c>
      <c r="AM413" s="5">
        <f t="shared" si="51"/>
        <v>0.22727272727272727</v>
      </c>
      <c r="AN413" s="4">
        <f t="shared" si="52"/>
        <v>3.4422222987160508E-4</v>
      </c>
      <c r="AO413" s="3"/>
      <c r="AP413">
        <v>0</v>
      </c>
      <c r="AR413" t="s">
        <v>1</v>
      </c>
      <c r="AT413" s="2">
        <v>1.044</v>
      </c>
      <c r="AU413" s="1">
        <f t="shared" si="53"/>
        <v>0.82690924611186578</v>
      </c>
      <c r="AV413" s="1">
        <f t="shared" si="54"/>
        <v>0.60048438236195001</v>
      </c>
      <c r="AW413" s="1">
        <f t="shared" si="55"/>
        <v>0.37405951861203424</v>
      </c>
    </row>
    <row r="414" spans="1:49" x14ac:dyDescent="0.2">
      <c r="A414">
        <v>412</v>
      </c>
      <c r="B414" t="s">
        <v>5592</v>
      </c>
      <c r="C414" t="s">
        <v>5591</v>
      </c>
      <c r="F414" t="s">
        <v>5590</v>
      </c>
      <c r="G414" t="s">
        <v>9</v>
      </c>
      <c r="H414" t="s">
        <v>8</v>
      </c>
      <c r="I414" t="s">
        <v>388</v>
      </c>
      <c r="J414" t="s">
        <v>387</v>
      </c>
      <c r="K414" t="s">
        <v>386</v>
      </c>
      <c r="L414" t="s">
        <v>385</v>
      </c>
      <c r="M414" t="s">
        <v>384</v>
      </c>
      <c r="N414">
        <v>4</v>
      </c>
      <c r="O414" t="s">
        <v>5589</v>
      </c>
      <c r="P414" t="s">
        <v>5588</v>
      </c>
      <c r="Q414" t="s">
        <v>661</v>
      </c>
      <c r="R414" s="7">
        <v>36831</v>
      </c>
      <c r="S414" s="8">
        <f t="shared" si="48"/>
        <v>2000</v>
      </c>
      <c r="T414" s="8">
        <v>2000</v>
      </c>
      <c r="U414" s="8">
        <f t="shared" si="49"/>
        <v>22</v>
      </c>
      <c r="V414" s="7">
        <v>36831</v>
      </c>
      <c r="W414" t="s">
        <v>463</v>
      </c>
      <c r="X414" s="2">
        <v>0.251</v>
      </c>
      <c r="Y414" s="6">
        <f t="shared" si="50"/>
        <v>6.7003016470462617E-3</v>
      </c>
      <c r="AA414">
        <v>207217</v>
      </c>
      <c r="AB414">
        <v>26145</v>
      </c>
      <c r="AD414" t="s">
        <v>3</v>
      </c>
      <c r="AE414">
        <v>87</v>
      </c>
      <c r="AF414">
        <v>11</v>
      </c>
      <c r="AH414" t="s">
        <v>5587</v>
      </c>
      <c r="AI414" t="s">
        <v>5586</v>
      </c>
      <c r="AK414" t="s">
        <v>5585</v>
      </c>
      <c r="AL414">
        <v>4</v>
      </c>
      <c r="AM414" s="5">
        <f t="shared" si="51"/>
        <v>0.18181818181818182</v>
      </c>
      <c r="AN414" s="4">
        <f t="shared" si="52"/>
        <v>2.753777838972841E-4</v>
      </c>
      <c r="AO414" s="3"/>
      <c r="AP414">
        <v>0</v>
      </c>
      <c r="AR414" t="s">
        <v>1</v>
      </c>
      <c r="AT414" s="2">
        <v>1.3360000000000001</v>
      </c>
      <c r="AU414" s="1">
        <f t="shared" si="53"/>
        <v>0.4772824488101568</v>
      </c>
      <c r="AV414" s="1">
        <f t="shared" si="54"/>
        <v>0.34878397154717727</v>
      </c>
      <c r="AW414" s="1">
        <f t="shared" si="55"/>
        <v>0.22028549428419769</v>
      </c>
    </row>
    <row r="415" spans="1:49" x14ac:dyDescent="0.2">
      <c r="A415">
        <v>413</v>
      </c>
      <c r="B415" t="s">
        <v>5584</v>
      </c>
      <c r="C415" t="s">
        <v>5583</v>
      </c>
      <c r="D415" t="s">
        <v>5582</v>
      </c>
      <c r="E415">
        <v>11077744</v>
      </c>
      <c r="F415" t="s">
        <v>5581</v>
      </c>
      <c r="G415" t="s">
        <v>9</v>
      </c>
      <c r="H415" t="s">
        <v>8</v>
      </c>
      <c r="I415" t="s">
        <v>807</v>
      </c>
      <c r="J415">
        <v>60023691</v>
      </c>
      <c r="K415" t="s">
        <v>5580</v>
      </c>
      <c r="L415" t="s">
        <v>5579</v>
      </c>
      <c r="M415" t="s">
        <v>5</v>
      </c>
      <c r="N415">
        <v>3</v>
      </c>
      <c r="O415" t="s">
        <v>5578</v>
      </c>
      <c r="P415" t="s">
        <v>806</v>
      </c>
      <c r="Q415" t="s">
        <v>5577</v>
      </c>
      <c r="R415" s="7">
        <v>36831</v>
      </c>
      <c r="S415" s="8">
        <f t="shared" si="48"/>
        <v>2000</v>
      </c>
      <c r="T415" s="8">
        <v>2000</v>
      </c>
      <c r="U415" s="8">
        <f t="shared" si="49"/>
        <v>22</v>
      </c>
      <c r="V415" s="7">
        <v>36831</v>
      </c>
      <c r="W415" t="s">
        <v>5576</v>
      </c>
      <c r="X415" s="2">
        <v>1.1479999999999999</v>
      </c>
      <c r="Y415" s="6">
        <f t="shared" si="50"/>
        <v>3.0645204345853019E-2</v>
      </c>
      <c r="AA415">
        <v>189294</v>
      </c>
      <c r="AB415">
        <v>16318</v>
      </c>
      <c r="AD415" t="s">
        <v>3</v>
      </c>
      <c r="AE415">
        <v>47</v>
      </c>
      <c r="AF415">
        <v>11</v>
      </c>
      <c r="AH415" t="s">
        <v>5575</v>
      </c>
      <c r="AI415" t="s">
        <v>5574</v>
      </c>
      <c r="AJ415" t="s">
        <v>5573</v>
      </c>
      <c r="AK415" t="s">
        <v>5572</v>
      </c>
      <c r="AL415">
        <v>65</v>
      </c>
      <c r="AM415" s="5">
        <f t="shared" si="51"/>
        <v>2.9545454545454546</v>
      </c>
      <c r="AN415" s="4">
        <f t="shared" si="52"/>
        <v>4.4748889883308666E-3</v>
      </c>
      <c r="AO415" s="3"/>
      <c r="AP415">
        <v>0</v>
      </c>
      <c r="AQ415" t="s">
        <v>5571</v>
      </c>
      <c r="AR415" t="s">
        <v>5570</v>
      </c>
      <c r="AS415" t="s">
        <v>5569</v>
      </c>
      <c r="AT415" s="2" t="s">
        <v>0</v>
      </c>
      <c r="AU415" s="1">
        <f t="shared" si="53"/>
        <v>2.2794109738596373</v>
      </c>
      <c r="AV415" s="1">
        <f t="shared" si="54"/>
        <v>1.7560046667091944</v>
      </c>
      <c r="AW415" s="1">
        <f t="shared" si="55"/>
        <v>1.2325983595587513</v>
      </c>
    </row>
    <row r="416" spans="1:49" x14ac:dyDescent="0.2">
      <c r="A416">
        <v>414</v>
      </c>
      <c r="B416" t="s">
        <v>5568</v>
      </c>
      <c r="C416" t="s">
        <v>5567</v>
      </c>
      <c r="F416" t="s">
        <v>5566</v>
      </c>
      <c r="G416" t="s">
        <v>9</v>
      </c>
      <c r="H416" t="s">
        <v>8</v>
      </c>
      <c r="I416" t="s">
        <v>25</v>
      </c>
      <c r="J416">
        <v>60032398</v>
      </c>
      <c r="K416" t="s">
        <v>24</v>
      </c>
      <c r="L416" t="s">
        <v>23</v>
      </c>
      <c r="M416" t="s">
        <v>22</v>
      </c>
      <c r="N416">
        <v>2</v>
      </c>
      <c r="O416" t="s">
        <v>5565</v>
      </c>
      <c r="P416" t="s">
        <v>21</v>
      </c>
      <c r="Q416" t="s">
        <v>20</v>
      </c>
      <c r="R416" s="7">
        <v>36831</v>
      </c>
      <c r="S416" s="8">
        <f t="shared" si="48"/>
        <v>2000</v>
      </c>
      <c r="T416" s="8">
        <v>2000</v>
      </c>
      <c r="U416" s="8">
        <f t="shared" si="49"/>
        <v>22</v>
      </c>
      <c r="V416" s="7">
        <v>36831</v>
      </c>
      <c r="W416" t="s">
        <v>5564</v>
      </c>
      <c r="X416" s="2">
        <v>1.0529999999999999</v>
      </c>
      <c r="Y416" s="6">
        <f t="shared" si="50"/>
        <v>2.8109233602947065E-2</v>
      </c>
      <c r="AA416">
        <v>14639076</v>
      </c>
      <c r="AB416">
        <v>27011</v>
      </c>
      <c r="AD416" t="s">
        <v>3</v>
      </c>
      <c r="AE416">
        <v>2</v>
      </c>
      <c r="AF416">
        <v>21</v>
      </c>
      <c r="AH416" t="s">
        <v>5563</v>
      </c>
      <c r="AI416" t="s">
        <v>5562</v>
      </c>
      <c r="AK416" t="s">
        <v>5561</v>
      </c>
      <c r="AL416">
        <v>55</v>
      </c>
      <c r="AM416" s="5">
        <f t="shared" si="51"/>
        <v>2.5</v>
      </c>
      <c r="AN416" s="4">
        <f t="shared" si="52"/>
        <v>3.7864445285876562E-3</v>
      </c>
      <c r="AO416" s="3"/>
      <c r="AP416">
        <v>0</v>
      </c>
      <c r="AR416" t="s">
        <v>1</v>
      </c>
      <c r="AT416" s="2">
        <v>3.6760000000000002</v>
      </c>
      <c r="AU416" s="1">
        <f t="shared" si="53"/>
        <v>2.0812396880639241</v>
      </c>
      <c r="AV416" s="1">
        <f t="shared" si="54"/>
        <v>1.5947839065767362</v>
      </c>
      <c r="AW416" s="1">
        <f t="shared" si="55"/>
        <v>1.1083281250895478</v>
      </c>
    </row>
    <row r="417" spans="1:49" x14ac:dyDescent="0.2">
      <c r="A417">
        <v>415</v>
      </c>
      <c r="B417" t="s">
        <v>5560</v>
      </c>
      <c r="F417" t="s">
        <v>5559</v>
      </c>
      <c r="G417" t="s">
        <v>9</v>
      </c>
      <c r="H417" t="s">
        <v>8</v>
      </c>
      <c r="I417" t="s">
        <v>5558</v>
      </c>
      <c r="J417">
        <v>60101699</v>
      </c>
      <c r="K417" t="s">
        <v>165</v>
      </c>
      <c r="L417" t="s">
        <v>163</v>
      </c>
      <c r="M417" t="s">
        <v>43</v>
      </c>
      <c r="N417">
        <v>3</v>
      </c>
      <c r="O417" t="s">
        <v>5557</v>
      </c>
      <c r="P417" t="s">
        <v>5556</v>
      </c>
      <c r="Q417" t="s">
        <v>5555</v>
      </c>
      <c r="R417" s="7">
        <v>36831</v>
      </c>
      <c r="S417" s="8">
        <f t="shared" si="48"/>
        <v>2000</v>
      </c>
      <c r="T417" s="8">
        <v>2000</v>
      </c>
      <c r="U417" s="8">
        <f t="shared" si="49"/>
        <v>22</v>
      </c>
      <c r="V417" s="7">
        <v>36831</v>
      </c>
      <c r="W417" t="s">
        <v>79</v>
      </c>
      <c r="X417" s="2">
        <v>0.182</v>
      </c>
      <c r="Y417" s="6">
        <f t="shared" si="50"/>
        <v>4.8583860548303574E-3</v>
      </c>
      <c r="AA417">
        <v>9168524</v>
      </c>
      <c r="AB417">
        <v>26075</v>
      </c>
      <c r="AD417" t="s">
        <v>3</v>
      </c>
      <c r="AE417" t="s">
        <v>78</v>
      </c>
      <c r="AF417">
        <v>11</v>
      </c>
      <c r="AH417" t="s">
        <v>5554</v>
      </c>
      <c r="AI417" t="s">
        <v>5553</v>
      </c>
      <c r="AK417" t="s">
        <v>5552</v>
      </c>
      <c r="AL417">
        <v>0</v>
      </c>
      <c r="AM417" s="5">
        <f t="shared" si="51"/>
        <v>0</v>
      </c>
      <c r="AN417" s="4">
        <f t="shared" si="52"/>
        <v>0</v>
      </c>
      <c r="AO417" s="3"/>
      <c r="AP417">
        <v>0</v>
      </c>
      <c r="AR417" t="s">
        <v>1</v>
      </c>
      <c r="AT417" s="2">
        <v>0.35199999999999998</v>
      </c>
      <c r="AU417" s="1">
        <f t="shared" si="53"/>
        <v>0.340087023838125</v>
      </c>
      <c r="AV417" s="1">
        <f t="shared" si="54"/>
        <v>0.24291930274151788</v>
      </c>
      <c r="AW417" s="1">
        <f t="shared" si="55"/>
        <v>0.14575158164491073</v>
      </c>
    </row>
    <row r="418" spans="1:49" x14ac:dyDescent="0.2">
      <c r="A418">
        <v>416</v>
      </c>
      <c r="B418" t="s">
        <v>5551</v>
      </c>
      <c r="C418" t="s">
        <v>5550</v>
      </c>
      <c r="F418" t="s">
        <v>5549</v>
      </c>
      <c r="G418" t="s">
        <v>9</v>
      </c>
      <c r="H418" t="s">
        <v>8</v>
      </c>
      <c r="I418" t="s">
        <v>5548</v>
      </c>
      <c r="J418" t="s">
        <v>5547</v>
      </c>
      <c r="K418" t="s">
        <v>5546</v>
      </c>
      <c r="L418" t="s">
        <v>5545</v>
      </c>
      <c r="M418" t="s">
        <v>5544</v>
      </c>
      <c r="N418">
        <v>3</v>
      </c>
      <c r="O418" t="s">
        <v>5543</v>
      </c>
      <c r="P418" t="s">
        <v>5542</v>
      </c>
      <c r="Q418" t="s">
        <v>5541</v>
      </c>
      <c r="R418" s="7">
        <v>36831</v>
      </c>
      <c r="S418" s="8">
        <f t="shared" si="48"/>
        <v>2000</v>
      </c>
      <c r="T418" s="8">
        <v>2000</v>
      </c>
      <c r="U418" s="8">
        <f t="shared" si="49"/>
        <v>22</v>
      </c>
      <c r="V418" s="7">
        <v>36831</v>
      </c>
      <c r="W418" t="s">
        <v>180</v>
      </c>
      <c r="X418" s="2">
        <v>0.30199999999999999</v>
      </c>
      <c r="Y418" s="6">
        <f t="shared" si="50"/>
        <v>8.0617175195536687E-3</v>
      </c>
      <c r="AA418">
        <v>9296212</v>
      </c>
      <c r="AB418">
        <v>20725</v>
      </c>
      <c r="AD418" t="s">
        <v>3</v>
      </c>
      <c r="AE418">
        <v>15</v>
      </c>
      <c r="AF418">
        <v>2</v>
      </c>
      <c r="AH418" t="s">
        <v>5540</v>
      </c>
      <c r="AI418" t="s">
        <v>5539</v>
      </c>
      <c r="AK418" t="s">
        <v>5538</v>
      </c>
      <c r="AL418">
        <v>0</v>
      </c>
      <c r="AM418" s="5">
        <f t="shared" si="51"/>
        <v>0</v>
      </c>
      <c r="AN418" s="4">
        <f t="shared" si="52"/>
        <v>0</v>
      </c>
      <c r="AO418" s="3"/>
      <c r="AP418">
        <v>0</v>
      </c>
      <c r="AQ418" t="s">
        <v>15</v>
      </c>
      <c r="AR418" t="s">
        <v>1</v>
      </c>
      <c r="AS418" t="s">
        <v>14</v>
      </c>
      <c r="AT418" s="2">
        <v>1.671</v>
      </c>
      <c r="AU418" s="1">
        <f t="shared" si="53"/>
        <v>0.56432022636875678</v>
      </c>
      <c r="AV418" s="1">
        <f t="shared" si="54"/>
        <v>0.40308587597768342</v>
      </c>
      <c r="AW418" s="1">
        <f t="shared" si="55"/>
        <v>0.24185152558661005</v>
      </c>
    </row>
    <row r="419" spans="1:49" x14ac:dyDescent="0.2">
      <c r="A419">
        <v>417</v>
      </c>
      <c r="B419" t="s">
        <v>5537</v>
      </c>
      <c r="F419" t="s">
        <v>5536</v>
      </c>
      <c r="G419" t="s">
        <v>9</v>
      </c>
      <c r="H419" t="s">
        <v>8</v>
      </c>
      <c r="I419" t="s">
        <v>5535</v>
      </c>
      <c r="J419" t="s">
        <v>5534</v>
      </c>
      <c r="K419" t="s">
        <v>5533</v>
      </c>
      <c r="L419" t="s">
        <v>5532</v>
      </c>
      <c r="M419" t="s">
        <v>168</v>
      </c>
      <c r="N419">
        <v>3</v>
      </c>
      <c r="O419" t="s">
        <v>5531</v>
      </c>
      <c r="P419" t="s">
        <v>5530</v>
      </c>
      <c r="Q419" t="s">
        <v>5529</v>
      </c>
      <c r="R419" s="7">
        <v>36831</v>
      </c>
      <c r="S419" s="8">
        <f t="shared" si="48"/>
        <v>2000</v>
      </c>
      <c r="T419" s="8">
        <v>2000</v>
      </c>
      <c r="U419" s="8">
        <f t="shared" si="49"/>
        <v>22</v>
      </c>
      <c r="V419" s="7">
        <v>36831</v>
      </c>
      <c r="W419" t="s">
        <v>79</v>
      </c>
      <c r="X419" s="2">
        <v>0.182</v>
      </c>
      <c r="Y419" s="6">
        <f t="shared" si="50"/>
        <v>4.8583860548303574E-3</v>
      </c>
      <c r="AA419">
        <v>9168524</v>
      </c>
      <c r="AB419">
        <v>26075</v>
      </c>
      <c r="AD419" t="s">
        <v>3</v>
      </c>
      <c r="AE419" t="s">
        <v>78</v>
      </c>
      <c r="AF419">
        <v>11</v>
      </c>
      <c r="AH419" t="s">
        <v>5528</v>
      </c>
      <c r="AI419" t="s">
        <v>5527</v>
      </c>
      <c r="AK419" t="s">
        <v>5526</v>
      </c>
      <c r="AL419">
        <v>1</v>
      </c>
      <c r="AM419" s="5">
        <f t="shared" si="51"/>
        <v>4.5454545454545456E-2</v>
      </c>
      <c r="AN419" s="4">
        <f t="shared" si="52"/>
        <v>6.8844445974321024E-5</v>
      </c>
      <c r="AO419" s="3"/>
      <c r="AP419">
        <v>0</v>
      </c>
      <c r="AR419" t="s">
        <v>1</v>
      </c>
      <c r="AT419" s="2">
        <v>0.35199999999999998</v>
      </c>
      <c r="AU419" s="1">
        <f t="shared" si="53"/>
        <v>0.3421523572173546</v>
      </c>
      <c r="AV419" s="1">
        <f t="shared" si="54"/>
        <v>0.24636152504023393</v>
      </c>
      <c r="AW419" s="1">
        <f t="shared" si="55"/>
        <v>0.1505706928631132</v>
      </c>
    </row>
    <row r="420" spans="1:49" x14ac:dyDescent="0.2">
      <c r="A420">
        <v>418</v>
      </c>
      <c r="B420" t="s">
        <v>5525</v>
      </c>
      <c r="C420" t="s">
        <v>5524</v>
      </c>
      <c r="F420" t="s">
        <v>5523</v>
      </c>
      <c r="G420" t="s">
        <v>9</v>
      </c>
      <c r="H420" t="s">
        <v>8</v>
      </c>
      <c r="I420" t="s">
        <v>5522</v>
      </c>
      <c r="J420">
        <v>60011132</v>
      </c>
      <c r="K420" t="s">
        <v>355</v>
      </c>
      <c r="L420" t="s">
        <v>354</v>
      </c>
      <c r="M420" t="s">
        <v>5</v>
      </c>
      <c r="N420">
        <v>2</v>
      </c>
      <c r="O420" t="s">
        <v>5521</v>
      </c>
      <c r="P420" t="s">
        <v>5520</v>
      </c>
      <c r="Q420" t="s">
        <v>353</v>
      </c>
      <c r="R420" s="7">
        <v>36831</v>
      </c>
      <c r="S420" s="8">
        <f t="shared" si="48"/>
        <v>2000</v>
      </c>
      <c r="T420" s="8">
        <v>2000</v>
      </c>
      <c r="U420" s="8">
        <f t="shared" si="49"/>
        <v>22</v>
      </c>
      <c r="V420" s="7">
        <v>36831</v>
      </c>
      <c r="W420" t="s">
        <v>5519</v>
      </c>
      <c r="X420" s="2" t="s">
        <v>0</v>
      </c>
      <c r="Y420" s="6" t="e">
        <f t="shared" si="50"/>
        <v>#VALUE!</v>
      </c>
      <c r="AA420">
        <v>7412223</v>
      </c>
      <c r="AB420">
        <v>18058</v>
      </c>
      <c r="AD420" t="s">
        <v>3</v>
      </c>
      <c r="AE420">
        <v>17</v>
      </c>
      <c r="AF420">
        <v>11</v>
      </c>
      <c r="AH420" t="s">
        <v>3731</v>
      </c>
      <c r="AI420" t="s">
        <v>5518</v>
      </c>
      <c r="AK420" t="s">
        <v>5517</v>
      </c>
      <c r="AL420">
        <v>23</v>
      </c>
      <c r="AM420" s="5">
        <f t="shared" si="51"/>
        <v>1.0454545454545454</v>
      </c>
      <c r="AN420" s="4">
        <f t="shared" si="52"/>
        <v>1.5834222574093834E-3</v>
      </c>
      <c r="AO420" s="3"/>
      <c r="AP420">
        <v>0</v>
      </c>
      <c r="AR420" t="s">
        <v>1</v>
      </c>
      <c r="AT420" s="2" t="s">
        <v>0</v>
      </c>
      <c r="AU420" s="1" t="e">
        <f t="shared" si="53"/>
        <v>#VALUE!</v>
      </c>
      <c r="AV420" s="1" t="e">
        <f t="shared" si="54"/>
        <v>#VALUE!</v>
      </c>
      <c r="AW420" s="1" t="e">
        <f t="shared" si="55"/>
        <v>#VALUE!</v>
      </c>
    </row>
    <row r="421" spans="1:49" x14ac:dyDescent="0.2">
      <c r="A421">
        <v>419</v>
      </c>
      <c r="B421" t="s">
        <v>5516</v>
      </c>
      <c r="C421" t="s">
        <v>5515</v>
      </c>
      <c r="F421" t="s">
        <v>5514</v>
      </c>
      <c r="G421" t="s">
        <v>9</v>
      </c>
      <c r="H421" t="s">
        <v>8</v>
      </c>
      <c r="I421" t="s">
        <v>5513</v>
      </c>
      <c r="J421">
        <v>60032179</v>
      </c>
      <c r="K421" t="s">
        <v>51</v>
      </c>
      <c r="L421" t="s">
        <v>50</v>
      </c>
      <c r="M421" t="s">
        <v>5</v>
      </c>
      <c r="N421">
        <v>5</v>
      </c>
      <c r="O421" t="s">
        <v>5512</v>
      </c>
      <c r="P421" t="s">
        <v>5511</v>
      </c>
      <c r="Q421" t="s">
        <v>5510</v>
      </c>
      <c r="R421" s="7">
        <v>36831</v>
      </c>
      <c r="S421" s="8">
        <f t="shared" si="48"/>
        <v>2000</v>
      </c>
      <c r="T421" s="8">
        <v>2000</v>
      </c>
      <c r="U421" s="8">
        <f t="shared" si="49"/>
        <v>22</v>
      </c>
      <c r="V421" s="7">
        <v>36831</v>
      </c>
      <c r="W421" t="s">
        <v>735</v>
      </c>
      <c r="X421" s="2">
        <v>0.9</v>
      </c>
      <c r="Y421" s="6">
        <f t="shared" si="50"/>
        <v>2.4024985985424845E-2</v>
      </c>
      <c r="AA421">
        <v>9630252</v>
      </c>
      <c r="AB421">
        <v>29614</v>
      </c>
      <c r="AD421" t="s">
        <v>3</v>
      </c>
      <c r="AE421">
        <v>9</v>
      </c>
      <c r="AF421">
        <v>4</v>
      </c>
      <c r="AH421" t="s">
        <v>5509</v>
      </c>
      <c r="AI421" t="s">
        <v>5508</v>
      </c>
      <c r="AK421" t="s">
        <v>5507</v>
      </c>
      <c r="AL421">
        <v>5</v>
      </c>
      <c r="AM421" s="5">
        <f t="shared" si="51"/>
        <v>0.22727272727272727</v>
      </c>
      <c r="AN421" s="4">
        <f t="shared" si="52"/>
        <v>3.4422222987160508E-4</v>
      </c>
      <c r="AO421" s="3"/>
      <c r="AP421">
        <v>0</v>
      </c>
      <c r="AR421" t="s">
        <v>1</v>
      </c>
      <c r="AT421" s="2" t="s">
        <v>0</v>
      </c>
      <c r="AU421" s="1">
        <f t="shared" si="53"/>
        <v>1.6920756858758872</v>
      </c>
      <c r="AV421" s="1">
        <f t="shared" si="54"/>
        <v>1.2184604107648225</v>
      </c>
      <c r="AW421" s="1">
        <f t="shared" si="55"/>
        <v>0.74484513565375765</v>
      </c>
    </row>
    <row r="422" spans="1:49" x14ac:dyDescent="0.2">
      <c r="A422">
        <v>420</v>
      </c>
      <c r="B422" t="s">
        <v>5506</v>
      </c>
      <c r="C422" t="s">
        <v>5505</v>
      </c>
      <c r="F422" t="s">
        <v>5504</v>
      </c>
      <c r="G422" t="s">
        <v>9</v>
      </c>
      <c r="H422" t="s">
        <v>8</v>
      </c>
      <c r="I422" t="s">
        <v>5503</v>
      </c>
      <c r="J422" t="s">
        <v>5502</v>
      </c>
      <c r="K422" t="s">
        <v>5501</v>
      </c>
      <c r="L422" t="s">
        <v>5500</v>
      </c>
      <c r="M422" t="s">
        <v>5499</v>
      </c>
      <c r="N422">
        <v>2</v>
      </c>
      <c r="O422" t="s">
        <v>5498</v>
      </c>
      <c r="P422" t="s">
        <v>5497</v>
      </c>
      <c r="Q422" t="s">
        <v>5496</v>
      </c>
      <c r="R422" s="7">
        <v>36831</v>
      </c>
      <c r="S422" s="8">
        <f t="shared" si="48"/>
        <v>2000</v>
      </c>
      <c r="T422" s="8">
        <v>2000</v>
      </c>
      <c r="U422" s="8">
        <f t="shared" si="49"/>
        <v>22</v>
      </c>
      <c r="V422" s="7">
        <v>36831</v>
      </c>
      <c r="W422" t="s">
        <v>5495</v>
      </c>
      <c r="X422" s="2" t="s">
        <v>0</v>
      </c>
      <c r="Y422" s="6" t="e">
        <f t="shared" si="50"/>
        <v>#VALUE!</v>
      </c>
      <c r="AA422">
        <v>10636676</v>
      </c>
      <c r="AB422">
        <v>18211</v>
      </c>
      <c r="AD422" t="s">
        <v>3</v>
      </c>
      <c r="AE422">
        <v>8</v>
      </c>
      <c r="AF422">
        <v>6</v>
      </c>
      <c r="AH422" t="s">
        <v>5494</v>
      </c>
      <c r="AI422" t="s">
        <v>5493</v>
      </c>
      <c r="AK422" t="s">
        <v>5492</v>
      </c>
      <c r="AL422">
        <v>6</v>
      </c>
      <c r="AM422" s="5">
        <f t="shared" si="51"/>
        <v>0.27272727272727271</v>
      </c>
      <c r="AN422" s="4">
        <f t="shared" si="52"/>
        <v>4.1306667584592612E-4</v>
      </c>
      <c r="AO422" s="3"/>
      <c r="AP422">
        <v>0</v>
      </c>
      <c r="AQ422" t="s">
        <v>548</v>
      </c>
      <c r="AR422" t="s">
        <v>1</v>
      </c>
      <c r="AS422" t="s">
        <v>547</v>
      </c>
      <c r="AT422" s="2" t="s">
        <v>0</v>
      </c>
      <c r="AU422" s="1" t="e">
        <f t="shared" si="53"/>
        <v>#VALUE!</v>
      </c>
      <c r="AV422" s="1" t="e">
        <f t="shared" si="54"/>
        <v>#VALUE!</v>
      </c>
      <c r="AW422" s="1" t="e">
        <f t="shared" si="55"/>
        <v>#VALUE!</v>
      </c>
    </row>
    <row r="423" spans="1:49" x14ac:dyDescent="0.2">
      <c r="A423">
        <v>421</v>
      </c>
      <c r="B423" t="s">
        <v>5491</v>
      </c>
      <c r="C423" t="s">
        <v>5490</v>
      </c>
      <c r="F423" t="s">
        <v>5489</v>
      </c>
      <c r="G423" t="s">
        <v>9</v>
      </c>
      <c r="H423" t="s">
        <v>8</v>
      </c>
      <c r="I423" t="s">
        <v>5488</v>
      </c>
      <c r="J423">
        <v>60025063</v>
      </c>
      <c r="K423" t="s">
        <v>335</v>
      </c>
      <c r="L423" t="s">
        <v>334</v>
      </c>
      <c r="M423" t="s">
        <v>317</v>
      </c>
      <c r="N423">
        <v>2</v>
      </c>
      <c r="O423" t="s">
        <v>5487</v>
      </c>
      <c r="P423" t="s">
        <v>5486</v>
      </c>
      <c r="Q423" t="s">
        <v>392</v>
      </c>
      <c r="R423" s="7">
        <v>36831</v>
      </c>
      <c r="S423" s="8">
        <f t="shared" si="48"/>
        <v>2000</v>
      </c>
      <c r="T423" s="8">
        <v>2000</v>
      </c>
      <c r="U423" s="8">
        <f t="shared" si="49"/>
        <v>22</v>
      </c>
      <c r="V423" s="7">
        <v>36831</v>
      </c>
      <c r="W423" t="s">
        <v>322</v>
      </c>
      <c r="X423" s="2">
        <v>1.6379999999999999</v>
      </c>
      <c r="Y423" s="6">
        <f t="shared" si="50"/>
        <v>4.3725474493473214E-2</v>
      </c>
      <c r="AA423" t="s">
        <v>321</v>
      </c>
      <c r="AB423">
        <v>17391</v>
      </c>
      <c r="AD423" t="s">
        <v>3</v>
      </c>
      <c r="AE423">
        <v>48</v>
      </c>
      <c r="AF423">
        <v>11</v>
      </c>
      <c r="AH423" t="s">
        <v>5485</v>
      </c>
      <c r="AI423" t="s">
        <v>5484</v>
      </c>
      <c r="AK423" t="s">
        <v>5483</v>
      </c>
      <c r="AL423">
        <v>27</v>
      </c>
      <c r="AM423" s="5">
        <f t="shared" si="51"/>
        <v>1.2272727272727273</v>
      </c>
      <c r="AN423" s="4">
        <f t="shared" si="52"/>
        <v>1.8588000413066676E-3</v>
      </c>
      <c r="AO423" s="3"/>
      <c r="AP423">
        <v>0</v>
      </c>
      <c r="AQ423" t="s">
        <v>5482</v>
      </c>
      <c r="AR423" t="s">
        <v>450</v>
      </c>
      <c r="AS423" t="s">
        <v>5481</v>
      </c>
      <c r="AT423" s="2">
        <v>4.931</v>
      </c>
      <c r="AU423" s="1">
        <f t="shared" si="53"/>
        <v>3.1165472157823246</v>
      </c>
      <c r="AV423" s="1">
        <f t="shared" si="54"/>
        <v>2.2792137267389943</v>
      </c>
      <c r="AW423" s="1">
        <f t="shared" si="55"/>
        <v>1.441880237695663</v>
      </c>
    </row>
    <row r="424" spans="1:49" x14ac:dyDescent="0.2">
      <c r="A424">
        <v>422</v>
      </c>
      <c r="B424" t="s">
        <v>5480</v>
      </c>
      <c r="C424" t="s">
        <v>5479</v>
      </c>
      <c r="F424" t="s">
        <v>5478</v>
      </c>
      <c r="G424" t="s">
        <v>9</v>
      </c>
      <c r="H424" t="s">
        <v>8</v>
      </c>
      <c r="I424" t="s">
        <v>538</v>
      </c>
      <c r="J424" t="s">
        <v>5477</v>
      </c>
      <c r="K424" t="s">
        <v>5476</v>
      </c>
      <c r="L424" t="s">
        <v>5475</v>
      </c>
      <c r="M424" t="s">
        <v>274</v>
      </c>
      <c r="N424">
        <v>1</v>
      </c>
      <c r="O424" t="s">
        <v>619</v>
      </c>
      <c r="P424">
        <v>7501504156</v>
      </c>
      <c r="Q424" t="s">
        <v>5474</v>
      </c>
      <c r="R424" s="7">
        <v>36831</v>
      </c>
      <c r="S424" s="8">
        <f t="shared" si="48"/>
        <v>2000</v>
      </c>
      <c r="T424" s="8">
        <v>2000</v>
      </c>
      <c r="U424" s="8">
        <f t="shared" si="49"/>
        <v>22</v>
      </c>
      <c r="V424" s="7">
        <v>36831</v>
      </c>
      <c r="W424" t="s">
        <v>196</v>
      </c>
      <c r="X424" s="2">
        <v>0.33500000000000002</v>
      </c>
      <c r="Y424" s="6">
        <f t="shared" si="50"/>
        <v>8.94263367235258E-3</v>
      </c>
      <c r="AA424">
        <v>10964290</v>
      </c>
      <c r="AB424">
        <v>18201</v>
      </c>
      <c r="AD424" t="s">
        <v>3</v>
      </c>
      <c r="AE424">
        <v>10</v>
      </c>
      <c r="AF424">
        <v>6</v>
      </c>
      <c r="AH424" t="s">
        <v>5473</v>
      </c>
      <c r="AI424" t="s">
        <v>5472</v>
      </c>
      <c r="AK424" t="s">
        <v>5471</v>
      </c>
      <c r="AL424">
        <v>3</v>
      </c>
      <c r="AM424" s="5">
        <f t="shared" si="51"/>
        <v>0.13636363636363635</v>
      </c>
      <c r="AN424" s="4">
        <f t="shared" si="52"/>
        <v>2.0653333792296306E-4</v>
      </c>
      <c r="AO424" s="3"/>
      <c r="AP424">
        <v>0</v>
      </c>
      <c r="AR424" t="s">
        <v>1</v>
      </c>
      <c r="AT424" s="2">
        <v>1.694</v>
      </c>
      <c r="AU424" s="1">
        <f t="shared" si="53"/>
        <v>0.63218035720236954</v>
      </c>
      <c r="AV424" s="1">
        <f t="shared" si="54"/>
        <v>0.45745835051377709</v>
      </c>
      <c r="AW424" s="1">
        <f t="shared" si="55"/>
        <v>0.28273634382518481</v>
      </c>
    </row>
    <row r="425" spans="1:49" x14ac:dyDescent="0.2">
      <c r="A425">
        <v>423</v>
      </c>
      <c r="B425" t="s">
        <v>5470</v>
      </c>
      <c r="C425" t="s">
        <v>5469</v>
      </c>
      <c r="F425" t="s">
        <v>5468</v>
      </c>
      <c r="G425" t="s">
        <v>9</v>
      </c>
      <c r="H425" t="s">
        <v>8</v>
      </c>
      <c r="I425" t="s">
        <v>5467</v>
      </c>
      <c r="J425" t="s">
        <v>5466</v>
      </c>
      <c r="K425" t="s">
        <v>5465</v>
      </c>
      <c r="L425" t="s">
        <v>5464</v>
      </c>
      <c r="M425" t="s">
        <v>94</v>
      </c>
      <c r="N425">
        <v>4</v>
      </c>
      <c r="O425" t="s">
        <v>5463</v>
      </c>
      <c r="P425" t="s">
        <v>5462</v>
      </c>
      <c r="Q425" t="s">
        <v>5461</v>
      </c>
      <c r="R425" s="7">
        <v>36831</v>
      </c>
      <c r="S425" s="8">
        <f t="shared" si="48"/>
        <v>2000</v>
      </c>
      <c r="T425" s="8">
        <v>2000</v>
      </c>
      <c r="U425" s="8">
        <f t="shared" si="49"/>
        <v>22</v>
      </c>
      <c r="V425" s="7">
        <v>36831</v>
      </c>
      <c r="W425" t="s">
        <v>371</v>
      </c>
      <c r="X425" s="2">
        <v>0.13900000000000001</v>
      </c>
      <c r="Y425" s="6">
        <f t="shared" si="50"/>
        <v>3.7105256133045036E-3</v>
      </c>
      <c r="AA425" t="s">
        <v>370</v>
      </c>
      <c r="AB425">
        <v>24891</v>
      </c>
      <c r="AD425" t="s">
        <v>3</v>
      </c>
      <c r="AE425">
        <v>83</v>
      </c>
      <c r="AF425">
        <v>11</v>
      </c>
      <c r="AH425" s="10">
        <v>44501</v>
      </c>
      <c r="AI425" t="s">
        <v>5460</v>
      </c>
      <c r="AK425" t="s">
        <v>5459</v>
      </c>
      <c r="AL425">
        <v>0</v>
      </c>
      <c r="AM425" s="5">
        <f t="shared" si="51"/>
        <v>0</v>
      </c>
      <c r="AN425" s="4">
        <f t="shared" si="52"/>
        <v>0</v>
      </c>
      <c r="AO425" s="3"/>
      <c r="AP425">
        <v>0</v>
      </c>
      <c r="AR425" t="s">
        <v>1</v>
      </c>
      <c r="AT425" s="2" t="s">
        <v>0</v>
      </c>
      <c r="AU425" s="1">
        <f t="shared" si="53"/>
        <v>0.25973679293131524</v>
      </c>
      <c r="AV425" s="1">
        <f t="shared" si="54"/>
        <v>0.1855262806652252</v>
      </c>
      <c r="AW425" s="1">
        <f t="shared" si="55"/>
        <v>0.1113157683991351</v>
      </c>
    </row>
    <row r="426" spans="1:49" x14ac:dyDescent="0.2">
      <c r="A426">
        <v>424</v>
      </c>
      <c r="B426" t="s">
        <v>5458</v>
      </c>
      <c r="C426" t="s">
        <v>5457</v>
      </c>
      <c r="F426" t="s">
        <v>5456</v>
      </c>
      <c r="G426" t="s">
        <v>9</v>
      </c>
      <c r="H426" t="s">
        <v>8</v>
      </c>
      <c r="I426" t="s">
        <v>5455</v>
      </c>
      <c r="J426">
        <v>60024322</v>
      </c>
      <c r="K426" t="s">
        <v>60</v>
      </c>
      <c r="L426" t="s">
        <v>59</v>
      </c>
      <c r="M426" t="s">
        <v>43</v>
      </c>
      <c r="N426">
        <v>5</v>
      </c>
      <c r="O426" t="s">
        <v>5454</v>
      </c>
      <c r="P426" t="s">
        <v>5453</v>
      </c>
      <c r="Q426" t="s">
        <v>58</v>
      </c>
      <c r="R426" s="7">
        <v>36831</v>
      </c>
      <c r="S426" s="8">
        <f t="shared" si="48"/>
        <v>2000</v>
      </c>
      <c r="T426" s="8">
        <v>2000</v>
      </c>
      <c r="U426" s="8">
        <f t="shared" si="49"/>
        <v>22</v>
      </c>
      <c r="V426" s="7">
        <v>36831</v>
      </c>
      <c r="W426" t="s">
        <v>371</v>
      </c>
      <c r="X426" s="2">
        <v>0.13900000000000001</v>
      </c>
      <c r="Y426" s="6">
        <f t="shared" si="50"/>
        <v>3.7105256133045036E-3</v>
      </c>
      <c r="AA426" t="s">
        <v>370</v>
      </c>
      <c r="AB426">
        <v>24891</v>
      </c>
      <c r="AD426" t="s">
        <v>3</v>
      </c>
      <c r="AE426">
        <v>83</v>
      </c>
      <c r="AF426">
        <v>11</v>
      </c>
      <c r="AH426" t="s">
        <v>5452</v>
      </c>
      <c r="AI426" t="s">
        <v>5451</v>
      </c>
      <c r="AK426" t="s">
        <v>5450</v>
      </c>
      <c r="AL426">
        <v>8</v>
      </c>
      <c r="AM426" s="5">
        <f t="shared" si="51"/>
        <v>0.36363636363636365</v>
      </c>
      <c r="AN426" s="4">
        <f t="shared" si="52"/>
        <v>5.5075556779456819E-4</v>
      </c>
      <c r="AO426" s="3"/>
      <c r="AP426">
        <v>0</v>
      </c>
      <c r="AR426" t="s">
        <v>1</v>
      </c>
      <c r="AT426" s="2" t="s">
        <v>0</v>
      </c>
      <c r="AU426" s="1">
        <f t="shared" si="53"/>
        <v>0.27625945996515228</v>
      </c>
      <c r="AV426" s="1">
        <f t="shared" si="54"/>
        <v>0.2130640590549536</v>
      </c>
      <c r="AW426" s="1">
        <f t="shared" si="55"/>
        <v>0.14986865814475486</v>
      </c>
    </row>
    <row r="427" spans="1:49" x14ac:dyDescent="0.2">
      <c r="A427">
        <v>425</v>
      </c>
      <c r="B427" t="s">
        <v>5449</v>
      </c>
      <c r="C427" t="s">
        <v>5448</v>
      </c>
      <c r="F427" t="s">
        <v>5447</v>
      </c>
      <c r="G427" t="s">
        <v>9</v>
      </c>
      <c r="H427" t="s">
        <v>8</v>
      </c>
      <c r="I427" t="s">
        <v>5446</v>
      </c>
      <c r="J427">
        <v>60027271</v>
      </c>
      <c r="K427" t="s">
        <v>93</v>
      </c>
      <c r="L427" t="s">
        <v>92</v>
      </c>
      <c r="M427" t="s">
        <v>5</v>
      </c>
      <c r="N427">
        <v>1</v>
      </c>
      <c r="O427" t="s">
        <v>5445</v>
      </c>
      <c r="P427">
        <v>7003478522</v>
      </c>
      <c r="Q427">
        <v>60027271</v>
      </c>
      <c r="R427" s="7">
        <v>36831</v>
      </c>
      <c r="S427" s="8">
        <f t="shared" si="48"/>
        <v>2000</v>
      </c>
      <c r="T427" s="8">
        <v>2000</v>
      </c>
      <c r="U427" s="8">
        <f t="shared" si="49"/>
        <v>22</v>
      </c>
      <c r="V427" s="7">
        <v>36831</v>
      </c>
      <c r="W427" t="s">
        <v>300</v>
      </c>
      <c r="X427" s="2">
        <v>2.141</v>
      </c>
      <c r="Y427" s="6">
        <f t="shared" si="50"/>
        <v>5.7152772216438434E-2</v>
      </c>
      <c r="AA427">
        <v>1962892</v>
      </c>
      <c r="AB427">
        <v>17360</v>
      </c>
      <c r="AD427" t="s">
        <v>3</v>
      </c>
      <c r="AE427">
        <v>38</v>
      </c>
      <c r="AF427">
        <v>6</v>
      </c>
      <c r="AH427" t="s">
        <v>5444</v>
      </c>
      <c r="AI427" t="s">
        <v>5443</v>
      </c>
      <c r="AK427" t="s">
        <v>5442</v>
      </c>
      <c r="AL427">
        <v>1</v>
      </c>
      <c r="AM427" s="5">
        <f t="shared" si="51"/>
        <v>4.5454545454545456E-2</v>
      </c>
      <c r="AN427" s="4">
        <f t="shared" si="52"/>
        <v>6.8844445974321024E-5</v>
      </c>
      <c r="AO427" s="3"/>
      <c r="AP427">
        <v>0</v>
      </c>
      <c r="AQ427" t="s">
        <v>476</v>
      </c>
      <c r="AR427" t="s">
        <v>1</v>
      </c>
      <c r="AS427" t="s">
        <v>475</v>
      </c>
      <c r="AT427" s="2" t="s">
        <v>0</v>
      </c>
      <c r="AU427" s="1">
        <f t="shared" si="53"/>
        <v>4.0027593885299195</v>
      </c>
      <c r="AV427" s="1">
        <f t="shared" si="54"/>
        <v>2.8610808331206377</v>
      </c>
      <c r="AW427" s="1">
        <f t="shared" si="55"/>
        <v>1.7194022777113553</v>
      </c>
    </row>
    <row r="428" spans="1:49" x14ac:dyDescent="0.2">
      <c r="A428">
        <v>426</v>
      </c>
      <c r="B428" t="s">
        <v>5441</v>
      </c>
      <c r="C428" t="s">
        <v>5440</v>
      </c>
      <c r="F428" t="s">
        <v>5439</v>
      </c>
      <c r="G428" t="s">
        <v>9</v>
      </c>
      <c r="H428" t="s">
        <v>8</v>
      </c>
      <c r="I428" t="s">
        <v>5438</v>
      </c>
      <c r="J428" t="s">
        <v>5437</v>
      </c>
      <c r="K428" t="s">
        <v>5436</v>
      </c>
      <c r="L428" t="s">
        <v>5435</v>
      </c>
      <c r="M428" t="s">
        <v>815</v>
      </c>
      <c r="N428">
        <v>3</v>
      </c>
      <c r="O428" t="s">
        <v>5434</v>
      </c>
      <c r="P428" t="s">
        <v>5433</v>
      </c>
      <c r="Q428" t="s">
        <v>5432</v>
      </c>
      <c r="R428" s="7">
        <v>36831</v>
      </c>
      <c r="S428" s="8">
        <f t="shared" si="48"/>
        <v>2000</v>
      </c>
      <c r="T428" s="8">
        <v>2000</v>
      </c>
      <c r="U428" s="8">
        <f t="shared" si="49"/>
        <v>22</v>
      </c>
      <c r="V428" s="7">
        <v>36831</v>
      </c>
      <c r="W428" t="s">
        <v>885</v>
      </c>
      <c r="X428" s="2">
        <v>0.34399999999999997</v>
      </c>
      <c r="Y428" s="6">
        <f t="shared" si="50"/>
        <v>9.1828835322068283E-3</v>
      </c>
      <c r="AA428">
        <v>10745351</v>
      </c>
      <c r="AB428">
        <v>17964</v>
      </c>
      <c r="AD428" t="s">
        <v>3</v>
      </c>
      <c r="AE428">
        <v>13</v>
      </c>
      <c r="AF428" s="10">
        <v>44415</v>
      </c>
      <c r="AH428" t="s">
        <v>5431</v>
      </c>
      <c r="AI428" t="s">
        <v>5430</v>
      </c>
      <c r="AK428" t="s">
        <v>5429</v>
      </c>
      <c r="AL428">
        <v>1</v>
      </c>
      <c r="AM428" s="5">
        <f t="shared" si="51"/>
        <v>4.5454545454545456E-2</v>
      </c>
      <c r="AN428" s="4">
        <f t="shared" si="52"/>
        <v>6.8844445974321024E-5</v>
      </c>
      <c r="AO428" s="3"/>
      <c r="AP428">
        <v>0</v>
      </c>
      <c r="AR428" t="s">
        <v>1</v>
      </c>
      <c r="AT428" s="2" t="s">
        <v>0</v>
      </c>
      <c r="AU428" s="1">
        <f t="shared" si="53"/>
        <v>0.64486718063370752</v>
      </c>
      <c r="AV428" s="1">
        <f t="shared" si="54"/>
        <v>0.46258639890905739</v>
      </c>
      <c r="AW428" s="1">
        <f t="shared" si="55"/>
        <v>0.28030561718440733</v>
      </c>
    </row>
    <row r="429" spans="1:49" x14ac:dyDescent="0.2">
      <c r="A429">
        <v>427</v>
      </c>
      <c r="B429" t="s">
        <v>5428</v>
      </c>
      <c r="C429" t="s">
        <v>5427</v>
      </c>
      <c r="F429" t="s">
        <v>5426</v>
      </c>
      <c r="G429" t="s">
        <v>9</v>
      </c>
      <c r="H429" t="s">
        <v>8</v>
      </c>
      <c r="I429" t="s">
        <v>5425</v>
      </c>
      <c r="J429">
        <v>60018491</v>
      </c>
      <c r="K429" t="s">
        <v>18</v>
      </c>
      <c r="L429" t="s">
        <v>17</v>
      </c>
      <c r="M429" t="s">
        <v>16</v>
      </c>
      <c r="N429">
        <v>2</v>
      </c>
      <c r="O429" t="s">
        <v>5424</v>
      </c>
      <c r="P429" t="s">
        <v>5423</v>
      </c>
      <c r="Q429" t="s">
        <v>5422</v>
      </c>
      <c r="R429" s="7">
        <v>36831</v>
      </c>
      <c r="S429" s="8">
        <f t="shared" si="48"/>
        <v>2000</v>
      </c>
      <c r="T429" s="8">
        <v>2000</v>
      </c>
      <c r="U429" s="8">
        <f t="shared" si="49"/>
        <v>22</v>
      </c>
      <c r="V429" s="7">
        <v>36831</v>
      </c>
      <c r="W429" t="s">
        <v>365</v>
      </c>
      <c r="X429" s="2">
        <v>1.468</v>
      </c>
      <c r="Y429" s="6">
        <f t="shared" si="50"/>
        <v>3.9187421585115186E-2</v>
      </c>
      <c r="AA429">
        <v>906778</v>
      </c>
      <c r="AB429">
        <v>18931</v>
      </c>
      <c r="AD429" t="s">
        <v>3</v>
      </c>
      <c r="AE429">
        <v>48</v>
      </c>
      <c r="AF429">
        <v>11</v>
      </c>
      <c r="AH429" t="s">
        <v>5421</v>
      </c>
      <c r="AI429" t="s">
        <v>5420</v>
      </c>
      <c r="AK429" t="s">
        <v>5419</v>
      </c>
      <c r="AL429">
        <v>28</v>
      </c>
      <c r="AM429" s="5">
        <f t="shared" si="51"/>
        <v>1.2727272727272727</v>
      </c>
      <c r="AN429" s="4">
        <f t="shared" si="52"/>
        <v>1.9276444872809886E-3</v>
      </c>
      <c r="AO429" s="3"/>
      <c r="AP429">
        <v>0</v>
      </c>
      <c r="AR429" t="s">
        <v>1</v>
      </c>
      <c r="AT429" s="2">
        <v>5.0830000000000002</v>
      </c>
      <c r="AU429" s="1">
        <f t="shared" si="53"/>
        <v>2.8009488455764924</v>
      </c>
      <c r="AV429" s="1">
        <f t="shared" si="54"/>
        <v>2.0557533036198086</v>
      </c>
      <c r="AW429" s="1">
        <f t="shared" si="55"/>
        <v>1.3105577616631248</v>
      </c>
    </row>
    <row r="430" spans="1:49" x14ac:dyDescent="0.2">
      <c r="A430">
        <v>428</v>
      </c>
      <c r="B430" t="s">
        <v>5418</v>
      </c>
      <c r="C430" t="s">
        <v>5417</v>
      </c>
      <c r="F430" t="s">
        <v>5416</v>
      </c>
      <c r="G430" t="s">
        <v>9</v>
      </c>
      <c r="H430" t="s">
        <v>8</v>
      </c>
      <c r="I430" t="s">
        <v>597</v>
      </c>
      <c r="J430">
        <v>60001558</v>
      </c>
      <c r="K430" t="s">
        <v>399</v>
      </c>
      <c r="L430" t="s">
        <v>194</v>
      </c>
      <c r="M430" t="s">
        <v>10</v>
      </c>
      <c r="N430">
        <v>1</v>
      </c>
      <c r="O430" t="s">
        <v>5415</v>
      </c>
      <c r="P430">
        <v>8306121700</v>
      </c>
      <c r="Q430">
        <v>60001558</v>
      </c>
      <c r="R430" s="7">
        <v>36831</v>
      </c>
      <c r="S430" s="8">
        <f t="shared" si="48"/>
        <v>2000</v>
      </c>
      <c r="T430" s="8">
        <v>2000</v>
      </c>
      <c r="U430" s="8">
        <f t="shared" si="49"/>
        <v>22</v>
      </c>
      <c r="V430" s="7">
        <v>36831</v>
      </c>
      <c r="W430" t="s">
        <v>2440</v>
      </c>
      <c r="X430" s="2">
        <v>0.76700000000000002</v>
      </c>
      <c r="Y430" s="6">
        <f t="shared" si="50"/>
        <v>2.0474626945356504E-2</v>
      </c>
      <c r="AA430">
        <v>983063</v>
      </c>
      <c r="AB430">
        <v>26048</v>
      </c>
      <c r="AD430" t="s">
        <v>3</v>
      </c>
      <c r="AE430">
        <v>46</v>
      </c>
      <c r="AF430">
        <v>4</v>
      </c>
      <c r="AH430" t="s">
        <v>5414</v>
      </c>
      <c r="AI430" t="s">
        <v>5413</v>
      </c>
      <c r="AK430" t="s">
        <v>5412</v>
      </c>
      <c r="AL430">
        <v>55</v>
      </c>
      <c r="AM430" s="5">
        <f t="shared" si="51"/>
        <v>2.5</v>
      </c>
      <c r="AN430" s="4">
        <f t="shared" si="52"/>
        <v>3.7864445285876562E-3</v>
      </c>
      <c r="AO430" s="3"/>
      <c r="AP430">
        <v>0</v>
      </c>
      <c r="AR430" t="s">
        <v>1</v>
      </c>
      <c r="AT430" s="2" t="s">
        <v>0</v>
      </c>
      <c r="AU430" s="1">
        <f t="shared" si="53"/>
        <v>1.5468172220325851</v>
      </c>
      <c r="AV430" s="1">
        <f t="shared" si="54"/>
        <v>1.2130535736972081</v>
      </c>
      <c r="AW430" s="1">
        <f t="shared" si="55"/>
        <v>0.87928992536183104</v>
      </c>
    </row>
    <row r="431" spans="1:49" x14ac:dyDescent="0.2">
      <c r="A431">
        <v>429</v>
      </c>
      <c r="B431" t="s">
        <v>5411</v>
      </c>
      <c r="C431" t="s">
        <v>5410</v>
      </c>
      <c r="F431" t="s">
        <v>5409</v>
      </c>
      <c r="G431" t="s">
        <v>9</v>
      </c>
      <c r="H431" t="s">
        <v>8</v>
      </c>
      <c r="I431" t="s">
        <v>569</v>
      </c>
      <c r="J431">
        <v>60103653</v>
      </c>
      <c r="K431" t="s">
        <v>153</v>
      </c>
      <c r="L431" t="s">
        <v>152</v>
      </c>
      <c r="M431" t="s">
        <v>22</v>
      </c>
      <c r="N431">
        <v>2</v>
      </c>
      <c r="O431" t="s">
        <v>5408</v>
      </c>
      <c r="P431" t="s">
        <v>568</v>
      </c>
      <c r="Q431" t="s">
        <v>151</v>
      </c>
      <c r="R431" s="7">
        <v>36831</v>
      </c>
      <c r="S431" s="8">
        <f t="shared" si="48"/>
        <v>2000</v>
      </c>
      <c r="T431" s="8">
        <v>2000</v>
      </c>
      <c r="U431" s="8">
        <f t="shared" si="49"/>
        <v>22</v>
      </c>
      <c r="V431" s="7">
        <v>36831</v>
      </c>
      <c r="W431" t="s">
        <v>5407</v>
      </c>
      <c r="X431" s="2">
        <v>0.35</v>
      </c>
      <c r="Y431" s="6">
        <f t="shared" si="50"/>
        <v>9.3430501054429932E-3</v>
      </c>
      <c r="AA431">
        <v>9487921</v>
      </c>
      <c r="AB431">
        <v>16065</v>
      </c>
      <c r="AD431" t="s">
        <v>3</v>
      </c>
      <c r="AE431">
        <v>82</v>
      </c>
      <c r="AF431">
        <v>6</v>
      </c>
      <c r="AH431" t="s">
        <v>5406</v>
      </c>
      <c r="AI431" t="s">
        <v>5405</v>
      </c>
      <c r="AK431" t="s">
        <v>5404</v>
      </c>
      <c r="AL431">
        <v>60</v>
      </c>
      <c r="AM431" s="5">
        <f t="shared" si="51"/>
        <v>2.7272727272727271</v>
      </c>
      <c r="AN431" s="4">
        <f t="shared" si="52"/>
        <v>4.1306667584592614E-3</v>
      </c>
      <c r="AO431" s="3"/>
      <c r="AP431">
        <v>0</v>
      </c>
      <c r="AR431" t="s">
        <v>1</v>
      </c>
      <c r="AT431" s="2">
        <v>1.8360000000000001</v>
      </c>
      <c r="AU431" s="1">
        <f t="shared" si="53"/>
        <v>0.7779335101347874</v>
      </c>
      <c r="AV431" s="1">
        <f t="shared" si="54"/>
        <v>0.67368584319511282</v>
      </c>
      <c r="AW431" s="1">
        <f t="shared" si="55"/>
        <v>0.56943817625543813</v>
      </c>
    </row>
    <row r="432" spans="1:49" x14ac:dyDescent="0.2">
      <c r="A432">
        <v>430</v>
      </c>
      <c r="B432" t="s">
        <v>5403</v>
      </c>
      <c r="F432" t="s">
        <v>5402</v>
      </c>
      <c r="G432" t="s">
        <v>9</v>
      </c>
      <c r="H432" t="s">
        <v>8</v>
      </c>
      <c r="I432" t="s">
        <v>5401</v>
      </c>
      <c r="J432">
        <v>100728076</v>
      </c>
      <c r="K432" t="s">
        <v>5400</v>
      </c>
      <c r="L432" t="s">
        <v>404</v>
      </c>
      <c r="M432" t="s">
        <v>13</v>
      </c>
      <c r="N432">
        <v>3</v>
      </c>
      <c r="O432" t="s">
        <v>5399</v>
      </c>
      <c r="P432" t="s">
        <v>5398</v>
      </c>
      <c r="Q432" t="s">
        <v>5397</v>
      </c>
      <c r="R432" s="7">
        <v>36831</v>
      </c>
      <c r="S432" s="8">
        <f t="shared" si="48"/>
        <v>2000</v>
      </c>
      <c r="T432" s="8">
        <v>2000</v>
      </c>
      <c r="U432" s="8">
        <f t="shared" si="49"/>
        <v>22</v>
      </c>
      <c r="V432" s="7">
        <v>36831</v>
      </c>
      <c r="W432" t="s">
        <v>176</v>
      </c>
      <c r="X432" s="2" t="s">
        <v>0</v>
      </c>
      <c r="Y432" s="6" t="e">
        <f t="shared" si="50"/>
        <v>#VALUE!</v>
      </c>
      <c r="AA432" t="s">
        <v>175</v>
      </c>
      <c r="AB432">
        <v>26720</v>
      </c>
      <c r="AD432" t="s">
        <v>3</v>
      </c>
      <c r="AF432" t="s">
        <v>5396</v>
      </c>
      <c r="AH432" t="s">
        <v>5395</v>
      </c>
      <c r="AI432" t="s">
        <v>5394</v>
      </c>
      <c r="AK432" t="s">
        <v>5393</v>
      </c>
      <c r="AL432">
        <v>1</v>
      </c>
      <c r="AM432" s="5">
        <f t="shared" si="51"/>
        <v>4.5454545454545456E-2</v>
      </c>
      <c r="AN432" s="4">
        <f t="shared" si="52"/>
        <v>6.8844445974321024E-5</v>
      </c>
      <c r="AO432" s="3"/>
      <c r="AP432">
        <v>0</v>
      </c>
      <c r="AR432" t="s">
        <v>1</v>
      </c>
      <c r="AT432" s="2" t="s">
        <v>0</v>
      </c>
      <c r="AU432" s="1" t="e">
        <f t="shared" si="53"/>
        <v>#VALUE!</v>
      </c>
      <c r="AV432" s="1" t="e">
        <f t="shared" si="54"/>
        <v>#VALUE!</v>
      </c>
      <c r="AW432" s="1" t="e">
        <f t="shared" si="55"/>
        <v>#VALUE!</v>
      </c>
    </row>
    <row r="433" spans="1:49" x14ac:dyDescent="0.2">
      <c r="A433">
        <v>431</v>
      </c>
      <c r="B433" t="s">
        <v>5392</v>
      </c>
      <c r="C433" t="s">
        <v>5391</v>
      </c>
      <c r="F433" t="s">
        <v>5390</v>
      </c>
      <c r="G433" t="s">
        <v>9</v>
      </c>
      <c r="H433" t="s">
        <v>8</v>
      </c>
      <c r="I433" t="s">
        <v>5389</v>
      </c>
      <c r="J433">
        <v>60107350</v>
      </c>
      <c r="K433" t="s">
        <v>5388</v>
      </c>
      <c r="L433" t="s">
        <v>632</v>
      </c>
      <c r="M433" t="s">
        <v>43</v>
      </c>
      <c r="N433">
        <v>4</v>
      </c>
      <c r="O433" t="s">
        <v>5387</v>
      </c>
      <c r="P433" t="s">
        <v>5386</v>
      </c>
      <c r="Q433" t="s">
        <v>5385</v>
      </c>
      <c r="R433" s="7">
        <v>36831</v>
      </c>
      <c r="S433" s="8">
        <f t="shared" si="48"/>
        <v>2000</v>
      </c>
      <c r="T433" s="8">
        <v>2000</v>
      </c>
      <c r="U433" s="8">
        <f t="shared" si="49"/>
        <v>22</v>
      </c>
      <c r="V433" s="7">
        <v>36831</v>
      </c>
      <c r="W433" t="s">
        <v>5384</v>
      </c>
      <c r="X433" s="2">
        <v>0.58299999999999996</v>
      </c>
      <c r="Y433" s="6">
        <f t="shared" si="50"/>
        <v>1.5562852032780758E-2</v>
      </c>
      <c r="AA433">
        <v>7342101</v>
      </c>
      <c r="AB433">
        <v>28596</v>
      </c>
      <c r="AD433" t="s">
        <v>3</v>
      </c>
      <c r="AE433">
        <v>18</v>
      </c>
      <c r="AF433">
        <v>6</v>
      </c>
      <c r="AH433" t="s">
        <v>5383</v>
      </c>
      <c r="AI433" t="s">
        <v>5382</v>
      </c>
      <c r="AK433" t="s">
        <v>5381</v>
      </c>
      <c r="AL433">
        <v>5</v>
      </c>
      <c r="AM433" s="5">
        <f t="shared" si="51"/>
        <v>0.22727272727272727</v>
      </c>
      <c r="AN433" s="4">
        <f t="shared" si="52"/>
        <v>3.4422222987160508E-4</v>
      </c>
      <c r="AO433" s="3"/>
      <c r="AP433">
        <v>0</v>
      </c>
      <c r="AR433" t="s">
        <v>1</v>
      </c>
      <c r="AT433" s="2" t="s">
        <v>0</v>
      </c>
      <c r="AU433" s="1">
        <f t="shared" si="53"/>
        <v>1.0997263091908012</v>
      </c>
      <c r="AV433" s="1">
        <f t="shared" si="54"/>
        <v>0.79535371313261805</v>
      </c>
      <c r="AW433" s="1">
        <f t="shared" si="55"/>
        <v>0.49098111707443504</v>
      </c>
    </row>
    <row r="434" spans="1:49" x14ac:dyDescent="0.2">
      <c r="A434">
        <v>432</v>
      </c>
      <c r="B434" t="s">
        <v>5380</v>
      </c>
      <c r="F434" t="s">
        <v>5379</v>
      </c>
      <c r="G434" t="s">
        <v>9</v>
      </c>
      <c r="H434" t="s">
        <v>8</v>
      </c>
      <c r="I434" t="s">
        <v>5378</v>
      </c>
      <c r="J434">
        <v>60024350</v>
      </c>
      <c r="K434" t="s">
        <v>5377</v>
      </c>
      <c r="L434" t="s">
        <v>5376</v>
      </c>
      <c r="M434" t="s">
        <v>191</v>
      </c>
      <c r="N434">
        <v>3</v>
      </c>
      <c r="O434" t="s">
        <v>5375</v>
      </c>
      <c r="P434" t="s">
        <v>5374</v>
      </c>
      <c r="Q434" t="s">
        <v>5373</v>
      </c>
      <c r="R434" s="7">
        <v>36831</v>
      </c>
      <c r="S434" s="8">
        <f t="shared" si="48"/>
        <v>2000</v>
      </c>
      <c r="T434" s="8">
        <v>2000</v>
      </c>
      <c r="U434" s="8">
        <f t="shared" si="49"/>
        <v>22</v>
      </c>
      <c r="V434" s="7">
        <v>36831</v>
      </c>
      <c r="W434" t="s">
        <v>5372</v>
      </c>
      <c r="X434" s="2">
        <v>0.71899999999999997</v>
      </c>
      <c r="Y434" s="6">
        <f t="shared" si="50"/>
        <v>1.9193294359467178E-2</v>
      </c>
      <c r="AA434">
        <v>10009361</v>
      </c>
      <c r="AB434">
        <v>13831</v>
      </c>
      <c r="AD434" t="s">
        <v>3</v>
      </c>
      <c r="AE434">
        <v>13</v>
      </c>
      <c r="AF434">
        <v>4</v>
      </c>
      <c r="AH434" t="s">
        <v>5371</v>
      </c>
      <c r="AI434" t="s">
        <v>5370</v>
      </c>
      <c r="AK434" t="s">
        <v>5369</v>
      </c>
      <c r="AL434">
        <v>1</v>
      </c>
      <c r="AM434" s="5">
        <f t="shared" si="51"/>
        <v>4.5454545454545456E-2</v>
      </c>
      <c r="AN434" s="4">
        <f t="shared" si="52"/>
        <v>6.8844445974321024E-5</v>
      </c>
      <c r="AO434" s="3"/>
      <c r="AP434">
        <v>0</v>
      </c>
      <c r="AR434" t="s">
        <v>1</v>
      </c>
      <c r="AT434" s="2">
        <v>2.7690000000000001</v>
      </c>
      <c r="AU434" s="1">
        <f t="shared" si="53"/>
        <v>1.345595938541932</v>
      </c>
      <c r="AV434" s="1">
        <f t="shared" si="54"/>
        <v>0.963106940272075</v>
      </c>
      <c r="AW434" s="1">
        <f t="shared" si="55"/>
        <v>0.58061794200221772</v>
      </c>
    </row>
    <row r="435" spans="1:49" x14ac:dyDescent="0.2">
      <c r="A435">
        <v>433</v>
      </c>
      <c r="B435" t="s">
        <v>5368</v>
      </c>
      <c r="C435" t="s">
        <v>5367</v>
      </c>
      <c r="F435" t="s">
        <v>5366</v>
      </c>
      <c r="G435" t="s">
        <v>9</v>
      </c>
      <c r="H435" t="s">
        <v>8</v>
      </c>
      <c r="I435" t="s">
        <v>5365</v>
      </c>
      <c r="J435">
        <v>60004923</v>
      </c>
      <c r="K435" t="s">
        <v>369</v>
      </c>
      <c r="L435" t="s">
        <v>368</v>
      </c>
      <c r="M435" t="s">
        <v>5</v>
      </c>
      <c r="N435">
        <v>1</v>
      </c>
      <c r="O435" t="s">
        <v>5364</v>
      </c>
      <c r="P435">
        <v>7201973784</v>
      </c>
      <c r="Q435">
        <v>60004923</v>
      </c>
      <c r="R435" s="7">
        <v>36831</v>
      </c>
      <c r="S435" s="8">
        <f t="shared" si="48"/>
        <v>2000</v>
      </c>
      <c r="T435" s="8">
        <v>2000</v>
      </c>
      <c r="U435" s="8">
        <f t="shared" si="49"/>
        <v>22</v>
      </c>
      <c r="V435" s="7">
        <v>36831</v>
      </c>
      <c r="W435" t="s">
        <v>382</v>
      </c>
      <c r="X435" s="2">
        <v>1.218</v>
      </c>
      <c r="Y435" s="6">
        <f t="shared" si="50"/>
        <v>3.2513814366941618E-2</v>
      </c>
      <c r="AA435">
        <v>189448</v>
      </c>
      <c r="AB435">
        <v>15107</v>
      </c>
      <c r="AD435" t="s">
        <v>3</v>
      </c>
      <c r="AE435">
        <v>46</v>
      </c>
      <c r="AF435">
        <v>7</v>
      </c>
      <c r="AH435" t="s">
        <v>5363</v>
      </c>
      <c r="AI435" t="s">
        <v>5362</v>
      </c>
      <c r="AK435" t="s">
        <v>5361</v>
      </c>
      <c r="AL435">
        <v>796</v>
      </c>
      <c r="AM435" s="5">
        <f t="shared" si="51"/>
        <v>36.18181818181818</v>
      </c>
      <c r="AN435" s="4">
        <f t="shared" si="52"/>
        <v>5.4800178995559529E-2</v>
      </c>
      <c r="AO435" s="3"/>
      <c r="AP435">
        <v>0</v>
      </c>
      <c r="AQ435" t="s">
        <v>210</v>
      </c>
      <c r="AR435" t="s">
        <v>5360</v>
      </c>
      <c r="AS435" t="s">
        <v>209</v>
      </c>
      <c r="AT435" s="2" t="s">
        <v>0</v>
      </c>
      <c r="AU435" s="1">
        <f t="shared" si="53"/>
        <v>3.9199723755526996</v>
      </c>
      <c r="AV435" s="1">
        <f t="shared" si="54"/>
        <v>4.3656996681250577</v>
      </c>
      <c r="AW435" s="1">
        <f t="shared" si="55"/>
        <v>4.8114269606974149</v>
      </c>
    </row>
    <row r="436" spans="1:49" x14ac:dyDescent="0.2">
      <c r="A436">
        <v>434</v>
      </c>
      <c r="B436" t="s">
        <v>5359</v>
      </c>
      <c r="C436" t="s">
        <v>5358</v>
      </c>
      <c r="F436" t="s">
        <v>5357</v>
      </c>
      <c r="G436" t="s">
        <v>9</v>
      </c>
      <c r="H436" t="s">
        <v>8</v>
      </c>
      <c r="I436" t="s">
        <v>732</v>
      </c>
      <c r="J436" t="s">
        <v>5356</v>
      </c>
      <c r="K436" t="s">
        <v>5355</v>
      </c>
      <c r="L436" t="s">
        <v>5354</v>
      </c>
      <c r="M436" t="s">
        <v>4960</v>
      </c>
      <c r="N436">
        <v>2</v>
      </c>
      <c r="O436" t="s">
        <v>5353</v>
      </c>
      <c r="P436" t="s">
        <v>5352</v>
      </c>
      <c r="Q436" t="s">
        <v>5351</v>
      </c>
      <c r="R436" s="7">
        <v>36831</v>
      </c>
      <c r="S436" s="8">
        <f t="shared" si="48"/>
        <v>2000</v>
      </c>
      <c r="T436" s="8">
        <v>2000</v>
      </c>
      <c r="U436" s="8">
        <f t="shared" si="49"/>
        <v>22</v>
      </c>
      <c r="V436" s="7">
        <v>36831</v>
      </c>
      <c r="W436" t="s">
        <v>646</v>
      </c>
      <c r="X436" s="2">
        <v>0.92900000000000005</v>
      </c>
      <c r="Y436" s="6">
        <f t="shared" si="50"/>
        <v>2.4799124422732979E-2</v>
      </c>
      <c r="AA436">
        <v>10897798</v>
      </c>
      <c r="AB436">
        <v>18896</v>
      </c>
      <c r="AD436" t="s">
        <v>3</v>
      </c>
      <c r="AE436">
        <v>4</v>
      </c>
      <c r="AF436">
        <v>11</v>
      </c>
      <c r="AH436" t="s">
        <v>5350</v>
      </c>
      <c r="AI436" t="s">
        <v>5349</v>
      </c>
      <c r="AK436" t="s">
        <v>5348</v>
      </c>
      <c r="AL436">
        <v>2</v>
      </c>
      <c r="AM436" s="5">
        <f t="shared" si="51"/>
        <v>9.0909090909090912E-2</v>
      </c>
      <c r="AN436" s="4">
        <f t="shared" si="52"/>
        <v>1.3768889194864205E-4</v>
      </c>
      <c r="AO436" s="3"/>
      <c r="AP436">
        <v>0</v>
      </c>
      <c r="AR436" t="s">
        <v>1</v>
      </c>
      <c r="AT436" s="2">
        <v>3.4359999999999999</v>
      </c>
      <c r="AU436" s="1">
        <f t="shared" si="53"/>
        <v>1.7400693763497677</v>
      </c>
      <c r="AV436" s="1">
        <f t="shared" si="54"/>
        <v>1.2468406657340809</v>
      </c>
      <c r="AW436" s="1">
        <f t="shared" si="55"/>
        <v>0.75361195511839429</v>
      </c>
    </row>
    <row r="437" spans="1:49" x14ac:dyDescent="0.2">
      <c r="A437">
        <v>435</v>
      </c>
      <c r="B437" t="s">
        <v>5347</v>
      </c>
      <c r="F437" t="s">
        <v>5346</v>
      </c>
      <c r="G437" t="s">
        <v>9</v>
      </c>
      <c r="H437" t="s">
        <v>8</v>
      </c>
      <c r="I437" t="s">
        <v>5345</v>
      </c>
      <c r="J437" t="s">
        <v>5344</v>
      </c>
      <c r="K437" t="s">
        <v>5343</v>
      </c>
      <c r="L437" t="s">
        <v>5342</v>
      </c>
      <c r="M437" t="s">
        <v>19</v>
      </c>
      <c r="N437">
        <v>3</v>
      </c>
      <c r="O437" t="s">
        <v>5341</v>
      </c>
      <c r="P437" t="s">
        <v>5340</v>
      </c>
      <c r="Q437" t="s">
        <v>5339</v>
      </c>
      <c r="R437" s="7">
        <v>36831</v>
      </c>
      <c r="S437" s="8">
        <f t="shared" si="48"/>
        <v>2000</v>
      </c>
      <c r="T437" s="8">
        <v>2000</v>
      </c>
      <c r="U437" s="8">
        <f t="shared" si="49"/>
        <v>22</v>
      </c>
      <c r="V437" s="7">
        <v>36831</v>
      </c>
      <c r="W437" t="s">
        <v>5338</v>
      </c>
      <c r="X437" s="2" t="s">
        <v>0</v>
      </c>
      <c r="Y437" s="6" t="e">
        <f t="shared" si="50"/>
        <v>#VALUE!</v>
      </c>
      <c r="AA437" t="s">
        <v>5337</v>
      </c>
      <c r="AB437">
        <v>18820</v>
      </c>
      <c r="AD437" t="s">
        <v>3</v>
      </c>
      <c r="AE437">
        <v>45</v>
      </c>
      <c r="AF437">
        <v>6</v>
      </c>
      <c r="AH437" t="s">
        <v>5336</v>
      </c>
      <c r="AI437" t="s">
        <v>5335</v>
      </c>
      <c r="AK437" t="s">
        <v>5334</v>
      </c>
      <c r="AL437">
        <v>2</v>
      </c>
      <c r="AM437" s="5">
        <f t="shared" si="51"/>
        <v>9.0909090909090912E-2</v>
      </c>
      <c r="AN437" s="4">
        <f t="shared" si="52"/>
        <v>1.3768889194864205E-4</v>
      </c>
      <c r="AO437" s="3"/>
      <c r="AP437">
        <v>0</v>
      </c>
      <c r="AR437" t="s">
        <v>1</v>
      </c>
      <c r="AT437" s="2" t="s">
        <v>0</v>
      </c>
      <c r="AU437" s="1" t="e">
        <f t="shared" si="53"/>
        <v>#VALUE!</v>
      </c>
      <c r="AV437" s="1" t="e">
        <f t="shared" si="54"/>
        <v>#VALUE!</v>
      </c>
      <c r="AW437" s="1" t="e">
        <f t="shared" si="55"/>
        <v>#VALUE!</v>
      </c>
    </row>
    <row r="438" spans="1:49" x14ac:dyDescent="0.2">
      <c r="A438">
        <v>436</v>
      </c>
      <c r="B438" t="s">
        <v>5333</v>
      </c>
      <c r="C438" t="s">
        <v>5332</v>
      </c>
      <c r="F438" t="s">
        <v>5331</v>
      </c>
      <c r="G438" t="s">
        <v>9</v>
      </c>
      <c r="H438" t="s">
        <v>8</v>
      </c>
      <c r="I438" t="s">
        <v>602</v>
      </c>
      <c r="J438" t="s">
        <v>5330</v>
      </c>
      <c r="K438" t="s">
        <v>5329</v>
      </c>
      <c r="L438" t="s">
        <v>5328</v>
      </c>
      <c r="M438" t="s">
        <v>183</v>
      </c>
      <c r="N438">
        <v>3</v>
      </c>
      <c r="O438" t="s">
        <v>601</v>
      </c>
      <c r="P438" t="s">
        <v>600</v>
      </c>
      <c r="Q438" t="s">
        <v>5327</v>
      </c>
      <c r="R438" s="7">
        <v>36831</v>
      </c>
      <c r="S438" s="8">
        <f t="shared" si="48"/>
        <v>2000</v>
      </c>
      <c r="T438" s="8">
        <v>2000</v>
      </c>
      <c r="U438" s="8">
        <f t="shared" si="49"/>
        <v>22</v>
      </c>
      <c r="V438" s="7">
        <v>36831</v>
      </c>
      <c r="W438" t="s">
        <v>646</v>
      </c>
      <c r="X438" s="2">
        <v>0.92900000000000005</v>
      </c>
      <c r="Y438" s="6">
        <f t="shared" si="50"/>
        <v>2.4799124422732979E-2</v>
      </c>
      <c r="AA438">
        <v>10897798</v>
      </c>
      <c r="AB438">
        <v>18896</v>
      </c>
      <c r="AD438" t="s">
        <v>3</v>
      </c>
      <c r="AE438">
        <v>4</v>
      </c>
      <c r="AF438">
        <v>11</v>
      </c>
      <c r="AH438" t="s">
        <v>5326</v>
      </c>
      <c r="AI438" t="s">
        <v>599</v>
      </c>
      <c r="AK438" t="s">
        <v>598</v>
      </c>
      <c r="AL438">
        <v>187</v>
      </c>
      <c r="AM438" s="5">
        <f t="shared" si="51"/>
        <v>8.5</v>
      </c>
      <c r="AN438" s="4">
        <f t="shared" si="52"/>
        <v>1.2873911397198031E-2</v>
      </c>
      <c r="AO438" s="3"/>
      <c r="AP438">
        <v>0</v>
      </c>
      <c r="AR438" t="s">
        <v>1</v>
      </c>
      <c r="AT438" s="2">
        <v>3.4359999999999999</v>
      </c>
      <c r="AU438" s="1">
        <f t="shared" si="53"/>
        <v>2.1221560515072491</v>
      </c>
      <c r="AV438" s="1">
        <f t="shared" si="54"/>
        <v>1.8836517909965507</v>
      </c>
      <c r="AW438" s="1">
        <f t="shared" si="55"/>
        <v>1.6451475304858514</v>
      </c>
    </row>
    <row r="439" spans="1:49" x14ac:dyDescent="0.2">
      <c r="A439">
        <v>437</v>
      </c>
      <c r="B439" t="s">
        <v>5325</v>
      </c>
      <c r="C439" t="s">
        <v>5324</v>
      </c>
      <c r="F439" t="s">
        <v>5323</v>
      </c>
      <c r="G439" t="s">
        <v>9</v>
      </c>
      <c r="H439" t="s">
        <v>8</v>
      </c>
      <c r="I439" t="s">
        <v>5322</v>
      </c>
      <c r="J439" t="s">
        <v>5321</v>
      </c>
      <c r="K439" t="s">
        <v>5320</v>
      </c>
      <c r="L439" t="s">
        <v>5319</v>
      </c>
      <c r="M439" t="s">
        <v>5318</v>
      </c>
      <c r="N439">
        <v>4</v>
      </c>
      <c r="O439" t="s">
        <v>5317</v>
      </c>
      <c r="P439" t="s">
        <v>5316</v>
      </c>
      <c r="Q439" t="s">
        <v>5315</v>
      </c>
      <c r="R439" s="7">
        <v>36831</v>
      </c>
      <c r="S439" s="8">
        <f t="shared" si="48"/>
        <v>2000</v>
      </c>
      <c r="T439" s="8">
        <v>2000</v>
      </c>
      <c r="U439" s="8">
        <f t="shared" si="49"/>
        <v>22</v>
      </c>
      <c r="V439" s="7">
        <v>36831</v>
      </c>
      <c r="W439" t="s">
        <v>646</v>
      </c>
      <c r="X439" s="2">
        <v>0.92900000000000005</v>
      </c>
      <c r="Y439" s="6">
        <f t="shared" si="50"/>
        <v>2.4799124422732979E-2</v>
      </c>
      <c r="AA439">
        <v>10897798</v>
      </c>
      <c r="AB439">
        <v>18896</v>
      </c>
      <c r="AD439" t="s">
        <v>3</v>
      </c>
      <c r="AE439">
        <v>4</v>
      </c>
      <c r="AF439">
        <v>11</v>
      </c>
      <c r="AH439" t="s">
        <v>5314</v>
      </c>
      <c r="AI439" t="s">
        <v>5313</v>
      </c>
      <c r="AK439" t="s">
        <v>5312</v>
      </c>
      <c r="AL439">
        <v>13</v>
      </c>
      <c r="AM439" s="5">
        <f t="shared" si="51"/>
        <v>0.59090909090909094</v>
      </c>
      <c r="AN439" s="4">
        <f t="shared" si="52"/>
        <v>8.9497779766617338E-4</v>
      </c>
      <c r="AO439" s="3"/>
      <c r="AP439">
        <v>0</v>
      </c>
      <c r="AR439" t="s">
        <v>1</v>
      </c>
      <c r="AT439" s="2">
        <v>3.4359999999999999</v>
      </c>
      <c r="AU439" s="1">
        <f t="shared" si="53"/>
        <v>1.7627880435212937</v>
      </c>
      <c r="AV439" s="1">
        <f t="shared" si="54"/>
        <v>1.2847051110199577</v>
      </c>
      <c r="AW439" s="1">
        <f t="shared" si="55"/>
        <v>0.8066221785186215</v>
      </c>
    </row>
    <row r="440" spans="1:49" x14ac:dyDescent="0.2">
      <c r="A440">
        <v>438</v>
      </c>
      <c r="B440" t="s">
        <v>5311</v>
      </c>
      <c r="C440" t="s">
        <v>5310</v>
      </c>
      <c r="F440" t="s">
        <v>5309</v>
      </c>
      <c r="G440" t="s">
        <v>9</v>
      </c>
      <c r="H440" t="s">
        <v>8</v>
      </c>
      <c r="I440" t="s">
        <v>5308</v>
      </c>
      <c r="J440">
        <v>60103653</v>
      </c>
      <c r="K440" t="s">
        <v>153</v>
      </c>
      <c r="L440" t="s">
        <v>152</v>
      </c>
      <c r="M440" t="s">
        <v>22</v>
      </c>
      <c r="N440">
        <v>3</v>
      </c>
      <c r="O440" t="s">
        <v>5307</v>
      </c>
      <c r="P440" t="s">
        <v>5306</v>
      </c>
      <c r="Q440" t="s">
        <v>5305</v>
      </c>
      <c r="R440" s="7">
        <v>36831</v>
      </c>
      <c r="S440" s="8">
        <f t="shared" si="48"/>
        <v>2000</v>
      </c>
      <c r="T440" s="8">
        <v>2000</v>
      </c>
      <c r="U440" s="8">
        <f t="shared" si="49"/>
        <v>22</v>
      </c>
      <c r="V440" s="7">
        <v>36831</v>
      </c>
      <c r="W440" t="s">
        <v>295</v>
      </c>
      <c r="X440" s="2">
        <v>0.371</v>
      </c>
      <c r="Y440" s="6">
        <f t="shared" si="50"/>
        <v>9.9036331117695747E-3</v>
      </c>
      <c r="AA440">
        <v>486604</v>
      </c>
      <c r="AB440">
        <v>28580</v>
      </c>
      <c r="AD440" t="s">
        <v>3</v>
      </c>
      <c r="AE440">
        <v>35</v>
      </c>
      <c r="AF440">
        <v>6</v>
      </c>
      <c r="AH440" t="s">
        <v>5304</v>
      </c>
      <c r="AI440" t="s">
        <v>5303</v>
      </c>
      <c r="AK440" t="s">
        <v>5302</v>
      </c>
      <c r="AL440">
        <v>11</v>
      </c>
      <c r="AM440" s="5">
        <f t="shared" si="51"/>
        <v>0.5</v>
      </c>
      <c r="AN440" s="4">
        <f t="shared" si="52"/>
        <v>7.572889057175312E-4</v>
      </c>
      <c r="AO440" s="3"/>
      <c r="AP440">
        <v>1</v>
      </c>
      <c r="AR440" t="s">
        <v>1</v>
      </c>
      <c r="AT440" s="2">
        <v>1.431</v>
      </c>
      <c r="AU440" s="1">
        <f t="shared" si="53"/>
        <v>0.71597298499539619</v>
      </c>
      <c r="AV440" s="1">
        <f t="shared" si="54"/>
        <v>0.53304610087435522</v>
      </c>
      <c r="AW440" s="1">
        <f t="shared" si="55"/>
        <v>0.35011921675331442</v>
      </c>
    </row>
    <row r="441" spans="1:49" x14ac:dyDescent="0.2">
      <c r="A441">
        <v>439</v>
      </c>
      <c r="B441" t="s">
        <v>5301</v>
      </c>
      <c r="C441" t="s">
        <v>5300</v>
      </c>
      <c r="F441" t="s">
        <v>5299</v>
      </c>
      <c r="G441" t="s">
        <v>9</v>
      </c>
      <c r="H441" t="s">
        <v>8</v>
      </c>
      <c r="I441" t="s">
        <v>960</v>
      </c>
      <c r="J441">
        <v>60026638</v>
      </c>
      <c r="K441" t="s">
        <v>576</v>
      </c>
      <c r="L441" t="s">
        <v>152</v>
      </c>
      <c r="M441" t="s">
        <v>22</v>
      </c>
      <c r="N441">
        <v>4</v>
      </c>
      <c r="O441" t="s">
        <v>5298</v>
      </c>
      <c r="P441" t="s">
        <v>5297</v>
      </c>
      <c r="Q441" t="s">
        <v>575</v>
      </c>
      <c r="R441" s="7">
        <v>36831</v>
      </c>
      <c r="S441" s="8">
        <f t="shared" si="48"/>
        <v>2000</v>
      </c>
      <c r="T441" s="8">
        <v>2000</v>
      </c>
      <c r="U441" s="8">
        <f t="shared" si="49"/>
        <v>22</v>
      </c>
      <c r="V441" s="7">
        <v>36831</v>
      </c>
      <c r="W441" t="s">
        <v>646</v>
      </c>
      <c r="X441" s="2">
        <v>0.92900000000000005</v>
      </c>
      <c r="Y441" s="6">
        <f t="shared" si="50"/>
        <v>2.4799124422732979E-2</v>
      </c>
      <c r="AA441">
        <v>10897798</v>
      </c>
      <c r="AB441">
        <v>18896</v>
      </c>
      <c r="AD441" t="s">
        <v>3</v>
      </c>
      <c r="AE441">
        <v>4</v>
      </c>
      <c r="AF441">
        <v>11</v>
      </c>
      <c r="AH441" t="s">
        <v>5296</v>
      </c>
      <c r="AI441" t="s">
        <v>5295</v>
      </c>
      <c r="AK441" t="s">
        <v>5294</v>
      </c>
      <c r="AL441">
        <v>221</v>
      </c>
      <c r="AM441" s="5">
        <f t="shared" si="51"/>
        <v>10.045454545454545</v>
      </c>
      <c r="AN441" s="4">
        <f t="shared" si="52"/>
        <v>1.5214622560324945E-2</v>
      </c>
      <c r="AO441" s="3"/>
      <c r="AP441">
        <v>0</v>
      </c>
      <c r="AR441" t="s">
        <v>1</v>
      </c>
      <c r="AT441" s="2">
        <v>3.4359999999999999</v>
      </c>
      <c r="AU441" s="1">
        <f t="shared" si="53"/>
        <v>2.1923773864010565</v>
      </c>
      <c r="AV441" s="1">
        <f t="shared" si="54"/>
        <v>2.000687349152896</v>
      </c>
      <c r="AW441" s="1">
        <f t="shared" si="55"/>
        <v>1.8089973119047353</v>
      </c>
    </row>
    <row r="442" spans="1:49" x14ac:dyDescent="0.2">
      <c r="A442">
        <v>440</v>
      </c>
      <c r="B442" t="s">
        <v>5293</v>
      </c>
      <c r="C442" t="s">
        <v>5292</v>
      </c>
      <c r="F442" t="s">
        <v>5291</v>
      </c>
      <c r="G442" t="s">
        <v>9</v>
      </c>
      <c r="H442" t="s">
        <v>8</v>
      </c>
      <c r="I442" t="s">
        <v>5290</v>
      </c>
      <c r="J442">
        <v>60069972</v>
      </c>
      <c r="K442" t="s">
        <v>912</v>
      </c>
      <c r="L442" t="s">
        <v>911</v>
      </c>
      <c r="M442" t="s">
        <v>42</v>
      </c>
      <c r="N442">
        <v>1</v>
      </c>
      <c r="O442" t="s">
        <v>5289</v>
      </c>
      <c r="P442">
        <v>7005976446</v>
      </c>
      <c r="Q442">
        <v>60069972</v>
      </c>
      <c r="R442" s="7">
        <v>36831</v>
      </c>
      <c r="S442" s="8">
        <f t="shared" si="48"/>
        <v>2000</v>
      </c>
      <c r="T442" s="8">
        <v>2000</v>
      </c>
      <c r="U442" s="8">
        <f t="shared" si="49"/>
        <v>22</v>
      </c>
      <c r="V442" s="7">
        <v>36831</v>
      </c>
      <c r="W442" t="s">
        <v>295</v>
      </c>
      <c r="X442" s="2">
        <v>0.371</v>
      </c>
      <c r="Y442" s="6">
        <f t="shared" si="50"/>
        <v>9.9036331117695747E-3</v>
      </c>
      <c r="AA442">
        <v>486604</v>
      </c>
      <c r="AB442">
        <v>28580</v>
      </c>
      <c r="AD442" t="s">
        <v>3</v>
      </c>
      <c r="AE442">
        <v>35</v>
      </c>
      <c r="AF442">
        <v>6</v>
      </c>
      <c r="AH442" t="s">
        <v>5288</v>
      </c>
      <c r="AI442" t="s">
        <v>5287</v>
      </c>
      <c r="AK442" t="s">
        <v>5286</v>
      </c>
      <c r="AL442">
        <v>93</v>
      </c>
      <c r="AM442" s="5">
        <f t="shared" si="51"/>
        <v>4.2272727272727275</v>
      </c>
      <c r="AN442" s="4">
        <f t="shared" si="52"/>
        <v>6.4025334756118556E-3</v>
      </c>
      <c r="AO442" s="3"/>
      <c r="AP442">
        <v>1</v>
      </c>
      <c r="AR442" t="s">
        <v>1</v>
      </c>
      <c r="AT442" s="2">
        <v>1.431</v>
      </c>
      <c r="AU442" s="1">
        <f t="shared" si="53"/>
        <v>0.88533032209222573</v>
      </c>
      <c r="AV442" s="1">
        <f t="shared" si="54"/>
        <v>0.8153083293690716</v>
      </c>
      <c r="AW442" s="1">
        <f t="shared" si="55"/>
        <v>0.74528633664591704</v>
      </c>
    </row>
    <row r="443" spans="1:49" x14ac:dyDescent="0.2">
      <c r="A443">
        <v>441</v>
      </c>
      <c r="B443" t="s">
        <v>5285</v>
      </c>
      <c r="C443" t="s">
        <v>5284</v>
      </c>
      <c r="F443" t="s">
        <v>5283</v>
      </c>
      <c r="G443" t="s">
        <v>9</v>
      </c>
      <c r="H443" t="s">
        <v>8</v>
      </c>
      <c r="I443" t="s">
        <v>5282</v>
      </c>
      <c r="J443" t="s">
        <v>5281</v>
      </c>
      <c r="K443" t="s">
        <v>5280</v>
      </c>
      <c r="L443" t="s">
        <v>5279</v>
      </c>
      <c r="M443" t="s">
        <v>5278</v>
      </c>
      <c r="N443">
        <v>2</v>
      </c>
      <c r="O443" t="s">
        <v>5277</v>
      </c>
      <c r="P443" t="s">
        <v>5276</v>
      </c>
      <c r="Q443" t="s">
        <v>5275</v>
      </c>
      <c r="R443" s="7">
        <v>36831</v>
      </c>
      <c r="S443" s="8">
        <f t="shared" si="48"/>
        <v>2000</v>
      </c>
      <c r="T443" s="8">
        <v>2000</v>
      </c>
      <c r="U443" s="8">
        <f t="shared" si="49"/>
        <v>22</v>
      </c>
      <c r="V443" s="7">
        <v>36831</v>
      </c>
      <c r="W443" t="s">
        <v>403</v>
      </c>
      <c r="X443" s="2">
        <v>2.9860000000000002</v>
      </c>
      <c r="Y443" s="6">
        <f t="shared" si="50"/>
        <v>7.9709564613865094E-2</v>
      </c>
      <c r="AA443">
        <v>7338716</v>
      </c>
      <c r="AB443">
        <v>18902</v>
      </c>
      <c r="AD443" t="s">
        <v>3</v>
      </c>
      <c r="AE443">
        <v>18</v>
      </c>
      <c r="AF443">
        <v>11</v>
      </c>
      <c r="AH443" t="s">
        <v>5274</v>
      </c>
      <c r="AI443" t="s">
        <v>5273</v>
      </c>
      <c r="AK443" t="s">
        <v>5272</v>
      </c>
      <c r="AL443">
        <v>129</v>
      </c>
      <c r="AM443" s="5">
        <f t="shared" si="51"/>
        <v>5.8636363636363633</v>
      </c>
      <c r="AN443" s="4">
        <f t="shared" si="52"/>
        <v>8.8809335306874113E-3</v>
      </c>
      <c r="AO443" s="3"/>
      <c r="AP443">
        <v>0</v>
      </c>
      <c r="AQ443" t="s">
        <v>210</v>
      </c>
      <c r="AR443" t="s">
        <v>5271</v>
      </c>
      <c r="AS443" t="s">
        <v>209</v>
      </c>
      <c r="AT443" s="2" t="s">
        <v>0</v>
      </c>
      <c r="AU443" s="1">
        <f t="shared" si="53"/>
        <v>5.8460975288911783</v>
      </c>
      <c r="AV443" s="1">
        <f t="shared" si="54"/>
        <v>4.4295249072276253</v>
      </c>
      <c r="AW443" s="1">
        <f t="shared" si="55"/>
        <v>3.0129522855640714</v>
      </c>
    </row>
    <row r="444" spans="1:49" x14ac:dyDescent="0.2">
      <c r="A444">
        <v>442</v>
      </c>
      <c r="B444" t="s">
        <v>5270</v>
      </c>
      <c r="C444" t="s">
        <v>5269</v>
      </c>
      <c r="F444" t="s">
        <v>5268</v>
      </c>
      <c r="G444" t="s">
        <v>9</v>
      </c>
      <c r="H444" t="s">
        <v>8</v>
      </c>
      <c r="I444" t="s">
        <v>5267</v>
      </c>
      <c r="J444" t="s">
        <v>5266</v>
      </c>
      <c r="K444" t="s">
        <v>5265</v>
      </c>
      <c r="L444" t="s">
        <v>5264</v>
      </c>
      <c r="M444" t="s">
        <v>5263</v>
      </c>
      <c r="N444">
        <v>3</v>
      </c>
      <c r="O444" t="s">
        <v>5262</v>
      </c>
      <c r="P444" t="s">
        <v>5261</v>
      </c>
      <c r="Q444" t="s">
        <v>5260</v>
      </c>
      <c r="R444" s="7">
        <v>36831</v>
      </c>
      <c r="S444" s="8">
        <f t="shared" si="48"/>
        <v>2000</v>
      </c>
      <c r="T444" s="8">
        <v>2000</v>
      </c>
      <c r="U444" s="8">
        <f t="shared" si="49"/>
        <v>22</v>
      </c>
      <c r="V444" s="7">
        <v>36831</v>
      </c>
      <c r="W444" t="s">
        <v>403</v>
      </c>
      <c r="X444" s="2">
        <v>2.9860000000000002</v>
      </c>
      <c r="Y444" s="6">
        <f t="shared" si="50"/>
        <v>7.9709564613865094E-2</v>
      </c>
      <c r="AA444">
        <v>7338716</v>
      </c>
      <c r="AB444">
        <v>18902</v>
      </c>
      <c r="AD444" t="s">
        <v>3</v>
      </c>
      <c r="AE444">
        <v>18</v>
      </c>
      <c r="AF444">
        <v>11</v>
      </c>
      <c r="AH444" t="s">
        <v>5259</v>
      </c>
      <c r="AI444" t="s">
        <v>5258</v>
      </c>
      <c r="AK444" t="s">
        <v>5257</v>
      </c>
      <c r="AL444">
        <v>28</v>
      </c>
      <c r="AM444" s="5">
        <f t="shared" si="51"/>
        <v>1.2727272727272727</v>
      </c>
      <c r="AN444" s="4">
        <f t="shared" si="52"/>
        <v>1.9276444872809886E-3</v>
      </c>
      <c r="AO444" s="3"/>
      <c r="AP444">
        <v>0</v>
      </c>
      <c r="AQ444" t="s">
        <v>36</v>
      </c>
      <c r="AR444" t="s">
        <v>5256</v>
      </c>
      <c r="AS444" t="s">
        <v>35</v>
      </c>
      <c r="AT444" s="2" t="s">
        <v>0</v>
      </c>
      <c r="AU444" s="1">
        <f t="shared" si="53"/>
        <v>5.6374988575889855</v>
      </c>
      <c r="AV444" s="1">
        <f t="shared" si="54"/>
        <v>4.0818604550573037</v>
      </c>
      <c r="AW444" s="1">
        <f t="shared" si="55"/>
        <v>2.5262220525256218</v>
      </c>
    </row>
    <row r="445" spans="1:49" x14ac:dyDescent="0.2">
      <c r="A445">
        <v>443</v>
      </c>
      <c r="B445" t="s">
        <v>5255</v>
      </c>
      <c r="C445" t="s">
        <v>5254</v>
      </c>
      <c r="F445" t="s">
        <v>5253</v>
      </c>
      <c r="G445" t="s">
        <v>9</v>
      </c>
      <c r="H445" t="s">
        <v>8</v>
      </c>
      <c r="I445" t="s">
        <v>837</v>
      </c>
      <c r="J445">
        <v>60022134</v>
      </c>
      <c r="K445" t="s">
        <v>836</v>
      </c>
      <c r="L445" t="s">
        <v>835</v>
      </c>
      <c r="M445" t="s">
        <v>615</v>
      </c>
      <c r="N445">
        <v>1</v>
      </c>
      <c r="O445" t="s">
        <v>834</v>
      </c>
      <c r="P445">
        <v>7403571081</v>
      </c>
      <c r="Q445">
        <v>60022134</v>
      </c>
      <c r="R445" s="7">
        <v>36831</v>
      </c>
      <c r="S445" s="8">
        <f t="shared" si="48"/>
        <v>2000</v>
      </c>
      <c r="T445" s="8">
        <v>2000</v>
      </c>
      <c r="U445" s="8">
        <f t="shared" si="49"/>
        <v>22</v>
      </c>
      <c r="V445" s="7">
        <v>36831</v>
      </c>
      <c r="W445" t="s">
        <v>403</v>
      </c>
      <c r="X445" s="2">
        <v>2.9860000000000002</v>
      </c>
      <c r="Y445" s="6">
        <f t="shared" si="50"/>
        <v>7.9709564613865094E-2</v>
      </c>
      <c r="AA445">
        <v>7338716</v>
      </c>
      <c r="AB445">
        <v>18902</v>
      </c>
      <c r="AD445" t="s">
        <v>3</v>
      </c>
      <c r="AE445">
        <v>18</v>
      </c>
      <c r="AF445">
        <v>11</v>
      </c>
      <c r="AH445" t="s">
        <v>5252</v>
      </c>
      <c r="AI445" t="s">
        <v>5251</v>
      </c>
      <c r="AK445" t="s">
        <v>5250</v>
      </c>
      <c r="AL445">
        <v>389</v>
      </c>
      <c r="AM445" s="5">
        <f t="shared" si="51"/>
        <v>17.681818181818183</v>
      </c>
      <c r="AN445" s="4">
        <f t="shared" si="52"/>
        <v>2.6780489484010881E-2</v>
      </c>
      <c r="AO445" s="3"/>
      <c r="AP445">
        <v>0</v>
      </c>
      <c r="AR445" t="s">
        <v>1</v>
      </c>
      <c r="AT445" s="2" t="s">
        <v>0</v>
      </c>
      <c r="AU445" s="1">
        <f t="shared" si="53"/>
        <v>6.3830842074908825</v>
      </c>
      <c r="AV445" s="1">
        <f t="shared" si="54"/>
        <v>5.3245027048937983</v>
      </c>
      <c r="AW445" s="1">
        <f t="shared" si="55"/>
        <v>4.2659212022967141</v>
      </c>
    </row>
    <row r="446" spans="1:49" x14ac:dyDescent="0.2">
      <c r="A446">
        <v>444</v>
      </c>
      <c r="B446" t="s">
        <v>5249</v>
      </c>
      <c r="C446" t="s">
        <v>5248</v>
      </c>
      <c r="F446" t="s">
        <v>5247</v>
      </c>
      <c r="G446" t="s">
        <v>9</v>
      </c>
      <c r="H446" t="s">
        <v>8</v>
      </c>
      <c r="I446" t="s">
        <v>5246</v>
      </c>
      <c r="J446" t="s">
        <v>5245</v>
      </c>
      <c r="K446" t="s">
        <v>5244</v>
      </c>
      <c r="L446" t="s">
        <v>5243</v>
      </c>
      <c r="M446" t="s">
        <v>94</v>
      </c>
      <c r="N446">
        <v>1</v>
      </c>
      <c r="O446" t="s">
        <v>5242</v>
      </c>
      <c r="P446">
        <v>36240805000</v>
      </c>
      <c r="Q446" t="s">
        <v>5241</v>
      </c>
      <c r="R446" s="7">
        <v>36831</v>
      </c>
      <c r="S446" s="8">
        <f t="shared" si="48"/>
        <v>2000</v>
      </c>
      <c r="T446" s="8">
        <v>2000</v>
      </c>
      <c r="U446" s="8">
        <f t="shared" si="49"/>
        <v>22</v>
      </c>
      <c r="V446" s="7">
        <v>36831</v>
      </c>
      <c r="W446" t="s">
        <v>403</v>
      </c>
      <c r="X446" s="2">
        <v>2.9860000000000002</v>
      </c>
      <c r="Y446" s="6">
        <f t="shared" si="50"/>
        <v>7.9709564613865094E-2</v>
      </c>
      <c r="AA446">
        <v>7338716</v>
      </c>
      <c r="AB446">
        <v>18902</v>
      </c>
      <c r="AD446" t="s">
        <v>3</v>
      </c>
      <c r="AE446">
        <v>18</v>
      </c>
      <c r="AF446">
        <v>11</v>
      </c>
      <c r="AH446" t="s">
        <v>5240</v>
      </c>
      <c r="AI446" t="s">
        <v>5239</v>
      </c>
      <c r="AK446" t="s">
        <v>5238</v>
      </c>
      <c r="AL446">
        <v>1</v>
      </c>
      <c r="AM446" s="5">
        <f t="shared" si="51"/>
        <v>4.5454545454545456E-2</v>
      </c>
      <c r="AN446" s="4">
        <f t="shared" si="52"/>
        <v>6.8844445974321024E-5</v>
      </c>
      <c r="AO446" s="3"/>
      <c r="AP446">
        <v>0</v>
      </c>
      <c r="AR446" t="s">
        <v>1</v>
      </c>
      <c r="AT446" s="2" t="s">
        <v>0</v>
      </c>
      <c r="AU446" s="1">
        <f t="shared" si="53"/>
        <v>5.5817348563497857</v>
      </c>
      <c r="AV446" s="1">
        <f t="shared" si="54"/>
        <v>3.9889204529919708</v>
      </c>
      <c r="AW446" s="1">
        <f t="shared" si="55"/>
        <v>2.3961060496341551</v>
      </c>
    </row>
    <row r="447" spans="1:49" x14ac:dyDescent="0.2">
      <c r="A447">
        <v>445</v>
      </c>
      <c r="B447" t="s">
        <v>5237</v>
      </c>
      <c r="C447" t="s">
        <v>5236</v>
      </c>
      <c r="F447" t="s">
        <v>5235</v>
      </c>
      <c r="G447" t="s">
        <v>9</v>
      </c>
      <c r="H447" t="s">
        <v>8</v>
      </c>
      <c r="I447" t="s">
        <v>5234</v>
      </c>
      <c r="J447">
        <v>100426224</v>
      </c>
      <c r="K447" t="s">
        <v>5233</v>
      </c>
      <c r="L447" t="s">
        <v>5232</v>
      </c>
      <c r="M447" t="s">
        <v>5232</v>
      </c>
      <c r="N447">
        <v>1</v>
      </c>
      <c r="O447" t="s">
        <v>5231</v>
      </c>
      <c r="P447">
        <v>6506505021</v>
      </c>
      <c r="Q447">
        <v>100426224</v>
      </c>
      <c r="R447" s="7">
        <v>36831</v>
      </c>
      <c r="S447" s="8">
        <f t="shared" si="48"/>
        <v>2000</v>
      </c>
      <c r="T447" s="8">
        <v>2000</v>
      </c>
      <c r="U447" s="8">
        <f t="shared" si="49"/>
        <v>22</v>
      </c>
      <c r="V447" s="7">
        <v>36831</v>
      </c>
      <c r="W447" t="s">
        <v>483</v>
      </c>
      <c r="X447" s="2">
        <v>0.33800000000000002</v>
      </c>
      <c r="Y447" s="6">
        <f t="shared" si="50"/>
        <v>9.0227169589706634E-3</v>
      </c>
      <c r="AA447">
        <v>7372884</v>
      </c>
      <c r="AB447">
        <v>70506</v>
      </c>
      <c r="AD447" t="s">
        <v>3</v>
      </c>
      <c r="AE447">
        <v>18</v>
      </c>
      <c r="AF447">
        <v>6</v>
      </c>
      <c r="AH447" t="s">
        <v>5230</v>
      </c>
      <c r="AI447" t="s">
        <v>5229</v>
      </c>
      <c r="AK447" t="s">
        <v>5228</v>
      </c>
      <c r="AL447">
        <v>0</v>
      </c>
      <c r="AM447" s="5">
        <f t="shared" si="51"/>
        <v>0</v>
      </c>
      <c r="AN447" s="4">
        <f t="shared" si="52"/>
        <v>0</v>
      </c>
      <c r="AO447" s="3"/>
      <c r="AP447">
        <v>0</v>
      </c>
      <c r="AR447" t="s">
        <v>1</v>
      </c>
      <c r="AT447" s="2" t="s">
        <v>0</v>
      </c>
      <c r="AU447" s="1">
        <f t="shared" si="53"/>
        <v>0.63159018712794635</v>
      </c>
      <c r="AV447" s="1">
        <f t="shared" si="54"/>
        <v>0.45113584794853318</v>
      </c>
      <c r="AW447" s="1">
        <f t="shared" si="55"/>
        <v>0.27068150876911989</v>
      </c>
    </row>
    <row r="448" spans="1:49" x14ac:dyDescent="0.2">
      <c r="A448">
        <v>446</v>
      </c>
      <c r="B448" t="s">
        <v>5227</v>
      </c>
      <c r="C448" t="s">
        <v>5226</v>
      </c>
      <c r="F448" t="s">
        <v>5225</v>
      </c>
      <c r="G448" t="s">
        <v>9</v>
      </c>
      <c r="H448" t="s">
        <v>8</v>
      </c>
      <c r="I448" t="s">
        <v>5224</v>
      </c>
      <c r="J448">
        <v>100326898</v>
      </c>
      <c r="K448" t="s">
        <v>5223</v>
      </c>
      <c r="L448" t="s">
        <v>594</v>
      </c>
      <c r="M448" t="s">
        <v>53</v>
      </c>
      <c r="N448">
        <v>2</v>
      </c>
      <c r="O448" t="s">
        <v>5222</v>
      </c>
      <c r="P448" t="s">
        <v>5221</v>
      </c>
      <c r="Q448" t="s">
        <v>5220</v>
      </c>
      <c r="R448" s="7">
        <v>36831</v>
      </c>
      <c r="S448" s="8">
        <f t="shared" si="48"/>
        <v>2000</v>
      </c>
      <c r="T448" s="8">
        <v>2000</v>
      </c>
      <c r="U448" s="8">
        <f t="shared" si="49"/>
        <v>22</v>
      </c>
      <c r="V448" s="7">
        <v>36831</v>
      </c>
      <c r="W448" t="s">
        <v>483</v>
      </c>
      <c r="X448" s="2">
        <v>0.33800000000000002</v>
      </c>
      <c r="Y448" s="6">
        <f t="shared" si="50"/>
        <v>9.0227169589706634E-3</v>
      </c>
      <c r="AA448">
        <v>7372884</v>
      </c>
      <c r="AB448">
        <v>70506</v>
      </c>
      <c r="AD448" t="s">
        <v>3</v>
      </c>
      <c r="AE448">
        <v>18</v>
      </c>
      <c r="AF448">
        <v>6</v>
      </c>
      <c r="AH448" t="s">
        <v>5219</v>
      </c>
      <c r="AI448" t="s">
        <v>5218</v>
      </c>
      <c r="AK448" t="s">
        <v>5217</v>
      </c>
      <c r="AL448">
        <v>22</v>
      </c>
      <c r="AM448" s="5">
        <f t="shared" si="51"/>
        <v>1</v>
      </c>
      <c r="AN448" s="4">
        <f t="shared" si="52"/>
        <v>1.5145778114350624E-3</v>
      </c>
      <c r="AO448" s="3"/>
      <c r="AP448">
        <v>0</v>
      </c>
      <c r="AR448" t="s">
        <v>1</v>
      </c>
      <c r="AT448" s="2" t="s">
        <v>0</v>
      </c>
      <c r="AU448" s="1">
        <f t="shared" si="53"/>
        <v>0.67702752147099821</v>
      </c>
      <c r="AV448" s="1">
        <f t="shared" si="54"/>
        <v>0.52686473852028626</v>
      </c>
      <c r="AW448" s="1">
        <f t="shared" si="55"/>
        <v>0.37670195556957431</v>
      </c>
    </row>
    <row r="449" spans="1:49" x14ac:dyDescent="0.2">
      <c r="A449">
        <v>447</v>
      </c>
      <c r="B449" t="s">
        <v>5216</v>
      </c>
      <c r="C449" t="s">
        <v>5215</v>
      </c>
      <c r="D449" t="s">
        <v>5214</v>
      </c>
      <c r="F449" t="s">
        <v>5213</v>
      </c>
      <c r="G449" t="s">
        <v>9</v>
      </c>
      <c r="H449" t="s">
        <v>8</v>
      </c>
      <c r="I449" t="s">
        <v>5212</v>
      </c>
      <c r="J449">
        <v>60012162</v>
      </c>
      <c r="K449" t="s">
        <v>495</v>
      </c>
      <c r="L449" t="s">
        <v>54</v>
      </c>
      <c r="M449" t="s">
        <v>53</v>
      </c>
      <c r="N449">
        <v>1</v>
      </c>
      <c r="O449" t="s">
        <v>5211</v>
      </c>
      <c r="P449">
        <v>14067359300</v>
      </c>
      <c r="Q449">
        <v>60012162</v>
      </c>
      <c r="R449" s="7">
        <v>36831</v>
      </c>
      <c r="S449" s="8">
        <f t="shared" si="48"/>
        <v>2000</v>
      </c>
      <c r="T449" s="8">
        <v>2000</v>
      </c>
      <c r="U449" s="8">
        <f t="shared" si="49"/>
        <v>22</v>
      </c>
      <c r="V449" s="7">
        <v>36831</v>
      </c>
      <c r="W449" t="s">
        <v>221</v>
      </c>
      <c r="X449" s="2">
        <v>1.365</v>
      </c>
      <c r="Y449" s="6">
        <f t="shared" si="50"/>
        <v>3.6437895411227675E-2</v>
      </c>
      <c r="AA449">
        <v>189545</v>
      </c>
      <c r="AB449">
        <v>17393</v>
      </c>
      <c r="AD449" t="s">
        <v>3</v>
      </c>
      <c r="AE449">
        <v>49</v>
      </c>
      <c r="AF449">
        <v>6</v>
      </c>
      <c r="AH449" t="s">
        <v>5210</v>
      </c>
      <c r="AI449" t="s">
        <v>5209</v>
      </c>
      <c r="AJ449" t="s">
        <v>5208</v>
      </c>
      <c r="AK449" t="s">
        <v>5207</v>
      </c>
      <c r="AL449">
        <v>41</v>
      </c>
      <c r="AM449" s="5">
        <f t="shared" si="51"/>
        <v>1.8636363636363635</v>
      </c>
      <c r="AN449" s="4">
        <f t="shared" si="52"/>
        <v>2.8226222849471617E-3</v>
      </c>
      <c r="AO449" s="3"/>
      <c r="AP449">
        <v>0</v>
      </c>
      <c r="AR449" t="s">
        <v>1</v>
      </c>
      <c r="AT449" s="2" t="s">
        <v>0</v>
      </c>
      <c r="AU449" s="1">
        <f t="shared" si="53"/>
        <v>2.6353313473343518</v>
      </c>
      <c r="AV449" s="1">
        <f t="shared" si="54"/>
        <v>1.9630258848087418</v>
      </c>
      <c r="AW449" s="1">
        <f t="shared" si="55"/>
        <v>1.2907204222831314</v>
      </c>
    </row>
    <row r="450" spans="1:49" x14ac:dyDescent="0.2">
      <c r="A450">
        <v>448</v>
      </c>
      <c r="B450" t="s">
        <v>5206</v>
      </c>
      <c r="C450" t="s">
        <v>5205</v>
      </c>
      <c r="F450" t="s">
        <v>5204</v>
      </c>
      <c r="G450" t="s">
        <v>9</v>
      </c>
      <c r="H450" t="s">
        <v>8</v>
      </c>
      <c r="I450" t="s">
        <v>538</v>
      </c>
      <c r="J450" t="s">
        <v>5203</v>
      </c>
      <c r="K450" t="s">
        <v>5202</v>
      </c>
      <c r="L450" t="s">
        <v>5201</v>
      </c>
      <c r="M450" t="s">
        <v>373</v>
      </c>
      <c r="N450">
        <v>1</v>
      </c>
      <c r="O450" t="s">
        <v>619</v>
      </c>
      <c r="P450">
        <v>7501504156</v>
      </c>
      <c r="Q450" t="s">
        <v>5200</v>
      </c>
      <c r="R450" s="7">
        <v>36831</v>
      </c>
      <c r="S450" s="8">
        <f t="shared" ref="S450:S513" si="56">YEAR(R450)</f>
        <v>2000</v>
      </c>
      <c r="T450" s="8">
        <v>2000</v>
      </c>
      <c r="U450" s="8">
        <f t="shared" ref="U450:U513" si="57">2022-T450</f>
        <v>22</v>
      </c>
      <c r="V450" s="7">
        <v>36831</v>
      </c>
      <c r="W450" t="s">
        <v>289</v>
      </c>
      <c r="X450" s="2">
        <v>0.65500000000000003</v>
      </c>
      <c r="Y450" s="6">
        <f t="shared" ref="Y450:Y513" si="58">(X450-$Z$3)/($Z$2-$Z$3)</f>
        <v>1.7484850911614749E-2</v>
      </c>
      <c r="AA450">
        <v>189375</v>
      </c>
      <c r="AB450">
        <v>26051</v>
      </c>
      <c r="AD450" t="s">
        <v>3</v>
      </c>
      <c r="AE450">
        <v>42</v>
      </c>
      <c r="AF450">
        <v>4</v>
      </c>
      <c r="AH450" t="s">
        <v>333</v>
      </c>
      <c r="AI450" t="s">
        <v>5199</v>
      </c>
      <c r="AK450" t="s">
        <v>5198</v>
      </c>
      <c r="AL450">
        <v>24</v>
      </c>
      <c r="AM450" s="5">
        <f t="shared" ref="AM450:AM513" si="59">AL450/U450</f>
        <v>1.0909090909090908</v>
      </c>
      <c r="AN450" s="4">
        <f t="shared" ref="AN450:AN513" si="60">(AM450-$AO$3)/($AO$2-$AO$3)</f>
        <v>1.6522667033837045E-3</v>
      </c>
      <c r="AO450" s="3"/>
      <c r="AP450">
        <v>0</v>
      </c>
      <c r="AR450" t="s">
        <v>1</v>
      </c>
      <c r="AT450" s="2" t="s">
        <v>0</v>
      </c>
      <c r="AU450" s="1">
        <f t="shared" ref="AU450:AU513" si="61">(Y450*0.7+AN450*0.3)*100</f>
        <v>1.2735075649145433</v>
      </c>
      <c r="AV450" s="1">
        <f t="shared" ref="AV450:AV513" si="62">(Y450*0.5+AN450*0.5)*100</f>
        <v>0.95685588074992267</v>
      </c>
      <c r="AW450" s="1">
        <f t="shared" ref="AW450:AW513" si="63">(Y450*0.3+AN450*0.7)*100</f>
        <v>0.64020419658530181</v>
      </c>
    </row>
    <row r="451" spans="1:49" x14ac:dyDescent="0.2">
      <c r="A451">
        <v>449</v>
      </c>
      <c r="B451" t="s">
        <v>5197</v>
      </c>
      <c r="C451" t="s">
        <v>5196</v>
      </c>
      <c r="F451" t="s">
        <v>5195</v>
      </c>
      <c r="G451" t="s">
        <v>9</v>
      </c>
      <c r="H451" t="s">
        <v>8</v>
      </c>
      <c r="I451" t="s">
        <v>5194</v>
      </c>
      <c r="J451" t="s">
        <v>5193</v>
      </c>
      <c r="K451" t="s">
        <v>5192</v>
      </c>
      <c r="L451" t="s">
        <v>5191</v>
      </c>
      <c r="M451" t="s">
        <v>5190</v>
      </c>
      <c r="N451">
        <v>4</v>
      </c>
      <c r="O451" t="s">
        <v>5189</v>
      </c>
      <c r="P451" t="s">
        <v>5188</v>
      </c>
      <c r="Q451" t="s">
        <v>5187</v>
      </c>
      <c r="R451" s="7">
        <v>36831</v>
      </c>
      <c r="S451" s="8">
        <f t="shared" si="56"/>
        <v>2000</v>
      </c>
      <c r="T451" s="8">
        <v>2000</v>
      </c>
      <c r="U451" s="8">
        <f t="shared" si="57"/>
        <v>22</v>
      </c>
      <c r="V451" s="7">
        <v>36831</v>
      </c>
      <c r="W451" t="s">
        <v>289</v>
      </c>
      <c r="X451" s="2">
        <v>0.65500000000000003</v>
      </c>
      <c r="Y451" s="6">
        <f t="shared" si="58"/>
        <v>1.7484850911614749E-2</v>
      </c>
      <c r="AA451">
        <v>189375</v>
      </c>
      <c r="AB451">
        <v>26051</v>
      </c>
      <c r="AD451" t="s">
        <v>3</v>
      </c>
      <c r="AE451">
        <v>42</v>
      </c>
      <c r="AF451">
        <v>4</v>
      </c>
      <c r="AH451" t="s">
        <v>389</v>
      </c>
      <c r="AI451" t="s">
        <v>5186</v>
      </c>
      <c r="AK451" t="s">
        <v>5185</v>
      </c>
      <c r="AL451">
        <v>33</v>
      </c>
      <c r="AM451" s="5">
        <f t="shared" si="59"/>
        <v>1.5</v>
      </c>
      <c r="AN451" s="4">
        <f t="shared" si="60"/>
        <v>2.2718667171525938E-3</v>
      </c>
      <c r="AO451" s="3"/>
      <c r="AP451">
        <v>0</v>
      </c>
      <c r="AR451" t="s">
        <v>1</v>
      </c>
      <c r="AT451" s="2" t="s">
        <v>0</v>
      </c>
      <c r="AU451" s="1">
        <f t="shared" si="61"/>
        <v>1.2920955653276101</v>
      </c>
      <c r="AV451" s="1">
        <f t="shared" si="62"/>
        <v>0.9878358814383672</v>
      </c>
      <c r="AW451" s="1">
        <f t="shared" si="63"/>
        <v>0.68357619754912413</v>
      </c>
    </row>
    <row r="452" spans="1:49" x14ac:dyDescent="0.2">
      <c r="A452">
        <v>450</v>
      </c>
      <c r="B452" t="s">
        <v>5184</v>
      </c>
      <c r="C452" t="s">
        <v>5183</v>
      </c>
      <c r="F452" t="s">
        <v>5182</v>
      </c>
      <c r="G452" t="s">
        <v>9</v>
      </c>
      <c r="H452" t="s">
        <v>8</v>
      </c>
      <c r="I452" t="s">
        <v>5181</v>
      </c>
      <c r="J452">
        <v>60070264</v>
      </c>
      <c r="K452" t="s">
        <v>5180</v>
      </c>
      <c r="L452" t="s">
        <v>543</v>
      </c>
      <c r="M452" t="s">
        <v>251</v>
      </c>
      <c r="N452">
        <v>1</v>
      </c>
      <c r="O452" t="s">
        <v>5179</v>
      </c>
      <c r="P452">
        <v>6701834327</v>
      </c>
      <c r="Q452">
        <v>60070264</v>
      </c>
      <c r="R452" s="7">
        <v>36831</v>
      </c>
      <c r="S452" s="8">
        <f t="shared" si="56"/>
        <v>2000</v>
      </c>
      <c r="T452" s="8">
        <v>2000</v>
      </c>
      <c r="U452" s="8">
        <f t="shared" si="57"/>
        <v>22</v>
      </c>
      <c r="V452" s="7">
        <v>36831</v>
      </c>
      <c r="W452" t="s">
        <v>291</v>
      </c>
      <c r="X452" s="2">
        <v>1.6519999999999999</v>
      </c>
      <c r="Y452" s="6">
        <f t="shared" si="58"/>
        <v>4.409919649769093E-2</v>
      </c>
      <c r="AA452" t="s">
        <v>290</v>
      </c>
      <c r="AB452">
        <v>17337</v>
      </c>
      <c r="AD452" t="s">
        <v>3</v>
      </c>
      <c r="AE452">
        <v>48</v>
      </c>
      <c r="AF452">
        <v>11</v>
      </c>
      <c r="AH452" t="s">
        <v>5178</v>
      </c>
      <c r="AI452" t="s">
        <v>5177</v>
      </c>
      <c r="AK452" t="s">
        <v>5176</v>
      </c>
      <c r="AL452">
        <v>13</v>
      </c>
      <c r="AM452" s="5">
        <f t="shared" si="59"/>
        <v>0.59090909090909094</v>
      </c>
      <c r="AN452" s="4">
        <f t="shared" si="60"/>
        <v>8.9497779766617338E-4</v>
      </c>
      <c r="AO452" s="3"/>
      <c r="AP452">
        <v>0</v>
      </c>
      <c r="AR452" t="s">
        <v>1</v>
      </c>
      <c r="AT452" s="2" t="s">
        <v>0</v>
      </c>
      <c r="AU452" s="1">
        <f t="shared" si="61"/>
        <v>3.1137930887683503</v>
      </c>
      <c r="AV452" s="1">
        <f t="shared" si="62"/>
        <v>2.2497087147678552</v>
      </c>
      <c r="AW452" s="1">
        <f t="shared" si="63"/>
        <v>1.3856243407673599</v>
      </c>
    </row>
    <row r="453" spans="1:49" x14ac:dyDescent="0.2">
      <c r="A453">
        <v>451</v>
      </c>
      <c r="B453" t="s">
        <v>5175</v>
      </c>
      <c r="C453" t="s">
        <v>5174</v>
      </c>
      <c r="F453" t="s">
        <v>5173</v>
      </c>
      <c r="G453" t="s">
        <v>9</v>
      </c>
      <c r="H453" t="s">
        <v>8</v>
      </c>
      <c r="I453" t="s">
        <v>5172</v>
      </c>
      <c r="J453" t="s">
        <v>5171</v>
      </c>
      <c r="K453" t="s">
        <v>5170</v>
      </c>
      <c r="L453" t="s">
        <v>5169</v>
      </c>
      <c r="M453" t="s">
        <v>183</v>
      </c>
      <c r="N453">
        <v>3</v>
      </c>
      <c r="O453" t="s">
        <v>5168</v>
      </c>
      <c r="P453" t="s">
        <v>5167</v>
      </c>
      <c r="Q453" t="s">
        <v>5166</v>
      </c>
      <c r="R453" s="7">
        <v>36831</v>
      </c>
      <c r="S453" s="8">
        <f t="shared" si="56"/>
        <v>2000</v>
      </c>
      <c r="T453" s="8">
        <v>2000</v>
      </c>
      <c r="U453" s="8">
        <f t="shared" si="57"/>
        <v>22</v>
      </c>
      <c r="V453" s="7">
        <v>36831</v>
      </c>
      <c r="W453" t="s">
        <v>221</v>
      </c>
      <c r="X453" s="2">
        <v>1.365</v>
      </c>
      <c r="Y453" s="6">
        <f t="shared" si="58"/>
        <v>3.6437895411227675E-2</v>
      </c>
      <c r="AA453">
        <v>189545</v>
      </c>
      <c r="AB453">
        <v>17393</v>
      </c>
      <c r="AD453" t="s">
        <v>3</v>
      </c>
      <c r="AE453">
        <v>49</v>
      </c>
      <c r="AF453">
        <v>6</v>
      </c>
      <c r="AH453" t="s">
        <v>5165</v>
      </c>
      <c r="AI453" t="s">
        <v>5164</v>
      </c>
      <c r="AK453" t="s">
        <v>5163</v>
      </c>
      <c r="AL453">
        <v>83</v>
      </c>
      <c r="AM453" s="5">
        <f t="shared" si="59"/>
        <v>3.7727272727272729</v>
      </c>
      <c r="AN453" s="4">
        <f t="shared" si="60"/>
        <v>5.7140890158686453E-3</v>
      </c>
      <c r="AO453" s="3"/>
      <c r="AP453">
        <v>0</v>
      </c>
      <c r="AR453" t="s">
        <v>1</v>
      </c>
      <c r="AT453" s="2" t="s">
        <v>0</v>
      </c>
      <c r="AU453" s="1">
        <f t="shared" si="61"/>
        <v>2.7220753492619965</v>
      </c>
      <c r="AV453" s="1">
        <f t="shared" si="62"/>
        <v>2.1075992213548158</v>
      </c>
      <c r="AW453" s="1">
        <f t="shared" si="63"/>
        <v>1.4931230934476354</v>
      </c>
    </row>
    <row r="454" spans="1:49" x14ac:dyDescent="0.2">
      <c r="A454">
        <v>452</v>
      </c>
      <c r="B454" t="s">
        <v>5162</v>
      </c>
      <c r="C454" t="s">
        <v>5161</v>
      </c>
      <c r="F454" t="s">
        <v>5160</v>
      </c>
      <c r="G454" t="s">
        <v>9</v>
      </c>
      <c r="H454" t="s">
        <v>8</v>
      </c>
      <c r="I454" t="s">
        <v>5159</v>
      </c>
      <c r="J454" t="s">
        <v>5158</v>
      </c>
      <c r="K454" t="s">
        <v>5157</v>
      </c>
      <c r="L454" t="s">
        <v>5156</v>
      </c>
      <c r="M454" t="s">
        <v>5155</v>
      </c>
      <c r="N454">
        <v>2</v>
      </c>
      <c r="O454" t="s">
        <v>5154</v>
      </c>
      <c r="P454" t="s">
        <v>5153</v>
      </c>
      <c r="Q454" t="s">
        <v>5152</v>
      </c>
      <c r="R454" s="7">
        <v>36831</v>
      </c>
      <c r="S454" s="8">
        <f t="shared" si="56"/>
        <v>2000</v>
      </c>
      <c r="T454" s="8">
        <v>2000</v>
      </c>
      <c r="U454" s="8">
        <f t="shared" si="57"/>
        <v>22</v>
      </c>
      <c r="V454" s="7">
        <v>36831</v>
      </c>
      <c r="W454" t="s">
        <v>221</v>
      </c>
      <c r="X454" s="2">
        <v>1.365</v>
      </c>
      <c r="Y454" s="6">
        <f t="shared" si="58"/>
        <v>3.6437895411227675E-2</v>
      </c>
      <c r="AA454">
        <v>189545</v>
      </c>
      <c r="AB454">
        <v>17393</v>
      </c>
      <c r="AD454" t="s">
        <v>3</v>
      </c>
      <c r="AE454">
        <v>49</v>
      </c>
      <c r="AF454">
        <v>6</v>
      </c>
      <c r="AH454" t="s">
        <v>5151</v>
      </c>
      <c r="AI454" t="s">
        <v>5150</v>
      </c>
      <c r="AK454" t="s">
        <v>5149</v>
      </c>
      <c r="AL454">
        <v>7</v>
      </c>
      <c r="AM454" s="5">
        <f t="shared" si="59"/>
        <v>0.31818181818181818</v>
      </c>
      <c r="AN454" s="4">
        <f t="shared" si="60"/>
        <v>4.8191112182024716E-4</v>
      </c>
      <c r="AO454" s="3"/>
      <c r="AP454">
        <v>0</v>
      </c>
      <c r="AR454" t="s">
        <v>5148</v>
      </c>
      <c r="AT454" s="2" t="s">
        <v>0</v>
      </c>
      <c r="AU454" s="1">
        <f t="shared" si="61"/>
        <v>2.5651100124405444</v>
      </c>
      <c r="AV454" s="1">
        <f t="shared" si="62"/>
        <v>1.8459903266523963</v>
      </c>
      <c r="AW454" s="1">
        <f t="shared" si="63"/>
        <v>1.1268706408642475</v>
      </c>
    </row>
    <row r="455" spans="1:49" x14ac:dyDescent="0.2">
      <c r="A455">
        <v>453</v>
      </c>
      <c r="B455" t="s">
        <v>5147</v>
      </c>
      <c r="C455" t="s">
        <v>5146</v>
      </c>
      <c r="F455" t="s">
        <v>5145</v>
      </c>
      <c r="G455" t="s">
        <v>9</v>
      </c>
      <c r="H455" t="s">
        <v>8</v>
      </c>
      <c r="I455" t="s">
        <v>587</v>
      </c>
      <c r="J455" t="s">
        <v>5061</v>
      </c>
      <c r="K455" t="s">
        <v>5060</v>
      </c>
      <c r="L455" t="s">
        <v>5059</v>
      </c>
      <c r="M455" t="s">
        <v>642</v>
      </c>
      <c r="N455">
        <v>2</v>
      </c>
      <c r="O455" t="s">
        <v>5058</v>
      </c>
      <c r="P455" t="s">
        <v>5057</v>
      </c>
      <c r="Q455" t="s">
        <v>5056</v>
      </c>
      <c r="R455" s="7">
        <v>36831</v>
      </c>
      <c r="S455" s="8">
        <f t="shared" si="56"/>
        <v>2000</v>
      </c>
      <c r="T455" s="8">
        <v>2000</v>
      </c>
      <c r="U455" s="8">
        <f t="shared" si="57"/>
        <v>22</v>
      </c>
      <c r="V455" s="7">
        <v>36831</v>
      </c>
      <c r="W455" t="s">
        <v>291</v>
      </c>
      <c r="X455" s="2">
        <v>1.6519999999999999</v>
      </c>
      <c r="Y455" s="6">
        <f t="shared" si="58"/>
        <v>4.409919649769093E-2</v>
      </c>
      <c r="AA455" t="s">
        <v>290</v>
      </c>
      <c r="AB455">
        <v>17337</v>
      </c>
      <c r="AD455" t="s">
        <v>3</v>
      </c>
      <c r="AE455">
        <v>48</v>
      </c>
      <c r="AF455">
        <v>11</v>
      </c>
      <c r="AH455" t="s">
        <v>5144</v>
      </c>
      <c r="AI455" t="s">
        <v>5143</v>
      </c>
      <c r="AK455" t="s">
        <v>5142</v>
      </c>
      <c r="AL455">
        <v>156</v>
      </c>
      <c r="AM455" s="5">
        <f t="shared" si="59"/>
        <v>7.0909090909090908</v>
      </c>
      <c r="AN455" s="4">
        <f t="shared" si="60"/>
        <v>1.0739733571994078E-2</v>
      </c>
      <c r="AO455" s="3"/>
      <c r="AP455">
        <v>0</v>
      </c>
      <c r="AR455" t="s">
        <v>1</v>
      </c>
      <c r="AT455" s="2" t="s">
        <v>0</v>
      </c>
      <c r="AU455" s="1">
        <f t="shared" si="61"/>
        <v>3.4091357619981872</v>
      </c>
      <c r="AV455" s="1">
        <f t="shared" si="62"/>
        <v>2.7419465034842503</v>
      </c>
      <c r="AW455" s="1">
        <f t="shared" si="63"/>
        <v>2.0747572449703133</v>
      </c>
    </row>
    <row r="456" spans="1:49" x14ac:dyDescent="0.2">
      <c r="A456">
        <v>454</v>
      </c>
      <c r="B456" t="s">
        <v>5141</v>
      </c>
      <c r="C456" t="s">
        <v>5140</v>
      </c>
      <c r="F456" t="s">
        <v>5139</v>
      </c>
      <c r="G456" t="s">
        <v>9</v>
      </c>
      <c r="H456" t="s">
        <v>8</v>
      </c>
      <c r="I456" t="s">
        <v>5138</v>
      </c>
      <c r="J456">
        <v>60018491</v>
      </c>
      <c r="K456" t="s">
        <v>18</v>
      </c>
      <c r="L456" t="s">
        <v>17</v>
      </c>
      <c r="M456" t="s">
        <v>16</v>
      </c>
      <c r="N456">
        <v>1</v>
      </c>
      <c r="O456" t="s">
        <v>5137</v>
      </c>
      <c r="P456">
        <v>7005366081</v>
      </c>
      <c r="Q456">
        <v>60018491</v>
      </c>
      <c r="R456" s="7">
        <v>36831</v>
      </c>
      <c r="S456" s="8">
        <f t="shared" si="56"/>
        <v>2000</v>
      </c>
      <c r="T456" s="8">
        <v>2000</v>
      </c>
      <c r="U456" s="8">
        <f t="shared" si="57"/>
        <v>22</v>
      </c>
      <c r="V456" s="7">
        <v>36831</v>
      </c>
      <c r="W456" t="s">
        <v>221</v>
      </c>
      <c r="X456" s="2">
        <v>1.365</v>
      </c>
      <c r="Y456" s="6">
        <f t="shared" si="58"/>
        <v>3.6437895411227675E-2</v>
      </c>
      <c r="AA456">
        <v>189545</v>
      </c>
      <c r="AB456">
        <v>17393</v>
      </c>
      <c r="AD456" t="s">
        <v>3</v>
      </c>
      <c r="AE456">
        <v>49</v>
      </c>
      <c r="AF456">
        <v>6</v>
      </c>
      <c r="AH456" t="s">
        <v>5136</v>
      </c>
      <c r="AI456" t="s">
        <v>5135</v>
      </c>
      <c r="AK456" t="s">
        <v>5134</v>
      </c>
      <c r="AL456">
        <v>93</v>
      </c>
      <c r="AM456" s="5">
        <f t="shared" si="59"/>
        <v>4.2272727272727275</v>
      </c>
      <c r="AN456" s="4">
        <f t="shared" si="60"/>
        <v>6.4025334756118556E-3</v>
      </c>
      <c r="AO456" s="3"/>
      <c r="AP456">
        <v>0</v>
      </c>
      <c r="AR456" t="s">
        <v>1</v>
      </c>
      <c r="AT456" s="2" t="s">
        <v>0</v>
      </c>
      <c r="AU456" s="1">
        <f t="shared" si="61"/>
        <v>2.7427286830542923</v>
      </c>
      <c r="AV456" s="1">
        <f t="shared" si="62"/>
        <v>2.1420214443419767</v>
      </c>
      <c r="AW456" s="1">
        <f t="shared" si="63"/>
        <v>1.54131420562966</v>
      </c>
    </row>
    <row r="457" spans="1:49" x14ac:dyDescent="0.2">
      <c r="A457">
        <v>455</v>
      </c>
      <c r="B457" t="s">
        <v>5133</v>
      </c>
      <c r="C457" t="s">
        <v>5132</v>
      </c>
      <c r="F457" t="s">
        <v>5131</v>
      </c>
      <c r="G457" t="s">
        <v>9</v>
      </c>
      <c r="H457" t="s">
        <v>8</v>
      </c>
      <c r="I457" t="s">
        <v>5130</v>
      </c>
      <c r="J457">
        <v>60005415</v>
      </c>
      <c r="K457" t="s">
        <v>5129</v>
      </c>
      <c r="L457" t="s">
        <v>5128</v>
      </c>
      <c r="M457" t="s">
        <v>16</v>
      </c>
      <c r="N457">
        <v>2</v>
      </c>
      <c r="O457" t="s">
        <v>5127</v>
      </c>
      <c r="P457" t="s">
        <v>5126</v>
      </c>
      <c r="Q457" t="s">
        <v>5125</v>
      </c>
      <c r="R457" s="7">
        <v>36831</v>
      </c>
      <c r="S457" s="8">
        <f t="shared" si="56"/>
        <v>2000</v>
      </c>
      <c r="T457" s="8">
        <v>2000</v>
      </c>
      <c r="U457" s="8">
        <f t="shared" si="57"/>
        <v>22</v>
      </c>
      <c r="V457" s="7">
        <v>36831</v>
      </c>
      <c r="W457" t="s">
        <v>221</v>
      </c>
      <c r="X457" s="2">
        <v>1.365</v>
      </c>
      <c r="Y457" s="6">
        <f t="shared" si="58"/>
        <v>3.6437895411227675E-2</v>
      </c>
      <c r="AA457">
        <v>189545</v>
      </c>
      <c r="AB457">
        <v>17393</v>
      </c>
      <c r="AD457" t="s">
        <v>3</v>
      </c>
      <c r="AE457">
        <v>49</v>
      </c>
      <c r="AF457">
        <v>6</v>
      </c>
      <c r="AH457" t="s">
        <v>5124</v>
      </c>
      <c r="AI457" t="s">
        <v>5123</v>
      </c>
      <c r="AK457" t="s">
        <v>5122</v>
      </c>
      <c r="AL457">
        <v>44</v>
      </c>
      <c r="AM457" s="5">
        <f t="shared" si="59"/>
        <v>2</v>
      </c>
      <c r="AN457" s="4">
        <f t="shared" si="60"/>
        <v>3.0291556228701248E-3</v>
      </c>
      <c r="AO457" s="3"/>
      <c r="AP457">
        <v>0</v>
      </c>
      <c r="AQ457" t="s">
        <v>15</v>
      </c>
      <c r="AR457" t="s">
        <v>1</v>
      </c>
      <c r="AS457" t="s">
        <v>14</v>
      </c>
      <c r="AT457" s="2" t="s">
        <v>0</v>
      </c>
      <c r="AU457" s="1">
        <f t="shared" si="61"/>
        <v>2.6415273474720409</v>
      </c>
      <c r="AV457" s="1">
        <f t="shared" si="62"/>
        <v>1.9733525517048898</v>
      </c>
      <c r="AW457" s="1">
        <f t="shared" si="63"/>
        <v>1.3051777559377389</v>
      </c>
    </row>
    <row r="458" spans="1:49" x14ac:dyDescent="0.2">
      <c r="A458">
        <v>456</v>
      </c>
      <c r="B458" t="s">
        <v>5121</v>
      </c>
      <c r="C458" t="s">
        <v>5120</v>
      </c>
      <c r="F458" t="s">
        <v>5119</v>
      </c>
      <c r="G458" t="s">
        <v>9</v>
      </c>
      <c r="H458" t="s">
        <v>8</v>
      </c>
      <c r="I458" t="s">
        <v>943</v>
      </c>
      <c r="J458" t="s">
        <v>5118</v>
      </c>
      <c r="K458" t="s">
        <v>5117</v>
      </c>
      <c r="L458" t="s">
        <v>5116</v>
      </c>
      <c r="M458" t="s">
        <v>5115</v>
      </c>
      <c r="N458">
        <v>3</v>
      </c>
      <c r="O458" t="s">
        <v>5114</v>
      </c>
      <c r="P458" t="s">
        <v>5113</v>
      </c>
      <c r="Q458" t="s">
        <v>5112</v>
      </c>
      <c r="R458" s="7">
        <v>36831</v>
      </c>
      <c r="S458" s="8">
        <f t="shared" si="56"/>
        <v>2000</v>
      </c>
      <c r="T458" s="8">
        <v>2000</v>
      </c>
      <c r="U458" s="8">
        <f t="shared" si="57"/>
        <v>22</v>
      </c>
      <c r="V458" s="7">
        <v>36831</v>
      </c>
      <c r="W458" t="s">
        <v>291</v>
      </c>
      <c r="X458" s="2">
        <v>1.6519999999999999</v>
      </c>
      <c r="Y458" s="6">
        <f t="shared" si="58"/>
        <v>4.409919649769093E-2</v>
      </c>
      <c r="AA458" t="s">
        <v>290</v>
      </c>
      <c r="AB458">
        <v>17337</v>
      </c>
      <c r="AD458" t="s">
        <v>3</v>
      </c>
      <c r="AE458">
        <v>48</v>
      </c>
      <c r="AF458">
        <v>11</v>
      </c>
      <c r="AH458" t="s">
        <v>5111</v>
      </c>
      <c r="AI458" t="s">
        <v>5110</v>
      </c>
      <c r="AK458" t="s">
        <v>5109</v>
      </c>
      <c r="AL458">
        <v>49</v>
      </c>
      <c r="AM458" s="5">
        <f t="shared" si="59"/>
        <v>2.2272727272727271</v>
      </c>
      <c r="AN458" s="4">
        <f t="shared" si="60"/>
        <v>3.3733778527417295E-3</v>
      </c>
      <c r="AO458" s="3"/>
      <c r="AP458">
        <v>0</v>
      </c>
      <c r="AR458" t="s">
        <v>1</v>
      </c>
      <c r="AT458" s="2" t="s">
        <v>0</v>
      </c>
      <c r="AU458" s="1">
        <f t="shared" si="61"/>
        <v>3.1881450904206168</v>
      </c>
      <c r="AV458" s="1">
        <f t="shared" si="62"/>
        <v>2.3736287175216328</v>
      </c>
      <c r="AW458" s="1">
        <f t="shared" si="63"/>
        <v>1.5591123446226489</v>
      </c>
    </row>
    <row r="459" spans="1:49" x14ac:dyDescent="0.2">
      <c r="A459">
        <v>457</v>
      </c>
      <c r="B459" t="s">
        <v>5108</v>
      </c>
      <c r="C459" t="s">
        <v>5107</v>
      </c>
      <c r="F459" t="s">
        <v>5106</v>
      </c>
      <c r="G459" t="s">
        <v>9</v>
      </c>
      <c r="H459" t="s">
        <v>8</v>
      </c>
      <c r="I459" t="s">
        <v>567</v>
      </c>
      <c r="J459" t="s">
        <v>5105</v>
      </c>
      <c r="K459" t="s">
        <v>5104</v>
      </c>
      <c r="L459" t="s">
        <v>5103</v>
      </c>
      <c r="M459" t="s">
        <v>838</v>
      </c>
      <c r="N459">
        <v>4</v>
      </c>
      <c r="O459" t="s">
        <v>5102</v>
      </c>
      <c r="P459" t="s">
        <v>5101</v>
      </c>
      <c r="Q459" t="s">
        <v>5100</v>
      </c>
      <c r="R459" s="7">
        <v>36831</v>
      </c>
      <c r="S459" s="8">
        <f t="shared" si="56"/>
        <v>2000</v>
      </c>
      <c r="T459" s="8">
        <v>2000</v>
      </c>
      <c r="U459" s="8">
        <f t="shared" si="57"/>
        <v>22</v>
      </c>
      <c r="V459" s="7">
        <v>36831</v>
      </c>
      <c r="W459" t="s">
        <v>289</v>
      </c>
      <c r="X459" s="2">
        <v>0.65500000000000003</v>
      </c>
      <c r="Y459" s="6">
        <f t="shared" si="58"/>
        <v>1.7484850911614749E-2</v>
      </c>
      <c r="AA459">
        <v>189375</v>
      </c>
      <c r="AB459">
        <v>26051</v>
      </c>
      <c r="AD459" t="s">
        <v>3</v>
      </c>
      <c r="AE459">
        <v>42</v>
      </c>
      <c r="AF459">
        <v>4</v>
      </c>
      <c r="AH459" t="s">
        <v>5099</v>
      </c>
      <c r="AI459" t="s">
        <v>5098</v>
      </c>
      <c r="AK459" t="s">
        <v>5097</v>
      </c>
      <c r="AL459">
        <v>14</v>
      </c>
      <c r="AM459" s="5">
        <f t="shared" si="59"/>
        <v>0.63636363636363635</v>
      </c>
      <c r="AN459" s="4">
        <f t="shared" si="60"/>
        <v>9.6382224364049431E-4</v>
      </c>
      <c r="AO459" s="3"/>
      <c r="AP459">
        <v>0</v>
      </c>
      <c r="AQ459" t="s">
        <v>472</v>
      </c>
      <c r="AR459" t="s">
        <v>5096</v>
      </c>
      <c r="AS459" t="s">
        <v>75</v>
      </c>
      <c r="AT459" s="2" t="s">
        <v>0</v>
      </c>
      <c r="AU459" s="1">
        <f t="shared" si="61"/>
        <v>1.2528542311222473</v>
      </c>
      <c r="AV459" s="1">
        <f t="shared" si="62"/>
        <v>0.92243365776276209</v>
      </c>
      <c r="AW459" s="1">
        <f t="shared" si="63"/>
        <v>0.59201308440327705</v>
      </c>
    </row>
    <row r="460" spans="1:49" x14ac:dyDescent="0.2">
      <c r="A460">
        <v>458</v>
      </c>
      <c r="B460" t="s">
        <v>5095</v>
      </c>
      <c r="C460" t="s">
        <v>5094</v>
      </c>
      <c r="F460" t="s">
        <v>5093</v>
      </c>
      <c r="G460" t="s">
        <v>9</v>
      </c>
      <c r="H460" t="s">
        <v>8</v>
      </c>
      <c r="I460" t="s">
        <v>5092</v>
      </c>
      <c r="J460" t="s">
        <v>5091</v>
      </c>
      <c r="K460" t="s">
        <v>5090</v>
      </c>
      <c r="L460" t="s">
        <v>5089</v>
      </c>
      <c r="M460" t="s">
        <v>1791</v>
      </c>
      <c r="N460">
        <v>3</v>
      </c>
      <c r="O460" t="s">
        <v>5088</v>
      </c>
      <c r="P460" t="s">
        <v>5087</v>
      </c>
      <c r="Q460" t="s">
        <v>5086</v>
      </c>
      <c r="R460" s="7">
        <v>36831</v>
      </c>
      <c r="S460" s="8">
        <f t="shared" si="56"/>
        <v>2000</v>
      </c>
      <c r="T460" s="8">
        <v>2000</v>
      </c>
      <c r="U460" s="8">
        <f t="shared" si="57"/>
        <v>22</v>
      </c>
      <c r="V460" s="7">
        <v>36831</v>
      </c>
      <c r="W460" t="s">
        <v>221</v>
      </c>
      <c r="X460" s="2">
        <v>1.365</v>
      </c>
      <c r="Y460" s="6">
        <f t="shared" si="58"/>
        <v>3.6437895411227675E-2</v>
      </c>
      <c r="AA460">
        <v>189545</v>
      </c>
      <c r="AB460">
        <v>17393</v>
      </c>
      <c r="AD460" t="s">
        <v>3</v>
      </c>
      <c r="AE460">
        <v>49</v>
      </c>
      <c r="AF460">
        <v>6</v>
      </c>
      <c r="AH460" t="s">
        <v>5085</v>
      </c>
      <c r="AI460" t="s">
        <v>5084</v>
      </c>
      <c r="AK460" t="s">
        <v>5083</v>
      </c>
      <c r="AL460">
        <v>27</v>
      </c>
      <c r="AM460" s="5">
        <f t="shared" si="59"/>
        <v>1.2272727272727273</v>
      </c>
      <c r="AN460" s="4">
        <f t="shared" si="60"/>
        <v>1.8588000413066676E-3</v>
      </c>
      <c r="AO460" s="3"/>
      <c r="AP460">
        <v>0</v>
      </c>
      <c r="AQ460" t="s">
        <v>5082</v>
      </c>
      <c r="AR460" t="s">
        <v>1</v>
      </c>
      <c r="AS460" t="s">
        <v>5081</v>
      </c>
      <c r="AT460" s="2" t="s">
        <v>0</v>
      </c>
      <c r="AU460" s="1">
        <f t="shared" si="61"/>
        <v>2.6064166800251369</v>
      </c>
      <c r="AV460" s="1">
        <f t="shared" si="62"/>
        <v>1.9148347726267172</v>
      </c>
      <c r="AW460" s="1">
        <f t="shared" si="63"/>
        <v>1.2232528652282968</v>
      </c>
    </row>
    <row r="461" spans="1:49" x14ac:dyDescent="0.2">
      <c r="A461">
        <v>459</v>
      </c>
      <c r="B461" t="s">
        <v>5080</v>
      </c>
      <c r="C461" t="s">
        <v>5079</v>
      </c>
      <c r="F461" t="s">
        <v>5078</v>
      </c>
      <c r="G461" t="s">
        <v>9</v>
      </c>
      <c r="H461" t="s">
        <v>8</v>
      </c>
      <c r="I461" t="s">
        <v>5077</v>
      </c>
      <c r="J461" t="s">
        <v>5076</v>
      </c>
      <c r="K461" t="s">
        <v>5075</v>
      </c>
      <c r="L461" t="s">
        <v>5074</v>
      </c>
      <c r="M461" t="s">
        <v>5073</v>
      </c>
      <c r="N461">
        <v>3</v>
      </c>
      <c r="O461" t="s">
        <v>5072</v>
      </c>
      <c r="P461" t="s">
        <v>5071</v>
      </c>
      <c r="Q461" t="s">
        <v>5070</v>
      </c>
      <c r="R461" s="7">
        <v>36831</v>
      </c>
      <c r="S461" s="8">
        <f t="shared" si="56"/>
        <v>2000</v>
      </c>
      <c r="T461" s="8">
        <v>2000</v>
      </c>
      <c r="U461" s="8">
        <f t="shared" si="57"/>
        <v>22</v>
      </c>
      <c r="V461" s="7">
        <v>36831</v>
      </c>
      <c r="W461" t="s">
        <v>291</v>
      </c>
      <c r="X461" s="2">
        <v>1.6519999999999999</v>
      </c>
      <c r="Y461" s="6">
        <f t="shared" si="58"/>
        <v>4.409919649769093E-2</v>
      </c>
      <c r="AA461" t="s">
        <v>290</v>
      </c>
      <c r="AB461">
        <v>17337</v>
      </c>
      <c r="AD461" t="s">
        <v>3</v>
      </c>
      <c r="AE461">
        <v>48</v>
      </c>
      <c r="AF461">
        <v>11</v>
      </c>
      <c r="AH461" t="s">
        <v>5069</v>
      </c>
      <c r="AI461" t="s">
        <v>5068</v>
      </c>
      <c r="AK461" t="s">
        <v>5067</v>
      </c>
      <c r="AL461">
        <v>114</v>
      </c>
      <c r="AM461" s="5">
        <f t="shared" si="59"/>
        <v>5.1818181818181817</v>
      </c>
      <c r="AN461" s="4">
        <f t="shared" si="60"/>
        <v>7.8482668410725966E-3</v>
      </c>
      <c r="AO461" s="3"/>
      <c r="AP461">
        <v>0</v>
      </c>
      <c r="AQ461" t="s">
        <v>5066</v>
      </c>
      <c r="AR461" t="s">
        <v>1</v>
      </c>
      <c r="AS461" t="s">
        <v>5065</v>
      </c>
      <c r="AT461" s="2" t="s">
        <v>0</v>
      </c>
      <c r="AU461" s="1">
        <f t="shared" si="61"/>
        <v>3.322391760070543</v>
      </c>
      <c r="AV461" s="1">
        <f t="shared" si="62"/>
        <v>2.5973731669381763</v>
      </c>
      <c r="AW461" s="1">
        <f t="shared" si="63"/>
        <v>1.8723545738058096</v>
      </c>
    </row>
    <row r="462" spans="1:49" x14ac:dyDescent="0.2">
      <c r="A462">
        <v>460</v>
      </c>
      <c r="B462" t="s">
        <v>5064</v>
      </c>
      <c r="C462" t="s">
        <v>5063</v>
      </c>
      <c r="F462" t="s">
        <v>5062</v>
      </c>
      <c r="G462" t="s">
        <v>9</v>
      </c>
      <c r="H462" t="s">
        <v>8</v>
      </c>
      <c r="I462" t="s">
        <v>587</v>
      </c>
      <c r="J462" t="s">
        <v>5061</v>
      </c>
      <c r="K462" t="s">
        <v>5060</v>
      </c>
      <c r="L462" t="s">
        <v>5059</v>
      </c>
      <c r="M462" t="s">
        <v>642</v>
      </c>
      <c r="N462">
        <v>2</v>
      </c>
      <c r="O462" t="s">
        <v>5058</v>
      </c>
      <c r="P462" t="s">
        <v>5057</v>
      </c>
      <c r="Q462" t="s">
        <v>5056</v>
      </c>
      <c r="R462" s="7">
        <v>36831</v>
      </c>
      <c r="S462" s="8">
        <f t="shared" si="56"/>
        <v>2000</v>
      </c>
      <c r="T462" s="8">
        <v>2000</v>
      </c>
      <c r="U462" s="8">
        <f t="shared" si="57"/>
        <v>22</v>
      </c>
      <c r="V462" s="7">
        <v>36831</v>
      </c>
      <c r="W462" t="s">
        <v>291</v>
      </c>
      <c r="X462" s="2">
        <v>1.6519999999999999</v>
      </c>
      <c r="Y462" s="6">
        <f t="shared" si="58"/>
        <v>4.409919649769093E-2</v>
      </c>
      <c r="AA462" t="s">
        <v>290</v>
      </c>
      <c r="AB462">
        <v>17337</v>
      </c>
      <c r="AD462" t="s">
        <v>3</v>
      </c>
      <c r="AE462">
        <v>48</v>
      </c>
      <c r="AF462">
        <v>11</v>
      </c>
      <c r="AH462" t="s">
        <v>5055</v>
      </c>
      <c r="AI462" t="s">
        <v>5054</v>
      </c>
      <c r="AK462" t="s">
        <v>5053</v>
      </c>
      <c r="AL462">
        <v>48</v>
      </c>
      <c r="AM462" s="5">
        <f t="shared" si="59"/>
        <v>2.1818181818181817</v>
      </c>
      <c r="AN462" s="4">
        <f t="shared" si="60"/>
        <v>3.3045334067674089E-3</v>
      </c>
      <c r="AO462" s="3"/>
      <c r="AP462">
        <v>0</v>
      </c>
      <c r="AR462" t="s">
        <v>1</v>
      </c>
      <c r="AT462" s="2" t="s">
        <v>0</v>
      </c>
      <c r="AU462" s="1">
        <f t="shared" si="61"/>
        <v>3.1860797570413872</v>
      </c>
      <c r="AV462" s="1">
        <f t="shared" si="62"/>
        <v>2.3701864952229168</v>
      </c>
      <c r="AW462" s="1">
        <f t="shared" si="63"/>
        <v>1.5542932334044464</v>
      </c>
    </row>
    <row r="463" spans="1:49" x14ac:dyDescent="0.2">
      <c r="A463">
        <v>461</v>
      </c>
      <c r="B463" t="s">
        <v>5052</v>
      </c>
      <c r="C463" t="s">
        <v>5051</v>
      </c>
      <c r="F463" t="s">
        <v>5050</v>
      </c>
      <c r="G463" t="s">
        <v>9</v>
      </c>
      <c r="H463" t="s">
        <v>8</v>
      </c>
      <c r="I463" t="s">
        <v>5049</v>
      </c>
      <c r="J463" t="s">
        <v>5048</v>
      </c>
      <c r="K463" t="s">
        <v>5047</v>
      </c>
      <c r="L463" t="s">
        <v>5046</v>
      </c>
      <c r="M463" t="s">
        <v>183</v>
      </c>
      <c r="N463">
        <v>2</v>
      </c>
      <c r="O463" t="s">
        <v>5045</v>
      </c>
      <c r="P463" t="s">
        <v>5044</v>
      </c>
      <c r="Q463" t="s">
        <v>5043</v>
      </c>
      <c r="R463" s="7">
        <v>36831</v>
      </c>
      <c r="S463" s="8">
        <f t="shared" si="56"/>
        <v>2000</v>
      </c>
      <c r="T463" s="8">
        <v>2000</v>
      </c>
      <c r="U463" s="8">
        <f t="shared" si="57"/>
        <v>22</v>
      </c>
      <c r="V463" s="7">
        <v>36831</v>
      </c>
      <c r="W463" t="s">
        <v>289</v>
      </c>
      <c r="X463" s="2">
        <v>0.65500000000000003</v>
      </c>
      <c r="Y463" s="6">
        <f t="shared" si="58"/>
        <v>1.7484850911614749E-2</v>
      </c>
      <c r="AA463">
        <v>189375</v>
      </c>
      <c r="AB463">
        <v>26051</v>
      </c>
      <c r="AD463" t="s">
        <v>3</v>
      </c>
      <c r="AE463">
        <v>42</v>
      </c>
      <c r="AF463">
        <v>4</v>
      </c>
      <c r="AH463" t="s">
        <v>5042</v>
      </c>
      <c r="AI463" t="s">
        <v>5041</v>
      </c>
      <c r="AK463" t="s">
        <v>5040</v>
      </c>
      <c r="AL463">
        <v>8</v>
      </c>
      <c r="AM463" s="5">
        <f t="shared" si="59"/>
        <v>0.36363636363636365</v>
      </c>
      <c r="AN463" s="4">
        <f t="shared" si="60"/>
        <v>5.5075556779456819E-4</v>
      </c>
      <c r="AO463" s="3"/>
      <c r="AP463">
        <v>0</v>
      </c>
      <c r="AR463" t="s">
        <v>1</v>
      </c>
      <c r="AT463" s="2" t="s">
        <v>0</v>
      </c>
      <c r="AU463" s="1">
        <f t="shared" si="61"/>
        <v>1.2404622308468694</v>
      </c>
      <c r="AV463" s="1">
        <f t="shared" si="62"/>
        <v>0.90178032397046581</v>
      </c>
      <c r="AW463" s="1">
        <f t="shared" si="63"/>
        <v>0.56309841709406228</v>
      </c>
    </row>
    <row r="464" spans="1:49" x14ac:dyDescent="0.2">
      <c r="A464">
        <v>462</v>
      </c>
      <c r="B464" t="s">
        <v>5039</v>
      </c>
      <c r="C464" t="s">
        <v>5038</v>
      </c>
      <c r="F464" t="s">
        <v>5037</v>
      </c>
      <c r="G464" t="s">
        <v>9</v>
      </c>
      <c r="H464" t="s">
        <v>8</v>
      </c>
      <c r="I464" t="s">
        <v>5036</v>
      </c>
      <c r="J464" t="s">
        <v>5035</v>
      </c>
      <c r="K464" t="s">
        <v>5034</v>
      </c>
      <c r="L464" t="s">
        <v>5033</v>
      </c>
      <c r="M464" t="s">
        <v>5032</v>
      </c>
      <c r="N464">
        <v>6</v>
      </c>
      <c r="O464" t="s">
        <v>5031</v>
      </c>
      <c r="P464" t="s">
        <v>5030</v>
      </c>
      <c r="Q464" t="s">
        <v>5029</v>
      </c>
      <c r="R464" s="7">
        <v>36831</v>
      </c>
      <c r="S464" s="8">
        <f t="shared" si="56"/>
        <v>2000</v>
      </c>
      <c r="T464" s="8">
        <v>2000</v>
      </c>
      <c r="U464" s="8">
        <f t="shared" si="57"/>
        <v>22</v>
      </c>
      <c r="V464" s="7">
        <v>36831</v>
      </c>
      <c r="W464" t="s">
        <v>555</v>
      </c>
      <c r="X464" s="2">
        <v>2.3759999999999999</v>
      </c>
      <c r="Y464" s="6">
        <f t="shared" si="58"/>
        <v>6.3425963001521576E-2</v>
      </c>
      <c r="AA464" t="s">
        <v>554</v>
      </c>
      <c r="AB464">
        <v>26765</v>
      </c>
      <c r="AC464">
        <v>15384357</v>
      </c>
      <c r="AD464" t="s">
        <v>3</v>
      </c>
      <c r="AE464">
        <v>543</v>
      </c>
      <c r="AF464" t="s">
        <v>528</v>
      </c>
      <c r="AI464" t="s">
        <v>5028</v>
      </c>
      <c r="AJ464" t="s">
        <v>5027</v>
      </c>
      <c r="AK464" t="s">
        <v>5026</v>
      </c>
      <c r="AL464">
        <v>21</v>
      </c>
      <c r="AM464" s="5">
        <f t="shared" si="59"/>
        <v>0.95454545454545459</v>
      </c>
      <c r="AN464" s="4">
        <f t="shared" si="60"/>
        <v>1.4457333654607416E-3</v>
      </c>
      <c r="AO464" s="3"/>
      <c r="AP464">
        <v>0</v>
      </c>
      <c r="AQ464" t="s">
        <v>210</v>
      </c>
      <c r="AR464" t="s">
        <v>5025</v>
      </c>
      <c r="AS464" t="s">
        <v>209</v>
      </c>
      <c r="AT464" s="2">
        <v>5.8739999999999997</v>
      </c>
      <c r="AU464" s="1">
        <f t="shared" si="61"/>
        <v>4.4831894110703319</v>
      </c>
      <c r="AV464" s="1">
        <f t="shared" si="62"/>
        <v>3.2435848183491158</v>
      </c>
      <c r="AW464" s="1">
        <f t="shared" si="63"/>
        <v>2.0039802256278993</v>
      </c>
    </row>
    <row r="465" spans="1:49" x14ac:dyDescent="0.2">
      <c r="A465">
        <v>463</v>
      </c>
      <c r="B465" t="s">
        <v>5024</v>
      </c>
      <c r="C465" t="s">
        <v>5023</v>
      </c>
      <c r="D465" t="s">
        <v>5022</v>
      </c>
      <c r="F465" t="s">
        <v>5021</v>
      </c>
      <c r="G465" t="s">
        <v>9</v>
      </c>
      <c r="H465" t="s">
        <v>8</v>
      </c>
      <c r="I465" t="s">
        <v>5020</v>
      </c>
      <c r="J465" t="s">
        <v>5019</v>
      </c>
      <c r="K465" t="s">
        <v>5018</v>
      </c>
      <c r="L465" t="s">
        <v>5017</v>
      </c>
      <c r="M465" t="s">
        <v>5016</v>
      </c>
      <c r="N465">
        <v>27</v>
      </c>
      <c r="O465" t="s">
        <v>5015</v>
      </c>
      <c r="P465" t="s">
        <v>5014</v>
      </c>
      <c r="Q465" t="s">
        <v>5013</v>
      </c>
      <c r="R465" s="7">
        <v>36831</v>
      </c>
      <c r="S465" s="8">
        <f t="shared" si="56"/>
        <v>2000</v>
      </c>
      <c r="T465" s="8">
        <v>2000</v>
      </c>
      <c r="U465" s="8">
        <f t="shared" si="57"/>
        <v>22</v>
      </c>
      <c r="V465" s="7">
        <v>36831</v>
      </c>
      <c r="W465" t="s">
        <v>5012</v>
      </c>
      <c r="X465" s="2">
        <v>1.5249999999999999</v>
      </c>
      <c r="Y465" s="6">
        <f t="shared" si="58"/>
        <v>4.070900403085876E-2</v>
      </c>
      <c r="AA465">
        <v>191035</v>
      </c>
      <c r="AB465">
        <v>27241</v>
      </c>
      <c r="AD465" t="s">
        <v>3</v>
      </c>
      <c r="AE465">
        <v>148</v>
      </c>
      <c r="AF465">
        <v>1</v>
      </c>
      <c r="AH465" t="s">
        <v>5011</v>
      </c>
      <c r="AI465" t="s">
        <v>5010</v>
      </c>
      <c r="AJ465" t="s">
        <v>5009</v>
      </c>
      <c r="AK465" t="s">
        <v>5008</v>
      </c>
      <c r="AL465">
        <v>61</v>
      </c>
      <c r="AM465" s="5">
        <f t="shared" si="59"/>
        <v>2.7727272727272729</v>
      </c>
      <c r="AN465" s="4">
        <f t="shared" si="60"/>
        <v>4.1995112044335824E-3</v>
      </c>
      <c r="AO465" s="3"/>
      <c r="AP465">
        <v>0</v>
      </c>
      <c r="AQ465" t="s">
        <v>311</v>
      </c>
      <c r="AR465" t="s">
        <v>5007</v>
      </c>
      <c r="AS465" t="s">
        <v>310</v>
      </c>
      <c r="AT465" s="2">
        <v>3.508</v>
      </c>
      <c r="AU465" s="1">
        <f t="shared" si="61"/>
        <v>2.9756156182931202</v>
      </c>
      <c r="AV465" s="1">
        <f t="shared" si="62"/>
        <v>2.2454257617646172</v>
      </c>
      <c r="AW465" s="1">
        <f t="shared" si="63"/>
        <v>1.5152359052361135</v>
      </c>
    </row>
    <row r="466" spans="1:49" x14ac:dyDescent="0.2">
      <c r="A466">
        <v>464</v>
      </c>
      <c r="B466" t="s">
        <v>5006</v>
      </c>
      <c r="C466" t="s">
        <v>5005</v>
      </c>
      <c r="F466" t="s">
        <v>5004</v>
      </c>
      <c r="G466" t="s">
        <v>9</v>
      </c>
      <c r="H466" t="s">
        <v>8</v>
      </c>
      <c r="I466" t="s">
        <v>5003</v>
      </c>
      <c r="J466" t="s">
        <v>5002</v>
      </c>
      <c r="K466" t="s">
        <v>5001</v>
      </c>
      <c r="L466" t="s">
        <v>5000</v>
      </c>
      <c r="M466" t="s">
        <v>269</v>
      </c>
      <c r="N466">
        <v>3</v>
      </c>
      <c r="O466" t="s">
        <v>4999</v>
      </c>
      <c r="P466" t="s">
        <v>4998</v>
      </c>
      <c r="Q466" t="s">
        <v>4997</v>
      </c>
      <c r="R466" s="7">
        <v>36831</v>
      </c>
      <c r="S466" s="8">
        <f t="shared" si="56"/>
        <v>2000</v>
      </c>
      <c r="T466" s="8">
        <v>2000</v>
      </c>
      <c r="U466" s="8">
        <f t="shared" si="57"/>
        <v>22</v>
      </c>
      <c r="V466" s="7">
        <v>36831</v>
      </c>
      <c r="W466" t="s">
        <v>722</v>
      </c>
      <c r="X466" s="2">
        <v>0.66800000000000004</v>
      </c>
      <c r="Y466" s="6">
        <f t="shared" si="58"/>
        <v>1.7831878486959774E-2</v>
      </c>
      <c r="AA466" t="s">
        <v>721</v>
      </c>
      <c r="AB466">
        <v>29593</v>
      </c>
      <c r="AC466">
        <v>21553165</v>
      </c>
      <c r="AD466" t="s">
        <v>3</v>
      </c>
      <c r="AE466">
        <v>39</v>
      </c>
      <c r="AF466">
        <v>31</v>
      </c>
      <c r="AH466" t="s">
        <v>4996</v>
      </c>
      <c r="AI466" t="s">
        <v>4995</v>
      </c>
      <c r="AK466" t="s">
        <v>4994</v>
      </c>
      <c r="AL466">
        <v>20</v>
      </c>
      <c r="AM466" s="5">
        <f t="shared" si="59"/>
        <v>0.90909090909090906</v>
      </c>
      <c r="AN466" s="4">
        <f t="shared" si="60"/>
        <v>1.3768889194864203E-3</v>
      </c>
      <c r="AO466" s="3"/>
      <c r="AP466">
        <v>0</v>
      </c>
      <c r="AR466" t="s">
        <v>1</v>
      </c>
      <c r="AT466" s="2">
        <v>1.98</v>
      </c>
      <c r="AU466" s="1">
        <f t="shared" si="61"/>
        <v>1.2895381616717767</v>
      </c>
      <c r="AV466" s="1">
        <f t="shared" si="62"/>
        <v>0.96043837032230972</v>
      </c>
      <c r="AW466" s="1">
        <f t="shared" si="63"/>
        <v>0.63133857897284262</v>
      </c>
    </row>
    <row r="467" spans="1:49" x14ac:dyDescent="0.2">
      <c r="A467">
        <v>465</v>
      </c>
      <c r="B467" t="s">
        <v>4993</v>
      </c>
      <c r="C467" t="s">
        <v>4992</v>
      </c>
      <c r="F467" t="s">
        <v>4991</v>
      </c>
      <c r="G467" t="s">
        <v>9</v>
      </c>
      <c r="H467" t="s">
        <v>8</v>
      </c>
      <c r="I467" t="s">
        <v>4990</v>
      </c>
      <c r="J467" t="s">
        <v>4989</v>
      </c>
      <c r="K467" t="s">
        <v>4988</v>
      </c>
      <c r="L467" t="s">
        <v>4987</v>
      </c>
      <c r="M467" t="s">
        <v>19</v>
      </c>
      <c r="N467">
        <v>5</v>
      </c>
      <c r="O467" t="s">
        <v>4986</v>
      </c>
      <c r="P467" t="s">
        <v>4985</v>
      </c>
      <c r="Q467" t="s">
        <v>4984</v>
      </c>
      <c r="R467" s="7">
        <v>36830</v>
      </c>
      <c r="S467" s="8">
        <f t="shared" si="56"/>
        <v>2000</v>
      </c>
      <c r="T467" s="8">
        <v>2000</v>
      </c>
      <c r="U467" s="8">
        <f t="shared" si="57"/>
        <v>22</v>
      </c>
      <c r="V467" s="7">
        <v>36830</v>
      </c>
      <c r="W467" t="s">
        <v>616</v>
      </c>
      <c r="X467" s="2">
        <v>0.192</v>
      </c>
      <c r="Y467" s="6">
        <f t="shared" si="58"/>
        <v>5.1253303435572998E-3</v>
      </c>
      <c r="AA467" t="s">
        <v>589</v>
      </c>
      <c r="AB467">
        <v>40067</v>
      </c>
      <c r="AD467" t="s">
        <v>3</v>
      </c>
      <c r="AE467">
        <v>4091</v>
      </c>
      <c r="AF467">
        <v>1</v>
      </c>
      <c r="AH467" t="s">
        <v>4983</v>
      </c>
      <c r="AI467" t="s">
        <v>4982</v>
      </c>
      <c r="AJ467" t="s">
        <v>4981</v>
      </c>
      <c r="AK467" t="s">
        <v>4980</v>
      </c>
      <c r="AL467">
        <v>29</v>
      </c>
      <c r="AM467" s="5">
        <f t="shared" si="59"/>
        <v>1.3181818181818181</v>
      </c>
      <c r="AN467" s="4">
        <f t="shared" si="60"/>
        <v>1.9964889332553097E-3</v>
      </c>
      <c r="AO467" s="3"/>
      <c r="AP467">
        <v>0</v>
      </c>
      <c r="AR467" t="s">
        <v>1</v>
      </c>
      <c r="AT467" s="2" t="s">
        <v>0</v>
      </c>
      <c r="AU467" s="1">
        <f t="shared" si="61"/>
        <v>0.41866779204667026</v>
      </c>
      <c r="AV467" s="1">
        <f t="shared" si="62"/>
        <v>0.35609096384063044</v>
      </c>
      <c r="AW467" s="1">
        <f t="shared" si="63"/>
        <v>0.29351413563459061</v>
      </c>
    </row>
    <row r="468" spans="1:49" x14ac:dyDescent="0.2">
      <c r="A468">
        <v>466</v>
      </c>
      <c r="B468" t="s">
        <v>4979</v>
      </c>
      <c r="C468" t="s">
        <v>4978</v>
      </c>
      <c r="F468" t="s">
        <v>4977</v>
      </c>
      <c r="G468" t="s">
        <v>9</v>
      </c>
      <c r="H468" t="s">
        <v>8</v>
      </c>
      <c r="I468" t="s">
        <v>4976</v>
      </c>
      <c r="J468" t="s">
        <v>4975</v>
      </c>
      <c r="K468" t="s">
        <v>4974</v>
      </c>
      <c r="L468" t="s">
        <v>4973</v>
      </c>
      <c r="M468" t="s">
        <v>436</v>
      </c>
      <c r="N468">
        <v>2</v>
      </c>
      <c r="O468" t="s">
        <v>4972</v>
      </c>
      <c r="P468" t="s">
        <v>4971</v>
      </c>
      <c r="Q468" t="s">
        <v>4970</v>
      </c>
      <c r="R468" s="7">
        <v>36830</v>
      </c>
      <c r="S468" s="8">
        <f t="shared" si="56"/>
        <v>2000</v>
      </c>
      <c r="T468" s="8">
        <v>2000</v>
      </c>
      <c r="U468" s="8">
        <f t="shared" si="57"/>
        <v>22</v>
      </c>
      <c r="V468" s="7">
        <v>36830</v>
      </c>
      <c r="W468" t="s">
        <v>616</v>
      </c>
      <c r="X468" s="2">
        <v>0.192</v>
      </c>
      <c r="Y468" s="6">
        <f t="shared" si="58"/>
        <v>5.1253303435572998E-3</v>
      </c>
      <c r="AA468" t="s">
        <v>589</v>
      </c>
      <c r="AB468">
        <v>40067</v>
      </c>
      <c r="AD468" t="s">
        <v>3</v>
      </c>
      <c r="AE468">
        <v>4091</v>
      </c>
      <c r="AF468">
        <v>1</v>
      </c>
      <c r="AH468" t="s">
        <v>4969</v>
      </c>
      <c r="AI468" t="s">
        <v>4968</v>
      </c>
      <c r="AK468" t="s">
        <v>4967</v>
      </c>
      <c r="AL468">
        <v>9</v>
      </c>
      <c r="AM468" s="5">
        <f t="shared" si="59"/>
        <v>0.40909090909090912</v>
      </c>
      <c r="AN468" s="4">
        <f t="shared" si="60"/>
        <v>6.1960001376888923E-4</v>
      </c>
      <c r="AO468" s="3"/>
      <c r="AP468">
        <v>0</v>
      </c>
      <c r="AR468" t="s">
        <v>1</v>
      </c>
      <c r="AT468" s="2" t="s">
        <v>0</v>
      </c>
      <c r="AU468" s="1">
        <f t="shared" si="61"/>
        <v>0.37736112446207765</v>
      </c>
      <c r="AV468" s="1">
        <f t="shared" si="62"/>
        <v>0.28724651786630945</v>
      </c>
      <c r="AW468" s="1">
        <f t="shared" si="63"/>
        <v>0.19713191127054122</v>
      </c>
    </row>
    <row r="469" spans="1:49" x14ac:dyDescent="0.2">
      <c r="A469">
        <v>467</v>
      </c>
      <c r="B469" t="s">
        <v>4966</v>
      </c>
      <c r="C469" t="s">
        <v>4965</v>
      </c>
      <c r="F469" t="s">
        <v>4964</v>
      </c>
      <c r="G469" t="s">
        <v>9</v>
      </c>
      <c r="H469" t="s">
        <v>8</v>
      </c>
      <c r="I469" t="s">
        <v>4963</v>
      </c>
      <c r="J469" t="s">
        <v>4957</v>
      </c>
      <c r="K469" t="s">
        <v>4962</v>
      </c>
      <c r="L469" t="s">
        <v>4961</v>
      </c>
      <c r="M469" t="s">
        <v>4960</v>
      </c>
      <c r="N469">
        <v>2</v>
      </c>
      <c r="O469" t="s">
        <v>4959</v>
      </c>
      <c r="P469" t="s">
        <v>4958</v>
      </c>
      <c r="Q469" t="s">
        <v>4957</v>
      </c>
      <c r="R469" s="7">
        <v>36830</v>
      </c>
      <c r="S469" s="8">
        <f t="shared" si="56"/>
        <v>2000</v>
      </c>
      <c r="T469" s="8">
        <v>2000</v>
      </c>
      <c r="U469" s="8">
        <f t="shared" si="57"/>
        <v>22</v>
      </c>
      <c r="V469" s="7">
        <v>36830</v>
      </c>
      <c r="W469" t="s">
        <v>616</v>
      </c>
      <c r="X469" s="2">
        <v>0.192</v>
      </c>
      <c r="Y469" s="6">
        <f t="shared" si="58"/>
        <v>5.1253303435572998E-3</v>
      </c>
      <c r="AA469" t="s">
        <v>589</v>
      </c>
      <c r="AB469">
        <v>40067</v>
      </c>
      <c r="AD469" t="s">
        <v>3</v>
      </c>
      <c r="AE469">
        <v>4091</v>
      </c>
      <c r="AF469">
        <v>1</v>
      </c>
      <c r="AH469" t="s">
        <v>4956</v>
      </c>
      <c r="AI469" t="s">
        <v>4955</v>
      </c>
      <c r="AJ469" t="s">
        <v>4954</v>
      </c>
      <c r="AK469" t="s">
        <v>4953</v>
      </c>
      <c r="AL469">
        <v>0</v>
      </c>
      <c r="AM469" s="5">
        <f t="shared" si="59"/>
        <v>0</v>
      </c>
      <c r="AN469" s="4">
        <f t="shared" si="60"/>
        <v>0</v>
      </c>
      <c r="AO469" s="3"/>
      <c r="AP469">
        <v>0</v>
      </c>
      <c r="AR469" t="s">
        <v>1</v>
      </c>
      <c r="AT469" s="2" t="s">
        <v>0</v>
      </c>
      <c r="AU469" s="1">
        <f t="shared" si="61"/>
        <v>0.35877312404901096</v>
      </c>
      <c r="AV469" s="1">
        <f t="shared" si="62"/>
        <v>0.25626651717786497</v>
      </c>
      <c r="AW469" s="1">
        <f t="shared" si="63"/>
        <v>0.15375991030671898</v>
      </c>
    </row>
    <row r="470" spans="1:49" x14ac:dyDescent="0.2">
      <c r="A470">
        <v>468</v>
      </c>
      <c r="B470" t="s">
        <v>4952</v>
      </c>
      <c r="C470" t="s">
        <v>4951</v>
      </c>
      <c r="F470" t="s">
        <v>4950</v>
      </c>
      <c r="G470" t="s">
        <v>9</v>
      </c>
      <c r="H470" t="s">
        <v>8</v>
      </c>
      <c r="I470" t="s">
        <v>4949</v>
      </c>
      <c r="J470" t="s">
        <v>4948</v>
      </c>
      <c r="K470" t="s">
        <v>4947</v>
      </c>
      <c r="L470" t="s">
        <v>4946</v>
      </c>
      <c r="M470" t="s">
        <v>4605</v>
      </c>
      <c r="N470">
        <v>3</v>
      </c>
      <c r="O470" t="s">
        <v>4945</v>
      </c>
      <c r="P470" t="s">
        <v>4944</v>
      </c>
      <c r="Q470" t="s">
        <v>4943</v>
      </c>
      <c r="R470" s="7">
        <v>36825</v>
      </c>
      <c r="S470" s="8">
        <f t="shared" si="56"/>
        <v>2000</v>
      </c>
      <c r="T470" s="8">
        <v>2000</v>
      </c>
      <c r="U470" s="8">
        <f t="shared" si="57"/>
        <v>22</v>
      </c>
      <c r="V470" s="7">
        <v>36825</v>
      </c>
      <c r="W470" t="s">
        <v>750</v>
      </c>
      <c r="X470" s="2">
        <v>0.86399999999999999</v>
      </c>
      <c r="Y470" s="6">
        <f t="shared" si="58"/>
        <v>2.3063986546007848E-2</v>
      </c>
      <c r="AA470">
        <v>15206106</v>
      </c>
      <c r="AB470">
        <v>26970</v>
      </c>
      <c r="AD470" t="s">
        <v>3</v>
      </c>
      <c r="AE470">
        <v>104</v>
      </c>
      <c r="AF470">
        <v>42</v>
      </c>
      <c r="AH470" t="s">
        <v>4942</v>
      </c>
      <c r="AI470" t="s">
        <v>4941</v>
      </c>
      <c r="AK470" t="s">
        <v>4940</v>
      </c>
      <c r="AL470">
        <v>44</v>
      </c>
      <c r="AM470" s="5">
        <f t="shared" si="59"/>
        <v>2</v>
      </c>
      <c r="AN470" s="4">
        <f t="shared" si="60"/>
        <v>3.0291556228701248E-3</v>
      </c>
      <c r="AO470" s="3"/>
      <c r="AP470">
        <v>0</v>
      </c>
      <c r="AR470" t="s">
        <v>1</v>
      </c>
      <c r="AT470" s="2">
        <v>2.9910000000000001</v>
      </c>
      <c r="AU470" s="1">
        <f t="shared" si="61"/>
        <v>1.705353726906653</v>
      </c>
      <c r="AV470" s="1">
        <f t="shared" si="62"/>
        <v>1.3046571084438987</v>
      </c>
      <c r="AW470" s="1">
        <f t="shared" si="63"/>
        <v>0.9039604899811442</v>
      </c>
    </row>
    <row r="471" spans="1:49" x14ac:dyDescent="0.2">
      <c r="A471">
        <v>469</v>
      </c>
      <c r="B471" t="s">
        <v>4939</v>
      </c>
      <c r="C471" t="s">
        <v>4938</v>
      </c>
      <c r="F471" t="s">
        <v>4937</v>
      </c>
      <c r="G471" t="s">
        <v>9</v>
      </c>
      <c r="H471" t="s">
        <v>8</v>
      </c>
      <c r="I471" t="s">
        <v>4936</v>
      </c>
      <c r="J471">
        <v>60020650</v>
      </c>
      <c r="K471" t="s">
        <v>504</v>
      </c>
      <c r="L471" t="s">
        <v>503</v>
      </c>
      <c r="M471" t="s">
        <v>87</v>
      </c>
      <c r="N471">
        <v>3</v>
      </c>
      <c r="O471" t="s">
        <v>4935</v>
      </c>
      <c r="P471" t="s">
        <v>4934</v>
      </c>
      <c r="Q471" t="s">
        <v>4933</v>
      </c>
      <c r="R471" s="7">
        <v>36825</v>
      </c>
      <c r="S471" s="8">
        <f t="shared" si="56"/>
        <v>2000</v>
      </c>
      <c r="T471" s="8">
        <v>2000</v>
      </c>
      <c r="U471" s="8">
        <f t="shared" si="57"/>
        <v>22</v>
      </c>
      <c r="V471" s="7">
        <v>36825</v>
      </c>
      <c r="W471" t="s">
        <v>718</v>
      </c>
      <c r="X471" s="2">
        <v>0.375</v>
      </c>
      <c r="Y471" s="6">
        <f t="shared" si="58"/>
        <v>1.0010410827260351E-2</v>
      </c>
      <c r="AA471">
        <v>135194</v>
      </c>
      <c r="AB471">
        <v>24918</v>
      </c>
      <c r="AD471" t="s">
        <v>3</v>
      </c>
      <c r="AE471">
        <v>36</v>
      </c>
      <c r="AF471">
        <v>22</v>
      </c>
      <c r="AH471" t="s">
        <v>4932</v>
      </c>
      <c r="AI471" t="s">
        <v>4931</v>
      </c>
      <c r="AK471" t="s">
        <v>4930</v>
      </c>
      <c r="AL471">
        <v>6</v>
      </c>
      <c r="AM471" s="5">
        <f t="shared" si="59"/>
        <v>0.27272727272727271</v>
      </c>
      <c r="AN471" s="4">
        <f t="shared" si="60"/>
        <v>4.1306667584592612E-4</v>
      </c>
      <c r="AO471" s="3"/>
      <c r="AP471">
        <v>0</v>
      </c>
      <c r="AR471" t="s">
        <v>1</v>
      </c>
      <c r="AT471" s="2">
        <v>1.3140000000000001</v>
      </c>
      <c r="AU471" s="1">
        <f t="shared" si="61"/>
        <v>0.71312075818360232</v>
      </c>
      <c r="AV471" s="1">
        <f t="shared" si="62"/>
        <v>0.52117387515531388</v>
      </c>
      <c r="AW471" s="1">
        <f t="shared" si="63"/>
        <v>0.32922699212702533</v>
      </c>
    </row>
    <row r="472" spans="1:49" x14ac:dyDescent="0.2">
      <c r="A472">
        <v>470</v>
      </c>
      <c r="B472" t="s">
        <v>4929</v>
      </c>
      <c r="C472" t="s">
        <v>4928</v>
      </c>
      <c r="F472" t="s">
        <v>4927</v>
      </c>
      <c r="G472" t="s">
        <v>9</v>
      </c>
      <c r="H472" t="s">
        <v>8</v>
      </c>
      <c r="I472" t="s">
        <v>4926</v>
      </c>
      <c r="J472">
        <v>60013372</v>
      </c>
      <c r="K472" t="s">
        <v>818</v>
      </c>
      <c r="L472" t="s">
        <v>817</v>
      </c>
      <c r="M472" t="s">
        <v>5</v>
      </c>
      <c r="N472">
        <v>3</v>
      </c>
      <c r="O472" t="s">
        <v>4925</v>
      </c>
      <c r="P472" t="s">
        <v>4924</v>
      </c>
      <c r="Q472" t="s">
        <v>816</v>
      </c>
      <c r="R472" s="7">
        <v>36825</v>
      </c>
      <c r="S472" s="8">
        <f t="shared" si="56"/>
        <v>2000</v>
      </c>
      <c r="T472" s="8">
        <v>2000</v>
      </c>
      <c r="U472" s="8">
        <f t="shared" si="57"/>
        <v>22</v>
      </c>
      <c r="V472" s="7">
        <v>36825</v>
      </c>
      <c r="W472" t="s">
        <v>718</v>
      </c>
      <c r="X472" s="2">
        <v>0.375</v>
      </c>
      <c r="Y472" s="6">
        <f t="shared" si="58"/>
        <v>1.0010410827260351E-2</v>
      </c>
      <c r="AA472">
        <v>135194</v>
      </c>
      <c r="AB472">
        <v>24918</v>
      </c>
      <c r="AD472" t="s">
        <v>3</v>
      </c>
      <c r="AE472">
        <v>36</v>
      </c>
      <c r="AF472">
        <v>22</v>
      </c>
      <c r="AH472" t="s">
        <v>4923</v>
      </c>
      <c r="AI472" t="s">
        <v>4922</v>
      </c>
      <c r="AK472" t="s">
        <v>4921</v>
      </c>
      <c r="AL472">
        <v>60</v>
      </c>
      <c r="AM472" s="5">
        <f t="shared" si="59"/>
        <v>2.7272727272727271</v>
      </c>
      <c r="AN472" s="4">
        <f t="shared" si="60"/>
        <v>4.1306667584592614E-3</v>
      </c>
      <c r="AO472" s="3"/>
      <c r="AP472">
        <v>0</v>
      </c>
      <c r="AR472" t="s">
        <v>1</v>
      </c>
      <c r="AT472" s="2">
        <v>1.3140000000000001</v>
      </c>
      <c r="AU472" s="1">
        <f t="shared" si="61"/>
        <v>0.82464876066200232</v>
      </c>
      <c r="AV472" s="1">
        <f t="shared" si="62"/>
        <v>0.70705387928598062</v>
      </c>
      <c r="AW472" s="1">
        <f t="shared" si="63"/>
        <v>0.58945899790995882</v>
      </c>
    </row>
    <row r="473" spans="1:49" x14ac:dyDescent="0.2">
      <c r="A473">
        <v>471</v>
      </c>
      <c r="B473" t="s">
        <v>4920</v>
      </c>
      <c r="C473" t="s">
        <v>4919</v>
      </c>
      <c r="F473" t="s">
        <v>4918</v>
      </c>
      <c r="G473" t="s">
        <v>9</v>
      </c>
      <c r="H473" t="s">
        <v>8</v>
      </c>
      <c r="I473" t="s">
        <v>4917</v>
      </c>
      <c r="J473">
        <v>60021097</v>
      </c>
      <c r="K473" t="s">
        <v>2383</v>
      </c>
      <c r="L473" t="s">
        <v>2382</v>
      </c>
      <c r="M473" t="s">
        <v>87</v>
      </c>
      <c r="N473">
        <v>4</v>
      </c>
      <c r="O473" t="s">
        <v>4916</v>
      </c>
      <c r="P473" t="s">
        <v>4915</v>
      </c>
      <c r="Q473" t="s">
        <v>2379</v>
      </c>
      <c r="R473" s="7">
        <v>36825</v>
      </c>
      <c r="S473" s="8">
        <f t="shared" si="56"/>
        <v>2000</v>
      </c>
      <c r="T473" s="8">
        <v>2000</v>
      </c>
      <c r="U473" s="8">
        <f t="shared" si="57"/>
        <v>22</v>
      </c>
      <c r="V473" s="7">
        <v>36825</v>
      </c>
      <c r="W473" t="s">
        <v>718</v>
      </c>
      <c r="X473" s="2">
        <v>0.375</v>
      </c>
      <c r="Y473" s="6">
        <f t="shared" si="58"/>
        <v>1.0010410827260351E-2</v>
      </c>
      <c r="AA473">
        <v>135194</v>
      </c>
      <c r="AB473">
        <v>24918</v>
      </c>
      <c r="AD473" t="s">
        <v>3</v>
      </c>
      <c r="AE473">
        <v>36</v>
      </c>
      <c r="AF473">
        <v>22</v>
      </c>
      <c r="AH473" t="s">
        <v>4914</v>
      </c>
      <c r="AI473" t="s">
        <v>4913</v>
      </c>
      <c r="AK473" t="s">
        <v>4912</v>
      </c>
      <c r="AL473">
        <v>47</v>
      </c>
      <c r="AM473" s="5">
        <f t="shared" si="59"/>
        <v>2.1363636363636362</v>
      </c>
      <c r="AN473" s="4">
        <f t="shared" si="60"/>
        <v>3.2356889607930879E-3</v>
      </c>
      <c r="AO473" s="3"/>
      <c r="AP473">
        <v>0</v>
      </c>
      <c r="AR473" t="s">
        <v>1</v>
      </c>
      <c r="AT473" s="2">
        <v>1.3140000000000001</v>
      </c>
      <c r="AU473" s="1">
        <f t="shared" si="61"/>
        <v>0.7977994267320172</v>
      </c>
      <c r="AV473" s="1">
        <f t="shared" si="62"/>
        <v>0.66230498940267202</v>
      </c>
      <c r="AW473" s="1">
        <f t="shared" si="63"/>
        <v>0.52681055207332661</v>
      </c>
    </row>
    <row r="474" spans="1:49" x14ac:dyDescent="0.2">
      <c r="A474">
        <v>472</v>
      </c>
      <c r="B474" t="s">
        <v>4911</v>
      </c>
      <c r="C474" t="s">
        <v>4910</v>
      </c>
      <c r="F474" t="s">
        <v>4909</v>
      </c>
      <c r="G474" t="s">
        <v>9</v>
      </c>
      <c r="H474" t="s">
        <v>8</v>
      </c>
      <c r="I474" t="s">
        <v>4908</v>
      </c>
      <c r="J474">
        <v>120180498</v>
      </c>
      <c r="K474" t="s">
        <v>4907</v>
      </c>
      <c r="L474" t="s">
        <v>4906</v>
      </c>
      <c r="M474" t="s">
        <v>105</v>
      </c>
      <c r="N474">
        <v>3</v>
      </c>
      <c r="O474" t="s">
        <v>4905</v>
      </c>
      <c r="P474" t="s">
        <v>4904</v>
      </c>
      <c r="Q474" t="s">
        <v>4903</v>
      </c>
      <c r="R474" s="7">
        <v>36825</v>
      </c>
      <c r="S474" s="8">
        <f t="shared" si="56"/>
        <v>2000</v>
      </c>
      <c r="T474" s="8">
        <v>2000</v>
      </c>
      <c r="U474" s="8">
        <f t="shared" si="57"/>
        <v>22</v>
      </c>
      <c r="V474" s="7">
        <v>36825</v>
      </c>
      <c r="W474" t="s">
        <v>718</v>
      </c>
      <c r="X474" s="2">
        <v>0.375</v>
      </c>
      <c r="Y474" s="6">
        <f t="shared" si="58"/>
        <v>1.0010410827260351E-2</v>
      </c>
      <c r="AA474">
        <v>135194</v>
      </c>
      <c r="AB474">
        <v>24918</v>
      </c>
      <c r="AD474" t="s">
        <v>3</v>
      </c>
      <c r="AE474">
        <v>36</v>
      </c>
      <c r="AF474">
        <v>22</v>
      </c>
      <c r="AH474" t="s">
        <v>4902</v>
      </c>
      <c r="AI474" t="s">
        <v>4901</v>
      </c>
      <c r="AK474" t="s">
        <v>4900</v>
      </c>
      <c r="AL474">
        <v>4</v>
      </c>
      <c r="AM474" s="5">
        <f t="shared" si="59"/>
        <v>0.18181818181818182</v>
      </c>
      <c r="AN474" s="4">
        <f t="shared" si="60"/>
        <v>2.753777838972841E-4</v>
      </c>
      <c r="AO474" s="3"/>
      <c r="AP474">
        <v>0</v>
      </c>
      <c r="AR474" t="s">
        <v>1</v>
      </c>
      <c r="AT474" s="2">
        <v>1.3140000000000001</v>
      </c>
      <c r="AU474" s="1">
        <f t="shared" si="61"/>
        <v>0.70899009142514313</v>
      </c>
      <c r="AV474" s="1">
        <f t="shared" si="62"/>
        <v>0.51428943055788179</v>
      </c>
      <c r="AW474" s="1">
        <f t="shared" si="63"/>
        <v>0.31958876969062039</v>
      </c>
    </row>
    <row r="475" spans="1:49" x14ac:dyDescent="0.2">
      <c r="A475">
        <v>473</v>
      </c>
      <c r="B475" t="s">
        <v>4899</v>
      </c>
      <c r="C475" t="s">
        <v>4898</v>
      </c>
      <c r="F475" t="s">
        <v>4897</v>
      </c>
      <c r="G475" t="s">
        <v>9</v>
      </c>
      <c r="H475" t="s">
        <v>8</v>
      </c>
      <c r="I475" t="s">
        <v>953</v>
      </c>
      <c r="J475">
        <v>60032144</v>
      </c>
      <c r="K475" t="s">
        <v>195</v>
      </c>
      <c r="L475" t="s">
        <v>194</v>
      </c>
      <c r="M475" t="s">
        <v>10</v>
      </c>
      <c r="N475">
        <v>3</v>
      </c>
      <c r="O475" t="s">
        <v>4896</v>
      </c>
      <c r="P475" t="s">
        <v>4895</v>
      </c>
      <c r="Q475" t="s">
        <v>1087</v>
      </c>
      <c r="R475" s="7">
        <v>36825</v>
      </c>
      <c r="S475" s="8">
        <f t="shared" si="56"/>
        <v>2000</v>
      </c>
      <c r="T475" s="8">
        <v>2000</v>
      </c>
      <c r="U475" s="8">
        <f t="shared" si="57"/>
        <v>22</v>
      </c>
      <c r="V475" s="7">
        <v>36825</v>
      </c>
      <c r="W475" t="s">
        <v>718</v>
      </c>
      <c r="X475" s="2">
        <v>0.375</v>
      </c>
      <c r="Y475" s="6">
        <f t="shared" si="58"/>
        <v>1.0010410827260351E-2</v>
      </c>
      <c r="AA475">
        <v>135194</v>
      </c>
      <c r="AB475">
        <v>24918</v>
      </c>
      <c r="AD475" t="s">
        <v>3</v>
      </c>
      <c r="AE475">
        <v>36</v>
      </c>
      <c r="AF475">
        <v>22</v>
      </c>
      <c r="AH475" t="s">
        <v>4894</v>
      </c>
      <c r="AI475" t="s">
        <v>4893</v>
      </c>
      <c r="AK475" t="s">
        <v>4892</v>
      </c>
      <c r="AL475">
        <v>24</v>
      </c>
      <c r="AM475" s="5">
        <f t="shared" si="59"/>
        <v>1.0909090909090908</v>
      </c>
      <c r="AN475" s="4">
        <f t="shared" si="60"/>
        <v>1.6522667033837045E-3</v>
      </c>
      <c r="AO475" s="3"/>
      <c r="AP475">
        <v>0</v>
      </c>
      <c r="AR475" t="s">
        <v>1</v>
      </c>
      <c r="AT475" s="2">
        <v>1.3140000000000001</v>
      </c>
      <c r="AU475" s="1">
        <f t="shared" si="61"/>
        <v>0.75029675900973569</v>
      </c>
      <c r="AV475" s="1">
        <f t="shared" si="62"/>
        <v>0.58313387653220283</v>
      </c>
      <c r="AW475" s="1">
        <f t="shared" si="63"/>
        <v>0.41597099405466981</v>
      </c>
    </row>
    <row r="476" spans="1:49" x14ac:dyDescent="0.2">
      <c r="A476">
        <v>474</v>
      </c>
      <c r="B476" t="s">
        <v>4891</v>
      </c>
      <c r="C476" t="s">
        <v>4890</v>
      </c>
      <c r="F476" t="s">
        <v>4889</v>
      </c>
      <c r="G476" t="s">
        <v>9</v>
      </c>
      <c r="H476" t="s">
        <v>8</v>
      </c>
      <c r="I476" t="s">
        <v>4888</v>
      </c>
      <c r="J476">
        <v>60010818</v>
      </c>
      <c r="K476" t="s">
        <v>812</v>
      </c>
      <c r="L476" t="s">
        <v>811</v>
      </c>
      <c r="M476" t="s">
        <v>87</v>
      </c>
      <c r="N476">
        <v>3</v>
      </c>
      <c r="O476" t="s">
        <v>4887</v>
      </c>
      <c r="P476" t="s">
        <v>4886</v>
      </c>
      <c r="Q476" t="s">
        <v>4885</v>
      </c>
      <c r="R476" s="7">
        <v>36825</v>
      </c>
      <c r="S476" s="8">
        <f t="shared" si="56"/>
        <v>2000</v>
      </c>
      <c r="T476" s="8">
        <v>2000</v>
      </c>
      <c r="U476" s="8">
        <f t="shared" si="57"/>
        <v>22</v>
      </c>
      <c r="V476" s="7">
        <v>36825</v>
      </c>
      <c r="W476" t="s">
        <v>718</v>
      </c>
      <c r="X476" s="2">
        <v>0.375</v>
      </c>
      <c r="Y476" s="6">
        <f t="shared" si="58"/>
        <v>1.0010410827260351E-2</v>
      </c>
      <c r="AA476">
        <v>135194</v>
      </c>
      <c r="AB476">
        <v>24918</v>
      </c>
      <c r="AD476" t="s">
        <v>3</v>
      </c>
      <c r="AE476">
        <v>36</v>
      </c>
      <c r="AF476">
        <v>22</v>
      </c>
      <c r="AH476" t="s">
        <v>4884</v>
      </c>
      <c r="AI476" t="s">
        <v>4883</v>
      </c>
      <c r="AK476" t="s">
        <v>4882</v>
      </c>
      <c r="AL476">
        <v>37</v>
      </c>
      <c r="AM476" s="5">
        <f t="shared" si="59"/>
        <v>1.6818181818181819</v>
      </c>
      <c r="AN476" s="4">
        <f t="shared" si="60"/>
        <v>2.547244501049878E-3</v>
      </c>
      <c r="AO476" s="3"/>
      <c r="AP476">
        <v>0</v>
      </c>
      <c r="AR476" t="s">
        <v>1</v>
      </c>
      <c r="AT476" s="2">
        <v>1.3140000000000001</v>
      </c>
      <c r="AU476" s="1">
        <f t="shared" si="61"/>
        <v>0.77714609293972092</v>
      </c>
      <c r="AV476" s="1">
        <f t="shared" si="62"/>
        <v>0.62788276641551144</v>
      </c>
      <c r="AW476" s="1">
        <f t="shared" si="63"/>
        <v>0.47861943989130196</v>
      </c>
    </row>
    <row r="477" spans="1:49" x14ac:dyDescent="0.2">
      <c r="A477">
        <v>475</v>
      </c>
      <c r="B477" t="s">
        <v>4881</v>
      </c>
      <c r="C477" t="s">
        <v>4880</v>
      </c>
      <c r="E477">
        <v>11041855</v>
      </c>
      <c r="F477" t="s">
        <v>4879</v>
      </c>
      <c r="G477" t="s">
        <v>9</v>
      </c>
      <c r="H477" t="s">
        <v>8</v>
      </c>
      <c r="I477" t="s">
        <v>4878</v>
      </c>
      <c r="J477" t="s">
        <v>3395</v>
      </c>
      <c r="K477" t="s">
        <v>3394</v>
      </c>
      <c r="L477" t="s">
        <v>3393</v>
      </c>
      <c r="M477" t="s">
        <v>633</v>
      </c>
      <c r="N477">
        <v>4</v>
      </c>
      <c r="O477" t="s">
        <v>4877</v>
      </c>
      <c r="P477" t="s">
        <v>3391</v>
      </c>
      <c r="Q477" t="s">
        <v>3390</v>
      </c>
      <c r="R477" s="7">
        <v>36823</v>
      </c>
      <c r="S477" s="8">
        <f t="shared" si="56"/>
        <v>2000</v>
      </c>
      <c r="T477" s="8">
        <v>2000</v>
      </c>
      <c r="U477" s="8">
        <f t="shared" si="57"/>
        <v>22</v>
      </c>
      <c r="V477" s="7">
        <v>36823</v>
      </c>
      <c r="W477" t="s">
        <v>758</v>
      </c>
      <c r="X477" s="2">
        <v>1.43</v>
      </c>
      <c r="Y477" s="6">
        <f t="shared" si="58"/>
        <v>3.8173033287952803E-2</v>
      </c>
      <c r="AA477">
        <v>62960</v>
      </c>
      <c r="AB477">
        <v>16867</v>
      </c>
      <c r="AD477" t="s">
        <v>3</v>
      </c>
      <c r="AE477">
        <v>39</v>
      </c>
      <c r="AF477">
        <v>42</v>
      </c>
      <c r="AH477" t="s">
        <v>4876</v>
      </c>
      <c r="AI477" t="s">
        <v>4875</v>
      </c>
      <c r="AK477" t="s">
        <v>4874</v>
      </c>
      <c r="AL477">
        <v>68</v>
      </c>
      <c r="AM477" s="5">
        <f t="shared" si="59"/>
        <v>3.0909090909090908</v>
      </c>
      <c r="AN477" s="4">
        <f t="shared" si="60"/>
        <v>4.6814223262538297E-3</v>
      </c>
      <c r="AO477" s="3"/>
      <c r="AP477">
        <v>0</v>
      </c>
      <c r="AR477" t="s">
        <v>1</v>
      </c>
      <c r="AT477" s="2">
        <v>3.1619999999999999</v>
      </c>
      <c r="AU477" s="1">
        <f t="shared" si="61"/>
        <v>2.8125549999443109</v>
      </c>
      <c r="AV477" s="1">
        <f t="shared" si="62"/>
        <v>2.1427227807103315</v>
      </c>
      <c r="AW477" s="1">
        <f t="shared" si="63"/>
        <v>1.4728905614763521</v>
      </c>
    </row>
    <row r="478" spans="1:49" x14ac:dyDescent="0.2">
      <c r="A478">
        <v>476</v>
      </c>
      <c r="B478" t="s">
        <v>4873</v>
      </c>
      <c r="C478" t="s">
        <v>4872</v>
      </c>
      <c r="D478" t="s">
        <v>4871</v>
      </c>
      <c r="E478">
        <v>11027884</v>
      </c>
      <c r="F478" t="s">
        <v>4870</v>
      </c>
      <c r="G478" t="s">
        <v>9</v>
      </c>
      <c r="H478" t="s">
        <v>8</v>
      </c>
      <c r="I478" t="s">
        <v>4869</v>
      </c>
      <c r="J478">
        <v>60012937</v>
      </c>
      <c r="K478" t="s">
        <v>4868</v>
      </c>
      <c r="L478" t="s">
        <v>4867</v>
      </c>
      <c r="M478" t="s">
        <v>317</v>
      </c>
      <c r="N478">
        <v>5</v>
      </c>
      <c r="O478" t="s">
        <v>4866</v>
      </c>
      <c r="P478" t="s">
        <v>4865</v>
      </c>
      <c r="Q478" t="s">
        <v>4864</v>
      </c>
      <c r="R478" s="7">
        <v>36823</v>
      </c>
      <c r="S478" s="8">
        <f t="shared" si="56"/>
        <v>2000</v>
      </c>
      <c r="T478" s="8">
        <v>2000</v>
      </c>
      <c r="U478" s="8">
        <f t="shared" si="57"/>
        <v>22</v>
      </c>
      <c r="V478" s="7">
        <v>2000</v>
      </c>
      <c r="W478" t="s">
        <v>4863</v>
      </c>
      <c r="X478" s="2">
        <v>0.72299999999999998</v>
      </c>
      <c r="Y478" s="6">
        <f t="shared" si="58"/>
        <v>1.9300072074957958E-2</v>
      </c>
      <c r="AA478" t="s">
        <v>4862</v>
      </c>
      <c r="AB478">
        <v>17264</v>
      </c>
      <c r="AD478" t="s">
        <v>3</v>
      </c>
      <c r="AE478">
        <v>18</v>
      </c>
      <c r="AF478">
        <v>7</v>
      </c>
      <c r="AH478" t="s">
        <v>4861</v>
      </c>
      <c r="AI478" t="s">
        <v>4860</v>
      </c>
      <c r="AJ478" t="s">
        <v>4859</v>
      </c>
      <c r="AK478" t="s">
        <v>4858</v>
      </c>
      <c r="AL478">
        <v>21</v>
      </c>
      <c r="AM478" s="5">
        <f t="shared" si="59"/>
        <v>0.95454545454545459</v>
      </c>
      <c r="AN478" s="4">
        <f t="shared" si="60"/>
        <v>1.4457333654607416E-3</v>
      </c>
      <c r="AO478" s="3"/>
      <c r="AP478">
        <v>0</v>
      </c>
      <c r="AQ478" t="s">
        <v>36</v>
      </c>
      <c r="AR478" t="s">
        <v>4857</v>
      </c>
      <c r="AS478" t="s">
        <v>35</v>
      </c>
      <c r="AT478" s="2">
        <v>2.5459999999999998</v>
      </c>
      <c r="AU478" s="1">
        <f t="shared" si="61"/>
        <v>1.3943770462108793</v>
      </c>
      <c r="AV478" s="1">
        <f t="shared" si="62"/>
        <v>1.0372902720209349</v>
      </c>
      <c r="AW478" s="1">
        <f t="shared" si="63"/>
        <v>0.68020349783099066</v>
      </c>
    </row>
    <row r="479" spans="1:49" x14ac:dyDescent="0.2">
      <c r="A479">
        <v>477</v>
      </c>
      <c r="B479" t="s">
        <v>4856</v>
      </c>
      <c r="C479" t="s">
        <v>4855</v>
      </c>
      <c r="F479" t="s">
        <v>4854</v>
      </c>
      <c r="G479" t="s">
        <v>9</v>
      </c>
      <c r="H479" t="s">
        <v>8</v>
      </c>
      <c r="I479" t="s">
        <v>4853</v>
      </c>
      <c r="J479" t="s">
        <v>4852</v>
      </c>
      <c r="K479" t="s">
        <v>4851</v>
      </c>
      <c r="L479" t="s">
        <v>4850</v>
      </c>
      <c r="M479" t="s">
        <v>88</v>
      </c>
      <c r="N479">
        <v>5</v>
      </c>
      <c r="O479" t="s">
        <v>4849</v>
      </c>
      <c r="P479" t="s">
        <v>4848</v>
      </c>
      <c r="Q479" t="s">
        <v>4847</v>
      </c>
      <c r="R479" s="7">
        <v>36819</v>
      </c>
      <c r="S479" s="8">
        <f t="shared" si="56"/>
        <v>2000</v>
      </c>
      <c r="T479" s="8">
        <v>2000</v>
      </c>
      <c r="U479" s="8">
        <f t="shared" si="57"/>
        <v>22</v>
      </c>
      <c r="V479" s="7">
        <v>36819</v>
      </c>
      <c r="W479" t="s">
        <v>150</v>
      </c>
      <c r="X479" s="2">
        <v>0.30399999999999999</v>
      </c>
      <c r="Y479" s="6">
        <f t="shared" si="58"/>
        <v>8.115106377299057E-3</v>
      </c>
      <c r="AA479">
        <v>8952477</v>
      </c>
      <c r="AB479">
        <v>12250</v>
      </c>
      <c r="AD479" t="s">
        <v>3</v>
      </c>
      <c r="AE479">
        <v>27</v>
      </c>
      <c r="AF479">
        <v>2</v>
      </c>
      <c r="AH479" t="s">
        <v>4846</v>
      </c>
      <c r="AI479" t="s">
        <v>4845</v>
      </c>
      <c r="AK479" t="s">
        <v>4844</v>
      </c>
      <c r="AL479">
        <v>5</v>
      </c>
      <c r="AM479" s="5">
        <f t="shared" si="59"/>
        <v>0.22727272727272727</v>
      </c>
      <c r="AN479" s="4">
        <f t="shared" si="60"/>
        <v>3.4422222987160508E-4</v>
      </c>
      <c r="AO479" s="3"/>
      <c r="AP479">
        <v>0</v>
      </c>
      <c r="AR479" t="s">
        <v>1</v>
      </c>
      <c r="AT479" s="2" t="s">
        <v>0</v>
      </c>
      <c r="AU479" s="1">
        <f t="shared" si="61"/>
        <v>0.57838411330708206</v>
      </c>
      <c r="AV479" s="1">
        <f t="shared" si="62"/>
        <v>0.42296643035853304</v>
      </c>
      <c r="AW479" s="1">
        <f t="shared" si="63"/>
        <v>0.26754874740998408</v>
      </c>
    </row>
    <row r="480" spans="1:49" x14ac:dyDescent="0.2">
      <c r="A480">
        <v>478</v>
      </c>
      <c r="B480" t="s">
        <v>4843</v>
      </c>
      <c r="C480" t="s">
        <v>4842</v>
      </c>
      <c r="E480">
        <v>10903319</v>
      </c>
      <c r="F480" t="s">
        <v>4841</v>
      </c>
      <c r="G480" t="s">
        <v>9</v>
      </c>
      <c r="H480" t="s">
        <v>8</v>
      </c>
      <c r="I480" t="s">
        <v>4840</v>
      </c>
      <c r="J480">
        <v>60013829</v>
      </c>
      <c r="K480" t="s">
        <v>4839</v>
      </c>
      <c r="L480" t="s">
        <v>59</v>
      </c>
      <c r="M480" t="s">
        <v>43</v>
      </c>
      <c r="N480">
        <v>7</v>
      </c>
      <c r="O480" t="s">
        <v>4838</v>
      </c>
      <c r="P480" t="s">
        <v>4837</v>
      </c>
      <c r="Q480" t="s">
        <v>4836</v>
      </c>
      <c r="R480" s="7">
        <v>36819</v>
      </c>
      <c r="S480" s="8">
        <f t="shared" si="56"/>
        <v>2000</v>
      </c>
      <c r="T480" s="8">
        <v>2000</v>
      </c>
      <c r="U480" s="8">
        <f t="shared" si="57"/>
        <v>22</v>
      </c>
      <c r="V480" s="7">
        <v>36819</v>
      </c>
      <c r="W480" t="s">
        <v>773</v>
      </c>
      <c r="X480" s="2">
        <v>2.3610000000000002</v>
      </c>
      <c r="Y480" s="6">
        <f t="shared" si="58"/>
        <v>6.3025546568431179E-2</v>
      </c>
      <c r="AA480">
        <v>219258</v>
      </c>
      <c r="AB480">
        <v>17592</v>
      </c>
      <c r="AD480" t="s">
        <v>3</v>
      </c>
      <c r="AE480">
        <v>275</v>
      </c>
      <c r="AF480">
        <v>42</v>
      </c>
      <c r="AH480" t="s">
        <v>4835</v>
      </c>
      <c r="AI480" t="s">
        <v>4834</v>
      </c>
      <c r="AK480" t="s">
        <v>4833</v>
      </c>
      <c r="AL480">
        <v>18</v>
      </c>
      <c r="AM480" s="5">
        <f t="shared" si="59"/>
        <v>0.81818181818181823</v>
      </c>
      <c r="AN480" s="4">
        <f t="shared" si="60"/>
        <v>1.2392000275377785E-3</v>
      </c>
      <c r="AO480" s="3"/>
      <c r="AP480">
        <v>1</v>
      </c>
      <c r="AR480" t="s">
        <v>1</v>
      </c>
      <c r="AT480" s="2">
        <v>5.157</v>
      </c>
      <c r="AU480" s="1">
        <f t="shared" si="61"/>
        <v>4.4489642606163153</v>
      </c>
      <c r="AV480" s="1">
        <f t="shared" si="62"/>
        <v>3.2132373297984476</v>
      </c>
      <c r="AW480" s="1">
        <f t="shared" si="63"/>
        <v>1.9775103989805798</v>
      </c>
    </row>
    <row r="481" spans="1:49" x14ac:dyDescent="0.2">
      <c r="A481">
        <v>479</v>
      </c>
      <c r="B481" t="s">
        <v>4832</v>
      </c>
      <c r="C481" t="s">
        <v>4831</v>
      </c>
      <c r="F481" t="s">
        <v>4830</v>
      </c>
      <c r="G481" t="s">
        <v>9</v>
      </c>
      <c r="H481" t="s">
        <v>8</v>
      </c>
      <c r="I481" t="s">
        <v>174</v>
      </c>
      <c r="J481">
        <v>60007284</v>
      </c>
      <c r="K481" t="s">
        <v>519</v>
      </c>
      <c r="L481" t="s">
        <v>74</v>
      </c>
      <c r="M481" t="s">
        <v>73</v>
      </c>
      <c r="N481">
        <v>2</v>
      </c>
      <c r="O481" t="s">
        <v>4829</v>
      </c>
      <c r="P481" t="s">
        <v>4828</v>
      </c>
      <c r="Q481" t="s">
        <v>518</v>
      </c>
      <c r="R481" s="7">
        <v>36819</v>
      </c>
      <c r="S481" s="8">
        <f t="shared" si="56"/>
        <v>2000</v>
      </c>
      <c r="T481" s="8">
        <v>2000</v>
      </c>
      <c r="U481" s="8">
        <f t="shared" si="57"/>
        <v>22</v>
      </c>
      <c r="V481" s="7">
        <v>36819</v>
      </c>
      <c r="W481" t="s">
        <v>150</v>
      </c>
      <c r="X481" s="2">
        <v>0.30399999999999999</v>
      </c>
      <c r="Y481" s="6">
        <f t="shared" si="58"/>
        <v>8.115106377299057E-3</v>
      </c>
      <c r="AA481">
        <v>8952477</v>
      </c>
      <c r="AB481">
        <v>12250</v>
      </c>
      <c r="AD481" t="s">
        <v>3</v>
      </c>
      <c r="AE481">
        <v>27</v>
      </c>
      <c r="AF481">
        <v>2</v>
      </c>
      <c r="AH481" t="s">
        <v>4827</v>
      </c>
      <c r="AI481" t="s">
        <v>4826</v>
      </c>
      <c r="AK481" t="s">
        <v>4825</v>
      </c>
      <c r="AL481">
        <v>57</v>
      </c>
      <c r="AM481" s="5">
        <f t="shared" si="59"/>
        <v>2.5909090909090908</v>
      </c>
      <c r="AN481" s="4">
        <f t="shared" si="60"/>
        <v>3.9241334205362983E-3</v>
      </c>
      <c r="AO481" s="3"/>
      <c r="AP481">
        <v>0</v>
      </c>
      <c r="AR481" t="s">
        <v>1</v>
      </c>
      <c r="AT481" s="2" t="s">
        <v>0</v>
      </c>
      <c r="AU481" s="1">
        <f t="shared" si="61"/>
        <v>0.68578144902702287</v>
      </c>
      <c r="AV481" s="1">
        <f t="shared" si="62"/>
        <v>0.60196198989176775</v>
      </c>
      <c r="AW481" s="1">
        <f t="shared" si="63"/>
        <v>0.51814253075651262</v>
      </c>
    </row>
    <row r="482" spans="1:49" x14ac:dyDescent="0.2">
      <c r="A482">
        <v>480</v>
      </c>
      <c r="B482" t="s">
        <v>4824</v>
      </c>
      <c r="C482" t="s">
        <v>4823</v>
      </c>
      <c r="F482" t="s">
        <v>4822</v>
      </c>
      <c r="G482" t="s">
        <v>9</v>
      </c>
      <c r="H482" t="s">
        <v>8</v>
      </c>
      <c r="I482" t="s">
        <v>4821</v>
      </c>
      <c r="J482">
        <v>60026134</v>
      </c>
      <c r="K482" t="s">
        <v>593</v>
      </c>
      <c r="L482" t="s">
        <v>592</v>
      </c>
      <c r="M482" t="s">
        <v>109</v>
      </c>
      <c r="N482">
        <v>5</v>
      </c>
      <c r="O482" t="s">
        <v>4820</v>
      </c>
      <c r="P482" t="s">
        <v>4819</v>
      </c>
      <c r="Q482" t="s">
        <v>4818</v>
      </c>
      <c r="R482" s="7">
        <v>36819</v>
      </c>
      <c r="S482" s="8">
        <f t="shared" si="56"/>
        <v>2000</v>
      </c>
      <c r="T482" s="8">
        <v>2000</v>
      </c>
      <c r="U482" s="8">
        <f t="shared" si="57"/>
        <v>22</v>
      </c>
      <c r="V482" s="7">
        <v>36819</v>
      </c>
      <c r="W482" t="s">
        <v>150</v>
      </c>
      <c r="X482" s="2">
        <v>0.30399999999999999</v>
      </c>
      <c r="Y482" s="6">
        <f t="shared" si="58"/>
        <v>8.115106377299057E-3</v>
      </c>
      <c r="AA482">
        <v>8952477</v>
      </c>
      <c r="AB482">
        <v>12250</v>
      </c>
      <c r="AD482" t="s">
        <v>3</v>
      </c>
      <c r="AE482">
        <v>27</v>
      </c>
      <c r="AF482">
        <v>2</v>
      </c>
      <c r="AH482" t="s">
        <v>4817</v>
      </c>
      <c r="AI482" t="s">
        <v>4816</v>
      </c>
      <c r="AK482" t="s">
        <v>4815</v>
      </c>
      <c r="AL482">
        <v>40</v>
      </c>
      <c r="AM482" s="5">
        <f t="shared" si="59"/>
        <v>1.8181818181818181</v>
      </c>
      <c r="AN482" s="4">
        <f t="shared" si="60"/>
        <v>2.7537778389728406E-3</v>
      </c>
      <c r="AO482" s="3"/>
      <c r="AP482">
        <v>0</v>
      </c>
      <c r="AR482" t="s">
        <v>1</v>
      </c>
      <c r="AT482" s="2" t="s">
        <v>0</v>
      </c>
      <c r="AU482" s="1">
        <f t="shared" si="61"/>
        <v>0.65067078158011915</v>
      </c>
      <c r="AV482" s="1">
        <f t="shared" si="62"/>
        <v>0.54344421081359495</v>
      </c>
      <c r="AW482" s="1">
        <f t="shared" si="63"/>
        <v>0.43621764004707059</v>
      </c>
    </row>
    <row r="483" spans="1:49" x14ac:dyDescent="0.2">
      <c r="A483">
        <v>481</v>
      </c>
      <c r="B483" t="s">
        <v>4814</v>
      </c>
      <c r="C483" t="s">
        <v>4813</v>
      </c>
      <c r="F483" t="s">
        <v>4812</v>
      </c>
      <c r="G483" t="s">
        <v>9</v>
      </c>
      <c r="H483" t="s">
        <v>8</v>
      </c>
      <c r="I483" t="s">
        <v>4811</v>
      </c>
      <c r="J483" t="s">
        <v>4810</v>
      </c>
      <c r="K483" t="s">
        <v>4809</v>
      </c>
      <c r="L483" t="s">
        <v>4808</v>
      </c>
      <c r="M483" t="s">
        <v>360</v>
      </c>
      <c r="N483">
        <v>3</v>
      </c>
      <c r="O483" t="s">
        <v>4807</v>
      </c>
      <c r="P483" t="s">
        <v>4806</v>
      </c>
      <c r="Q483" t="s">
        <v>4805</v>
      </c>
      <c r="R483" s="7">
        <v>36819</v>
      </c>
      <c r="S483" s="8">
        <f t="shared" si="56"/>
        <v>2000</v>
      </c>
      <c r="T483" s="8">
        <v>2000</v>
      </c>
      <c r="U483" s="8">
        <f t="shared" si="57"/>
        <v>22</v>
      </c>
      <c r="V483" s="7">
        <v>36819</v>
      </c>
      <c r="W483" t="s">
        <v>150</v>
      </c>
      <c r="X483" s="2">
        <v>0.30399999999999999</v>
      </c>
      <c r="Y483" s="6">
        <f t="shared" si="58"/>
        <v>8.115106377299057E-3</v>
      </c>
      <c r="AA483">
        <v>8952477</v>
      </c>
      <c r="AB483">
        <v>12250</v>
      </c>
      <c r="AD483" t="s">
        <v>3</v>
      </c>
      <c r="AE483">
        <v>27</v>
      </c>
      <c r="AF483">
        <v>2</v>
      </c>
      <c r="AH483" t="s">
        <v>4804</v>
      </c>
      <c r="AI483" t="s">
        <v>4803</v>
      </c>
      <c r="AK483" t="s">
        <v>4802</v>
      </c>
      <c r="AL483">
        <v>1</v>
      </c>
      <c r="AM483" s="5">
        <f t="shared" si="59"/>
        <v>4.5454545454545456E-2</v>
      </c>
      <c r="AN483" s="4">
        <f t="shared" si="60"/>
        <v>6.8844445974321024E-5</v>
      </c>
      <c r="AO483" s="3"/>
      <c r="AP483">
        <v>0</v>
      </c>
      <c r="AR483" t="s">
        <v>1</v>
      </c>
      <c r="AT483" s="2" t="s">
        <v>0</v>
      </c>
      <c r="AU483" s="1">
        <f t="shared" si="61"/>
        <v>0.57012277979016357</v>
      </c>
      <c r="AV483" s="1">
        <f t="shared" si="62"/>
        <v>0.40919754116366885</v>
      </c>
      <c r="AW483" s="1">
        <f t="shared" si="63"/>
        <v>0.24827230253717419</v>
      </c>
    </row>
    <row r="484" spans="1:49" x14ac:dyDescent="0.2">
      <c r="A484">
        <v>482</v>
      </c>
      <c r="B484" t="s">
        <v>4801</v>
      </c>
      <c r="C484" t="s">
        <v>4800</v>
      </c>
      <c r="F484" t="s">
        <v>4799</v>
      </c>
      <c r="G484" t="s">
        <v>9</v>
      </c>
      <c r="H484" t="s">
        <v>8</v>
      </c>
      <c r="I484" t="s">
        <v>4798</v>
      </c>
      <c r="J484">
        <v>60001439</v>
      </c>
      <c r="K484" t="s">
        <v>120</v>
      </c>
      <c r="L484" t="s">
        <v>119</v>
      </c>
      <c r="M484" t="s">
        <v>5</v>
      </c>
      <c r="N484">
        <v>2</v>
      </c>
      <c r="O484" t="s">
        <v>4797</v>
      </c>
      <c r="P484" t="s">
        <v>4796</v>
      </c>
      <c r="Q484" t="s">
        <v>118</v>
      </c>
      <c r="R484" s="7">
        <v>36819</v>
      </c>
      <c r="S484" s="8">
        <f t="shared" si="56"/>
        <v>2000</v>
      </c>
      <c r="T484" s="8">
        <v>2000</v>
      </c>
      <c r="U484" s="8">
        <f t="shared" si="57"/>
        <v>22</v>
      </c>
      <c r="V484" s="7">
        <v>36819</v>
      </c>
      <c r="W484" t="s">
        <v>150</v>
      </c>
      <c r="X484" s="2">
        <v>0.30399999999999999</v>
      </c>
      <c r="Y484" s="6">
        <f t="shared" si="58"/>
        <v>8.115106377299057E-3</v>
      </c>
      <c r="AA484">
        <v>8952477</v>
      </c>
      <c r="AB484">
        <v>12250</v>
      </c>
      <c r="AD484" t="s">
        <v>3</v>
      </c>
      <c r="AE484">
        <v>27</v>
      </c>
      <c r="AF484">
        <v>2</v>
      </c>
      <c r="AH484" t="s">
        <v>4795</v>
      </c>
      <c r="AI484" t="s">
        <v>4794</v>
      </c>
      <c r="AK484" t="s">
        <v>4793</v>
      </c>
      <c r="AL484">
        <v>42</v>
      </c>
      <c r="AM484" s="5">
        <f t="shared" si="59"/>
        <v>1.9090909090909092</v>
      </c>
      <c r="AN484" s="4">
        <f t="shared" si="60"/>
        <v>2.8914667309214831E-3</v>
      </c>
      <c r="AO484" s="3"/>
      <c r="AP484">
        <v>0</v>
      </c>
      <c r="AR484" t="s">
        <v>1</v>
      </c>
      <c r="AT484" s="2" t="s">
        <v>0</v>
      </c>
      <c r="AU484" s="1">
        <f t="shared" si="61"/>
        <v>0.65480144833857845</v>
      </c>
      <c r="AV484" s="1">
        <f t="shared" si="62"/>
        <v>0.55032865541102705</v>
      </c>
      <c r="AW484" s="1">
        <f t="shared" si="63"/>
        <v>0.44585586248347547</v>
      </c>
    </row>
    <row r="485" spans="1:49" x14ac:dyDescent="0.2">
      <c r="A485">
        <v>483</v>
      </c>
      <c r="B485" t="s">
        <v>4792</v>
      </c>
      <c r="C485" t="s">
        <v>4791</v>
      </c>
      <c r="F485" t="s">
        <v>4790</v>
      </c>
      <c r="G485" t="s">
        <v>9</v>
      </c>
      <c r="H485" t="s">
        <v>8</v>
      </c>
      <c r="I485" t="s">
        <v>939</v>
      </c>
      <c r="J485">
        <v>60031004</v>
      </c>
      <c r="K485" t="s">
        <v>938</v>
      </c>
      <c r="L485" t="s">
        <v>937</v>
      </c>
      <c r="M485" t="s">
        <v>86</v>
      </c>
      <c r="N485">
        <v>2</v>
      </c>
      <c r="O485" t="s">
        <v>4789</v>
      </c>
      <c r="P485" t="s">
        <v>4788</v>
      </c>
      <c r="Q485" t="s">
        <v>4472</v>
      </c>
      <c r="R485" s="7">
        <v>36819</v>
      </c>
      <c r="S485" s="8">
        <f t="shared" si="56"/>
        <v>2000</v>
      </c>
      <c r="T485" s="8">
        <v>2000</v>
      </c>
      <c r="U485" s="8">
        <f t="shared" si="57"/>
        <v>22</v>
      </c>
      <c r="V485" s="7">
        <v>36819</v>
      </c>
      <c r="W485" t="s">
        <v>150</v>
      </c>
      <c r="X485" s="2">
        <v>0.30399999999999999</v>
      </c>
      <c r="Y485" s="6">
        <f t="shared" si="58"/>
        <v>8.115106377299057E-3</v>
      </c>
      <c r="AA485">
        <v>8952477</v>
      </c>
      <c r="AB485">
        <v>12250</v>
      </c>
      <c r="AD485" t="s">
        <v>3</v>
      </c>
      <c r="AE485">
        <v>27</v>
      </c>
      <c r="AF485">
        <v>2</v>
      </c>
      <c r="AH485" t="s">
        <v>4787</v>
      </c>
      <c r="AI485" t="s">
        <v>4786</v>
      </c>
      <c r="AK485" t="s">
        <v>4785</v>
      </c>
      <c r="AL485">
        <v>4</v>
      </c>
      <c r="AM485" s="5">
        <f t="shared" si="59"/>
        <v>0.18181818181818182</v>
      </c>
      <c r="AN485" s="4">
        <f t="shared" si="60"/>
        <v>2.753777838972841E-4</v>
      </c>
      <c r="AO485" s="3"/>
      <c r="AP485">
        <v>0</v>
      </c>
      <c r="AR485" t="s">
        <v>1</v>
      </c>
      <c r="AT485" s="2" t="s">
        <v>0</v>
      </c>
      <c r="AU485" s="1">
        <f t="shared" si="61"/>
        <v>0.57631877992785252</v>
      </c>
      <c r="AV485" s="1">
        <f t="shared" si="62"/>
        <v>0.41952420805981705</v>
      </c>
      <c r="AW485" s="1">
        <f t="shared" si="63"/>
        <v>0.26272963619178158</v>
      </c>
    </row>
    <row r="486" spans="1:49" x14ac:dyDescent="0.2">
      <c r="A486">
        <v>484</v>
      </c>
      <c r="B486" t="s">
        <v>4784</v>
      </c>
      <c r="C486" t="s">
        <v>4783</v>
      </c>
      <c r="F486" t="s">
        <v>4782</v>
      </c>
      <c r="G486" t="s">
        <v>9</v>
      </c>
      <c r="H486" t="s">
        <v>8</v>
      </c>
      <c r="I486" t="s">
        <v>4781</v>
      </c>
      <c r="J486" t="s">
        <v>4780</v>
      </c>
      <c r="K486" t="s">
        <v>4779</v>
      </c>
      <c r="L486" t="s">
        <v>4778</v>
      </c>
      <c r="M486" t="s">
        <v>19</v>
      </c>
      <c r="N486">
        <v>5</v>
      </c>
      <c r="O486" t="s">
        <v>4777</v>
      </c>
      <c r="P486" t="s">
        <v>4776</v>
      </c>
      <c r="Q486" t="s">
        <v>4775</v>
      </c>
      <c r="R486" s="7">
        <v>36819</v>
      </c>
      <c r="S486" s="8">
        <f t="shared" si="56"/>
        <v>2000</v>
      </c>
      <c r="T486" s="8">
        <v>2000</v>
      </c>
      <c r="U486" s="8">
        <f t="shared" si="57"/>
        <v>22</v>
      </c>
      <c r="V486" s="7">
        <v>36819</v>
      </c>
      <c r="W486" t="s">
        <v>555</v>
      </c>
      <c r="X486" s="2">
        <v>2.3759999999999999</v>
      </c>
      <c r="Y486" s="6">
        <f t="shared" si="58"/>
        <v>6.3425963001521576E-2</v>
      </c>
      <c r="AA486" t="s">
        <v>554</v>
      </c>
      <c r="AB486">
        <v>26765</v>
      </c>
      <c r="AC486">
        <v>15384357</v>
      </c>
      <c r="AD486" t="s">
        <v>3</v>
      </c>
      <c r="AE486">
        <v>542</v>
      </c>
      <c r="AF486" t="s">
        <v>185</v>
      </c>
      <c r="AH486" t="s">
        <v>4774</v>
      </c>
      <c r="AI486" t="s">
        <v>4773</v>
      </c>
      <c r="AJ486" t="s">
        <v>4772</v>
      </c>
      <c r="AK486" t="s">
        <v>4771</v>
      </c>
      <c r="AL486">
        <v>140</v>
      </c>
      <c r="AM486" s="5">
        <f t="shared" si="59"/>
        <v>6.3636363636363633</v>
      </c>
      <c r="AN486" s="4">
        <f t="shared" si="60"/>
        <v>9.6382224364049418E-3</v>
      </c>
      <c r="AO486" s="3"/>
      <c r="AP486">
        <v>0</v>
      </c>
      <c r="AR486" t="s">
        <v>1</v>
      </c>
      <c r="AT486" s="2">
        <v>5.8739999999999997</v>
      </c>
      <c r="AU486" s="1">
        <f t="shared" si="61"/>
        <v>4.7289640831986581</v>
      </c>
      <c r="AV486" s="1">
        <f t="shared" si="62"/>
        <v>3.6532092718963258</v>
      </c>
      <c r="AW486" s="1">
        <f t="shared" si="63"/>
        <v>2.5774544605939935</v>
      </c>
    </row>
    <row r="487" spans="1:49" x14ac:dyDescent="0.2">
      <c r="A487">
        <v>485</v>
      </c>
      <c r="B487" t="s">
        <v>4770</v>
      </c>
      <c r="C487" t="s">
        <v>4769</v>
      </c>
      <c r="F487" t="s">
        <v>4768</v>
      </c>
      <c r="G487" t="s">
        <v>9</v>
      </c>
      <c r="H487" t="s">
        <v>8</v>
      </c>
      <c r="I487" t="s">
        <v>217</v>
      </c>
      <c r="J487">
        <v>60011357</v>
      </c>
      <c r="K487" t="s">
        <v>216</v>
      </c>
      <c r="L487" t="s">
        <v>215</v>
      </c>
      <c r="M487" t="s">
        <v>214</v>
      </c>
      <c r="N487">
        <v>3</v>
      </c>
      <c r="O487" t="s">
        <v>4767</v>
      </c>
      <c r="P487" t="s">
        <v>4766</v>
      </c>
      <c r="Q487" t="s">
        <v>268</v>
      </c>
      <c r="R487" s="7">
        <v>36819</v>
      </c>
      <c r="S487" s="8">
        <f t="shared" si="56"/>
        <v>2000</v>
      </c>
      <c r="T487" s="8">
        <v>2000</v>
      </c>
      <c r="U487" s="8">
        <f t="shared" si="57"/>
        <v>22</v>
      </c>
      <c r="V487" s="7">
        <v>36819</v>
      </c>
      <c r="W487" t="s">
        <v>150</v>
      </c>
      <c r="X487" s="2">
        <v>0.30399999999999999</v>
      </c>
      <c r="Y487" s="6">
        <f t="shared" si="58"/>
        <v>8.115106377299057E-3</v>
      </c>
      <c r="AA487">
        <v>8952477</v>
      </c>
      <c r="AB487">
        <v>12250</v>
      </c>
      <c r="AD487" t="s">
        <v>3</v>
      </c>
      <c r="AE487">
        <v>27</v>
      </c>
      <c r="AF487">
        <v>2</v>
      </c>
      <c r="AH487" t="s">
        <v>4765</v>
      </c>
      <c r="AI487" t="s">
        <v>4764</v>
      </c>
      <c r="AK487" t="s">
        <v>4763</v>
      </c>
      <c r="AL487">
        <v>9</v>
      </c>
      <c r="AM487" s="5">
        <f t="shared" si="59"/>
        <v>0.40909090909090912</v>
      </c>
      <c r="AN487" s="4">
        <f t="shared" si="60"/>
        <v>6.1960001376888923E-4</v>
      </c>
      <c r="AO487" s="3"/>
      <c r="AP487">
        <v>0</v>
      </c>
      <c r="AR487" t="s">
        <v>1</v>
      </c>
      <c r="AT487" s="2" t="s">
        <v>0</v>
      </c>
      <c r="AU487" s="1">
        <f t="shared" si="61"/>
        <v>0.58664544682400055</v>
      </c>
      <c r="AV487" s="1">
        <f t="shared" si="62"/>
        <v>0.43673531955339728</v>
      </c>
      <c r="AW487" s="1">
        <f t="shared" si="63"/>
        <v>0.28682519228279396</v>
      </c>
    </row>
    <row r="488" spans="1:49" x14ac:dyDescent="0.2">
      <c r="A488">
        <v>486</v>
      </c>
      <c r="B488" t="s">
        <v>4762</v>
      </c>
      <c r="C488" t="s">
        <v>4761</v>
      </c>
      <c r="D488" t="s">
        <v>4760</v>
      </c>
      <c r="E488">
        <v>10989296</v>
      </c>
      <c r="F488" t="s">
        <v>4759</v>
      </c>
      <c r="G488" t="s">
        <v>9</v>
      </c>
      <c r="H488" t="s">
        <v>8</v>
      </c>
      <c r="I488" t="s">
        <v>4758</v>
      </c>
      <c r="J488" t="s">
        <v>4757</v>
      </c>
      <c r="K488" t="s">
        <v>4756</v>
      </c>
      <c r="L488" t="s">
        <v>4755</v>
      </c>
      <c r="M488" t="s">
        <v>4754</v>
      </c>
      <c r="N488">
        <v>9</v>
      </c>
      <c r="O488" t="s">
        <v>4753</v>
      </c>
      <c r="P488" t="s">
        <v>4752</v>
      </c>
      <c r="Q488" t="s">
        <v>4751</v>
      </c>
      <c r="R488" s="7">
        <v>36818</v>
      </c>
      <c r="S488" s="8">
        <f t="shared" si="56"/>
        <v>2000</v>
      </c>
      <c r="T488" s="8">
        <v>2000</v>
      </c>
      <c r="U488" s="8">
        <f t="shared" si="57"/>
        <v>22</v>
      </c>
      <c r="V488" s="7">
        <v>2000</v>
      </c>
      <c r="W488" t="s">
        <v>789</v>
      </c>
      <c r="X488" s="2">
        <v>1.718</v>
      </c>
      <c r="Y488" s="6">
        <f t="shared" si="58"/>
        <v>4.5861028803288753E-2</v>
      </c>
      <c r="AA488">
        <v>9651748</v>
      </c>
      <c r="AB488">
        <v>20384</v>
      </c>
      <c r="AD488" t="s">
        <v>3</v>
      </c>
      <c r="AE488">
        <v>30</v>
      </c>
      <c r="AF488">
        <v>11</v>
      </c>
      <c r="AH488" t="s">
        <v>4750</v>
      </c>
      <c r="AI488" t="s">
        <v>4749</v>
      </c>
      <c r="AJ488" t="s">
        <v>4748</v>
      </c>
      <c r="AK488" t="s">
        <v>4747</v>
      </c>
      <c r="AL488">
        <v>51</v>
      </c>
      <c r="AM488" s="5">
        <f t="shared" si="59"/>
        <v>2.3181818181818183</v>
      </c>
      <c r="AN488" s="4">
        <f t="shared" si="60"/>
        <v>3.5110667446903725E-3</v>
      </c>
      <c r="AO488" s="3"/>
      <c r="AP488">
        <v>0</v>
      </c>
      <c r="AQ488" t="s">
        <v>4746</v>
      </c>
      <c r="AR488" t="s">
        <v>1</v>
      </c>
      <c r="AS488" t="s">
        <v>4745</v>
      </c>
      <c r="AT488" s="2" t="s">
        <v>0</v>
      </c>
      <c r="AU488" s="1">
        <f t="shared" si="61"/>
        <v>3.3156040185709239</v>
      </c>
      <c r="AV488" s="1">
        <f t="shared" si="62"/>
        <v>2.4686047773989563</v>
      </c>
      <c r="AW488" s="1">
        <f t="shared" si="63"/>
        <v>1.6216055362269888</v>
      </c>
    </row>
    <row r="489" spans="1:49" x14ac:dyDescent="0.2">
      <c r="A489">
        <v>487</v>
      </c>
      <c r="B489" t="s">
        <v>4744</v>
      </c>
      <c r="C489" t="s">
        <v>4743</v>
      </c>
      <c r="D489" t="s">
        <v>4742</v>
      </c>
      <c r="F489" t="s">
        <v>4741</v>
      </c>
      <c r="G489" t="s">
        <v>9</v>
      </c>
      <c r="H489" t="s">
        <v>8</v>
      </c>
      <c r="I489" t="s">
        <v>4740</v>
      </c>
      <c r="J489">
        <v>60020486</v>
      </c>
      <c r="K489" t="s">
        <v>432</v>
      </c>
      <c r="L489" t="s">
        <v>431</v>
      </c>
      <c r="M489" t="s">
        <v>177</v>
      </c>
      <c r="N489">
        <v>9</v>
      </c>
      <c r="O489" t="s">
        <v>4739</v>
      </c>
      <c r="P489" t="s">
        <v>4738</v>
      </c>
      <c r="Q489" t="s">
        <v>4737</v>
      </c>
      <c r="R489" s="7">
        <v>36818</v>
      </c>
      <c r="S489" s="8">
        <f t="shared" si="56"/>
        <v>2000</v>
      </c>
      <c r="T489" s="8">
        <v>2000</v>
      </c>
      <c r="U489" s="8">
        <f t="shared" si="57"/>
        <v>22</v>
      </c>
      <c r="V489" s="7">
        <v>2000</v>
      </c>
      <c r="W489" t="s">
        <v>4736</v>
      </c>
      <c r="X489" s="2">
        <v>0.56499999999999995</v>
      </c>
      <c r="Y489" s="6">
        <f t="shared" si="58"/>
        <v>1.5082352313072261E-2</v>
      </c>
      <c r="AA489">
        <v>12932558</v>
      </c>
      <c r="AB489">
        <v>25326</v>
      </c>
      <c r="AD489" t="s">
        <v>3</v>
      </c>
      <c r="AE489">
        <v>2</v>
      </c>
      <c r="AF489">
        <v>4</v>
      </c>
      <c r="AH489" t="s">
        <v>4735</v>
      </c>
      <c r="AI489" t="s">
        <v>4734</v>
      </c>
      <c r="AJ489" t="s">
        <v>4733</v>
      </c>
      <c r="AK489" t="s">
        <v>4732</v>
      </c>
      <c r="AL489">
        <v>81</v>
      </c>
      <c r="AM489" s="5">
        <f t="shared" si="59"/>
        <v>3.6818181818181817</v>
      </c>
      <c r="AN489" s="4">
        <f t="shared" si="60"/>
        <v>5.5764001239200023E-3</v>
      </c>
      <c r="AO489" s="3"/>
      <c r="AP489">
        <v>0</v>
      </c>
      <c r="AQ489" t="s">
        <v>409</v>
      </c>
      <c r="AR489" t="s">
        <v>4731</v>
      </c>
      <c r="AS489" t="s">
        <v>407</v>
      </c>
      <c r="AT489" s="2">
        <v>3.0590000000000002</v>
      </c>
      <c r="AU489" s="1">
        <f t="shared" si="61"/>
        <v>1.2230566656326582</v>
      </c>
      <c r="AV489" s="1">
        <f t="shared" si="62"/>
        <v>1.0329376218496131</v>
      </c>
      <c r="AW489" s="1">
        <f t="shared" si="63"/>
        <v>0.8428185780665679</v>
      </c>
    </row>
    <row r="490" spans="1:49" x14ac:dyDescent="0.2">
      <c r="A490">
        <v>488</v>
      </c>
      <c r="B490" t="s">
        <v>4730</v>
      </c>
      <c r="C490" t="s">
        <v>4729</v>
      </c>
      <c r="E490">
        <v>11042641</v>
      </c>
      <c r="F490" t="s">
        <v>4728</v>
      </c>
      <c r="G490" t="s">
        <v>9</v>
      </c>
      <c r="H490" t="s">
        <v>8</v>
      </c>
      <c r="I490" t="s">
        <v>4727</v>
      </c>
      <c r="J490" t="s">
        <v>422</v>
      </c>
      <c r="K490" t="s">
        <v>421</v>
      </c>
      <c r="L490" t="s">
        <v>420</v>
      </c>
      <c r="M490" t="s">
        <v>19</v>
      </c>
      <c r="N490">
        <v>6</v>
      </c>
      <c r="O490" t="s">
        <v>4726</v>
      </c>
      <c r="P490" t="s">
        <v>4725</v>
      </c>
      <c r="Q490" t="s">
        <v>4724</v>
      </c>
      <c r="R490" s="7">
        <v>36816</v>
      </c>
      <c r="S490" s="8">
        <f t="shared" si="56"/>
        <v>2000</v>
      </c>
      <c r="T490" s="8">
        <v>2000</v>
      </c>
      <c r="U490" s="8">
        <f t="shared" si="57"/>
        <v>22</v>
      </c>
      <c r="V490" s="7">
        <v>2000</v>
      </c>
      <c r="W490" t="s">
        <v>419</v>
      </c>
      <c r="X490" s="2">
        <v>1.5629999999999999</v>
      </c>
      <c r="Y490" s="6">
        <f t="shared" si="58"/>
        <v>4.1723392328021143E-2</v>
      </c>
      <c r="AA490">
        <v>10531807</v>
      </c>
      <c r="AB490">
        <v>17225</v>
      </c>
      <c r="AD490" t="s">
        <v>3</v>
      </c>
      <c r="AE490">
        <v>12</v>
      </c>
      <c r="AF490">
        <v>4</v>
      </c>
      <c r="AH490" t="s">
        <v>4723</v>
      </c>
      <c r="AI490" t="s">
        <v>4722</v>
      </c>
      <c r="AJ490" t="s">
        <v>4721</v>
      </c>
      <c r="AK490" t="s">
        <v>4720</v>
      </c>
      <c r="AL490">
        <v>64</v>
      </c>
      <c r="AM490" s="5">
        <f t="shared" si="59"/>
        <v>2.9090909090909092</v>
      </c>
      <c r="AN490" s="4">
        <f t="shared" si="60"/>
        <v>4.4060445423565455E-3</v>
      </c>
      <c r="AO490" s="3"/>
      <c r="AP490">
        <v>1</v>
      </c>
      <c r="AQ490" t="s">
        <v>271</v>
      </c>
      <c r="AR490" t="s">
        <v>4719</v>
      </c>
      <c r="AS490" t="s">
        <v>270</v>
      </c>
      <c r="AT490" s="2">
        <v>4.8129999999999997</v>
      </c>
      <c r="AU490" s="1">
        <f t="shared" si="61"/>
        <v>3.0528187992321763</v>
      </c>
      <c r="AV490" s="1">
        <f t="shared" si="62"/>
        <v>2.3064718435188847</v>
      </c>
      <c r="AW490" s="1">
        <f t="shared" si="63"/>
        <v>1.5601248878055924</v>
      </c>
    </row>
    <row r="491" spans="1:49" x14ac:dyDescent="0.2">
      <c r="A491">
        <v>489</v>
      </c>
      <c r="B491" t="s">
        <v>4718</v>
      </c>
      <c r="C491" t="s">
        <v>4717</v>
      </c>
      <c r="F491" t="s">
        <v>4716</v>
      </c>
      <c r="G491" t="s">
        <v>9</v>
      </c>
      <c r="H491" t="s">
        <v>8</v>
      </c>
      <c r="I491" t="s">
        <v>4715</v>
      </c>
      <c r="J491" t="s">
        <v>4714</v>
      </c>
      <c r="K491" t="s">
        <v>4713</v>
      </c>
      <c r="L491" t="s">
        <v>4712</v>
      </c>
      <c r="M491" t="s">
        <v>4711</v>
      </c>
      <c r="N491">
        <v>5</v>
      </c>
      <c r="O491" t="s">
        <v>4710</v>
      </c>
      <c r="P491" t="s">
        <v>4709</v>
      </c>
      <c r="Q491" t="s">
        <v>4708</v>
      </c>
      <c r="R491" s="7">
        <v>36815</v>
      </c>
      <c r="S491" s="8">
        <f t="shared" si="56"/>
        <v>2000</v>
      </c>
      <c r="T491" s="8">
        <v>2000</v>
      </c>
      <c r="U491" s="8">
        <f t="shared" si="57"/>
        <v>22</v>
      </c>
      <c r="V491" s="7">
        <v>36815</v>
      </c>
      <c r="W491" t="s">
        <v>4707</v>
      </c>
      <c r="X491" s="2">
        <v>5.8310000000000004</v>
      </c>
      <c r="Y491" s="6">
        <f t="shared" si="58"/>
        <v>0.15565521475668029</v>
      </c>
      <c r="AA491">
        <v>14337851</v>
      </c>
      <c r="AB491">
        <v>22687</v>
      </c>
      <c r="AD491" t="s">
        <v>3</v>
      </c>
      <c r="AE491">
        <v>39</v>
      </c>
      <c r="AF491">
        <v>20</v>
      </c>
      <c r="AH491" t="s">
        <v>4706</v>
      </c>
      <c r="AI491" t="s">
        <v>4705</v>
      </c>
      <c r="AJ491" t="s">
        <v>4704</v>
      </c>
      <c r="AK491" t="s">
        <v>4703</v>
      </c>
      <c r="AL491">
        <v>143</v>
      </c>
      <c r="AM491" s="5">
        <f t="shared" si="59"/>
        <v>6.5</v>
      </c>
      <c r="AN491" s="4">
        <f t="shared" si="60"/>
        <v>9.8447557743279058E-3</v>
      </c>
      <c r="AO491" s="3"/>
      <c r="AP491">
        <v>0</v>
      </c>
      <c r="AR491" t="s">
        <v>1</v>
      </c>
      <c r="AT491" s="2" t="s">
        <v>0</v>
      </c>
      <c r="AU491" s="1">
        <f t="shared" si="61"/>
        <v>11.191207706197456</v>
      </c>
      <c r="AV491" s="1">
        <f t="shared" si="62"/>
        <v>8.2749985265504105</v>
      </c>
      <c r="AW491" s="1">
        <f t="shared" si="63"/>
        <v>5.3587893469033618</v>
      </c>
    </row>
    <row r="492" spans="1:49" x14ac:dyDescent="0.2">
      <c r="A492">
        <v>490</v>
      </c>
      <c r="B492" t="s">
        <v>4702</v>
      </c>
      <c r="C492" t="s">
        <v>4701</v>
      </c>
      <c r="F492" t="s">
        <v>4700</v>
      </c>
      <c r="G492" t="s">
        <v>9</v>
      </c>
      <c r="H492" t="s">
        <v>8</v>
      </c>
      <c r="I492" t="s">
        <v>4699</v>
      </c>
      <c r="J492" t="s">
        <v>4698</v>
      </c>
      <c r="K492" t="s">
        <v>4697</v>
      </c>
      <c r="L492" t="s">
        <v>4696</v>
      </c>
      <c r="M492" t="s">
        <v>4695</v>
      </c>
      <c r="N492">
        <v>2</v>
      </c>
      <c r="O492" t="s">
        <v>4694</v>
      </c>
      <c r="P492" t="s">
        <v>4693</v>
      </c>
      <c r="Q492" t="s">
        <v>4692</v>
      </c>
      <c r="R492" s="7">
        <v>36815</v>
      </c>
      <c r="S492" s="8">
        <f t="shared" si="56"/>
        <v>2000</v>
      </c>
      <c r="T492" s="8">
        <v>2000</v>
      </c>
      <c r="U492" s="8">
        <f t="shared" si="57"/>
        <v>22</v>
      </c>
      <c r="V492" s="7">
        <v>36815</v>
      </c>
      <c r="W492" t="s">
        <v>616</v>
      </c>
      <c r="X492" s="2">
        <v>0.192</v>
      </c>
      <c r="Y492" s="6">
        <f t="shared" si="58"/>
        <v>5.1253303435572998E-3</v>
      </c>
      <c r="AA492" t="s">
        <v>589</v>
      </c>
      <c r="AB492">
        <v>40067</v>
      </c>
      <c r="AD492" t="s">
        <v>3</v>
      </c>
      <c r="AE492">
        <v>4196</v>
      </c>
      <c r="AF492">
        <v>1</v>
      </c>
      <c r="AH492" t="s">
        <v>4691</v>
      </c>
      <c r="AI492" t="s">
        <v>4690</v>
      </c>
      <c r="AJ492" t="s">
        <v>4689</v>
      </c>
      <c r="AK492" t="s">
        <v>4688</v>
      </c>
      <c r="AL492">
        <v>14</v>
      </c>
      <c r="AM492" s="5">
        <f t="shared" si="59"/>
        <v>0.63636363636363635</v>
      </c>
      <c r="AN492" s="4">
        <f t="shared" si="60"/>
        <v>9.6382224364049431E-4</v>
      </c>
      <c r="AO492" s="3"/>
      <c r="AP492">
        <v>0</v>
      </c>
      <c r="AR492" t="s">
        <v>1</v>
      </c>
      <c r="AT492" s="2" t="s">
        <v>0</v>
      </c>
      <c r="AU492" s="1">
        <f t="shared" si="61"/>
        <v>0.38768779135822573</v>
      </c>
      <c r="AV492" s="1">
        <f t="shared" si="62"/>
        <v>0.30445762935988974</v>
      </c>
      <c r="AW492" s="1">
        <f t="shared" si="63"/>
        <v>0.2212274673615536</v>
      </c>
    </row>
    <row r="493" spans="1:49" x14ac:dyDescent="0.2">
      <c r="A493">
        <v>491</v>
      </c>
      <c r="B493" t="s">
        <v>4687</v>
      </c>
      <c r="C493" t="s">
        <v>4686</v>
      </c>
      <c r="F493" t="s">
        <v>4685</v>
      </c>
      <c r="G493" t="s">
        <v>9</v>
      </c>
      <c r="H493" t="s">
        <v>8</v>
      </c>
      <c r="I493" t="s">
        <v>3380</v>
      </c>
      <c r="J493">
        <v>60003500</v>
      </c>
      <c r="K493" t="s">
        <v>309</v>
      </c>
      <c r="L493" t="s">
        <v>308</v>
      </c>
      <c r="M493" t="s">
        <v>5</v>
      </c>
      <c r="N493">
        <v>3</v>
      </c>
      <c r="O493" t="s">
        <v>4684</v>
      </c>
      <c r="P493" t="s">
        <v>4683</v>
      </c>
      <c r="Q493" t="s">
        <v>790</v>
      </c>
      <c r="R493" s="7">
        <v>36814</v>
      </c>
      <c r="S493" s="8">
        <f t="shared" si="56"/>
        <v>2000</v>
      </c>
      <c r="T493" s="8">
        <v>2000</v>
      </c>
      <c r="U493" s="8">
        <f t="shared" si="57"/>
        <v>22</v>
      </c>
      <c r="V493" s="7">
        <v>36814</v>
      </c>
      <c r="W493" t="s">
        <v>64</v>
      </c>
      <c r="X493" s="2">
        <v>2.0070000000000001</v>
      </c>
      <c r="Y493" s="6">
        <f t="shared" si="58"/>
        <v>5.3575718747497406E-2</v>
      </c>
      <c r="AA493">
        <v>948276</v>
      </c>
      <c r="AB493">
        <v>27962</v>
      </c>
      <c r="AD493" t="s">
        <v>3</v>
      </c>
      <c r="AE493">
        <v>27</v>
      </c>
      <c r="AF493">
        <v>20</v>
      </c>
      <c r="AH493" t="s">
        <v>4682</v>
      </c>
      <c r="AI493" t="s">
        <v>4681</v>
      </c>
      <c r="AK493" t="s">
        <v>4680</v>
      </c>
      <c r="AL493">
        <v>46</v>
      </c>
      <c r="AM493" s="5">
        <f t="shared" si="59"/>
        <v>2.0909090909090908</v>
      </c>
      <c r="AN493" s="4">
        <f t="shared" si="60"/>
        <v>3.1668445148187669E-3</v>
      </c>
      <c r="AO493" s="3"/>
      <c r="AP493">
        <v>0</v>
      </c>
      <c r="AR493" t="s">
        <v>1</v>
      </c>
      <c r="AT493" s="2">
        <v>4.72</v>
      </c>
      <c r="AU493" s="1">
        <f t="shared" si="61"/>
        <v>3.8453056477693814</v>
      </c>
      <c r="AV493" s="1">
        <f t="shared" si="62"/>
        <v>2.8371281631158087</v>
      </c>
      <c r="AW493" s="1">
        <f t="shared" si="63"/>
        <v>1.8289506784622358</v>
      </c>
    </row>
    <row r="494" spans="1:49" x14ac:dyDescent="0.2">
      <c r="A494">
        <v>492</v>
      </c>
      <c r="B494" t="s">
        <v>4679</v>
      </c>
      <c r="C494" t="s">
        <v>4678</v>
      </c>
      <c r="F494" t="s">
        <v>4677</v>
      </c>
      <c r="G494" t="s">
        <v>9</v>
      </c>
      <c r="H494" t="s">
        <v>8</v>
      </c>
      <c r="I494" t="s">
        <v>4676</v>
      </c>
      <c r="J494" t="s">
        <v>4675</v>
      </c>
      <c r="K494" t="s">
        <v>4674</v>
      </c>
      <c r="L494" t="s">
        <v>4673</v>
      </c>
      <c r="M494" t="s">
        <v>19</v>
      </c>
      <c r="N494">
        <v>3</v>
      </c>
      <c r="O494" t="s">
        <v>4672</v>
      </c>
      <c r="P494" t="s">
        <v>4671</v>
      </c>
      <c r="Q494" t="s">
        <v>4670</v>
      </c>
      <c r="R494" s="7">
        <v>36814</v>
      </c>
      <c r="S494" s="8">
        <f t="shared" si="56"/>
        <v>2000</v>
      </c>
      <c r="T494" s="8">
        <v>2000</v>
      </c>
      <c r="U494" s="8">
        <f t="shared" si="57"/>
        <v>22</v>
      </c>
      <c r="V494" s="7">
        <v>36814</v>
      </c>
      <c r="W494" t="s">
        <v>774</v>
      </c>
      <c r="X494" s="2">
        <v>1.524</v>
      </c>
      <c r="Y494" s="6">
        <f t="shared" si="58"/>
        <v>4.0682309601986065E-2</v>
      </c>
      <c r="AA494">
        <v>1469592</v>
      </c>
      <c r="AB494">
        <v>12863</v>
      </c>
      <c r="AD494" t="s">
        <v>3</v>
      </c>
      <c r="AE494">
        <v>25</v>
      </c>
      <c r="AF494">
        <v>20</v>
      </c>
      <c r="AH494" t="s">
        <v>4669</v>
      </c>
      <c r="AI494" t="s">
        <v>4668</v>
      </c>
      <c r="AK494" t="s">
        <v>4667</v>
      </c>
      <c r="AL494">
        <v>45</v>
      </c>
      <c r="AM494" s="5">
        <f t="shared" si="59"/>
        <v>2.0454545454545454</v>
      </c>
      <c r="AN494" s="4">
        <f t="shared" si="60"/>
        <v>3.0980000688444458E-3</v>
      </c>
      <c r="AO494" s="3"/>
      <c r="AP494">
        <v>0</v>
      </c>
      <c r="AR494" t="s">
        <v>1</v>
      </c>
      <c r="AT494" s="2">
        <v>3.7759999999999998</v>
      </c>
      <c r="AU494" s="1">
        <f t="shared" si="61"/>
        <v>2.9407016742043579</v>
      </c>
      <c r="AV494" s="1">
        <f t="shared" si="62"/>
        <v>2.1890154835415254</v>
      </c>
      <c r="AW494" s="1">
        <f t="shared" si="63"/>
        <v>1.4373292928786932</v>
      </c>
    </row>
    <row r="495" spans="1:49" x14ac:dyDescent="0.2">
      <c r="A495">
        <v>493</v>
      </c>
      <c r="B495" t="s">
        <v>4666</v>
      </c>
      <c r="C495" t="s">
        <v>4665</v>
      </c>
      <c r="F495" t="s">
        <v>4664</v>
      </c>
      <c r="G495" t="s">
        <v>9</v>
      </c>
      <c r="H495" t="s">
        <v>8</v>
      </c>
      <c r="I495" t="s">
        <v>4663</v>
      </c>
      <c r="J495">
        <v>60029570</v>
      </c>
      <c r="K495" t="s">
        <v>635</v>
      </c>
      <c r="L495" t="s">
        <v>634</v>
      </c>
      <c r="M495" t="s">
        <v>246</v>
      </c>
      <c r="N495">
        <v>2</v>
      </c>
      <c r="O495" t="s">
        <v>4662</v>
      </c>
      <c r="P495" t="s">
        <v>4661</v>
      </c>
      <c r="Q495" t="s">
        <v>4660</v>
      </c>
      <c r="R495" s="7">
        <v>36811</v>
      </c>
      <c r="S495" s="8">
        <f t="shared" si="56"/>
        <v>2000</v>
      </c>
      <c r="T495" s="8">
        <v>2000</v>
      </c>
      <c r="U495" s="8">
        <f t="shared" si="57"/>
        <v>22</v>
      </c>
      <c r="V495" s="7">
        <v>36811</v>
      </c>
      <c r="W495" t="s">
        <v>718</v>
      </c>
      <c r="X495" s="2">
        <v>0.375</v>
      </c>
      <c r="Y495" s="6">
        <f t="shared" si="58"/>
        <v>1.0010410827260351E-2</v>
      </c>
      <c r="AA495">
        <v>135194</v>
      </c>
      <c r="AB495">
        <v>24918</v>
      </c>
      <c r="AD495" t="s">
        <v>3</v>
      </c>
      <c r="AE495">
        <v>36</v>
      </c>
      <c r="AF495">
        <v>21</v>
      </c>
      <c r="AH495" t="s">
        <v>4659</v>
      </c>
      <c r="AI495" t="s">
        <v>4658</v>
      </c>
      <c r="AK495" t="s">
        <v>4657</v>
      </c>
      <c r="AL495">
        <v>4</v>
      </c>
      <c r="AM495" s="5">
        <f t="shared" si="59"/>
        <v>0.18181818181818182</v>
      </c>
      <c r="AN495" s="4">
        <f t="shared" si="60"/>
        <v>2.753777838972841E-4</v>
      </c>
      <c r="AO495" s="3"/>
      <c r="AP495">
        <v>0</v>
      </c>
      <c r="AR495" t="s">
        <v>1</v>
      </c>
      <c r="AT495" s="2">
        <v>1.3140000000000001</v>
      </c>
      <c r="AU495" s="1">
        <f t="shared" si="61"/>
        <v>0.70899009142514313</v>
      </c>
      <c r="AV495" s="1">
        <f t="shared" si="62"/>
        <v>0.51428943055788179</v>
      </c>
      <c r="AW495" s="1">
        <f t="shared" si="63"/>
        <v>0.31958876969062039</v>
      </c>
    </row>
    <row r="496" spans="1:49" x14ac:dyDescent="0.2">
      <c r="A496">
        <v>494</v>
      </c>
      <c r="B496" t="s">
        <v>4656</v>
      </c>
      <c r="C496" t="s">
        <v>4655</v>
      </c>
      <c r="F496" t="s">
        <v>4654</v>
      </c>
      <c r="G496" t="s">
        <v>9</v>
      </c>
      <c r="H496" t="s">
        <v>8</v>
      </c>
      <c r="I496" t="s">
        <v>685</v>
      </c>
      <c r="J496" t="s">
        <v>4653</v>
      </c>
      <c r="K496" t="s">
        <v>4652</v>
      </c>
      <c r="L496" t="s">
        <v>4651</v>
      </c>
      <c r="M496" t="s">
        <v>286</v>
      </c>
      <c r="N496">
        <v>4</v>
      </c>
      <c r="O496" t="s">
        <v>4650</v>
      </c>
      <c r="P496" t="s">
        <v>4649</v>
      </c>
      <c r="Q496" t="s">
        <v>4648</v>
      </c>
      <c r="R496" s="7">
        <v>36811</v>
      </c>
      <c r="S496" s="8">
        <f t="shared" si="56"/>
        <v>2000</v>
      </c>
      <c r="T496" s="8">
        <v>2000</v>
      </c>
      <c r="U496" s="8">
        <f t="shared" si="57"/>
        <v>22</v>
      </c>
      <c r="V496" s="7">
        <v>36811</v>
      </c>
      <c r="W496" t="s">
        <v>718</v>
      </c>
      <c r="X496" s="2">
        <v>0.375</v>
      </c>
      <c r="Y496" s="6">
        <f t="shared" si="58"/>
        <v>1.0010410827260351E-2</v>
      </c>
      <c r="AA496">
        <v>135194</v>
      </c>
      <c r="AB496">
        <v>24918</v>
      </c>
      <c r="AD496" t="s">
        <v>3</v>
      </c>
      <c r="AE496">
        <v>36</v>
      </c>
      <c r="AF496">
        <v>21</v>
      </c>
      <c r="AH496" t="s">
        <v>4647</v>
      </c>
      <c r="AI496" t="s">
        <v>4646</v>
      </c>
      <c r="AK496" t="s">
        <v>4645</v>
      </c>
      <c r="AL496">
        <v>4</v>
      </c>
      <c r="AM496" s="5">
        <f t="shared" si="59"/>
        <v>0.18181818181818182</v>
      </c>
      <c r="AN496" s="4">
        <f t="shared" si="60"/>
        <v>2.753777838972841E-4</v>
      </c>
      <c r="AO496" s="3"/>
      <c r="AP496">
        <v>0</v>
      </c>
      <c r="AR496" t="s">
        <v>1</v>
      </c>
      <c r="AT496" s="2">
        <v>1.3140000000000001</v>
      </c>
      <c r="AU496" s="1">
        <f t="shared" si="61"/>
        <v>0.70899009142514313</v>
      </c>
      <c r="AV496" s="1">
        <f t="shared" si="62"/>
        <v>0.51428943055788179</v>
      </c>
      <c r="AW496" s="1">
        <f t="shared" si="63"/>
        <v>0.31958876969062039</v>
      </c>
    </row>
    <row r="497" spans="1:49" x14ac:dyDescent="0.2">
      <c r="A497">
        <v>495</v>
      </c>
      <c r="B497" t="s">
        <v>4644</v>
      </c>
      <c r="C497" t="s">
        <v>4643</v>
      </c>
      <c r="F497" t="s">
        <v>4642</v>
      </c>
      <c r="G497" t="s">
        <v>9</v>
      </c>
      <c r="H497" t="s">
        <v>8</v>
      </c>
      <c r="I497" t="s">
        <v>900</v>
      </c>
      <c r="J497">
        <v>60103653</v>
      </c>
      <c r="K497" t="s">
        <v>153</v>
      </c>
      <c r="L497" t="s">
        <v>152</v>
      </c>
      <c r="M497" t="s">
        <v>22</v>
      </c>
      <c r="N497">
        <v>2</v>
      </c>
      <c r="O497" t="s">
        <v>4641</v>
      </c>
      <c r="P497" t="s">
        <v>4640</v>
      </c>
      <c r="Q497" t="s">
        <v>151</v>
      </c>
      <c r="R497" s="7">
        <v>36811</v>
      </c>
      <c r="S497" s="8">
        <f t="shared" si="56"/>
        <v>2000</v>
      </c>
      <c r="T497" s="8">
        <v>2000</v>
      </c>
      <c r="U497" s="8">
        <f t="shared" si="57"/>
        <v>22</v>
      </c>
      <c r="V497" s="7">
        <v>36811</v>
      </c>
      <c r="W497" t="s">
        <v>718</v>
      </c>
      <c r="X497" s="2">
        <v>0.375</v>
      </c>
      <c r="Y497" s="6">
        <f t="shared" si="58"/>
        <v>1.0010410827260351E-2</v>
      </c>
      <c r="AA497">
        <v>135194</v>
      </c>
      <c r="AB497">
        <v>24918</v>
      </c>
      <c r="AD497" t="s">
        <v>3</v>
      </c>
      <c r="AE497">
        <v>36</v>
      </c>
      <c r="AF497">
        <v>21</v>
      </c>
      <c r="AH497" t="s">
        <v>4639</v>
      </c>
      <c r="AI497" t="s">
        <v>4638</v>
      </c>
      <c r="AK497" t="s">
        <v>4637</v>
      </c>
      <c r="AL497">
        <v>22</v>
      </c>
      <c r="AM497" s="5">
        <f t="shared" si="59"/>
        <v>1</v>
      </c>
      <c r="AN497" s="4">
        <f t="shared" si="60"/>
        <v>1.5145778114350624E-3</v>
      </c>
      <c r="AO497" s="3"/>
      <c r="AP497">
        <v>0</v>
      </c>
      <c r="AR497" t="s">
        <v>1</v>
      </c>
      <c r="AT497" s="2">
        <v>1.3140000000000001</v>
      </c>
      <c r="AU497" s="1">
        <f t="shared" si="61"/>
        <v>0.74616609225127639</v>
      </c>
      <c r="AV497" s="1">
        <f t="shared" si="62"/>
        <v>0.57624943193477074</v>
      </c>
      <c r="AW497" s="1">
        <f t="shared" si="63"/>
        <v>0.40633277161826492</v>
      </c>
    </row>
    <row r="498" spans="1:49" x14ac:dyDescent="0.2">
      <c r="A498">
        <v>496</v>
      </c>
      <c r="B498" t="s">
        <v>4636</v>
      </c>
      <c r="C498" t="s">
        <v>4635</v>
      </c>
      <c r="F498" t="s">
        <v>4634</v>
      </c>
      <c r="G498" t="s">
        <v>9</v>
      </c>
      <c r="H498" t="s">
        <v>8</v>
      </c>
      <c r="I498" t="s">
        <v>4633</v>
      </c>
      <c r="J498">
        <v>60024908</v>
      </c>
      <c r="K498" t="s">
        <v>4632</v>
      </c>
      <c r="L498" t="s">
        <v>4631</v>
      </c>
      <c r="M498" t="s">
        <v>214</v>
      </c>
      <c r="N498">
        <v>4</v>
      </c>
      <c r="O498" t="s">
        <v>4630</v>
      </c>
      <c r="P498" t="s">
        <v>4629</v>
      </c>
      <c r="Q498" t="s">
        <v>4628</v>
      </c>
      <c r="R498" s="7">
        <v>36811</v>
      </c>
      <c r="S498" s="8">
        <f t="shared" si="56"/>
        <v>2000</v>
      </c>
      <c r="T498" s="8">
        <v>2000</v>
      </c>
      <c r="U498" s="8">
        <f t="shared" si="57"/>
        <v>22</v>
      </c>
      <c r="V498" s="7">
        <v>36811</v>
      </c>
      <c r="W498" t="s">
        <v>718</v>
      </c>
      <c r="X498" s="2">
        <v>0.375</v>
      </c>
      <c r="Y498" s="6">
        <f t="shared" si="58"/>
        <v>1.0010410827260351E-2</v>
      </c>
      <c r="AA498">
        <v>135194</v>
      </c>
      <c r="AB498">
        <v>24918</v>
      </c>
      <c r="AD498" t="s">
        <v>3</v>
      </c>
      <c r="AE498">
        <v>36</v>
      </c>
      <c r="AF498">
        <v>21</v>
      </c>
      <c r="AH498" t="s">
        <v>4627</v>
      </c>
      <c r="AI498" t="s">
        <v>4626</v>
      </c>
      <c r="AK498" t="s">
        <v>4625</v>
      </c>
      <c r="AL498">
        <v>13</v>
      </c>
      <c r="AM498" s="5">
        <f t="shared" si="59"/>
        <v>0.59090909090909094</v>
      </c>
      <c r="AN498" s="4">
        <f t="shared" si="60"/>
        <v>8.9497779766617338E-4</v>
      </c>
      <c r="AO498" s="3"/>
      <c r="AP498">
        <v>0</v>
      </c>
      <c r="AR498" t="s">
        <v>1</v>
      </c>
      <c r="AT498" s="2">
        <v>1.3140000000000001</v>
      </c>
      <c r="AU498" s="1">
        <f t="shared" si="61"/>
        <v>0.72757809183820976</v>
      </c>
      <c r="AV498" s="1">
        <f t="shared" si="62"/>
        <v>0.54526943124632621</v>
      </c>
      <c r="AW498" s="1">
        <f t="shared" si="63"/>
        <v>0.3629607706544426</v>
      </c>
    </row>
    <row r="499" spans="1:49" x14ac:dyDescent="0.2">
      <c r="A499">
        <v>497</v>
      </c>
      <c r="B499" t="s">
        <v>4624</v>
      </c>
      <c r="C499" t="s">
        <v>4623</v>
      </c>
      <c r="F499" t="s">
        <v>4622</v>
      </c>
      <c r="G499" t="s">
        <v>9</v>
      </c>
      <c r="H499" t="s">
        <v>8</v>
      </c>
      <c r="I499" t="s">
        <v>4621</v>
      </c>
      <c r="J499" t="s">
        <v>4620</v>
      </c>
      <c r="K499" t="s">
        <v>4619</v>
      </c>
      <c r="L499" t="s">
        <v>144</v>
      </c>
      <c r="M499" t="s">
        <v>143</v>
      </c>
      <c r="N499">
        <v>3</v>
      </c>
      <c r="O499" t="s">
        <v>4618</v>
      </c>
      <c r="P499" t="s">
        <v>4617</v>
      </c>
      <c r="Q499" t="s">
        <v>4616</v>
      </c>
      <c r="R499" s="7">
        <v>36811</v>
      </c>
      <c r="S499" s="8">
        <f t="shared" si="56"/>
        <v>2000</v>
      </c>
      <c r="T499" s="8">
        <v>2000</v>
      </c>
      <c r="U499" s="8">
        <f t="shared" si="57"/>
        <v>22</v>
      </c>
      <c r="V499" s="7">
        <v>36811</v>
      </c>
      <c r="W499" t="s">
        <v>718</v>
      </c>
      <c r="X499" s="2">
        <v>0.375</v>
      </c>
      <c r="Y499" s="6">
        <f t="shared" si="58"/>
        <v>1.0010410827260351E-2</v>
      </c>
      <c r="AA499">
        <v>135194</v>
      </c>
      <c r="AB499">
        <v>24918</v>
      </c>
      <c r="AD499" t="s">
        <v>3</v>
      </c>
      <c r="AE499">
        <v>36</v>
      </c>
      <c r="AF499">
        <v>21</v>
      </c>
      <c r="AH499" t="s">
        <v>4615</v>
      </c>
      <c r="AI499" t="s">
        <v>4614</v>
      </c>
      <c r="AK499" t="s">
        <v>4613</v>
      </c>
      <c r="AL499">
        <v>12</v>
      </c>
      <c r="AM499" s="5">
        <f t="shared" si="59"/>
        <v>0.54545454545454541</v>
      </c>
      <c r="AN499" s="4">
        <f t="shared" si="60"/>
        <v>8.2613335169185224E-4</v>
      </c>
      <c r="AO499" s="3"/>
      <c r="AP499">
        <v>0</v>
      </c>
      <c r="AR499" t="s">
        <v>1</v>
      </c>
      <c r="AT499" s="2">
        <v>1.3140000000000001</v>
      </c>
      <c r="AU499" s="1">
        <f t="shared" si="61"/>
        <v>0.72551275845898011</v>
      </c>
      <c r="AV499" s="1">
        <f t="shared" si="62"/>
        <v>0.54182720894761016</v>
      </c>
      <c r="AW499" s="1">
        <f t="shared" si="63"/>
        <v>0.35814165943624016</v>
      </c>
    </row>
    <row r="500" spans="1:49" x14ac:dyDescent="0.2">
      <c r="A500">
        <v>498</v>
      </c>
      <c r="B500" t="s">
        <v>4612</v>
      </c>
      <c r="C500" t="s">
        <v>4611</v>
      </c>
      <c r="F500" t="s">
        <v>4610</v>
      </c>
      <c r="G500" t="s">
        <v>9</v>
      </c>
      <c r="H500" t="s">
        <v>8</v>
      </c>
      <c r="I500" t="s">
        <v>4609</v>
      </c>
      <c r="J500" t="s">
        <v>4608</v>
      </c>
      <c r="K500" t="s">
        <v>4607</v>
      </c>
      <c r="L500" t="s">
        <v>4606</v>
      </c>
      <c r="M500" t="s">
        <v>4605</v>
      </c>
      <c r="N500">
        <v>5</v>
      </c>
      <c r="O500" t="s">
        <v>4604</v>
      </c>
      <c r="P500" t="s">
        <v>4603</v>
      </c>
      <c r="Q500" t="s">
        <v>4602</v>
      </c>
      <c r="R500" s="7">
        <v>36811</v>
      </c>
      <c r="S500" s="8">
        <f t="shared" si="56"/>
        <v>2000</v>
      </c>
      <c r="T500" s="8">
        <v>2000</v>
      </c>
      <c r="U500" s="8">
        <f t="shared" si="57"/>
        <v>22</v>
      </c>
      <c r="V500" s="7">
        <v>36811</v>
      </c>
      <c r="W500" t="s">
        <v>750</v>
      </c>
      <c r="X500" s="2">
        <v>0.86399999999999999</v>
      </c>
      <c r="Y500" s="6">
        <f t="shared" si="58"/>
        <v>2.3063986546007848E-2</v>
      </c>
      <c r="AA500">
        <v>15206106</v>
      </c>
      <c r="AB500">
        <v>26970</v>
      </c>
      <c r="AD500" t="s">
        <v>3</v>
      </c>
      <c r="AE500">
        <v>104</v>
      </c>
      <c r="AF500">
        <v>40</v>
      </c>
      <c r="AH500" t="s">
        <v>4601</v>
      </c>
      <c r="AI500" t="s">
        <v>4600</v>
      </c>
      <c r="AK500" t="s">
        <v>4599</v>
      </c>
      <c r="AL500">
        <v>21</v>
      </c>
      <c r="AM500" s="5">
        <f t="shared" si="59"/>
        <v>0.95454545454545459</v>
      </c>
      <c r="AN500" s="4">
        <f t="shared" si="60"/>
        <v>1.4457333654607416E-3</v>
      </c>
      <c r="AO500" s="3"/>
      <c r="AP500">
        <v>0</v>
      </c>
      <c r="AR500" t="s">
        <v>1</v>
      </c>
      <c r="AT500" s="2">
        <v>2.9910000000000001</v>
      </c>
      <c r="AU500" s="1">
        <f t="shared" si="61"/>
        <v>1.6578510591843714</v>
      </c>
      <c r="AV500" s="1">
        <f t="shared" si="62"/>
        <v>1.2254859955734296</v>
      </c>
      <c r="AW500" s="1">
        <f t="shared" si="63"/>
        <v>0.79312093196248734</v>
      </c>
    </row>
    <row r="501" spans="1:49" x14ac:dyDescent="0.2">
      <c r="A501">
        <v>499</v>
      </c>
      <c r="B501" t="s">
        <v>4598</v>
      </c>
      <c r="C501" t="s">
        <v>4597</v>
      </c>
      <c r="F501" t="s">
        <v>4596</v>
      </c>
      <c r="G501" t="s">
        <v>9</v>
      </c>
      <c r="H501" t="s">
        <v>8</v>
      </c>
      <c r="I501" t="s">
        <v>4595</v>
      </c>
      <c r="J501">
        <v>60021097</v>
      </c>
      <c r="K501" t="s">
        <v>2383</v>
      </c>
      <c r="L501" t="s">
        <v>2382</v>
      </c>
      <c r="M501" t="s">
        <v>87</v>
      </c>
      <c r="N501">
        <v>3</v>
      </c>
      <c r="O501" t="s">
        <v>4594</v>
      </c>
      <c r="P501" t="s">
        <v>4593</v>
      </c>
      <c r="Q501" t="s">
        <v>4592</v>
      </c>
      <c r="R501" s="7">
        <v>36811</v>
      </c>
      <c r="S501" s="8">
        <f t="shared" si="56"/>
        <v>2000</v>
      </c>
      <c r="T501" s="8">
        <v>2000</v>
      </c>
      <c r="U501" s="8">
        <f t="shared" si="57"/>
        <v>22</v>
      </c>
      <c r="V501" s="7">
        <v>36811</v>
      </c>
      <c r="W501" t="s">
        <v>718</v>
      </c>
      <c r="X501" s="2">
        <v>0.375</v>
      </c>
      <c r="Y501" s="6">
        <f t="shared" si="58"/>
        <v>1.0010410827260351E-2</v>
      </c>
      <c r="AA501">
        <v>135194</v>
      </c>
      <c r="AB501">
        <v>24918</v>
      </c>
      <c r="AD501" t="s">
        <v>3</v>
      </c>
      <c r="AE501">
        <v>36</v>
      </c>
      <c r="AF501">
        <v>21</v>
      </c>
      <c r="AH501" t="s">
        <v>4591</v>
      </c>
      <c r="AI501" t="s">
        <v>4590</v>
      </c>
      <c r="AK501" t="s">
        <v>4589</v>
      </c>
      <c r="AL501">
        <v>3</v>
      </c>
      <c r="AM501" s="5">
        <f t="shared" si="59"/>
        <v>0.13636363636363635</v>
      </c>
      <c r="AN501" s="4">
        <f t="shared" si="60"/>
        <v>2.0653333792296306E-4</v>
      </c>
      <c r="AO501" s="3"/>
      <c r="AP501">
        <v>0</v>
      </c>
      <c r="AR501" t="s">
        <v>1</v>
      </c>
      <c r="AT501" s="2">
        <v>1.3140000000000001</v>
      </c>
      <c r="AU501" s="1">
        <f t="shared" si="61"/>
        <v>0.70692475804591348</v>
      </c>
      <c r="AV501" s="1">
        <f t="shared" si="62"/>
        <v>0.51084720825916563</v>
      </c>
      <c r="AW501" s="1">
        <f t="shared" si="63"/>
        <v>0.31476965847241795</v>
      </c>
    </row>
    <row r="502" spans="1:49" x14ac:dyDescent="0.2">
      <c r="A502">
        <v>500</v>
      </c>
      <c r="B502" t="s">
        <v>4588</v>
      </c>
      <c r="C502" t="s">
        <v>4587</v>
      </c>
      <c r="F502" t="s">
        <v>4586</v>
      </c>
      <c r="G502" t="s">
        <v>9</v>
      </c>
      <c r="H502" t="s">
        <v>8</v>
      </c>
      <c r="I502" t="s">
        <v>4585</v>
      </c>
      <c r="J502">
        <v>60021939</v>
      </c>
      <c r="K502" t="s">
        <v>2592</v>
      </c>
      <c r="L502" t="s">
        <v>2591</v>
      </c>
      <c r="M502" t="s">
        <v>5</v>
      </c>
      <c r="N502">
        <v>2</v>
      </c>
      <c r="O502" t="s">
        <v>4584</v>
      </c>
      <c r="P502" t="s">
        <v>4583</v>
      </c>
      <c r="Q502" t="s">
        <v>4582</v>
      </c>
      <c r="R502" s="7">
        <v>36811</v>
      </c>
      <c r="S502" s="8">
        <f t="shared" si="56"/>
        <v>2000</v>
      </c>
      <c r="T502" s="8">
        <v>2000</v>
      </c>
      <c r="U502" s="8">
        <f t="shared" si="57"/>
        <v>22</v>
      </c>
      <c r="V502" s="7">
        <v>36811</v>
      </c>
      <c r="W502" t="s">
        <v>718</v>
      </c>
      <c r="X502" s="2">
        <v>0.375</v>
      </c>
      <c r="Y502" s="6">
        <f t="shared" si="58"/>
        <v>1.0010410827260351E-2</v>
      </c>
      <c r="AA502">
        <v>135194</v>
      </c>
      <c r="AB502">
        <v>24918</v>
      </c>
      <c r="AD502" t="s">
        <v>3</v>
      </c>
      <c r="AE502">
        <v>36</v>
      </c>
      <c r="AF502">
        <v>21</v>
      </c>
      <c r="AH502" t="s">
        <v>4581</v>
      </c>
      <c r="AI502" t="s">
        <v>4580</v>
      </c>
      <c r="AK502" t="s">
        <v>4579</v>
      </c>
      <c r="AL502">
        <v>1</v>
      </c>
      <c r="AM502" s="5">
        <f t="shared" si="59"/>
        <v>4.5454545454545456E-2</v>
      </c>
      <c r="AN502" s="4">
        <f t="shared" si="60"/>
        <v>6.8844445974321024E-5</v>
      </c>
      <c r="AO502" s="3"/>
      <c r="AP502">
        <v>0</v>
      </c>
      <c r="AR502" t="s">
        <v>1</v>
      </c>
      <c r="AT502" s="2">
        <v>1.3140000000000001</v>
      </c>
      <c r="AU502" s="1">
        <f t="shared" si="61"/>
        <v>0.70279409128745418</v>
      </c>
      <c r="AV502" s="1">
        <f t="shared" si="62"/>
        <v>0.50396276366173354</v>
      </c>
      <c r="AW502" s="1">
        <f t="shared" si="63"/>
        <v>0.305131436036013</v>
      </c>
    </row>
    <row r="503" spans="1:49" x14ac:dyDescent="0.2">
      <c r="A503">
        <v>501</v>
      </c>
      <c r="B503" t="s">
        <v>4578</v>
      </c>
      <c r="C503" t="s">
        <v>4577</v>
      </c>
      <c r="E503">
        <v>11005828</v>
      </c>
      <c r="F503" t="s">
        <v>4576</v>
      </c>
      <c r="G503" t="s">
        <v>9</v>
      </c>
      <c r="H503" t="s">
        <v>8</v>
      </c>
      <c r="I503" t="s">
        <v>4575</v>
      </c>
      <c r="J503">
        <v>60006876</v>
      </c>
      <c r="K503" t="s">
        <v>4574</v>
      </c>
      <c r="L503" t="s">
        <v>4573</v>
      </c>
      <c r="M503" t="s">
        <v>22</v>
      </c>
      <c r="N503">
        <v>4</v>
      </c>
      <c r="O503" t="s">
        <v>4572</v>
      </c>
      <c r="P503" t="s">
        <v>4571</v>
      </c>
      <c r="Q503" t="s">
        <v>4570</v>
      </c>
      <c r="R503" s="7">
        <v>36809</v>
      </c>
      <c r="S503" s="8">
        <f t="shared" si="56"/>
        <v>2000</v>
      </c>
      <c r="T503" s="8">
        <v>2000</v>
      </c>
      <c r="U503" s="8">
        <f t="shared" si="57"/>
        <v>22</v>
      </c>
      <c r="V503" s="7">
        <v>36809</v>
      </c>
      <c r="W503" t="s">
        <v>762</v>
      </c>
      <c r="X503" s="2">
        <v>5.0110000000000001</v>
      </c>
      <c r="Y503" s="6">
        <f t="shared" si="58"/>
        <v>0.13376578308107098</v>
      </c>
      <c r="AA503">
        <v>278424</v>
      </c>
      <c r="AB503">
        <v>21121</v>
      </c>
      <c r="AD503" t="s">
        <v>3</v>
      </c>
      <c r="AE503">
        <v>97</v>
      </c>
      <c r="AF503">
        <v>21</v>
      </c>
      <c r="AH503" t="s">
        <v>4569</v>
      </c>
      <c r="AI503" t="s">
        <v>4568</v>
      </c>
      <c r="AK503" t="s">
        <v>4567</v>
      </c>
      <c r="AL503">
        <v>225</v>
      </c>
      <c r="AM503" s="5">
        <f t="shared" si="59"/>
        <v>10.227272727272727</v>
      </c>
      <c r="AN503" s="4">
        <f t="shared" si="60"/>
        <v>1.5490000344222229E-2</v>
      </c>
      <c r="AO503" s="3"/>
      <c r="AP503">
        <v>1</v>
      </c>
      <c r="AR503" t="s">
        <v>1</v>
      </c>
      <c r="AT503" s="2" t="s">
        <v>0</v>
      </c>
      <c r="AU503" s="1">
        <f t="shared" si="61"/>
        <v>9.8283048260016361</v>
      </c>
      <c r="AV503" s="1">
        <f t="shared" si="62"/>
        <v>7.462789171264661</v>
      </c>
      <c r="AW503" s="1">
        <f t="shared" si="63"/>
        <v>5.097273516527685</v>
      </c>
    </row>
    <row r="504" spans="1:49" x14ac:dyDescent="0.2">
      <c r="A504">
        <v>502</v>
      </c>
      <c r="B504" t="s">
        <v>4566</v>
      </c>
      <c r="C504" t="s">
        <v>4565</v>
      </c>
      <c r="F504" t="s">
        <v>4564</v>
      </c>
      <c r="G504" t="s">
        <v>9</v>
      </c>
      <c r="H504" t="s">
        <v>8</v>
      </c>
      <c r="I504" t="s">
        <v>4563</v>
      </c>
      <c r="J504" t="s">
        <v>4562</v>
      </c>
      <c r="K504" t="s">
        <v>4561</v>
      </c>
      <c r="L504" t="s">
        <v>4560</v>
      </c>
      <c r="M504" t="s">
        <v>4559</v>
      </c>
      <c r="N504">
        <v>4</v>
      </c>
      <c r="O504" t="s">
        <v>4558</v>
      </c>
      <c r="P504" t="s">
        <v>4557</v>
      </c>
      <c r="Q504" t="s">
        <v>4556</v>
      </c>
      <c r="R504" s="7">
        <v>36809</v>
      </c>
      <c r="S504" s="8">
        <f t="shared" si="56"/>
        <v>2000</v>
      </c>
      <c r="T504" s="8">
        <v>2000</v>
      </c>
      <c r="U504" s="8">
        <f t="shared" si="57"/>
        <v>22</v>
      </c>
      <c r="V504" s="7">
        <v>36809</v>
      </c>
      <c r="W504" t="s">
        <v>555</v>
      </c>
      <c r="X504" s="2">
        <v>2.3759999999999999</v>
      </c>
      <c r="Y504" s="6">
        <f t="shared" si="58"/>
        <v>6.3425963001521576E-2</v>
      </c>
      <c r="AA504" t="s">
        <v>554</v>
      </c>
      <c r="AB504">
        <v>26765</v>
      </c>
      <c r="AC504">
        <v>15384357</v>
      </c>
      <c r="AD504" t="s">
        <v>3</v>
      </c>
      <c r="AE504">
        <v>542</v>
      </c>
      <c r="AF504" t="s">
        <v>527</v>
      </c>
      <c r="AH504" t="s">
        <v>4555</v>
      </c>
      <c r="AI504" t="s">
        <v>4554</v>
      </c>
      <c r="AJ504" t="s">
        <v>4553</v>
      </c>
      <c r="AK504" t="s">
        <v>4552</v>
      </c>
      <c r="AL504">
        <v>105</v>
      </c>
      <c r="AM504" s="5">
        <f t="shared" si="59"/>
        <v>4.7727272727272725</v>
      </c>
      <c r="AN504" s="4">
        <f t="shared" si="60"/>
        <v>7.2286668273037072E-3</v>
      </c>
      <c r="AO504" s="3"/>
      <c r="AP504">
        <v>0</v>
      </c>
      <c r="AR504" t="s">
        <v>1</v>
      </c>
      <c r="AT504" s="2">
        <v>5.8739999999999997</v>
      </c>
      <c r="AU504" s="1">
        <f t="shared" si="61"/>
        <v>4.6566774149256212</v>
      </c>
      <c r="AV504" s="1">
        <f t="shared" si="62"/>
        <v>3.5327314914412642</v>
      </c>
      <c r="AW504" s="1">
        <f t="shared" si="63"/>
        <v>2.4087855679569068</v>
      </c>
    </row>
    <row r="505" spans="1:49" x14ac:dyDescent="0.2">
      <c r="A505">
        <v>503</v>
      </c>
      <c r="B505" t="s">
        <v>4551</v>
      </c>
      <c r="C505" t="s">
        <v>4550</v>
      </c>
      <c r="F505" t="s">
        <v>4549</v>
      </c>
      <c r="G505" t="s">
        <v>9</v>
      </c>
      <c r="H505" t="s">
        <v>8</v>
      </c>
      <c r="I505" t="s">
        <v>4548</v>
      </c>
      <c r="J505" t="s">
        <v>4547</v>
      </c>
      <c r="K505" t="s">
        <v>4546</v>
      </c>
      <c r="L505" t="s">
        <v>4545</v>
      </c>
      <c r="M505" t="s">
        <v>28</v>
      </c>
      <c r="N505">
        <v>7</v>
      </c>
      <c r="O505" t="s">
        <v>4544</v>
      </c>
      <c r="P505" t="s">
        <v>4543</v>
      </c>
      <c r="Q505" t="s">
        <v>4542</v>
      </c>
      <c r="R505" s="7">
        <v>36808</v>
      </c>
      <c r="S505" s="8">
        <f t="shared" si="56"/>
        <v>2000</v>
      </c>
      <c r="T505" s="8">
        <v>2000</v>
      </c>
      <c r="U505" s="8">
        <f t="shared" si="57"/>
        <v>22</v>
      </c>
      <c r="V505" s="7">
        <v>36808</v>
      </c>
      <c r="W505" t="s">
        <v>616</v>
      </c>
      <c r="X505" s="2">
        <v>0.192</v>
      </c>
      <c r="Y505" s="6">
        <f t="shared" si="58"/>
        <v>5.1253303435572998E-3</v>
      </c>
      <c r="AA505" t="s">
        <v>589</v>
      </c>
      <c r="AB505">
        <v>40067</v>
      </c>
      <c r="AD505" t="s">
        <v>3</v>
      </c>
      <c r="AE505">
        <v>4225</v>
      </c>
      <c r="AF505">
        <v>1</v>
      </c>
      <c r="AH505" t="s">
        <v>4541</v>
      </c>
      <c r="AI505" t="s">
        <v>4540</v>
      </c>
      <c r="AK505" t="s">
        <v>4539</v>
      </c>
      <c r="AL505">
        <v>0</v>
      </c>
      <c r="AM505" s="5">
        <f t="shared" si="59"/>
        <v>0</v>
      </c>
      <c r="AN505" s="4">
        <f t="shared" si="60"/>
        <v>0</v>
      </c>
      <c r="AO505" s="3"/>
      <c r="AP505">
        <v>0</v>
      </c>
      <c r="AR505" t="s">
        <v>1</v>
      </c>
      <c r="AT505" s="2" t="s">
        <v>0</v>
      </c>
      <c r="AU505" s="1">
        <f t="shared" si="61"/>
        <v>0.35877312404901096</v>
      </c>
      <c r="AV505" s="1">
        <f t="shared" si="62"/>
        <v>0.25626651717786497</v>
      </c>
      <c r="AW505" s="1">
        <f t="shared" si="63"/>
        <v>0.15375991030671898</v>
      </c>
    </row>
    <row r="506" spans="1:49" x14ac:dyDescent="0.2">
      <c r="A506">
        <v>504</v>
      </c>
      <c r="B506" t="s">
        <v>4538</v>
      </c>
      <c r="C506" t="s">
        <v>4537</v>
      </c>
      <c r="F506" t="s">
        <v>4536</v>
      </c>
      <c r="G506" t="s">
        <v>9</v>
      </c>
      <c r="H506" t="s">
        <v>8</v>
      </c>
      <c r="I506" t="s">
        <v>4535</v>
      </c>
      <c r="J506" t="s">
        <v>4534</v>
      </c>
      <c r="K506" t="s">
        <v>4533</v>
      </c>
      <c r="L506" t="s">
        <v>4532</v>
      </c>
      <c r="M506" t="s">
        <v>4531</v>
      </c>
      <c r="N506">
        <v>3</v>
      </c>
      <c r="O506" t="s">
        <v>4530</v>
      </c>
      <c r="P506" t="s">
        <v>4529</v>
      </c>
      <c r="Q506" t="s">
        <v>4528</v>
      </c>
      <c r="R506" s="7">
        <v>36805</v>
      </c>
      <c r="S506" s="8">
        <f t="shared" si="56"/>
        <v>2000</v>
      </c>
      <c r="T506" s="8">
        <v>2000</v>
      </c>
      <c r="U506" s="8">
        <f t="shared" si="57"/>
        <v>22</v>
      </c>
      <c r="V506" s="7">
        <v>36805</v>
      </c>
      <c r="W506" t="s">
        <v>773</v>
      </c>
      <c r="X506" s="2">
        <v>2.3610000000000002</v>
      </c>
      <c r="Y506" s="6">
        <f t="shared" si="58"/>
        <v>6.3025546568431179E-2</v>
      </c>
      <c r="AA506">
        <v>219258</v>
      </c>
      <c r="AB506">
        <v>17592</v>
      </c>
      <c r="AD506" t="s">
        <v>3</v>
      </c>
      <c r="AE506">
        <v>275</v>
      </c>
      <c r="AF506">
        <v>40</v>
      </c>
      <c r="AH506" t="s">
        <v>4527</v>
      </c>
      <c r="AI506" t="s">
        <v>4526</v>
      </c>
      <c r="AK506" t="s">
        <v>4525</v>
      </c>
      <c r="AL506">
        <v>76</v>
      </c>
      <c r="AM506" s="5">
        <f t="shared" si="59"/>
        <v>3.4545454545454546</v>
      </c>
      <c r="AN506" s="4">
        <f t="shared" si="60"/>
        <v>5.232177894048398E-3</v>
      </c>
      <c r="AO506" s="3"/>
      <c r="AP506">
        <v>1</v>
      </c>
      <c r="AR506" t="s">
        <v>1</v>
      </c>
      <c r="AT506" s="2">
        <v>5.157</v>
      </c>
      <c r="AU506" s="1">
        <f t="shared" si="61"/>
        <v>4.5687535966116339</v>
      </c>
      <c r="AV506" s="1">
        <f t="shared" si="62"/>
        <v>3.4128862231239787</v>
      </c>
      <c r="AW506" s="1">
        <f t="shared" si="63"/>
        <v>2.2570188496363235</v>
      </c>
    </row>
    <row r="507" spans="1:49" x14ac:dyDescent="0.2">
      <c r="A507">
        <v>505</v>
      </c>
      <c r="B507" t="s">
        <v>4524</v>
      </c>
      <c r="C507" t="s">
        <v>4523</v>
      </c>
      <c r="F507" t="s">
        <v>4494</v>
      </c>
      <c r="G507" t="s">
        <v>9</v>
      </c>
      <c r="H507" t="s">
        <v>8</v>
      </c>
      <c r="I507" t="s">
        <v>243</v>
      </c>
      <c r="J507">
        <v>60007284</v>
      </c>
      <c r="K507" t="s">
        <v>519</v>
      </c>
      <c r="L507" t="s">
        <v>74</v>
      </c>
      <c r="M507" t="s">
        <v>73</v>
      </c>
      <c r="N507">
        <v>2</v>
      </c>
      <c r="O507" t="s">
        <v>4493</v>
      </c>
      <c r="P507" t="s">
        <v>4522</v>
      </c>
      <c r="Q507" t="s">
        <v>518</v>
      </c>
      <c r="R507" s="7">
        <v>36804</v>
      </c>
      <c r="S507" s="8">
        <f t="shared" si="56"/>
        <v>2000</v>
      </c>
      <c r="T507" s="8">
        <v>2000</v>
      </c>
      <c r="U507" s="8">
        <f t="shared" si="57"/>
        <v>22</v>
      </c>
      <c r="V507" s="7">
        <v>36804</v>
      </c>
      <c r="W507" t="s">
        <v>150</v>
      </c>
      <c r="X507" s="2">
        <v>0.30399999999999999</v>
      </c>
      <c r="Y507" s="6">
        <f t="shared" si="58"/>
        <v>8.115106377299057E-3</v>
      </c>
      <c r="AA507">
        <v>8952477</v>
      </c>
      <c r="AB507">
        <v>12250</v>
      </c>
      <c r="AD507" t="s">
        <v>3</v>
      </c>
      <c r="AE507">
        <v>27</v>
      </c>
      <c r="AF507">
        <v>1</v>
      </c>
      <c r="AH507" t="s">
        <v>4491</v>
      </c>
      <c r="AI507" t="s">
        <v>4490</v>
      </c>
      <c r="AK507" t="s">
        <v>4489</v>
      </c>
      <c r="AL507">
        <v>0</v>
      </c>
      <c r="AM507" s="5">
        <f t="shared" si="59"/>
        <v>0</v>
      </c>
      <c r="AN507" s="4">
        <f t="shared" si="60"/>
        <v>0</v>
      </c>
      <c r="AO507" s="3"/>
      <c r="AP507">
        <v>0</v>
      </c>
      <c r="AR507" t="s">
        <v>1</v>
      </c>
      <c r="AT507" s="2" t="s">
        <v>0</v>
      </c>
      <c r="AU507" s="1">
        <f t="shared" si="61"/>
        <v>0.56805744641093392</v>
      </c>
      <c r="AV507" s="1">
        <f t="shared" si="62"/>
        <v>0.40575531886495286</v>
      </c>
      <c r="AW507" s="1">
        <f t="shared" si="63"/>
        <v>0.24345319131897172</v>
      </c>
    </row>
    <row r="508" spans="1:49" x14ac:dyDescent="0.2">
      <c r="A508">
        <v>506</v>
      </c>
      <c r="B508" t="s">
        <v>4521</v>
      </c>
      <c r="C508" t="s">
        <v>4520</v>
      </c>
      <c r="F508" t="s">
        <v>4519</v>
      </c>
      <c r="G508" t="s">
        <v>9</v>
      </c>
      <c r="H508" t="s">
        <v>8</v>
      </c>
      <c r="I508" t="s">
        <v>4518</v>
      </c>
      <c r="J508">
        <v>60027090</v>
      </c>
      <c r="K508" t="s">
        <v>746</v>
      </c>
      <c r="L508" t="s">
        <v>745</v>
      </c>
      <c r="M508" t="s">
        <v>5</v>
      </c>
      <c r="N508">
        <v>2</v>
      </c>
      <c r="O508" t="s">
        <v>4517</v>
      </c>
      <c r="P508" t="s">
        <v>4516</v>
      </c>
      <c r="Q508" t="s">
        <v>744</v>
      </c>
      <c r="R508" s="7">
        <v>36804</v>
      </c>
      <c r="S508" s="8">
        <f t="shared" si="56"/>
        <v>2000</v>
      </c>
      <c r="T508" s="8">
        <v>2000</v>
      </c>
      <c r="U508" s="8">
        <f t="shared" si="57"/>
        <v>22</v>
      </c>
      <c r="V508" s="7">
        <v>36804</v>
      </c>
      <c r="W508" t="s">
        <v>150</v>
      </c>
      <c r="X508" s="2">
        <v>0.30399999999999999</v>
      </c>
      <c r="Y508" s="6">
        <f t="shared" si="58"/>
        <v>8.115106377299057E-3</v>
      </c>
      <c r="AA508">
        <v>8952477</v>
      </c>
      <c r="AB508">
        <v>12250</v>
      </c>
      <c r="AD508" t="s">
        <v>3</v>
      </c>
      <c r="AE508">
        <v>27</v>
      </c>
      <c r="AF508">
        <v>1</v>
      </c>
      <c r="AH508" t="s">
        <v>4515</v>
      </c>
      <c r="AI508" t="s">
        <v>4514</v>
      </c>
      <c r="AK508" t="s">
        <v>4513</v>
      </c>
      <c r="AL508">
        <v>1</v>
      </c>
      <c r="AM508" s="5">
        <f t="shared" si="59"/>
        <v>4.5454545454545456E-2</v>
      </c>
      <c r="AN508" s="4">
        <f t="shared" si="60"/>
        <v>6.8844445974321024E-5</v>
      </c>
      <c r="AO508" s="3"/>
      <c r="AP508">
        <v>0</v>
      </c>
      <c r="AR508" t="s">
        <v>1</v>
      </c>
      <c r="AT508" s="2" t="s">
        <v>0</v>
      </c>
      <c r="AU508" s="1">
        <f t="shared" si="61"/>
        <v>0.57012277979016357</v>
      </c>
      <c r="AV508" s="1">
        <f t="shared" si="62"/>
        <v>0.40919754116366885</v>
      </c>
      <c r="AW508" s="1">
        <f t="shared" si="63"/>
        <v>0.24827230253717419</v>
      </c>
    </row>
    <row r="509" spans="1:49" x14ac:dyDescent="0.2">
      <c r="A509">
        <v>507</v>
      </c>
      <c r="B509" t="s">
        <v>4512</v>
      </c>
      <c r="C509" t="s">
        <v>4511</v>
      </c>
      <c r="F509" t="s">
        <v>4510</v>
      </c>
      <c r="G509" t="s">
        <v>9</v>
      </c>
      <c r="H509" t="s">
        <v>8</v>
      </c>
      <c r="I509" t="s">
        <v>258</v>
      </c>
      <c r="J509">
        <v>60024872</v>
      </c>
      <c r="K509" t="s">
        <v>257</v>
      </c>
      <c r="L509" t="s">
        <v>11</v>
      </c>
      <c r="M509" t="s">
        <v>10</v>
      </c>
      <c r="N509">
        <v>3</v>
      </c>
      <c r="O509" t="s">
        <v>4509</v>
      </c>
      <c r="P509" t="s">
        <v>4508</v>
      </c>
      <c r="Q509" t="s">
        <v>819</v>
      </c>
      <c r="R509" s="7">
        <v>36804</v>
      </c>
      <c r="S509" s="8">
        <f t="shared" si="56"/>
        <v>2000</v>
      </c>
      <c r="T509" s="8">
        <v>2000</v>
      </c>
      <c r="U509" s="8">
        <f t="shared" si="57"/>
        <v>22</v>
      </c>
      <c r="V509" s="7">
        <v>36804</v>
      </c>
      <c r="W509" t="s">
        <v>150</v>
      </c>
      <c r="X509" s="2">
        <v>0.30399999999999999</v>
      </c>
      <c r="Y509" s="6">
        <f t="shared" si="58"/>
        <v>8.115106377299057E-3</v>
      </c>
      <c r="AA509">
        <v>8952477</v>
      </c>
      <c r="AB509">
        <v>12250</v>
      </c>
      <c r="AD509" t="s">
        <v>3</v>
      </c>
      <c r="AE509">
        <v>27</v>
      </c>
      <c r="AF509">
        <v>1</v>
      </c>
      <c r="AH509" t="s">
        <v>4507</v>
      </c>
      <c r="AI509" t="s">
        <v>4506</v>
      </c>
      <c r="AK509" t="s">
        <v>4505</v>
      </c>
      <c r="AL509">
        <v>6</v>
      </c>
      <c r="AM509" s="5">
        <f t="shared" si="59"/>
        <v>0.27272727272727271</v>
      </c>
      <c r="AN509" s="4">
        <f t="shared" si="60"/>
        <v>4.1306667584592612E-4</v>
      </c>
      <c r="AO509" s="3"/>
      <c r="AP509">
        <v>0</v>
      </c>
      <c r="AR509" t="s">
        <v>1</v>
      </c>
      <c r="AT509" s="2" t="s">
        <v>0</v>
      </c>
      <c r="AU509" s="1">
        <f t="shared" si="61"/>
        <v>0.58044944668631171</v>
      </c>
      <c r="AV509" s="1">
        <f t="shared" si="62"/>
        <v>0.42640865265724914</v>
      </c>
      <c r="AW509" s="1">
        <f t="shared" si="63"/>
        <v>0.27236785862818652</v>
      </c>
    </row>
    <row r="510" spans="1:49" x14ac:dyDescent="0.2">
      <c r="A510">
        <v>508</v>
      </c>
      <c r="B510" t="s">
        <v>4504</v>
      </c>
      <c r="C510" t="s">
        <v>4503</v>
      </c>
      <c r="F510" t="s">
        <v>4502</v>
      </c>
      <c r="G510" t="s">
        <v>9</v>
      </c>
      <c r="H510" t="s">
        <v>8</v>
      </c>
      <c r="I510" t="s">
        <v>870</v>
      </c>
      <c r="J510">
        <v>60015941</v>
      </c>
      <c r="K510" t="s">
        <v>435</v>
      </c>
      <c r="L510" t="s">
        <v>434</v>
      </c>
      <c r="M510" t="s">
        <v>5</v>
      </c>
      <c r="N510">
        <v>4</v>
      </c>
      <c r="O510" t="s">
        <v>4501</v>
      </c>
      <c r="P510" t="s">
        <v>4500</v>
      </c>
      <c r="Q510" t="s">
        <v>869</v>
      </c>
      <c r="R510" s="7">
        <v>36804</v>
      </c>
      <c r="S510" s="8">
        <f t="shared" si="56"/>
        <v>2000</v>
      </c>
      <c r="T510" s="8">
        <v>2000</v>
      </c>
      <c r="U510" s="8">
        <f t="shared" si="57"/>
        <v>22</v>
      </c>
      <c r="V510" s="7">
        <v>36804</v>
      </c>
      <c r="W510" t="s">
        <v>150</v>
      </c>
      <c r="X510" s="2">
        <v>0.30399999999999999</v>
      </c>
      <c r="Y510" s="6">
        <f t="shared" si="58"/>
        <v>8.115106377299057E-3</v>
      </c>
      <c r="AA510">
        <v>8952477</v>
      </c>
      <c r="AB510">
        <v>12250</v>
      </c>
      <c r="AD510" t="s">
        <v>3</v>
      </c>
      <c r="AE510">
        <v>27</v>
      </c>
      <c r="AF510">
        <v>1</v>
      </c>
      <c r="AH510" t="s">
        <v>4499</v>
      </c>
      <c r="AI510" t="s">
        <v>4498</v>
      </c>
      <c r="AK510" t="s">
        <v>4497</v>
      </c>
      <c r="AL510">
        <v>8</v>
      </c>
      <c r="AM510" s="5">
        <f t="shared" si="59"/>
        <v>0.36363636363636365</v>
      </c>
      <c r="AN510" s="4">
        <f t="shared" si="60"/>
        <v>5.5075556779456819E-4</v>
      </c>
      <c r="AO510" s="3"/>
      <c r="AP510">
        <v>0</v>
      </c>
      <c r="AR510" t="s">
        <v>1</v>
      </c>
      <c r="AT510" s="2" t="s">
        <v>0</v>
      </c>
      <c r="AU510" s="1">
        <f t="shared" si="61"/>
        <v>0.58458011344477101</v>
      </c>
      <c r="AV510" s="1">
        <f t="shared" si="62"/>
        <v>0.43329309725468124</v>
      </c>
      <c r="AW510" s="1">
        <f t="shared" si="63"/>
        <v>0.28200608106459152</v>
      </c>
    </row>
    <row r="511" spans="1:49" x14ac:dyDescent="0.2">
      <c r="A511">
        <v>509</v>
      </c>
      <c r="B511" t="s">
        <v>4496</v>
      </c>
      <c r="C511" t="s">
        <v>4495</v>
      </c>
      <c r="F511" t="s">
        <v>4494</v>
      </c>
      <c r="G511" t="s">
        <v>9</v>
      </c>
      <c r="H511" t="s">
        <v>8</v>
      </c>
      <c r="I511" t="s">
        <v>243</v>
      </c>
      <c r="J511">
        <v>60007284</v>
      </c>
      <c r="K511" t="s">
        <v>519</v>
      </c>
      <c r="L511" t="s">
        <v>74</v>
      </c>
      <c r="M511" t="s">
        <v>73</v>
      </c>
      <c r="N511">
        <v>2</v>
      </c>
      <c r="O511" t="s">
        <v>4493</v>
      </c>
      <c r="P511" t="s">
        <v>4492</v>
      </c>
      <c r="Q511" t="s">
        <v>518</v>
      </c>
      <c r="R511" s="7">
        <v>36804</v>
      </c>
      <c r="S511" s="8">
        <f t="shared" si="56"/>
        <v>2000</v>
      </c>
      <c r="T511" s="8">
        <v>2000</v>
      </c>
      <c r="U511" s="8">
        <f t="shared" si="57"/>
        <v>22</v>
      </c>
      <c r="V511" s="7">
        <v>36804</v>
      </c>
      <c r="W511" t="s">
        <v>150</v>
      </c>
      <c r="X511" s="2">
        <v>0.30399999999999999</v>
      </c>
      <c r="Y511" s="6">
        <f t="shared" si="58"/>
        <v>8.115106377299057E-3</v>
      </c>
      <c r="AA511">
        <v>8952477</v>
      </c>
      <c r="AB511">
        <v>12250</v>
      </c>
      <c r="AD511" t="s">
        <v>3</v>
      </c>
      <c r="AE511">
        <v>27</v>
      </c>
      <c r="AF511">
        <v>1</v>
      </c>
      <c r="AH511" t="s">
        <v>4491</v>
      </c>
      <c r="AI511" t="s">
        <v>4490</v>
      </c>
      <c r="AK511" t="s">
        <v>4489</v>
      </c>
      <c r="AL511">
        <v>67</v>
      </c>
      <c r="AM511" s="5">
        <f t="shared" si="59"/>
        <v>3.0454545454545454</v>
      </c>
      <c r="AN511" s="4">
        <f t="shared" si="60"/>
        <v>4.6125778802795087E-3</v>
      </c>
      <c r="AO511" s="3"/>
      <c r="AP511">
        <v>0</v>
      </c>
      <c r="AR511" t="s">
        <v>1</v>
      </c>
      <c r="AT511" s="2" t="s">
        <v>0</v>
      </c>
      <c r="AU511" s="1">
        <f t="shared" si="61"/>
        <v>0.70643478281931915</v>
      </c>
      <c r="AV511" s="1">
        <f t="shared" si="62"/>
        <v>0.63638421287892832</v>
      </c>
      <c r="AW511" s="1">
        <f t="shared" si="63"/>
        <v>0.56633364293853727</v>
      </c>
    </row>
    <row r="512" spans="1:49" x14ac:dyDescent="0.2">
      <c r="A512">
        <v>510</v>
      </c>
      <c r="B512" t="s">
        <v>4488</v>
      </c>
      <c r="C512" t="s">
        <v>4487</v>
      </c>
      <c r="F512" t="s">
        <v>4486</v>
      </c>
      <c r="G512" t="s">
        <v>9</v>
      </c>
      <c r="H512" t="s">
        <v>8</v>
      </c>
      <c r="I512" t="s">
        <v>569</v>
      </c>
      <c r="J512" t="s">
        <v>4481</v>
      </c>
      <c r="K512" t="s">
        <v>4485</v>
      </c>
      <c r="L512" t="s">
        <v>4484</v>
      </c>
      <c r="M512" t="s">
        <v>396</v>
      </c>
      <c r="N512">
        <v>2</v>
      </c>
      <c r="O512" t="s">
        <v>4483</v>
      </c>
      <c r="P512" t="s">
        <v>4482</v>
      </c>
      <c r="Q512" t="s">
        <v>4481</v>
      </c>
      <c r="R512" s="7">
        <v>36804</v>
      </c>
      <c r="S512" s="8">
        <f t="shared" si="56"/>
        <v>2000</v>
      </c>
      <c r="T512" s="8">
        <v>2000</v>
      </c>
      <c r="U512" s="8">
        <f t="shared" si="57"/>
        <v>22</v>
      </c>
      <c r="V512" s="7">
        <v>36804</v>
      </c>
      <c r="W512" t="s">
        <v>150</v>
      </c>
      <c r="X512" s="2">
        <v>0.30399999999999999</v>
      </c>
      <c r="Y512" s="6">
        <f t="shared" si="58"/>
        <v>8.115106377299057E-3</v>
      </c>
      <c r="AA512">
        <v>8952477</v>
      </c>
      <c r="AB512">
        <v>12250</v>
      </c>
      <c r="AD512" t="s">
        <v>3</v>
      </c>
      <c r="AE512">
        <v>27</v>
      </c>
      <c r="AF512">
        <v>1</v>
      </c>
      <c r="AH512" t="s">
        <v>4480</v>
      </c>
      <c r="AI512" t="s">
        <v>4479</v>
      </c>
      <c r="AK512" t="s">
        <v>4478</v>
      </c>
      <c r="AL512">
        <v>22</v>
      </c>
      <c r="AM512" s="5">
        <f t="shared" si="59"/>
        <v>1</v>
      </c>
      <c r="AN512" s="4">
        <f t="shared" si="60"/>
        <v>1.5145778114350624E-3</v>
      </c>
      <c r="AO512" s="3"/>
      <c r="AP512">
        <v>0</v>
      </c>
      <c r="AR512" t="s">
        <v>1</v>
      </c>
      <c r="AT512" s="2" t="s">
        <v>0</v>
      </c>
      <c r="AU512" s="1">
        <f t="shared" si="61"/>
        <v>0.61349478075398578</v>
      </c>
      <c r="AV512" s="1">
        <f t="shared" si="62"/>
        <v>0.481484209436706</v>
      </c>
      <c r="AW512" s="1">
        <f t="shared" si="63"/>
        <v>0.34947363811942611</v>
      </c>
    </row>
    <row r="513" spans="1:49" x14ac:dyDescent="0.2">
      <c r="A513">
        <v>511</v>
      </c>
      <c r="B513" t="s">
        <v>4477</v>
      </c>
      <c r="C513" t="s">
        <v>4476</v>
      </c>
      <c r="F513" t="s">
        <v>4475</v>
      </c>
      <c r="G513" t="s">
        <v>9</v>
      </c>
      <c r="H513" t="s">
        <v>8</v>
      </c>
      <c r="I513" t="s">
        <v>939</v>
      </c>
      <c r="J513">
        <v>60031004</v>
      </c>
      <c r="K513" t="s">
        <v>938</v>
      </c>
      <c r="L513" t="s">
        <v>937</v>
      </c>
      <c r="M513" t="s">
        <v>86</v>
      </c>
      <c r="N513">
        <v>2</v>
      </c>
      <c r="O513" t="s">
        <v>4474</v>
      </c>
      <c r="P513" t="s">
        <v>4473</v>
      </c>
      <c r="Q513" t="s">
        <v>4472</v>
      </c>
      <c r="R513" s="7">
        <v>36804</v>
      </c>
      <c r="S513" s="8">
        <f t="shared" si="56"/>
        <v>2000</v>
      </c>
      <c r="T513" s="8">
        <v>2000</v>
      </c>
      <c r="U513" s="8">
        <f t="shared" si="57"/>
        <v>22</v>
      </c>
      <c r="V513" s="7">
        <v>36804</v>
      </c>
      <c r="W513" t="s">
        <v>150</v>
      </c>
      <c r="X513" s="2">
        <v>0.30399999999999999</v>
      </c>
      <c r="Y513" s="6">
        <f t="shared" si="58"/>
        <v>8.115106377299057E-3</v>
      </c>
      <c r="AA513">
        <v>8952477</v>
      </c>
      <c r="AB513">
        <v>12250</v>
      </c>
      <c r="AD513" t="s">
        <v>3</v>
      </c>
      <c r="AE513">
        <v>27</v>
      </c>
      <c r="AF513">
        <v>1</v>
      </c>
      <c r="AH513" t="s">
        <v>4471</v>
      </c>
      <c r="AI513" t="s">
        <v>4470</v>
      </c>
      <c r="AK513" t="s">
        <v>4469</v>
      </c>
      <c r="AL513">
        <v>3</v>
      </c>
      <c r="AM513" s="5">
        <f t="shared" si="59"/>
        <v>0.13636363636363635</v>
      </c>
      <c r="AN513" s="4">
        <f t="shared" si="60"/>
        <v>2.0653333792296306E-4</v>
      </c>
      <c r="AO513" s="3"/>
      <c r="AP513">
        <v>0</v>
      </c>
      <c r="AR513" t="s">
        <v>1</v>
      </c>
      <c r="AT513" s="2" t="s">
        <v>0</v>
      </c>
      <c r="AU513" s="1">
        <f t="shared" si="61"/>
        <v>0.57425344654862287</v>
      </c>
      <c r="AV513" s="1">
        <f t="shared" si="62"/>
        <v>0.41608198576110095</v>
      </c>
      <c r="AW513" s="1">
        <f t="shared" si="63"/>
        <v>0.25791052497357914</v>
      </c>
    </row>
    <row r="514" spans="1:49" x14ac:dyDescent="0.2">
      <c r="A514">
        <v>512</v>
      </c>
      <c r="B514" t="s">
        <v>4468</v>
      </c>
      <c r="C514" t="s">
        <v>4467</v>
      </c>
      <c r="F514" t="s">
        <v>4466</v>
      </c>
      <c r="G514" t="s">
        <v>9</v>
      </c>
      <c r="H514" t="s">
        <v>8</v>
      </c>
      <c r="I514" t="s">
        <v>4465</v>
      </c>
      <c r="J514" t="s">
        <v>4464</v>
      </c>
      <c r="K514" t="s">
        <v>4463</v>
      </c>
      <c r="L514" t="s">
        <v>4462</v>
      </c>
      <c r="M514" t="s">
        <v>4461</v>
      </c>
      <c r="N514">
        <v>4</v>
      </c>
      <c r="O514" t="s">
        <v>4460</v>
      </c>
      <c r="P514" t="s">
        <v>4459</v>
      </c>
      <c r="Q514" t="s">
        <v>4458</v>
      </c>
      <c r="R514" s="7">
        <v>36804</v>
      </c>
      <c r="S514" s="8">
        <f t="shared" ref="S514:S577" si="64">YEAR(R514)</f>
        <v>2000</v>
      </c>
      <c r="T514" s="8">
        <v>2000</v>
      </c>
      <c r="U514" s="8">
        <f t="shared" ref="U514:U577" si="65">2022-T514</f>
        <v>22</v>
      </c>
      <c r="V514" s="7">
        <v>36804</v>
      </c>
      <c r="W514" t="s">
        <v>150</v>
      </c>
      <c r="X514" s="2">
        <v>0.30399999999999999</v>
      </c>
      <c r="Y514" s="6">
        <f t="shared" ref="Y514:Y577" si="66">(X514-$Z$3)/($Z$2-$Z$3)</f>
        <v>8.115106377299057E-3</v>
      </c>
      <c r="AA514">
        <v>8952477</v>
      </c>
      <c r="AB514">
        <v>12250</v>
      </c>
      <c r="AD514" t="s">
        <v>3</v>
      </c>
      <c r="AE514">
        <v>27</v>
      </c>
      <c r="AF514">
        <v>1</v>
      </c>
      <c r="AH514" s="10">
        <v>44381</v>
      </c>
      <c r="AI514" t="s">
        <v>4457</v>
      </c>
      <c r="AK514" t="s">
        <v>4456</v>
      </c>
      <c r="AL514">
        <v>0</v>
      </c>
      <c r="AM514" s="5">
        <f t="shared" ref="AM514:AM577" si="67">AL514/U514</f>
        <v>0</v>
      </c>
      <c r="AN514" s="4">
        <f t="shared" ref="AN514:AN577" si="68">(AM514-$AO$3)/($AO$2-$AO$3)</f>
        <v>0</v>
      </c>
      <c r="AO514" s="3"/>
      <c r="AP514">
        <v>0</v>
      </c>
      <c r="AR514" t="s">
        <v>1</v>
      </c>
      <c r="AT514" s="2" t="s">
        <v>0</v>
      </c>
      <c r="AU514" s="1">
        <f t="shared" ref="AU514:AU577" si="69">(Y514*0.7+AN514*0.3)*100</f>
        <v>0.56805744641093392</v>
      </c>
      <c r="AV514" s="1">
        <f t="shared" ref="AV514:AV577" si="70">(Y514*0.5+AN514*0.5)*100</f>
        <v>0.40575531886495286</v>
      </c>
      <c r="AW514" s="1">
        <f t="shared" ref="AW514:AW577" si="71">(Y514*0.3+AN514*0.7)*100</f>
        <v>0.24345319131897172</v>
      </c>
    </row>
    <row r="515" spans="1:49" x14ac:dyDescent="0.2">
      <c r="A515">
        <v>513</v>
      </c>
      <c r="B515" t="s">
        <v>4455</v>
      </c>
      <c r="C515" t="s">
        <v>4454</v>
      </c>
      <c r="F515" t="s">
        <v>4453</v>
      </c>
      <c r="G515" t="s">
        <v>9</v>
      </c>
      <c r="H515" t="s">
        <v>8</v>
      </c>
      <c r="I515" t="s">
        <v>4452</v>
      </c>
      <c r="J515" t="s">
        <v>4451</v>
      </c>
      <c r="K515" t="s">
        <v>4450</v>
      </c>
      <c r="L515" t="s">
        <v>4449</v>
      </c>
      <c r="M515" t="s">
        <v>52</v>
      </c>
      <c r="N515">
        <v>4</v>
      </c>
      <c r="O515" t="s">
        <v>4448</v>
      </c>
      <c r="P515" t="s">
        <v>4447</v>
      </c>
      <c r="Q515" t="s">
        <v>4446</v>
      </c>
      <c r="R515" s="7">
        <v>36804</v>
      </c>
      <c r="S515" s="8">
        <f t="shared" si="64"/>
        <v>2000</v>
      </c>
      <c r="T515" s="8">
        <v>2000</v>
      </c>
      <c r="U515" s="8">
        <f t="shared" si="65"/>
        <v>22</v>
      </c>
      <c r="V515" s="7">
        <v>36804</v>
      </c>
      <c r="W515" t="s">
        <v>150</v>
      </c>
      <c r="X515" s="2">
        <v>0.30399999999999999</v>
      </c>
      <c r="Y515" s="6">
        <f t="shared" si="66"/>
        <v>8.115106377299057E-3</v>
      </c>
      <c r="AA515">
        <v>8952477</v>
      </c>
      <c r="AB515">
        <v>12250</v>
      </c>
      <c r="AD515" t="s">
        <v>3</v>
      </c>
      <c r="AE515">
        <v>27</v>
      </c>
      <c r="AF515">
        <v>1</v>
      </c>
      <c r="AH515" t="s">
        <v>4445</v>
      </c>
      <c r="AI515" t="s">
        <v>4444</v>
      </c>
      <c r="AK515" t="s">
        <v>4443</v>
      </c>
      <c r="AL515">
        <v>1</v>
      </c>
      <c r="AM515" s="5">
        <f t="shared" si="67"/>
        <v>4.5454545454545456E-2</v>
      </c>
      <c r="AN515" s="4">
        <f t="shared" si="68"/>
        <v>6.8844445974321024E-5</v>
      </c>
      <c r="AO515" s="3"/>
      <c r="AP515">
        <v>0</v>
      </c>
      <c r="AR515" t="s">
        <v>1</v>
      </c>
      <c r="AT515" s="2" t="s">
        <v>0</v>
      </c>
      <c r="AU515" s="1">
        <f t="shared" si="69"/>
        <v>0.57012277979016357</v>
      </c>
      <c r="AV515" s="1">
        <f t="shared" si="70"/>
        <v>0.40919754116366885</v>
      </c>
      <c r="AW515" s="1">
        <f t="shared" si="71"/>
        <v>0.24827230253717419</v>
      </c>
    </row>
    <row r="516" spans="1:49" x14ac:dyDescent="0.2">
      <c r="A516">
        <v>514</v>
      </c>
      <c r="B516" t="s">
        <v>4442</v>
      </c>
      <c r="C516" t="s">
        <v>4441</v>
      </c>
      <c r="F516" t="s">
        <v>4440</v>
      </c>
      <c r="G516" t="s">
        <v>9</v>
      </c>
      <c r="H516" t="s">
        <v>8</v>
      </c>
      <c r="I516" t="s">
        <v>4439</v>
      </c>
      <c r="J516">
        <v>60025063</v>
      </c>
      <c r="K516" t="s">
        <v>335</v>
      </c>
      <c r="L516" t="s">
        <v>334</v>
      </c>
      <c r="M516" t="s">
        <v>317</v>
      </c>
      <c r="N516">
        <v>3</v>
      </c>
      <c r="O516" t="s">
        <v>4438</v>
      </c>
      <c r="P516" t="s">
        <v>4437</v>
      </c>
      <c r="Q516" t="s">
        <v>4436</v>
      </c>
      <c r="R516" s="7">
        <v>36804</v>
      </c>
      <c r="S516" s="8">
        <f t="shared" si="64"/>
        <v>2000</v>
      </c>
      <c r="T516" s="8">
        <v>2000</v>
      </c>
      <c r="U516" s="8">
        <f t="shared" si="65"/>
        <v>22</v>
      </c>
      <c r="V516" s="7">
        <v>36804</v>
      </c>
      <c r="W516" t="s">
        <v>150</v>
      </c>
      <c r="X516" s="2">
        <v>0.30399999999999999</v>
      </c>
      <c r="Y516" s="6">
        <f t="shared" si="66"/>
        <v>8.115106377299057E-3</v>
      </c>
      <c r="AA516">
        <v>8952477</v>
      </c>
      <c r="AB516">
        <v>12250</v>
      </c>
      <c r="AD516" t="s">
        <v>3</v>
      </c>
      <c r="AE516">
        <v>27</v>
      </c>
      <c r="AF516">
        <v>1</v>
      </c>
      <c r="AH516" t="s">
        <v>712</v>
      </c>
      <c r="AI516" t="s">
        <v>4435</v>
      </c>
      <c r="AK516" t="s">
        <v>4434</v>
      </c>
      <c r="AL516">
        <v>8</v>
      </c>
      <c r="AM516" s="5">
        <f t="shared" si="67"/>
        <v>0.36363636363636365</v>
      </c>
      <c r="AN516" s="4">
        <f t="shared" si="68"/>
        <v>5.5075556779456819E-4</v>
      </c>
      <c r="AO516" s="3"/>
      <c r="AP516">
        <v>0</v>
      </c>
      <c r="AR516" t="s">
        <v>1</v>
      </c>
      <c r="AT516" s="2" t="s">
        <v>0</v>
      </c>
      <c r="AU516" s="1">
        <f t="shared" si="69"/>
        <v>0.58458011344477101</v>
      </c>
      <c r="AV516" s="1">
        <f t="shared" si="70"/>
        <v>0.43329309725468124</v>
      </c>
      <c r="AW516" s="1">
        <f t="shared" si="71"/>
        <v>0.28200608106459152</v>
      </c>
    </row>
    <row r="517" spans="1:49" x14ac:dyDescent="0.2">
      <c r="A517">
        <v>515</v>
      </c>
      <c r="B517" t="s">
        <v>4433</v>
      </c>
      <c r="C517" t="s">
        <v>4432</v>
      </c>
      <c r="F517" t="s">
        <v>4431</v>
      </c>
      <c r="G517" t="s">
        <v>9</v>
      </c>
      <c r="H517" t="s">
        <v>8</v>
      </c>
      <c r="I517" t="s">
        <v>230</v>
      </c>
      <c r="J517">
        <v>60103653</v>
      </c>
      <c r="K517" t="s">
        <v>153</v>
      </c>
      <c r="L517" t="s">
        <v>152</v>
      </c>
      <c r="M517" t="s">
        <v>22</v>
      </c>
      <c r="N517">
        <v>1</v>
      </c>
      <c r="O517" t="s">
        <v>229</v>
      </c>
      <c r="P517">
        <v>7102492958</v>
      </c>
      <c r="Q517">
        <v>60103653</v>
      </c>
      <c r="R517" s="7">
        <v>36804</v>
      </c>
      <c r="S517" s="8">
        <f t="shared" si="64"/>
        <v>2000</v>
      </c>
      <c r="T517" s="8">
        <v>2000</v>
      </c>
      <c r="U517" s="8">
        <f t="shared" si="65"/>
        <v>22</v>
      </c>
      <c r="V517" s="7">
        <v>36804</v>
      </c>
      <c r="W517" t="s">
        <v>150</v>
      </c>
      <c r="X517" s="2">
        <v>0.30399999999999999</v>
      </c>
      <c r="Y517" s="6">
        <f t="shared" si="66"/>
        <v>8.115106377299057E-3</v>
      </c>
      <c r="AA517">
        <v>8952477</v>
      </c>
      <c r="AB517">
        <v>12250</v>
      </c>
      <c r="AD517" t="s">
        <v>3</v>
      </c>
      <c r="AE517">
        <v>27</v>
      </c>
      <c r="AF517">
        <v>1</v>
      </c>
      <c r="AH517" t="s">
        <v>137</v>
      </c>
      <c r="AI517" t="s">
        <v>4430</v>
      </c>
      <c r="AK517" t="s">
        <v>4429</v>
      </c>
      <c r="AL517">
        <v>3</v>
      </c>
      <c r="AM517" s="5">
        <f t="shared" si="67"/>
        <v>0.13636363636363635</v>
      </c>
      <c r="AN517" s="4">
        <f t="shared" si="68"/>
        <v>2.0653333792296306E-4</v>
      </c>
      <c r="AO517" s="3"/>
      <c r="AP517">
        <v>0</v>
      </c>
      <c r="AR517" t="s">
        <v>1</v>
      </c>
      <c r="AT517" s="2" t="s">
        <v>0</v>
      </c>
      <c r="AU517" s="1">
        <f t="shared" si="69"/>
        <v>0.57425344654862287</v>
      </c>
      <c r="AV517" s="1">
        <f t="shared" si="70"/>
        <v>0.41608198576110095</v>
      </c>
      <c r="AW517" s="1">
        <f t="shared" si="71"/>
        <v>0.25791052497357914</v>
      </c>
    </row>
    <row r="518" spans="1:49" x14ac:dyDescent="0.2">
      <c r="A518">
        <v>516</v>
      </c>
      <c r="B518" t="s">
        <v>4428</v>
      </c>
      <c r="C518" t="s">
        <v>4427</v>
      </c>
      <c r="F518" t="s">
        <v>4426</v>
      </c>
      <c r="G518" t="s">
        <v>9</v>
      </c>
      <c r="H518" t="s">
        <v>8</v>
      </c>
      <c r="I518" t="s">
        <v>828</v>
      </c>
      <c r="J518" t="s">
        <v>4425</v>
      </c>
      <c r="K518" t="s">
        <v>4424</v>
      </c>
      <c r="L518" t="s">
        <v>4423</v>
      </c>
      <c r="M518" t="s">
        <v>838</v>
      </c>
      <c r="N518">
        <v>5</v>
      </c>
      <c r="O518" t="s">
        <v>4422</v>
      </c>
      <c r="P518" t="s">
        <v>4421</v>
      </c>
      <c r="Q518" t="s">
        <v>4420</v>
      </c>
      <c r="R518" s="7">
        <v>36804</v>
      </c>
      <c r="S518" s="8">
        <f t="shared" si="64"/>
        <v>2000</v>
      </c>
      <c r="T518" s="8">
        <v>2000</v>
      </c>
      <c r="U518" s="8">
        <f t="shared" si="65"/>
        <v>22</v>
      </c>
      <c r="V518" s="7">
        <v>36804</v>
      </c>
      <c r="W518" t="s">
        <v>150</v>
      </c>
      <c r="X518" s="2">
        <v>0.30399999999999999</v>
      </c>
      <c r="Y518" s="6">
        <f t="shared" si="66"/>
        <v>8.115106377299057E-3</v>
      </c>
      <c r="AA518">
        <v>8952477</v>
      </c>
      <c r="AB518">
        <v>12250</v>
      </c>
      <c r="AD518" t="s">
        <v>3</v>
      </c>
      <c r="AE518">
        <v>27</v>
      </c>
      <c r="AF518">
        <v>1</v>
      </c>
      <c r="AH518" t="s">
        <v>4419</v>
      </c>
      <c r="AI518" t="s">
        <v>4418</v>
      </c>
      <c r="AK518" t="s">
        <v>4417</v>
      </c>
      <c r="AL518">
        <v>0</v>
      </c>
      <c r="AM518" s="5">
        <f t="shared" si="67"/>
        <v>0</v>
      </c>
      <c r="AN518" s="4">
        <f t="shared" si="68"/>
        <v>0</v>
      </c>
      <c r="AO518" s="3"/>
      <c r="AP518">
        <v>0</v>
      </c>
      <c r="AR518" t="s">
        <v>1</v>
      </c>
      <c r="AT518" s="2" t="s">
        <v>0</v>
      </c>
      <c r="AU518" s="1">
        <f t="shared" si="69"/>
        <v>0.56805744641093392</v>
      </c>
      <c r="AV518" s="1">
        <f t="shared" si="70"/>
        <v>0.40575531886495286</v>
      </c>
      <c r="AW518" s="1">
        <f t="shared" si="71"/>
        <v>0.24345319131897172</v>
      </c>
    </row>
    <row r="519" spans="1:49" x14ac:dyDescent="0.2">
      <c r="A519">
        <v>517</v>
      </c>
      <c r="B519" t="s">
        <v>4416</v>
      </c>
      <c r="C519" t="s">
        <v>4415</v>
      </c>
      <c r="F519" t="s">
        <v>4414</v>
      </c>
      <c r="G519" t="s">
        <v>9</v>
      </c>
      <c r="H519" t="s">
        <v>8</v>
      </c>
      <c r="I519" t="s">
        <v>1923</v>
      </c>
      <c r="J519" t="s">
        <v>4413</v>
      </c>
      <c r="K519" t="s">
        <v>4412</v>
      </c>
      <c r="L519" t="s">
        <v>4411</v>
      </c>
      <c r="M519" t="s">
        <v>4410</v>
      </c>
      <c r="N519">
        <v>6</v>
      </c>
      <c r="O519" t="s">
        <v>4409</v>
      </c>
      <c r="P519" t="s">
        <v>4408</v>
      </c>
      <c r="Q519" t="s">
        <v>4407</v>
      </c>
      <c r="R519" s="7">
        <v>36804</v>
      </c>
      <c r="S519" s="8">
        <f t="shared" si="64"/>
        <v>2000</v>
      </c>
      <c r="T519" s="8">
        <v>2000</v>
      </c>
      <c r="U519" s="8">
        <f t="shared" si="65"/>
        <v>22</v>
      </c>
      <c r="V519" s="7">
        <v>36804</v>
      </c>
      <c r="W519" t="s">
        <v>750</v>
      </c>
      <c r="X519" s="2">
        <v>0.86399999999999999</v>
      </c>
      <c r="Y519" s="6">
        <f t="shared" si="66"/>
        <v>2.3063986546007848E-2</v>
      </c>
      <c r="AA519">
        <v>15206106</v>
      </c>
      <c r="AB519">
        <v>26970</v>
      </c>
      <c r="AD519" t="s">
        <v>3</v>
      </c>
      <c r="AE519">
        <v>104</v>
      </c>
      <c r="AF519">
        <v>39</v>
      </c>
      <c r="AH519" t="s">
        <v>4406</v>
      </c>
      <c r="AI519" t="s">
        <v>4405</v>
      </c>
      <c r="AK519" t="s">
        <v>4404</v>
      </c>
      <c r="AL519">
        <v>21</v>
      </c>
      <c r="AM519" s="5">
        <f t="shared" si="67"/>
        <v>0.95454545454545459</v>
      </c>
      <c r="AN519" s="4">
        <f t="shared" si="68"/>
        <v>1.4457333654607416E-3</v>
      </c>
      <c r="AO519" s="3"/>
      <c r="AP519">
        <v>0</v>
      </c>
      <c r="AR519" t="s">
        <v>1</v>
      </c>
      <c r="AT519" s="2">
        <v>2.9910000000000001</v>
      </c>
      <c r="AU519" s="1">
        <f t="shared" si="69"/>
        <v>1.6578510591843714</v>
      </c>
      <c r="AV519" s="1">
        <f t="shared" si="70"/>
        <v>1.2254859955734296</v>
      </c>
      <c r="AW519" s="1">
        <f t="shared" si="71"/>
        <v>0.79312093196248734</v>
      </c>
    </row>
    <row r="520" spans="1:49" x14ac:dyDescent="0.2">
      <c r="A520">
        <v>518</v>
      </c>
      <c r="B520" t="s">
        <v>4403</v>
      </c>
      <c r="C520" t="s">
        <v>4402</v>
      </c>
      <c r="F520" t="s">
        <v>4401</v>
      </c>
      <c r="G520" t="s">
        <v>9</v>
      </c>
      <c r="H520" t="s">
        <v>8</v>
      </c>
      <c r="I520" t="s">
        <v>4400</v>
      </c>
      <c r="J520">
        <v>60000264</v>
      </c>
      <c r="K520" t="s">
        <v>482</v>
      </c>
      <c r="L520" t="s">
        <v>455</v>
      </c>
      <c r="M520" t="s">
        <v>43</v>
      </c>
      <c r="N520">
        <v>3</v>
      </c>
      <c r="O520" t="s">
        <v>4399</v>
      </c>
      <c r="P520" t="s">
        <v>4398</v>
      </c>
      <c r="Q520" t="s">
        <v>481</v>
      </c>
      <c r="R520" s="7">
        <v>36804</v>
      </c>
      <c r="S520" s="8">
        <f t="shared" si="64"/>
        <v>2000</v>
      </c>
      <c r="T520" s="8">
        <v>2000</v>
      </c>
      <c r="U520" s="8">
        <f t="shared" si="65"/>
        <v>22</v>
      </c>
      <c r="V520" s="7">
        <v>36804</v>
      </c>
      <c r="W520" t="s">
        <v>750</v>
      </c>
      <c r="X520" s="2">
        <v>0.86399999999999999</v>
      </c>
      <c r="Y520" s="6">
        <f t="shared" si="66"/>
        <v>2.3063986546007848E-2</v>
      </c>
      <c r="AA520">
        <v>15206106</v>
      </c>
      <c r="AB520">
        <v>26970</v>
      </c>
      <c r="AD520" t="s">
        <v>3</v>
      </c>
      <c r="AE520">
        <v>104</v>
      </c>
      <c r="AF520">
        <v>39</v>
      </c>
      <c r="AH520" t="s">
        <v>4397</v>
      </c>
      <c r="AI520" t="s">
        <v>4396</v>
      </c>
      <c r="AK520" t="s">
        <v>4395</v>
      </c>
      <c r="AL520">
        <v>51</v>
      </c>
      <c r="AM520" s="5">
        <f t="shared" si="67"/>
        <v>2.3181818181818183</v>
      </c>
      <c r="AN520" s="4">
        <f t="shared" si="68"/>
        <v>3.5110667446903725E-3</v>
      </c>
      <c r="AO520" s="3"/>
      <c r="AP520">
        <v>0</v>
      </c>
      <c r="AR520" t="s">
        <v>1</v>
      </c>
      <c r="AT520" s="2">
        <v>2.9910000000000001</v>
      </c>
      <c r="AU520" s="1">
        <f t="shared" si="69"/>
        <v>1.7198110605612604</v>
      </c>
      <c r="AV520" s="1">
        <f t="shared" si="70"/>
        <v>1.328752664534911</v>
      </c>
      <c r="AW520" s="1">
        <f t="shared" si="71"/>
        <v>0.93769426850856163</v>
      </c>
    </row>
    <row r="521" spans="1:49" x14ac:dyDescent="0.2">
      <c r="A521">
        <v>519</v>
      </c>
      <c r="B521" t="s">
        <v>4394</v>
      </c>
      <c r="C521" t="s">
        <v>4393</v>
      </c>
      <c r="D521" t="s">
        <v>4392</v>
      </c>
      <c r="F521" t="s">
        <v>4391</v>
      </c>
      <c r="G521" t="s">
        <v>9</v>
      </c>
      <c r="H521" t="s">
        <v>8</v>
      </c>
      <c r="I521" t="s">
        <v>4390</v>
      </c>
      <c r="J521">
        <v>60010065</v>
      </c>
      <c r="K521" t="s">
        <v>157</v>
      </c>
      <c r="L521" t="s">
        <v>156</v>
      </c>
      <c r="M521" t="s">
        <v>5</v>
      </c>
      <c r="N521">
        <v>2</v>
      </c>
      <c r="O521" t="s">
        <v>4389</v>
      </c>
      <c r="P521" t="s">
        <v>4388</v>
      </c>
      <c r="Q521" t="s">
        <v>155</v>
      </c>
      <c r="R521" s="7">
        <v>36802</v>
      </c>
      <c r="S521" s="8">
        <f t="shared" si="64"/>
        <v>2000</v>
      </c>
      <c r="T521" s="8">
        <v>2000</v>
      </c>
      <c r="U521" s="8">
        <f t="shared" si="65"/>
        <v>22</v>
      </c>
      <c r="V521" s="7">
        <v>2000</v>
      </c>
      <c r="W521" t="s">
        <v>448</v>
      </c>
      <c r="X521" s="2">
        <v>0.89900000000000002</v>
      </c>
      <c r="Y521" s="6">
        <f t="shared" si="66"/>
        <v>2.399829155655215E-2</v>
      </c>
      <c r="AA521">
        <v>221910</v>
      </c>
      <c r="AB521">
        <v>20487</v>
      </c>
      <c r="AD521" t="s">
        <v>3</v>
      </c>
      <c r="AE521">
        <v>46</v>
      </c>
      <c r="AF521">
        <v>11</v>
      </c>
      <c r="AH521" t="s">
        <v>4387</v>
      </c>
      <c r="AI521" t="s">
        <v>4386</v>
      </c>
      <c r="AJ521" t="s">
        <v>4385</v>
      </c>
      <c r="AK521" t="s">
        <v>4384</v>
      </c>
      <c r="AL521">
        <v>41</v>
      </c>
      <c r="AM521" s="5">
        <f t="shared" si="67"/>
        <v>1.8636363636363635</v>
      </c>
      <c r="AN521" s="4">
        <f t="shared" si="68"/>
        <v>2.8226222849471617E-3</v>
      </c>
      <c r="AO521" s="3"/>
      <c r="AP521">
        <v>0</v>
      </c>
      <c r="AQ521" t="s">
        <v>210</v>
      </c>
      <c r="AR521" t="s">
        <v>1</v>
      </c>
      <c r="AS521" t="s">
        <v>209</v>
      </c>
      <c r="AT521" s="2">
        <v>2.3540000000000001</v>
      </c>
      <c r="AU521" s="1">
        <f t="shared" si="69"/>
        <v>1.764559077507065</v>
      </c>
      <c r="AV521" s="1">
        <f t="shared" si="70"/>
        <v>1.3410456920749654</v>
      </c>
      <c r="AW521" s="1">
        <f t="shared" si="71"/>
        <v>0.91753230664286567</v>
      </c>
    </row>
    <row r="522" spans="1:49" x14ac:dyDescent="0.2">
      <c r="A522">
        <v>520</v>
      </c>
      <c r="B522" t="s">
        <v>4383</v>
      </c>
      <c r="E522">
        <v>10978284</v>
      </c>
      <c r="F522" t="s">
        <v>4382</v>
      </c>
      <c r="G522" t="s">
        <v>9</v>
      </c>
      <c r="H522" t="s">
        <v>8</v>
      </c>
      <c r="I522" t="s">
        <v>4381</v>
      </c>
      <c r="J522">
        <v>60021121</v>
      </c>
      <c r="K522" t="s">
        <v>4380</v>
      </c>
      <c r="L522" t="s">
        <v>4379</v>
      </c>
      <c r="M522" t="s">
        <v>5</v>
      </c>
      <c r="N522">
        <v>2</v>
      </c>
      <c r="O522" t="s">
        <v>4378</v>
      </c>
      <c r="P522" t="s">
        <v>4377</v>
      </c>
      <c r="Q522" t="s">
        <v>4376</v>
      </c>
      <c r="R522" s="7">
        <v>36802</v>
      </c>
      <c r="S522" s="8">
        <f t="shared" si="64"/>
        <v>2000</v>
      </c>
      <c r="T522" s="8">
        <v>2000</v>
      </c>
      <c r="U522" s="8">
        <f t="shared" si="65"/>
        <v>22</v>
      </c>
      <c r="V522" s="7">
        <v>2000</v>
      </c>
      <c r="W522" t="s">
        <v>4375</v>
      </c>
      <c r="X522" s="2">
        <v>2.7919999999999998</v>
      </c>
      <c r="Y522" s="6">
        <f t="shared" si="66"/>
        <v>7.4530845412562399E-2</v>
      </c>
      <c r="AA522">
        <v>166731</v>
      </c>
      <c r="AB522">
        <v>22173</v>
      </c>
      <c r="AD522" t="s">
        <v>3</v>
      </c>
      <c r="AE522">
        <v>156</v>
      </c>
      <c r="AF522">
        <v>1</v>
      </c>
      <c r="AH522" t="s">
        <v>4374</v>
      </c>
      <c r="AI522" t="s">
        <v>4373</v>
      </c>
      <c r="AK522" t="s">
        <v>4372</v>
      </c>
      <c r="AL522">
        <v>29</v>
      </c>
      <c r="AM522" s="5">
        <f t="shared" si="67"/>
        <v>1.3181818181818181</v>
      </c>
      <c r="AN522" s="4">
        <f t="shared" si="68"/>
        <v>1.9964889332553097E-3</v>
      </c>
      <c r="AO522" s="3"/>
      <c r="AP522">
        <v>0</v>
      </c>
      <c r="AQ522" t="s">
        <v>276</v>
      </c>
      <c r="AR522" t="s">
        <v>4371</v>
      </c>
      <c r="AS522" t="s">
        <v>275</v>
      </c>
      <c r="AT522" s="2">
        <v>4.5620000000000003</v>
      </c>
      <c r="AU522" s="1">
        <f t="shared" si="69"/>
        <v>5.2770538468770267</v>
      </c>
      <c r="AV522" s="1">
        <f t="shared" si="70"/>
        <v>3.8263667172908855</v>
      </c>
      <c r="AW522" s="1">
        <f t="shared" si="71"/>
        <v>2.3756795877047434</v>
      </c>
    </row>
    <row r="523" spans="1:49" x14ac:dyDescent="0.2">
      <c r="A523">
        <v>521</v>
      </c>
      <c r="B523" t="s">
        <v>4370</v>
      </c>
      <c r="F523" t="s">
        <v>4369</v>
      </c>
      <c r="G523" t="s">
        <v>9</v>
      </c>
      <c r="H523" t="s">
        <v>8</v>
      </c>
      <c r="I523" t="s">
        <v>71</v>
      </c>
      <c r="N523">
        <v>1</v>
      </c>
      <c r="O523" t="s">
        <v>70</v>
      </c>
      <c r="P523">
        <v>1</v>
      </c>
      <c r="R523" s="7">
        <v>36800</v>
      </c>
      <c r="S523" s="8">
        <f t="shared" si="64"/>
        <v>2000</v>
      </c>
      <c r="T523" s="8">
        <v>2000</v>
      </c>
      <c r="U523" s="8">
        <f t="shared" si="65"/>
        <v>22</v>
      </c>
      <c r="V523" s="7">
        <v>36800</v>
      </c>
      <c r="W523" t="s">
        <v>4368</v>
      </c>
      <c r="X523" s="2" t="s">
        <v>0</v>
      </c>
      <c r="Y523" s="6" t="e">
        <f t="shared" si="66"/>
        <v>#VALUE!</v>
      </c>
      <c r="AA523">
        <v>9575537</v>
      </c>
      <c r="AB523">
        <v>27857</v>
      </c>
      <c r="AD523" t="s">
        <v>3</v>
      </c>
      <c r="AF523" t="s">
        <v>4367</v>
      </c>
      <c r="AI523" t="s">
        <v>4366</v>
      </c>
      <c r="AK523" t="s">
        <v>4365</v>
      </c>
      <c r="AL523">
        <v>0</v>
      </c>
      <c r="AM523" s="5">
        <f t="shared" si="67"/>
        <v>0</v>
      </c>
      <c r="AN523" s="4">
        <f t="shared" si="68"/>
        <v>0</v>
      </c>
      <c r="AO523" s="3"/>
      <c r="AP523">
        <v>0</v>
      </c>
      <c r="AR523" t="s">
        <v>1</v>
      </c>
      <c r="AT523" s="2" t="s">
        <v>0</v>
      </c>
      <c r="AU523" s="1" t="e">
        <f t="shared" si="69"/>
        <v>#VALUE!</v>
      </c>
      <c r="AV523" s="1" t="e">
        <f t="shared" si="70"/>
        <v>#VALUE!</v>
      </c>
      <c r="AW523" s="1" t="e">
        <f t="shared" si="71"/>
        <v>#VALUE!</v>
      </c>
    </row>
    <row r="524" spans="1:49" x14ac:dyDescent="0.2">
      <c r="A524">
        <v>522</v>
      </c>
      <c r="B524" t="s">
        <v>4364</v>
      </c>
      <c r="C524" t="s">
        <v>4363</v>
      </c>
      <c r="D524" t="s">
        <v>4362</v>
      </c>
      <c r="F524" t="s">
        <v>4361</v>
      </c>
      <c r="G524" t="s">
        <v>9</v>
      </c>
      <c r="H524" t="s">
        <v>8</v>
      </c>
      <c r="I524" t="s">
        <v>4360</v>
      </c>
      <c r="J524">
        <v>60009037</v>
      </c>
      <c r="K524" t="s">
        <v>313</v>
      </c>
      <c r="L524" t="s">
        <v>312</v>
      </c>
      <c r="M524" t="s">
        <v>5</v>
      </c>
      <c r="N524">
        <v>1</v>
      </c>
      <c r="O524" t="s">
        <v>4359</v>
      </c>
      <c r="P524">
        <v>7402530332</v>
      </c>
      <c r="Q524">
        <v>60009037</v>
      </c>
      <c r="R524" s="7">
        <v>36800</v>
      </c>
      <c r="S524" s="8">
        <f t="shared" si="64"/>
        <v>2000</v>
      </c>
      <c r="T524" s="8">
        <v>2000</v>
      </c>
      <c r="U524" s="8">
        <f t="shared" si="65"/>
        <v>22</v>
      </c>
      <c r="V524" s="7">
        <v>36800</v>
      </c>
      <c r="W524" t="s">
        <v>743</v>
      </c>
      <c r="X524" s="2">
        <v>0.81</v>
      </c>
      <c r="Y524" s="6">
        <f t="shared" si="66"/>
        <v>2.1622487386882359E-2</v>
      </c>
      <c r="AA524">
        <v>10411135</v>
      </c>
      <c r="AB524">
        <v>12116</v>
      </c>
      <c r="AD524" t="s">
        <v>3</v>
      </c>
      <c r="AE524">
        <v>12</v>
      </c>
      <c r="AF524">
        <v>10</v>
      </c>
      <c r="AH524" t="s">
        <v>4358</v>
      </c>
      <c r="AI524" t="s">
        <v>4357</v>
      </c>
      <c r="AK524" t="s">
        <v>4356</v>
      </c>
      <c r="AL524">
        <v>14</v>
      </c>
      <c r="AM524" s="5">
        <f t="shared" si="67"/>
        <v>0.63636363636363635</v>
      </c>
      <c r="AN524" s="4">
        <f t="shared" si="68"/>
        <v>9.6382224364049431E-4</v>
      </c>
      <c r="AO524" s="3"/>
      <c r="AP524">
        <v>0</v>
      </c>
      <c r="AQ524" t="s">
        <v>311</v>
      </c>
      <c r="AR524" t="s">
        <v>1</v>
      </c>
      <c r="AS524" t="s">
        <v>310</v>
      </c>
      <c r="AT524" s="2">
        <v>2.468</v>
      </c>
      <c r="AU524" s="1">
        <f t="shared" si="69"/>
        <v>1.5424887843909798</v>
      </c>
      <c r="AV524" s="1">
        <f t="shared" si="70"/>
        <v>1.1293154815261426</v>
      </c>
      <c r="AW524" s="1">
        <f t="shared" si="71"/>
        <v>0.71614217866130536</v>
      </c>
    </row>
    <row r="525" spans="1:49" x14ac:dyDescent="0.2">
      <c r="A525">
        <v>523</v>
      </c>
      <c r="B525" t="s">
        <v>4355</v>
      </c>
      <c r="F525" t="s">
        <v>4354</v>
      </c>
      <c r="G525" t="s">
        <v>9</v>
      </c>
      <c r="H525" t="s">
        <v>8</v>
      </c>
      <c r="I525" t="s">
        <v>4353</v>
      </c>
      <c r="J525">
        <v>60105253</v>
      </c>
      <c r="K525" t="s">
        <v>4352</v>
      </c>
      <c r="L525" t="s">
        <v>4351</v>
      </c>
      <c r="M525" t="s">
        <v>42</v>
      </c>
      <c r="N525">
        <v>3</v>
      </c>
      <c r="O525" t="s">
        <v>4350</v>
      </c>
      <c r="P525" t="s">
        <v>4349</v>
      </c>
      <c r="Q525" t="s">
        <v>4348</v>
      </c>
      <c r="R525" s="7">
        <v>36800</v>
      </c>
      <c r="S525" s="8">
        <f t="shared" si="64"/>
        <v>2000</v>
      </c>
      <c r="T525" s="8">
        <v>2000</v>
      </c>
      <c r="U525" s="8">
        <f t="shared" si="65"/>
        <v>22</v>
      </c>
      <c r="V525" s="7">
        <v>36800</v>
      </c>
      <c r="W525" t="s">
        <v>639</v>
      </c>
      <c r="X525" s="2">
        <v>0.29499999999999998</v>
      </c>
      <c r="Y525" s="6">
        <f t="shared" si="66"/>
        <v>7.8748565174448087E-3</v>
      </c>
      <c r="AA525">
        <v>10642269</v>
      </c>
      <c r="AB525">
        <v>19554</v>
      </c>
      <c r="AD525" t="s">
        <v>3</v>
      </c>
      <c r="AE525">
        <v>45</v>
      </c>
      <c r="AF525">
        <v>10</v>
      </c>
      <c r="AH525" t="s">
        <v>4347</v>
      </c>
      <c r="AI525" t="s">
        <v>4346</v>
      </c>
      <c r="AK525" t="s">
        <v>4345</v>
      </c>
      <c r="AL525">
        <v>0</v>
      </c>
      <c r="AM525" s="5">
        <f t="shared" si="67"/>
        <v>0</v>
      </c>
      <c r="AN525" s="4">
        <f t="shared" si="68"/>
        <v>0</v>
      </c>
      <c r="AO525" s="3"/>
      <c r="AP525">
        <v>0</v>
      </c>
      <c r="AR525" t="s">
        <v>1</v>
      </c>
      <c r="AT525" s="2" t="s">
        <v>0</v>
      </c>
      <c r="AU525" s="1">
        <f t="shared" si="69"/>
        <v>0.55123995622113653</v>
      </c>
      <c r="AV525" s="1">
        <f t="shared" si="70"/>
        <v>0.39374282587224041</v>
      </c>
      <c r="AW525" s="1">
        <f t="shared" si="71"/>
        <v>0.23624569552334423</v>
      </c>
    </row>
    <row r="526" spans="1:49" x14ac:dyDescent="0.2">
      <c r="A526">
        <v>524</v>
      </c>
      <c r="B526" t="s">
        <v>4344</v>
      </c>
      <c r="F526" t="s">
        <v>4343</v>
      </c>
      <c r="G526" t="s">
        <v>9</v>
      </c>
      <c r="H526" t="s">
        <v>8</v>
      </c>
      <c r="I526" t="s">
        <v>4342</v>
      </c>
      <c r="J526" t="s">
        <v>4341</v>
      </c>
      <c r="K526" t="s">
        <v>4340</v>
      </c>
      <c r="L526" t="s">
        <v>4339</v>
      </c>
      <c r="M526" t="s">
        <v>63</v>
      </c>
      <c r="N526">
        <v>4</v>
      </c>
      <c r="O526" t="s">
        <v>4338</v>
      </c>
      <c r="P526" t="s">
        <v>4337</v>
      </c>
      <c r="Q526" t="s">
        <v>4336</v>
      </c>
      <c r="R526" s="7">
        <v>36800</v>
      </c>
      <c r="S526" s="8">
        <f t="shared" si="64"/>
        <v>2000</v>
      </c>
      <c r="T526" s="8">
        <v>2000</v>
      </c>
      <c r="U526" s="8">
        <f t="shared" si="65"/>
        <v>22</v>
      </c>
      <c r="V526" s="7">
        <v>36800</v>
      </c>
      <c r="W526" t="s">
        <v>4335</v>
      </c>
      <c r="X526" s="2">
        <v>0.215</v>
      </c>
      <c r="Y526" s="6">
        <f t="shared" si="66"/>
        <v>5.7393022076292679E-3</v>
      </c>
      <c r="AA526">
        <v>3744884</v>
      </c>
      <c r="AB526">
        <v>28637</v>
      </c>
      <c r="AD526" t="s">
        <v>3</v>
      </c>
      <c r="AE526">
        <v>37</v>
      </c>
      <c r="AF526">
        <v>4</v>
      </c>
      <c r="AH526" t="s">
        <v>4334</v>
      </c>
      <c r="AI526" t="s">
        <v>4333</v>
      </c>
      <c r="AK526" t="s">
        <v>4332</v>
      </c>
      <c r="AL526">
        <v>0</v>
      </c>
      <c r="AM526" s="5">
        <f t="shared" si="67"/>
        <v>0</v>
      </c>
      <c r="AN526" s="4">
        <f t="shared" si="68"/>
        <v>0</v>
      </c>
      <c r="AO526" s="3"/>
      <c r="AP526">
        <v>0</v>
      </c>
      <c r="AR526" t="s">
        <v>1</v>
      </c>
      <c r="AT526" s="2">
        <v>0.64900000000000002</v>
      </c>
      <c r="AU526" s="1">
        <f t="shared" si="69"/>
        <v>0.40175115453404875</v>
      </c>
      <c r="AV526" s="1">
        <f t="shared" si="70"/>
        <v>0.28696511038146338</v>
      </c>
      <c r="AW526" s="1">
        <f t="shared" si="71"/>
        <v>0.17217906622887805</v>
      </c>
    </row>
    <row r="527" spans="1:49" x14ac:dyDescent="0.2">
      <c r="A527">
        <v>525</v>
      </c>
      <c r="B527" t="s">
        <v>4331</v>
      </c>
      <c r="C527" t="s">
        <v>4330</v>
      </c>
      <c r="F527" t="s">
        <v>4329</v>
      </c>
      <c r="G527" t="s">
        <v>9</v>
      </c>
      <c r="H527" t="s">
        <v>8</v>
      </c>
      <c r="I527" t="s">
        <v>4328</v>
      </c>
      <c r="J527" t="s">
        <v>4327</v>
      </c>
      <c r="K527" t="s">
        <v>4326</v>
      </c>
      <c r="L527" t="s">
        <v>4325</v>
      </c>
      <c r="M527" t="s">
        <v>4324</v>
      </c>
      <c r="N527">
        <v>5</v>
      </c>
      <c r="O527" t="s">
        <v>4323</v>
      </c>
      <c r="P527" t="s">
        <v>4322</v>
      </c>
      <c r="Q527" t="s">
        <v>4321</v>
      </c>
      <c r="R527" s="7">
        <v>36800</v>
      </c>
      <c r="S527" s="8">
        <f t="shared" si="64"/>
        <v>2000</v>
      </c>
      <c r="T527" s="8">
        <v>2000</v>
      </c>
      <c r="U527" s="8">
        <f t="shared" si="65"/>
        <v>22</v>
      </c>
      <c r="V527" s="7">
        <v>36800</v>
      </c>
      <c r="W527" t="s">
        <v>4320</v>
      </c>
      <c r="X527" s="2">
        <v>0.41399999999999998</v>
      </c>
      <c r="Y527" s="6">
        <f t="shared" si="66"/>
        <v>1.1051493553295428E-2</v>
      </c>
      <c r="AA527">
        <v>17272</v>
      </c>
      <c r="AB527">
        <v>24104</v>
      </c>
      <c r="AD527" t="s">
        <v>3</v>
      </c>
      <c r="AE527">
        <v>81</v>
      </c>
      <c r="AF527">
        <v>4</v>
      </c>
      <c r="AH527" t="s">
        <v>4319</v>
      </c>
      <c r="AI527" t="s">
        <v>4318</v>
      </c>
      <c r="AJ527" t="s">
        <v>4317</v>
      </c>
      <c r="AK527" t="s">
        <v>4316</v>
      </c>
      <c r="AL527">
        <v>53</v>
      </c>
      <c r="AM527" s="5">
        <f t="shared" si="67"/>
        <v>2.4090909090909092</v>
      </c>
      <c r="AN527" s="4">
        <f t="shared" si="68"/>
        <v>3.6487556366390141E-3</v>
      </c>
      <c r="AO527" s="3"/>
      <c r="AP527">
        <v>0</v>
      </c>
      <c r="AR527" t="s">
        <v>1</v>
      </c>
      <c r="AT527" s="2">
        <v>1.2609999999999999</v>
      </c>
      <c r="AU527" s="1">
        <f t="shared" si="69"/>
        <v>0.8830672178298502</v>
      </c>
      <c r="AV527" s="1">
        <f t="shared" si="70"/>
        <v>0.73501245949672211</v>
      </c>
      <c r="AW527" s="1">
        <f t="shared" si="71"/>
        <v>0.5869577011635938</v>
      </c>
    </row>
    <row r="528" spans="1:49" x14ac:dyDescent="0.2">
      <c r="A528">
        <v>526</v>
      </c>
      <c r="B528" t="s">
        <v>4315</v>
      </c>
      <c r="C528" t="s">
        <v>4314</v>
      </c>
      <c r="D528" t="s">
        <v>4313</v>
      </c>
      <c r="F528" t="s">
        <v>4312</v>
      </c>
      <c r="G528" t="s">
        <v>9</v>
      </c>
      <c r="H528" t="s">
        <v>8</v>
      </c>
      <c r="I528" t="s">
        <v>4311</v>
      </c>
      <c r="J528">
        <v>60009415</v>
      </c>
      <c r="K528" t="s">
        <v>4310</v>
      </c>
      <c r="L528" t="s">
        <v>4309</v>
      </c>
      <c r="M528" t="s">
        <v>5</v>
      </c>
      <c r="N528">
        <v>3</v>
      </c>
      <c r="O528" t="s">
        <v>4308</v>
      </c>
      <c r="P528" t="s">
        <v>4307</v>
      </c>
      <c r="Q528" t="s">
        <v>4306</v>
      </c>
      <c r="R528" s="7">
        <v>36800</v>
      </c>
      <c r="S528" s="8">
        <f t="shared" si="64"/>
        <v>2000</v>
      </c>
      <c r="T528" s="8">
        <v>2000</v>
      </c>
      <c r="U528" s="8">
        <f t="shared" si="65"/>
        <v>22</v>
      </c>
      <c r="V528" s="7">
        <v>36800</v>
      </c>
      <c r="W528" t="s">
        <v>427</v>
      </c>
      <c r="X528" s="2">
        <v>0.627</v>
      </c>
      <c r="Y528" s="6">
        <f t="shared" si="66"/>
        <v>1.6737406903179305E-2</v>
      </c>
      <c r="AA528">
        <v>9269851</v>
      </c>
      <c r="AB528">
        <v>28435</v>
      </c>
      <c r="AD528" t="s">
        <v>3</v>
      </c>
      <c r="AE528">
        <v>45</v>
      </c>
      <c r="AF528">
        <v>3</v>
      </c>
      <c r="AH528" t="s">
        <v>4305</v>
      </c>
      <c r="AI528" t="s">
        <v>4304</v>
      </c>
      <c r="AJ528" t="s">
        <v>4303</v>
      </c>
      <c r="AK528" t="s">
        <v>4302</v>
      </c>
      <c r="AL528">
        <v>55</v>
      </c>
      <c r="AM528" s="5">
        <f t="shared" si="67"/>
        <v>2.5</v>
      </c>
      <c r="AN528" s="4">
        <f t="shared" si="68"/>
        <v>3.7864445285876562E-3</v>
      </c>
      <c r="AO528" s="3"/>
      <c r="AP528">
        <v>0</v>
      </c>
      <c r="AR528" t="s">
        <v>1</v>
      </c>
      <c r="AT528" s="2">
        <v>2.121</v>
      </c>
      <c r="AU528" s="1">
        <f t="shared" si="69"/>
        <v>1.2852118190801811</v>
      </c>
      <c r="AV528" s="1">
        <f t="shared" si="70"/>
        <v>1.026192571588348</v>
      </c>
      <c r="AW528" s="1">
        <f t="shared" si="71"/>
        <v>0.76717332409651506</v>
      </c>
    </row>
    <row r="529" spans="1:49" x14ac:dyDescent="0.2">
      <c r="A529">
        <v>527</v>
      </c>
      <c r="B529" t="s">
        <v>4301</v>
      </c>
      <c r="C529" t="s">
        <v>4300</v>
      </c>
      <c r="F529" t="s">
        <v>4299</v>
      </c>
      <c r="G529" t="s">
        <v>9</v>
      </c>
      <c r="H529" t="s">
        <v>8</v>
      </c>
      <c r="I529" t="s">
        <v>4298</v>
      </c>
      <c r="J529">
        <v>60031126</v>
      </c>
      <c r="K529" t="s">
        <v>500</v>
      </c>
      <c r="L529" t="s">
        <v>163</v>
      </c>
      <c r="M529" t="s">
        <v>43</v>
      </c>
      <c r="N529">
        <v>3</v>
      </c>
      <c r="O529" t="s">
        <v>4297</v>
      </c>
      <c r="P529" t="s">
        <v>4296</v>
      </c>
      <c r="Q529" t="s">
        <v>499</v>
      </c>
      <c r="R529" s="7">
        <v>36800</v>
      </c>
      <c r="S529" s="8">
        <f t="shared" si="64"/>
        <v>2000</v>
      </c>
      <c r="T529" s="8">
        <v>2000</v>
      </c>
      <c r="U529" s="8">
        <f t="shared" si="65"/>
        <v>22</v>
      </c>
      <c r="V529" s="7">
        <v>36800</v>
      </c>
      <c r="W529" s="11" t="s">
        <v>253</v>
      </c>
      <c r="X529" s="2">
        <v>2.383</v>
      </c>
      <c r="Y529" s="6">
        <f t="shared" si="66"/>
        <v>6.3612824003630442E-2</v>
      </c>
      <c r="AA529">
        <v>13502417</v>
      </c>
      <c r="AB529">
        <v>17416</v>
      </c>
      <c r="AD529" t="s">
        <v>3</v>
      </c>
      <c r="AE529">
        <v>147</v>
      </c>
      <c r="AF529">
        <v>5</v>
      </c>
      <c r="AH529" t="s">
        <v>4295</v>
      </c>
      <c r="AI529" t="s">
        <v>4294</v>
      </c>
      <c r="AK529" t="s">
        <v>4293</v>
      </c>
      <c r="AL529">
        <v>23</v>
      </c>
      <c r="AM529" s="5">
        <f t="shared" si="67"/>
        <v>1.0454545454545454</v>
      </c>
      <c r="AN529" s="4">
        <f t="shared" si="68"/>
        <v>1.5834222574093834E-3</v>
      </c>
      <c r="AO529" s="3"/>
      <c r="AP529">
        <v>0</v>
      </c>
      <c r="AR529" t="s">
        <v>1</v>
      </c>
      <c r="AT529" s="2" t="s">
        <v>0</v>
      </c>
      <c r="AU529" s="1">
        <f t="shared" si="69"/>
        <v>4.5004003479764121</v>
      </c>
      <c r="AV529" s="1">
        <f t="shared" si="70"/>
        <v>3.2598123130519916</v>
      </c>
      <c r="AW529" s="1">
        <f t="shared" si="71"/>
        <v>2.0192242781275698</v>
      </c>
    </row>
    <row r="530" spans="1:49" x14ac:dyDescent="0.2">
      <c r="A530">
        <v>528</v>
      </c>
      <c r="B530" t="s">
        <v>4292</v>
      </c>
      <c r="C530" t="s">
        <v>4291</v>
      </c>
      <c r="F530" t="s">
        <v>4290</v>
      </c>
      <c r="G530" t="s">
        <v>9</v>
      </c>
      <c r="H530" t="s">
        <v>8</v>
      </c>
      <c r="I530" t="s">
        <v>4289</v>
      </c>
      <c r="J530">
        <v>60010818</v>
      </c>
      <c r="K530" t="s">
        <v>812</v>
      </c>
      <c r="L530" t="s">
        <v>811</v>
      </c>
      <c r="M530" t="s">
        <v>87</v>
      </c>
      <c r="N530">
        <v>2</v>
      </c>
      <c r="O530" t="s">
        <v>4288</v>
      </c>
      <c r="P530" t="s">
        <v>4287</v>
      </c>
      <c r="Q530" t="s">
        <v>810</v>
      </c>
      <c r="R530" s="7">
        <v>36800</v>
      </c>
      <c r="S530" s="8">
        <f t="shared" si="64"/>
        <v>2000</v>
      </c>
      <c r="T530" s="8">
        <v>2000</v>
      </c>
      <c r="U530" s="8">
        <f t="shared" si="65"/>
        <v>22</v>
      </c>
      <c r="V530" s="7">
        <v>36800</v>
      </c>
      <c r="W530" s="11" t="s">
        <v>253</v>
      </c>
      <c r="X530" s="2">
        <v>2.383</v>
      </c>
      <c r="Y530" s="6">
        <f t="shared" si="66"/>
        <v>6.3612824003630442E-2</v>
      </c>
      <c r="AA530">
        <v>13502417</v>
      </c>
      <c r="AB530">
        <v>17416</v>
      </c>
      <c r="AD530" t="s">
        <v>3</v>
      </c>
      <c r="AE530">
        <v>147</v>
      </c>
      <c r="AF530">
        <v>5</v>
      </c>
      <c r="AH530" t="s">
        <v>4286</v>
      </c>
      <c r="AI530" t="s">
        <v>4285</v>
      </c>
      <c r="AK530" t="s">
        <v>4284</v>
      </c>
      <c r="AL530">
        <v>25</v>
      </c>
      <c r="AM530" s="5">
        <f t="shared" si="67"/>
        <v>1.1363636363636365</v>
      </c>
      <c r="AN530" s="4">
        <f t="shared" si="68"/>
        <v>1.7211111493580257E-3</v>
      </c>
      <c r="AO530" s="3"/>
      <c r="AP530">
        <v>0</v>
      </c>
      <c r="AR530" t="s">
        <v>1</v>
      </c>
      <c r="AT530" s="2" t="s">
        <v>0</v>
      </c>
      <c r="AU530" s="1">
        <f t="shared" si="69"/>
        <v>4.5045310147348712</v>
      </c>
      <c r="AV530" s="1">
        <f t="shared" si="70"/>
        <v>3.2666967576494232</v>
      </c>
      <c r="AW530" s="1">
        <f t="shared" si="71"/>
        <v>2.0288625005639749</v>
      </c>
    </row>
    <row r="531" spans="1:49" x14ac:dyDescent="0.2">
      <c r="A531">
        <v>529</v>
      </c>
      <c r="B531" t="s">
        <v>4283</v>
      </c>
      <c r="C531" t="s">
        <v>4282</v>
      </c>
      <c r="F531" t="s">
        <v>4281</v>
      </c>
      <c r="G531" t="s">
        <v>9</v>
      </c>
      <c r="H531" t="s">
        <v>8</v>
      </c>
      <c r="I531" t="s">
        <v>4280</v>
      </c>
      <c r="J531">
        <v>60011476</v>
      </c>
      <c r="K531" t="s">
        <v>4279</v>
      </c>
      <c r="L531" t="s">
        <v>4278</v>
      </c>
      <c r="M531" t="s">
        <v>109</v>
      </c>
      <c r="N531">
        <v>5</v>
      </c>
      <c r="O531" t="s">
        <v>4277</v>
      </c>
      <c r="P531" t="s">
        <v>4276</v>
      </c>
      <c r="Q531" t="s">
        <v>4275</v>
      </c>
      <c r="R531" s="7">
        <v>36800</v>
      </c>
      <c r="S531" s="8">
        <f t="shared" si="64"/>
        <v>2000</v>
      </c>
      <c r="T531" s="8">
        <v>2000</v>
      </c>
      <c r="U531" s="8">
        <f t="shared" si="65"/>
        <v>22</v>
      </c>
      <c r="V531" s="7">
        <v>36800</v>
      </c>
      <c r="W531" s="11" t="s">
        <v>253</v>
      </c>
      <c r="X531" s="2">
        <v>2.383</v>
      </c>
      <c r="Y531" s="6">
        <f t="shared" si="66"/>
        <v>6.3612824003630442E-2</v>
      </c>
      <c r="AA531">
        <v>13502417</v>
      </c>
      <c r="AB531">
        <v>17416</v>
      </c>
      <c r="AD531" t="s">
        <v>3</v>
      </c>
      <c r="AE531">
        <v>147</v>
      </c>
      <c r="AF531">
        <v>5</v>
      </c>
      <c r="AH531" t="s">
        <v>4274</v>
      </c>
      <c r="AI531" t="s">
        <v>4273</v>
      </c>
      <c r="AK531" t="s">
        <v>4272</v>
      </c>
      <c r="AL531">
        <v>9</v>
      </c>
      <c r="AM531" s="5">
        <f t="shared" si="67"/>
        <v>0.40909090909090912</v>
      </c>
      <c r="AN531" s="4">
        <f t="shared" si="68"/>
        <v>6.1960001376888923E-4</v>
      </c>
      <c r="AO531" s="3"/>
      <c r="AP531">
        <v>0</v>
      </c>
      <c r="AR531" t="s">
        <v>1</v>
      </c>
      <c r="AT531" s="2" t="s">
        <v>0</v>
      </c>
      <c r="AU531" s="1">
        <f t="shared" si="69"/>
        <v>4.4714856806671976</v>
      </c>
      <c r="AV531" s="1">
        <f t="shared" si="70"/>
        <v>3.2116212008699665</v>
      </c>
      <c r="AW531" s="1">
        <f t="shared" si="71"/>
        <v>1.9517567210727356</v>
      </c>
    </row>
    <row r="532" spans="1:49" x14ac:dyDescent="0.2">
      <c r="A532">
        <v>530</v>
      </c>
      <c r="B532" t="s">
        <v>4271</v>
      </c>
      <c r="C532" t="s">
        <v>4270</v>
      </c>
      <c r="F532" t="s">
        <v>4269</v>
      </c>
      <c r="G532" t="s">
        <v>9</v>
      </c>
      <c r="H532" t="s">
        <v>8</v>
      </c>
      <c r="I532" t="s">
        <v>4268</v>
      </c>
      <c r="J532">
        <v>60025778</v>
      </c>
      <c r="K532" t="s">
        <v>299</v>
      </c>
      <c r="L532" t="s">
        <v>298</v>
      </c>
      <c r="M532" t="s">
        <v>5</v>
      </c>
      <c r="N532">
        <v>2</v>
      </c>
      <c r="O532" t="s">
        <v>4267</v>
      </c>
      <c r="P532" t="s">
        <v>4266</v>
      </c>
      <c r="Q532" t="s">
        <v>1591</v>
      </c>
      <c r="R532" s="7">
        <v>36800</v>
      </c>
      <c r="S532" s="8">
        <f t="shared" si="64"/>
        <v>2000</v>
      </c>
      <c r="T532" s="8">
        <v>2000</v>
      </c>
      <c r="U532" s="8">
        <f t="shared" si="65"/>
        <v>22</v>
      </c>
      <c r="V532" s="7">
        <v>36800</v>
      </c>
      <c r="W532" s="11" t="s">
        <v>253</v>
      </c>
      <c r="X532" s="2">
        <v>2.383</v>
      </c>
      <c r="Y532" s="6">
        <f t="shared" si="66"/>
        <v>6.3612824003630442E-2</v>
      </c>
      <c r="AA532">
        <v>13502417</v>
      </c>
      <c r="AB532">
        <v>17416</v>
      </c>
      <c r="AD532" t="s">
        <v>3</v>
      </c>
      <c r="AE532">
        <v>147</v>
      </c>
      <c r="AF532">
        <v>5</v>
      </c>
      <c r="AH532" t="s">
        <v>4265</v>
      </c>
      <c r="AI532" t="s">
        <v>4264</v>
      </c>
      <c r="AK532" t="s">
        <v>4263</v>
      </c>
      <c r="AL532">
        <v>45</v>
      </c>
      <c r="AM532" s="5">
        <f t="shared" si="67"/>
        <v>2.0454545454545454</v>
      </c>
      <c r="AN532" s="4">
        <f t="shared" si="68"/>
        <v>3.0980000688444458E-3</v>
      </c>
      <c r="AO532" s="3"/>
      <c r="AP532">
        <v>0</v>
      </c>
      <c r="AR532" t="s">
        <v>1</v>
      </c>
      <c r="AT532" s="2" t="s">
        <v>0</v>
      </c>
      <c r="AU532" s="1">
        <f t="shared" si="69"/>
        <v>4.5458376823194646</v>
      </c>
      <c r="AV532" s="1">
        <f t="shared" si="70"/>
        <v>3.3355412036237446</v>
      </c>
      <c r="AW532" s="1">
        <f t="shared" si="71"/>
        <v>2.1252447249280242</v>
      </c>
    </row>
    <row r="533" spans="1:49" x14ac:dyDescent="0.2">
      <c r="A533">
        <v>531</v>
      </c>
      <c r="B533" t="s">
        <v>4262</v>
      </c>
      <c r="C533" t="s">
        <v>4261</v>
      </c>
      <c r="F533" t="s">
        <v>4260</v>
      </c>
      <c r="G533" t="s">
        <v>9</v>
      </c>
      <c r="H533" t="s">
        <v>8</v>
      </c>
      <c r="I533" t="s">
        <v>4259</v>
      </c>
      <c r="J533">
        <v>60012370</v>
      </c>
      <c r="K533" t="s">
        <v>688</v>
      </c>
      <c r="L533" t="s">
        <v>580</v>
      </c>
      <c r="M533" t="s">
        <v>214</v>
      </c>
      <c r="N533">
        <v>2</v>
      </c>
      <c r="O533" t="s">
        <v>4258</v>
      </c>
      <c r="P533" t="s">
        <v>4257</v>
      </c>
      <c r="Q533" t="s">
        <v>748</v>
      </c>
      <c r="R533" s="7">
        <v>36800</v>
      </c>
      <c r="S533" s="8">
        <f t="shared" si="64"/>
        <v>2000</v>
      </c>
      <c r="T533" s="8">
        <v>2000</v>
      </c>
      <c r="U533" s="8">
        <f t="shared" si="65"/>
        <v>22</v>
      </c>
      <c r="V533" s="7">
        <v>36800</v>
      </c>
      <c r="W533" s="11" t="s">
        <v>253</v>
      </c>
      <c r="X533" s="2">
        <v>2.383</v>
      </c>
      <c r="Y533" s="6">
        <f t="shared" si="66"/>
        <v>6.3612824003630442E-2</v>
      </c>
      <c r="AA533">
        <v>13502417</v>
      </c>
      <c r="AB533">
        <v>17416</v>
      </c>
      <c r="AD533" t="s">
        <v>3</v>
      </c>
      <c r="AE533">
        <v>147</v>
      </c>
      <c r="AF533">
        <v>5</v>
      </c>
      <c r="AH533" t="s">
        <v>4256</v>
      </c>
      <c r="AI533" t="s">
        <v>4255</v>
      </c>
      <c r="AK533" t="s">
        <v>4254</v>
      </c>
      <c r="AL533">
        <v>7</v>
      </c>
      <c r="AM533" s="5">
        <f t="shared" si="67"/>
        <v>0.31818181818181818</v>
      </c>
      <c r="AN533" s="4">
        <f t="shared" si="68"/>
        <v>4.8191112182024716E-4</v>
      </c>
      <c r="AO533" s="3"/>
      <c r="AP533">
        <v>0</v>
      </c>
      <c r="AR533" t="s">
        <v>1</v>
      </c>
      <c r="AT533" s="2" t="s">
        <v>0</v>
      </c>
      <c r="AU533" s="1">
        <f t="shared" si="69"/>
        <v>4.4673550139087377</v>
      </c>
      <c r="AV533" s="1">
        <f t="shared" si="70"/>
        <v>3.2047367562725344</v>
      </c>
      <c r="AW533" s="1">
        <f t="shared" si="71"/>
        <v>1.9421184986363305</v>
      </c>
    </row>
    <row r="534" spans="1:49" x14ac:dyDescent="0.2">
      <c r="A534">
        <v>532</v>
      </c>
      <c r="B534" t="s">
        <v>4253</v>
      </c>
      <c r="C534" t="s">
        <v>4252</v>
      </c>
      <c r="F534" t="s">
        <v>4251</v>
      </c>
      <c r="G534" t="s">
        <v>9</v>
      </c>
      <c r="H534" t="s">
        <v>8</v>
      </c>
      <c r="I534" t="s">
        <v>4250</v>
      </c>
      <c r="J534">
        <v>60012197</v>
      </c>
      <c r="K534" t="s">
        <v>4249</v>
      </c>
      <c r="L534" t="s">
        <v>4248</v>
      </c>
      <c r="M534" t="s">
        <v>87</v>
      </c>
      <c r="N534">
        <v>3</v>
      </c>
      <c r="O534" t="s">
        <v>4247</v>
      </c>
      <c r="P534" t="s">
        <v>4246</v>
      </c>
      <c r="Q534" t="s">
        <v>4245</v>
      </c>
      <c r="R534" s="7">
        <v>36800</v>
      </c>
      <c r="S534" s="8">
        <f t="shared" si="64"/>
        <v>2000</v>
      </c>
      <c r="T534" s="8">
        <v>2000</v>
      </c>
      <c r="U534" s="8">
        <f t="shared" si="65"/>
        <v>22</v>
      </c>
      <c r="V534" s="7">
        <v>36800</v>
      </c>
      <c r="W534" s="11" t="s">
        <v>253</v>
      </c>
      <c r="X534" s="2">
        <v>2.383</v>
      </c>
      <c r="Y534" s="6">
        <f t="shared" si="66"/>
        <v>6.3612824003630442E-2</v>
      </c>
      <c r="AA534">
        <v>13502417</v>
      </c>
      <c r="AB534">
        <v>17416</v>
      </c>
      <c r="AD534" t="s">
        <v>3</v>
      </c>
      <c r="AE534">
        <v>147</v>
      </c>
      <c r="AF534">
        <v>5</v>
      </c>
      <c r="AH534" t="s">
        <v>4244</v>
      </c>
      <c r="AI534" t="s">
        <v>4243</v>
      </c>
      <c r="AK534" t="s">
        <v>4242</v>
      </c>
      <c r="AL534">
        <v>0</v>
      </c>
      <c r="AM534" s="5">
        <f t="shared" si="67"/>
        <v>0</v>
      </c>
      <c r="AN534" s="4">
        <f t="shared" si="68"/>
        <v>0</v>
      </c>
      <c r="AO534" s="3"/>
      <c r="AP534">
        <v>0</v>
      </c>
      <c r="AR534" t="s">
        <v>1</v>
      </c>
      <c r="AT534" s="2" t="s">
        <v>0</v>
      </c>
      <c r="AU534" s="1">
        <f t="shared" si="69"/>
        <v>4.4528976802541305</v>
      </c>
      <c r="AV534" s="1">
        <f t="shared" si="70"/>
        <v>3.1806412001815221</v>
      </c>
      <c r="AW534" s="1">
        <f t="shared" si="71"/>
        <v>1.9083847201089132</v>
      </c>
    </row>
    <row r="535" spans="1:49" x14ac:dyDescent="0.2">
      <c r="A535">
        <v>533</v>
      </c>
      <c r="B535" t="s">
        <v>4241</v>
      </c>
      <c r="C535" t="s">
        <v>4240</v>
      </c>
      <c r="F535" t="s">
        <v>4239</v>
      </c>
      <c r="G535" t="s">
        <v>9</v>
      </c>
      <c r="H535" t="s">
        <v>8</v>
      </c>
      <c r="I535" t="s">
        <v>685</v>
      </c>
      <c r="J535">
        <v>60110755</v>
      </c>
      <c r="K535" t="s">
        <v>459</v>
      </c>
      <c r="L535" t="s">
        <v>458</v>
      </c>
      <c r="M535" t="s">
        <v>105</v>
      </c>
      <c r="N535">
        <v>2</v>
      </c>
      <c r="O535" t="s">
        <v>4238</v>
      </c>
      <c r="P535" t="s">
        <v>684</v>
      </c>
      <c r="Q535" t="s">
        <v>4237</v>
      </c>
      <c r="R535" s="7">
        <v>36800</v>
      </c>
      <c r="S535" s="8">
        <f t="shared" si="64"/>
        <v>2000</v>
      </c>
      <c r="T535" s="8">
        <v>2000</v>
      </c>
      <c r="U535" s="8">
        <f t="shared" si="65"/>
        <v>22</v>
      </c>
      <c r="V535" s="7">
        <v>36800</v>
      </c>
      <c r="W535" s="11" t="s">
        <v>253</v>
      </c>
      <c r="X535" s="2">
        <v>2.383</v>
      </c>
      <c r="Y535" s="6">
        <f t="shared" si="66"/>
        <v>6.3612824003630442E-2</v>
      </c>
      <c r="AA535">
        <v>13502417</v>
      </c>
      <c r="AB535">
        <v>17416</v>
      </c>
      <c r="AD535" t="s">
        <v>3</v>
      </c>
      <c r="AE535">
        <v>147</v>
      </c>
      <c r="AF535">
        <v>5</v>
      </c>
      <c r="AH535" t="s">
        <v>4236</v>
      </c>
      <c r="AI535" t="s">
        <v>4235</v>
      </c>
      <c r="AK535" t="s">
        <v>4234</v>
      </c>
      <c r="AL535">
        <v>8</v>
      </c>
      <c r="AM535" s="5">
        <f t="shared" si="67"/>
        <v>0.36363636363636365</v>
      </c>
      <c r="AN535" s="4">
        <f t="shared" si="68"/>
        <v>5.5075556779456819E-4</v>
      </c>
      <c r="AO535" s="3"/>
      <c r="AP535">
        <v>0</v>
      </c>
      <c r="AR535" t="s">
        <v>1</v>
      </c>
      <c r="AT535" s="2" t="s">
        <v>0</v>
      </c>
      <c r="AU535" s="1">
        <f t="shared" si="69"/>
        <v>4.4694203472879686</v>
      </c>
      <c r="AV535" s="1">
        <f t="shared" si="70"/>
        <v>3.20817897857125</v>
      </c>
      <c r="AW535" s="1">
        <f t="shared" si="71"/>
        <v>1.9469376098545332</v>
      </c>
    </row>
    <row r="536" spans="1:49" x14ac:dyDescent="0.2">
      <c r="A536">
        <v>534</v>
      </c>
      <c r="B536" t="s">
        <v>4233</v>
      </c>
      <c r="C536" t="s">
        <v>4232</v>
      </c>
      <c r="F536" t="s">
        <v>4231</v>
      </c>
      <c r="G536" t="s">
        <v>9</v>
      </c>
      <c r="H536" t="s">
        <v>8</v>
      </c>
      <c r="I536" t="s">
        <v>4230</v>
      </c>
      <c r="J536">
        <v>60107934</v>
      </c>
      <c r="K536" t="s">
        <v>4229</v>
      </c>
      <c r="L536" t="s">
        <v>11</v>
      </c>
      <c r="M536" t="s">
        <v>10</v>
      </c>
      <c r="N536">
        <v>2</v>
      </c>
      <c r="O536" t="s">
        <v>4228</v>
      </c>
      <c r="P536" t="s">
        <v>4227</v>
      </c>
      <c r="Q536" t="s">
        <v>4226</v>
      </c>
      <c r="R536" s="7">
        <v>36800</v>
      </c>
      <c r="S536" s="8">
        <f t="shared" si="64"/>
        <v>2000</v>
      </c>
      <c r="T536" s="8">
        <v>2000</v>
      </c>
      <c r="U536" s="8">
        <f t="shared" si="65"/>
        <v>22</v>
      </c>
      <c r="V536" s="7">
        <v>36800</v>
      </c>
      <c r="W536" s="11" t="s">
        <v>253</v>
      </c>
      <c r="X536" s="2">
        <v>2.383</v>
      </c>
      <c r="Y536" s="6">
        <f t="shared" si="66"/>
        <v>6.3612824003630442E-2</v>
      </c>
      <c r="AA536">
        <v>13502417</v>
      </c>
      <c r="AB536">
        <v>17416</v>
      </c>
      <c r="AD536" t="s">
        <v>3</v>
      </c>
      <c r="AE536">
        <v>147</v>
      </c>
      <c r="AF536">
        <v>5</v>
      </c>
      <c r="AH536" t="s">
        <v>245</v>
      </c>
      <c r="AI536" t="s">
        <v>4225</v>
      </c>
      <c r="AK536" t="s">
        <v>4224</v>
      </c>
      <c r="AL536">
        <v>14</v>
      </c>
      <c r="AM536" s="5">
        <f t="shared" si="67"/>
        <v>0.63636363636363635</v>
      </c>
      <c r="AN536" s="4">
        <f t="shared" si="68"/>
        <v>9.6382224364049431E-4</v>
      </c>
      <c r="AO536" s="3"/>
      <c r="AP536">
        <v>0</v>
      </c>
      <c r="AR536" t="s">
        <v>1</v>
      </c>
      <c r="AT536" s="2" t="s">
        <v>0</v>
      </c>
      <c r="AU536" s="1">
        <f t="shared" si="69"/>
        <v>4.4818123475633458</v>
      </c>
      <c r="AV536" s="1">
        <f t="shared" si="70"/>
        <v>3.2288323123635472</v>
      </c>
      <c r="AW536" s="1">
        <f t="shared" si="71"/>
        <v>1.9758522771637477</v>
      </c>
    </row>
    <row r="537" spans="1:49" x14ac:dyDescent="0.2">
      <c r="A537">
        <v>535</v>
      </c>
      <c r="B537" t="s">
        <v>4223</v>
      </c>
      <c r="C537" t="s">
        <v>4222</v>
      </c>
      <c r="F537" t="s">
        <v>4221</v>
      </c>
      <c r="G537" t="s">
        <v>9</v>
      </c>
      <c r="H537" t="s">
        <v>8</v>
      </c>
      <c r="I537" t="s">
        <v>573</v>
      </c>
      <c r="J537">
        <v>60012564</v>
      </c>
      <c r="K537" t="s">
        <v>982</v>
      </c>
      <c r="L537" t="s">
        <v>981</v>
      </c>
      <c r="M537" t="s">
        <v>5</v>
      </c>
      <c r="N537">
        <v>1</v>
      </c>
      <c r="O537" t="s">
        <v>980</v>
      </c>
      <c r="P537">
        <v>7202491328</v>
      </c>
      <c r="Q537">
        <v>60012564</v>
      </c>
      <c r="R537" s="7">
        <v>36800</v>
      </c>
      <c r="S537" s="8">
        <f t="shared" si="64"/>
        <v>2000</v>
      </c>
      <c r="T537" s="8">
        <v>2000</v>
      </c>
      <c r="U537" s="8">
        <f t="shared" si="65"/>
        <v>22</v>
      </c>
      <c r="V537" s="7">
        <v>36800</v>
      </c>
      <c r="W537" t="s">
        <v>322</v>
      </c>
      <c r="X537" s="2">
        <v>1.6379999999999999</v>
      </c>
      <c r="Y537" s="6">
        <f t="shared" si="66"/>
        <v>4.3725474493473214E-2</v>
      </c>
      <c r="AA537" t="s">
        <v>321</v>
      </c>
      <c r="AB537">
        <v>17391</v>
      </c>
      <c r="AD537" t="s">
        <v>3</v>
      </c>
      <c r="AE537">
        <v>48</v>
      </c>
      <c r="AF537">
        <v>10</v>
      </c>
      <c r="AH537" t="s">
        <v>4220</v>
      </c>
      <c r="AI537" t="s">
        <v>4219</v>
      </c>
      <c r="AK537" t="s">
        <v>4218</v>
      </c>
      <c r="AL537">
        <v>33</v>
      </c>
      <c r="AM537" s="5">
        <f t="shared" si="67"/>
        <v>1.5</v>
      </c>
      <c r="AN537" s="4">
        <f t="shared" si="68"/>
        <v>2.2718667171525938E-3</v>
      </c>
      <c r="AO537" s="3"/>
      <c r="AP537">
        <v>0</v>
      </c>
      <c r="AQ537" t="s">
        <v>306</v>
      </c>
      <c r="AR537" t="s">
        <v>4217</v>
      </c>
      <c r="AS537" t="s">
        <v>305</v>
      </c>
      <c r="AT537" s="2">
        <v>4.931</v>
      </c>
      <c r="AU537" s="1">
        <f t="shared" si="69"/>
        <v>3.1289392160577023</v>
      </c>
      <c r="AV537" s="1">
        <f t="shared" si="70"/>
        <v>2.2998670605312901</v>
      </c>
      <c r="AW537" s="1">
        <f t="shared" si="71"/>
        <v>1.4707949050048779</v>
      </c>
    </row>
    <row r="538" spans="1:49" x14ac:dyDescent="0.2">
      <c r="A538">
        <v>536</v>
      </c>
      <c r="B538" t="s">
        <v>4216</v>
      </c>
      <c r="C538" t="s">
        <v>4215</v>
      </c>
      <c r="F538" t="s">
        <v>4214</v>
      </c>
      <c r="G538" t="s">
        <v>9</v>
      </c>
      <c r="H538" t="s">
        <v>8</v>
      </c>
      <c r="I538" t="s">
        <v>4213</v>
      </c>
      <c r="J538">
        <v>60026851</v>
      </c>
      <c r="K538" t="s">
        <v>4212</v>
      </c>
      <c r="L538" t="s">
        <v>4211</v>
      </c>
      <c r="M538" t="s">
        <v>87</v>
      </c>
      <c r="N538">
        <v>1</v>
      </c>
      <c r="O538" t="s">
        <v>4210</v>
      </c>
      <c r="P538">
        <v>36071024600</v>
      </c>
      <c r="Q538">
        <v>60026851</v>
      </c>
      <c r="R538" s="7">
        <v>36800</v>
      </c>
      <c r="S538" s="8">
        <f t="shared" si="64"/>
        <v>2000</v>
      </c>
      <c r="T538" s="8">
        <v>2000</v>
      </c>
      <c r="U538" s="8">
        <f t="shared" si="65"/>
        <v>22</v>
      </c>
      <c r="V538" s="7">
        <v>36800</v>
      </c>
      <c r="W538" t="s">
        <v>4209</v>
      </c>
      <c r="X538" s="2">
        <v>0.52100000000000002</v>
      </c>
      <c r="Y538" s="6">
        <f t="shared" si="66"/>
        <v>1.3907797442673715E-2</v>
      </c>
      <c r="AA538">
        <v>8931321</v>
      </c>
      <c r="AB538">
        <v>16252</v>
      </c>
      <c r="AD538" t="s">
        <v>3</v>
      </c>
      <c r="AE538">
        <v>13</v>
      </c>
      <c r="AF538">
        <v>4</v>
      </c>
      <c r="AH538" t="s">
        <v>4208</v>
      </c>
      <c r="AI538" t="s">
        <v>4207</v>
      </c>
      <c r="AK538" t="s">
        <v>4206</v>
      </c>
      <c r="AL538">
        <v>17</v>
      </c>
      <c r="AM538" s="5">
        <f t="shared" si="67"/>
        <v>0.77272727272727271</v>
      </c>
      <c r="AN538" s="4">
        <f t="shared" si="68"/>
        <v>1.1703555815634574E-3</v>
      </c>
      <c r="AO538" s="3"/>
      <c r="AP538">
        <v>0</v>
      </c>
      <c r="AR538" t="s">
        <v>1</v>
      </c>
      <c r="AT538" s="2">
        <v>1.9039999999999999</v>
      </c>
      <c r="AU538" s="1">
        <f t="shared" si="69"/>
        <v>1.0086564884340636</v>
      </c>
      <c r="AV538" s="1">
        <f t="shared" si="70"/>
        <v>0.75390765121185854</v>
      </c>
      <c r="AW538" s="1">
        <f t="shared" si="71"/>
        <v>0.49915881398965345</v>
      </c>
    </row>
    <row r="539" spans="1:49" x14ac:dyDescent="0.2">
      <c r="A539">
        <v>537</v>
      </c>
      <c r="B539" t="s">
        <v>4205</v>
      </c>
      <c r="C539" t="s">
        <v>4204</v>
      </c>
      <c r="F539" t="s">
        <v>4203</v>
      </c>
      <c r="G539" t="s">
        <v>9</v>
      </c>
      <c r="H539" t="s">
        <v>8</v>
      </c>
      <c r="I539" t="s">
        <v>114</v>
      </c>
      <c r="J539">
        <v>60000009</v>
      </c>
      <c r="K539" t="s">
        <v>113</v>
      </c>
      <c r="L539" t="s">
        <v>112</v>
      </c>
      <c r="M539" t="s">
        <v>5</v>
      </c>
      <c r="N539">
        <v>2</v>
      </c>
      <c r="O539" t="s">
        <v>4202</v>
      </c>
      <c r="P539" t="s">
        <v>4201</v>
      </c>
      <c r="Q539" t="s">
        <v>4200</v>
      </c>
      <c r="R539" s="7">
        <v>36800</v>
      </c>
      <c r="S539" s="8">
        <f t="shared" si="64"/>
        <v>2000</v>
      </c>
      <c r="T539" s="8">
        <v>2000</v>
      </c>
      <c r="U539" s="8">
        <f t="shared" si="65"/>
        <v>22</v>
      </c>
      <c r="V539" s="7">
        <v>36800</v>
      </c>
      <c r="W539" t="s">
        <v>322</v>
      </c>
      <c r="X539" s="2">
        <v>1.6379999999999999</v>
      </c>
      <c r="Y539" s="6">
        <f t="shared" si="66"/>
        <v>4.3725474493473214E-2</v>
      </c>
      <c r="AA539" t="s">
        <v>321</v>
      </c>
      <c r="AB539">
        <v>17391</v>
      </c>
      <c r="AD539" t="s">
        <v>3</v>
      </c>
      <c r="AE539">
        <v>48</v>
      </c>
      <c r="AF539">
        <v>10</v>
      </c>
      <c r="AH539" t="s">
        <v>4199</v>
      </c>
      <c r="AI539" t="s">
        <v>4198</v>
      </c>
      <c r="AK539" t="s">
        <v>4197</v>
      </c>
      <c r="AL539">
        <v>32</v>
      </c>
      <c r="AM539" s="5">
        <f t="shared" si="67"/>
        <v>1.4545454545454546</v>
      </c>
      <c r="AN539" s="4">
        <f t="shared" si="68"/>
        <v>2.2030222711782728E-3</v>
      </c>
      <c r="AO539" s="3"/>
      <c r="AP539">
        <v>0</v>
      </c>
      <c r="AQ539" t="s">
        <v>476</v>
      </c>
      <c r="AR539" t="s">
        <v>4196</v>
      </c>
      <c r="AS539" t="s">
        <v>475</v>
      </c>
      <c r="AT539" s="2">
        <v>4.931</v>
      </c>
      <c r="AU539" s="1">
        <f t="shared" si="69"/>
        <v>3.1268738826784728</v>
      </c>
      <c r="AV539" s="1">
        <f t="shared" si="70"/>
        <v>2.2964248382325745</v>
      </c>
      <c r="AW539" s="1">
        <f t="shared" si="71"/>
        <v>1.4659757937866755</v>
      </c>
    </row>
    <row r="540" spans="1:49" x14ac:dyDescent="0.2">
      <c r="A540">
        <v>538</v>
      </c>
      <c r="B540" t="s">
        <v>4195</v>
      </c>
      <c r="C540" t="s">
        <v>4194</v>
      </c>
      <c r="F540" t="s">
        <v>4193</v>
      </c>
      <c r="G540" t="s">
        <v>9</v>
      </c>
      <c r="H540" t="s">
        <v>8</v>
      </c>
      <c r="I540" t="s">
        <v>398</v>
      </c>
      <c r="J540">
        <v>60006288</v>
      </c>
      <c r="K540" t="s">
        <v>739</v>
      </c>
      <c r="L540" t="s">
        <v>738</v>
      </c>
      <c r="M540" t="s">
        <v>29</v>
      </c>
      <c r="N540">
        <v>1</v>
      </c>
      <c r="O540" t="s">
        <v>4192</v>
      </c>
      <c r="P540">
        <v>6603802598</v>
      </c>
      <c r="Q540">
        <v>60006288</v>
      </c>
      <c r="R540" s="7">
        <v>36800</v>
      </c>
      <c r="S540" s="8">
        <f t="shared" si="64"/>
        <v>2000</v>
      </c>
      <c r="T540" s="8">
        <v>2000</v>
      </c>
      <c r="U540" s="8">
        <f t="shared" si="65"/>
        <v>22</v>
      </c>
      <c r="V540" s="7">
        <v>36800</v>
      </c>
      <c r="W540" t="s">
        <v>322</v>
      </c>
      <c r="X540" s="2">
        <v>1.6379999999999999</v>
      </c>
      <c r="Y540" s="6">
        <f t="shared" si="66"/>
        <v>4.3725474493473214E-2</v>
      </c>
      <c r="AA540" t="s">
        <v>321</v>
      </c>
      <c r="AB540">
        <v>17391</v>
      </c>
      <c r="AD540" t="s">
        <v>3</v>
      </c>
      <c r="AE540">
        <v>48</v>
      </c>
      <c r="AF540">
        <v>10</v>
      </c>
      <c r="AH540" t="s">
        <v>4191</v>
      </c>
      <c r="AI540" t="s">
        <v>4190</v>
      </c>
      <c r="AK540" t="s">
        <v>4189</v>
      </c>
      <c r="AL540">
        <v>10</v>
      </c>
      <c r="AM540" s="5">
        <f t="shared" si="67"/>
        <v>0.45454545454545453</v>
      </c>
      <c r="AN540" s="4">
        <f t="shared" si="68"/>
        <v>6.8844445974321016E-4</v>
      </c>
      <c r="AO540" s="3"/>
      <c r="AP540">
        <v>0</v>
      </c>
      <c r="AR540" t="s">
        <v>4188</v>
      </c>
      <c r="AT540" s="2">
        <v>4.931</v>
      </c>
      <c r="AU540" s="1">
        <f t="shared" si="69"/>
        <v>3.0814365483354211</v>
      </c>
      <c r="AV540" s="1">
        <f t="shared" si="70"/>
        <v>2.2206959476608215</v>
      </c>
      <c r="AW540" s="1">
        <f t="shared" si="71"/>
        <v>1.3599553469862211</v>
      </c>
    </row>
    <row r="541" spans="1:49" x14ac:dyDescent="0.2">
      <c r="A541">
        <v>539</v>
      </c>
      <c r="B541" t="s">
        <v>4187</v>
      </c>
      <c r="C541" t="s">
        <v>4186</v>
      </c>
      <c r="F541" t="s">
        <v>4185</v>
      </c>
      <c r="G541" t="s">
        <v>9</v>
      </c>
      <c r="H541" t="s">
        <v>8</v>
      </c>
      <c r="I541" t="s">
        <v>4184</v>
      </c>
      <c r="J541" t="s">
        <v>4183</v>
      </c>
      <c r="K541" t="s">
        <v>4182</v>
      </c>
      <c r="L541" t="s">
        <v>4181</v>
      </c>
      <c r="M541" t="s">
        <v>4180</v>
      </c>
      <c r="N541">
        <v>9</v>
      </c>
      <c r="O541" t="s">
        <v>4179</v>
      </c>
      <c r="P541" t="s">
        <v>4178</v>
      </c>
      <c r="Q541" t="s">
        <v>4177</v>
      </c>
      <c r="R541" s="7">
        <v>36800</v>
      </c>
      <c r="S541" s="8">
        <f t="shared" si="64"/>
        <v>2000</v>
      </c>
      <c r="T541" s="8">
        <v>2000</v>
      </c>
      <c r="U541" s="8">
        <f t="shared" si="65"/>
        <v>22</v>
      </c>
      <c r="V541" s="7">
        <v>36800</v>
      </c>
      <c r="W541" t="s">
        <v>336</v>
      </c>
      <c r="X541" s="2">
        <v>1.774</v>
      </c>
      <c r="Y541" s="6">
        <f t="shared" si="66"/>
        <v>4.7355916820159633E-2</v>
      </c>
      <c r="AA541">
        <v>295515</v>
      </c>
      <c r="AB541">
        <v>29066</v>
      </c>
      <c r="AD541" t="s">
        <v>3</v>
      </c>
      <c r="AE541">
        <v>40</v>
      </c>
      <c r="AF541">
        <v>10</v>
      </c>
      <c r="AH541" t="s">
        <v>4176</v>
      </c>
      <c r="AI541" t="s">
        <v>4175</v>
      </c>
      <c r="AK541" t="s">
        <v>4174</v>
      </c>
      <c r="AL541">
        <v>13</v>
      </c>
      <c r="AM541" s="5">
        <f t="shared" si="67"/>
        <v>0.59090909090909094</v>
      </c>
      <c r="AN541" s="4">
        <f t="shared" si="68"/>
        <v>8.9497779766617338E-4</v>
      </c>
      <c r="AO541" s="3"/>
      <c r="AP541">
        <v>0</v>
      </c>
      <c r="AR541" t="s">
        <v>1</v>
      </c>
      <c r="AT541" s="2">
        <v>3.1789999999999998</v>
      </c>
      <c r="AU541" s="1">
        <f t="shared" si="69"/>
        <v>3.3417635113411595</v>
      </c>
      <c r="AV541" s="1">
        <f t="shared" si="70"/>
        <v>2.4125447308912902</v>
      </c>
      <c r="AW541" s="1">
        <f t="shared" si="71"/>
        <v>1.4833259504414209</v>
      </c>
    </row>
    <row r="542" spans="1:49" x14ac:dyDescent="0.2">
      <c r="A542">
        <v>540</v>
      </c>
      <c r="B542" t="s">
        <v>4173</v>
      </c>
      <c r="C542" t="s">
        <v>4172</v>
      </c>
      <c r="D542" t="s">
        <v>4171</v>
      </c>
      <c r="F542" t="s">
        <v>4170</v>
      </c>
      <c r="G542" t="s">
        <v>9</v>
      </c>
      <c r="H542" t="s">
        <v>8</v>
      </c>
      <c r="I542" t="s">
        <v>827</v>
      </c>
      <c r="J542" t="s">
        <v>4169</v>
      </c>
      <c r="K542" t="s">
        <v>4168</v>
      </c>
      <c r="L542" t="s">
        <v>4167</v>
      </c>
      <c r="M542" t="s">
        <v>892</v>
      </c>
      <c r="N542">
        <v>3</v>
      </c>
      <c r="O542" t="s">
        <v>4166</v>
      </c>
      <c r="P542" t="s">
        <v>824</v>
      </c>
      <c r="Q542" t="s">
        <v>4165</v>
      </c>
      <c r="R542" s="7">
        <v>36800</v>
      </c>
      <c r="S542" s="8">
        <f t="shared" si="64"/>
        <v>2000</v>
      </c>
      <c r="T542" s="8">
        <v>2000</v>
      </c>
      <c r="U542" s="8">
        <f t="shared" si="65"/>
        <v>22</v>
      </c>
      <c r="V542" s="7">
        <v>36800</v>
      </c>
      <c r="W542" t="s">
        <v>2264</v>
      </c>
      <c r="X542" s="2">
        <v>0.82</v>
      </c>
      <c r="Y542" s="6">
        <f t="shared" si="66"/>
        <v>2.1889431675609299E-2</v>
      </c>
      <c r="AA542">
        <v>189456</v>
      </c>
      <c r="AB542">
        <v>15361</v>
      </c>
      <c r="AD542" t="s">
        <v>3</v>
      </c>
      <c r="AE542">
        <v>49</v>
      </c>
      <c r="AF542">
        <v>5</v>
      </c>
      <c r="AH542" t="s">
        <v>4164</v>
      </c>
      <c r="AI542" t="s">
        <v>4163</v>
      </c>
      <c r="AJ542" t="s">
        <v>4162</v>
      </c>
      <c r="AK542" t="s">
        <v>4161</v>
      </c>
      <c r="AL542">
        <v>10</v>
      </c>
      <c r="AM542" s="5">
        <f t="shared" si="67"/>
        <v>0.45454545454545453</v>
      </c>
      <c r="AN542" s="4">
        <f t="shared" si="68"/>
        <v>6.8844445974321016E-4</v>
      </c>
      <c r="AO542" s="3"/>
      <c r="AP542">
        <v>0</v>
      </c>
      <c r="AR542" t="s">
        <v>1</v>
      </c>
      <c r="AT542" s="2" t="s">
        <v>0</v>
      </c>
      <c r="AU542" s="1">
        <f t="shared" si="69"/>
        <v>1.552913551084947</v>
      </c>
      <c r="AV542" s="1">
        <f t="shared" si="70"/>
        <v>1.1288938067676253</v>
      </c>
      <c r="AW542" s="1">
        <f t="shared" si="71"/>
        <v>0.7048740624503036</v>
      </c>
    </row>
    <row r="543" spans="1:49" x14ac:dyDescent="0.2">
      <c r="A543">
        <v>541</v>
      </c>
      <c r="B543" t="s">
        <v>4160</v>
      </c>
      <c r="C543" t="s">
        <v>4159</v>
      </c>
      <c r="F543" t="s">
        <v>4158</v>
      </c>
      <c r="G543" t="s">
        <v>9</v>
      </c>
      <c r="H543" t="s">
        <v>8</v>
      </c>
      <c r="I543" t="s">
        <v>4157</v>
      </c>
      <c r="J543">
        <v>60019987</v>
      </c>
      <c r="K543" t="s">
        <v>4156</v>
      </c>
      <c r="L543" t="s">
        <v>4155</v>
      </c>
      <c r="M543" t="s">
        <v>637</v>
      </c>
      <c r="N543">
        <v>1</v>
      </c>
      <c r="O543" t="s">
        <v>4154</v>
      </c>
      <c r="P543">
        <v>55993179700</v>
      </c>
      <c r="Q543">
        <v>60019987</v>
      </c>
      <c r="R543" s="7">
        <v>36800</v>
      </c>
      <c r="S543" s="8">
        <f t="shared" si="64"/>
        <v>2000</v>
      </c>
      <c r="T543" s="8">
        <v>2000</v>
      </c>
      <c r="U543" s="8">
        <f t="shared" si="65"/>
        <v>22</v>
      </c>
      <c r="V543" s="7">
        <v>36800</v>
      </c>
      <c r="W543" t="s">
        <v>2264</v>
      </c>
      <c r="X543" s="2">
        <v>0.82</v>
      </c>
      <c r="Y543" s="6">
        <f t="shared" si="66"/>
        <v>2.1889431675609299E-2</v>
      </c>
      <c r="AA543">
        <v>189456</v>
      </c>
      <c r="AB543">
        <v>15361</v>
      </c>
      <c r="AD543" t="s">
        <v>3</v>
      </c>
      <c r="AE543">
        <v>49</v>
      </c>
      <c r="AF543">
        <v>5</v>
      </c>
      <c r="AH543" t="s">
        <v>4153</v>
      </c>
      <c r="AI543" t="s">
        <v>4152</v>
      </c>
      <c r="AK543" t="s">
        <v>4151</v>
      </c>
      <c r="AL543">
        <v>4</v>
      </c>
      <c r="AM543" s="5">
        <f t="shared" si="67"/>
        <v>0.18181818181818182</v>
      </c>
      <c r="AN543" s="4">
        <f t="shared" si="68"/>
        <v>2.753777838972841E-4</v>
      </c>
      <c r="AO543" s="3"/>
      <c r="AP543">
        <v>0</v>
      </c>
      <c r="AR543" t="s">
        <v>1</v>
      </c>
      <c r="AT543" s="2" t="s">
        <v>0</v>
      </c>
      <c r="AU543" s="1">
        <f t="shared" si="69"/>
        <v>1.5405215508095693</v>
      </c>
      <c r="AV543" s="1">
        <f t="shared" si="70"/>
        <v>1.1082404729753292</v>
      </c>
      <c r="AW543" s="1">
        <f t="shared" si="71"/>
        <v>0.67595939514108883</v>
      </c>
    </row>
    <row r="544" spans="1:49" x14ac:dyDescent="0.2">
      <c r="A544">
        <v>542</v>
      </c>
      <c r="B544" t="s">
        <v>4150</v>
      </c>
      <c r="C544" t="s">
        <v>4149</v>
      </c>
      <c r="F544" t="s">
        <v>4148</v>
      </c>
      <c r="G544" t="s">
        <v>9</v>
      </c>
      <c r="H544" t="s">
        <v>8</v>
      </c>
      <c r="I544" t="s">
        <v>4147</v>
      </c>
      <c r="J544">
        <v>60022313</v>
      </c>
      <c r="K544" t="s">
        <v>4146</v>
      </c>
      <c r="L544" t="s">
        <v>4145</v>
      </c>
      <c r="M544" t="s">
        <v>43</v>
      </c>
      <c r="N544">
        <v>3</v>
      </c>
      <c r="O544" t="s">
        <v>4144</v>
      </c>
      <c r="P544" t="s">
        <v>4143</v>
      </c>
      <c r="Q544" t="s">
        <v>4142</v>
      </c>
      <c r="R544" s="7">
        <v>36800</v>
      </c>
      <c r="S544" s="8">
        <f t="shared" si="64"/>
        <v>2000</v>
      </c>
      <c r="T544" s="8">
        <v>2000</v>
      </c>
      <c r="U544" s="8">
        <f t="shared" si="65"/>
        <v>22</v>
      </c>
      <c r="V544" s="7">
        <v>36800</v>
      </c>
      <c r="W544" t="s">
        <v>371</v>
      </c>
      <c r="X544" s="2">
        <v>0.13900000000000001</v>
      </c>
      <c r="Y544" s="6">
        <f t="shared" si="66"/>
        <v>3.7105256133045036E-3</v>
      </c>
      <c r="AA544" t="s">
        <v>370</v>
      </c>
      <c r="AB544">
        <v>24891</v>
      </c>
      <c r="AD544" t="s">
        <v>3</v>
      </c>
      <c r="AE544">
        <v>83</v>
      </c>
      <c r="AF544">
        <v>10</v>
      </c>
      <c r="AH544" t="s">
        <v>4141</v>
      </c>
      <c r="AI544" t="s">
        <v>4140</v>
      </c>
      <c r="AK544" t="s">
        <v>4139</v>
      </c>
      <c r="AL544">
        <v>1</v>
      </c>
      <c r="AM544" s="5">
        <f t="shared" si="67"/>
        <v>4.5454545454545456E-2</v>
      </c>
      <c r="AN544" s="4">
        <f t="shared" si="68"/>
        <v>6.8844445974321024E-5</v>
      </c>
      <c r="AO544" s="3"/>
      <c r="AP544">
        <v>0</v>
      </c>
      <c r="AR544" t="s">
        <v>1</v>
      </c>
      <c r="AT544" s="2" t="s">
        <v>0</v>
      </c>
      <c r="AU544" s="1">
        <f t="shared" si="69"/>
        <v>0.26180212631054484</v>
      </c>
      <c r="AV544" s="1">
        <f t="shared" si="70"/>
        <v>0.18896850296394124</v>
      </c>
      <c r="AW544" s="1">
        <f t="shared" si="71"/>
        <v>0.11613487961733757</v>
      </c>
    </row>
    <row r="545" spans="1:49" x14ac:dyDescent="0.2">
      <c r="A545">
        <v>543</v>
      </c>
      <c r="B545" t="s">
        <v>4138</v>
      </c>
      <c r="C545" t="s">
        <v>4137</v>
      </c>
      <c r="F545" t="s">
        <v>4136</v>
      </c>
      <c r="G545" t="s">
        <v>9</v>
      </c>
      <c r="H545" t="s">
        <v>8</v>
      </c>
      <c r="I545" t="s">
        <v>361</v>
      </c>
      <c r="J545">
        <v>60022195</v>
      </c>
      <c r="K545" t="s">
        <v>218</v>
      </c>
      <c r="L545" t="s">
        <v>208</v>
      </c>
      <c r="M545" t="s">
        <v>5</v>
      </c>
      <c r="N545">
        <v>2</v>
      </c>
      <c r="O545" t="s">
        <v>4135</v>
      </c>
      <c r="P545" t="s">
        <v>4134</v>
      </c>
      <c r="Q545" t="s">
        <v>4133</v>
      </c>
      <c r="R545" s="7">
        <v>36800</v>
      </c>
      <c r="S545" s="8">
        <f t="shared" si="64"/>
        <v>2000</v>
      </c>
      <c r="T545" s="8">
        <v>2000</v>
      </c>
      <c r="U545" s="8">
        <f t="shared" si="65"/>
        <v>22</v>
      </c>
      <c r="V545" s="7">
        <v>36800</v>
      </c>
      <c r="W545" t="s">
        <v>297</v>
      </c>
      <c r="X545" s="2">
        <v>1.3720000000000001</v>
      </c>
      <c r="Y545" s="6">
        <f t="shared" si="66"/>
        <v>3.662475641333654E-2</v>
      </c>
      <c r="AA545">
        <v>189480</v>
      </c>
      <c r="AB545">
        <v>17366</v>
      </c>
      <c r="AD545" t="s">
        <v>3</v>
      </c>
      <c r="AE545">
        <v>48</v>
      </c>
      <c r="AF545">
        <v>10</v>
      </c>
      <c r="AH545" t="s">
        <v>4132</v>
      </c>
      <c r="AI545" t="s">
        <v>4131</v>
      </c>
      <c r="AK545" t="s">
        <v>4130</v>
      </c>
      <c r="AL545">
        <v>4</v>
      </c>
      <c r="AM545" s="5">
        <f t="shared" si="67"/>
        <v>0.18181818181818182</v>
      </c>
      <c r="AN545" s="4">
        <f t="shared" si="68"/>
        <v>2.753777838972841E-4</v>
      </c>
      <c r="AO545" s="3"/>
      <c r="AP545">
        <v>0</v>
      </c>
      <c r="AQ545" t="s">
        <v>571</v>
      </c>
      <c r="AR545" t="s">
        <v>4129</v>
      </c>
      <c r="AS545" t="s">
        <v>570</v>
      </c>
      <c r="AT545" s="2" t="s">
        <v>0</v>
      </c>
      <c r="AU545" s="1">
        <f t="shared" si="69"/>
        <v>2.571994282450476</v>
      </c>
      <c r="AV545" s="1">
        <f t="shared" si="70"/>
        <v>1.8450067098616911</v>
      </c>
      <c r="AW545" s="1">
        <f t="shared" si="71"/>
        <v>1.1180191372729062</v>
      </c>
    </row>
    <row r="546" spans="1:49" x14ac:dyDescent="0.2">
      <c r="A546">
        <v>544</v>
      </c>
      <c r="B546" t="s">
        <v>4128</v>
      </c>
      <c r="C546" t="s">
        <v>4127</v>
      </c>
      <c r="F546" t="s">
        <v>4126</v>
      </c>
      <c r="G546" t="s">
        <v>9</v>
      </c>
      <c r="H546" t="s">
        <v>8</v>
      </c>
      <c r="I546" t="s">
        <v>4125</v>
      </c>
      <c r="J546">
        <v>60006838</v>
      </c>
      <c r="K546" t="s">
        <v>4124</v>
      </c>
      <c r="M546" t="s">
        <v>43</v>
      </c>
      <c r="N546">
        <v>5</v>
      </c>
      <c r="O546" t="s">
        <v>4123</v>
      </c>
      <c r="P546" t="s">
        <v>4122</v>
      </c>
      <c r="Q546" t="s">
        <v>4121</v>
      </c>
      <c r="R546" s="7">
        <v>36800</v>
      </c>
      <c r="S546" s="8">
        <f t="shared" si="64"/>
        <v>2000</v>
      </c>
      <c r="T546" s="8">
        <v>2000</v>
      </c>
      <c r="U546" s="8">
        <f t="shared" si="65"/>
        <v>22</v>
      </c>
      <c r="V546" s="7">
        <v>36800</v>
      </c>
      <c r="W546" t="s">
        <v>371</v>
      </c>
      <c r="X546" s="2">
        <v>0.13900000000000001</v>
      </c>
      <c r="Y546" s="6">
        <f t="shared" si="66"/>
        <v>3.7105256133045036E-3</v>
      </c>
      <c r="AA546" t="s">
        <v>370</v>
      </c>
      <c r="AB546">
        <v>24891</v>
      </c>
      <c r="AD546" t="s">
        <v>3</v>
      </c>
      <c r="AE546">
        <v>83</v>
      </c>
      <c r="AF546">
        <v>10</v>
      </c>
      <c r="AH546" t="s">
        <v>4120</v>
      </c>
      <c r="AI546" t="s">
        <v>4119</v>
      </c>
      <c r="AK546" t="s">
        <v>4118</v>
      </c>
      <c r="AL546">
        <v>3</v>
      </c>
      <c r="AM546" s="5">
        <f t="shared" si="67"/>
        <v>0.13636363636363635</v>
      </c>
      <c r="AN546" s="4">
        <f t="shared" si="68"/>
        <v>2.0653333792296306E-4</v>
      </c>
      <c r="AO546" s="3"/>
      <c r="AP546">
        <v>0</v>
      </c>
      <c r="AR546" t="s">
        <v>1</v>
      </c>
      <c r="AT546" s="2" t="s">
        <v>0</v>
      </c>
      <c r="AU546" s="1">
        <f t="shared" si="69"/>
        <v>0.26593279306900408</v>
      </c>
      <c r="AV546" s="1">
        <f t="shared" si="70"/>
        <v>0.19585294756137334</v>
      </c>
      <c r="AW546" s="1">
        <f t="shared" si="71"/>
        <v>0.12577310205374251</v>
      </c>
    </row>
    <row r="547" spans="1:49" x14ac:dyDescent="0.2">
      <c r="A547">
        <v>545</v>
      </c>
      <c r="B547" t="s">
        <v>4117</v>
      </c>
      <c r="F547" t="s">
        <v>4116</v>
      </c>
      <c r="G547" t="s">
        <v>9</v>
      </c>
      <c r="H547" t="s">
        <v>8</v>
      </c>
      <c r="I547" t="s">
        <v>114</v>
      </c>
      <c r="J547">
        <v>60005510</v>
      </c>
      <c r="K547" t="s">
        <v>359</v>
      </c>
      <c r="L547" t="s">
        <v>74</v>
      </c>
      <c r="M547" t="s">
        <v>73</v>
      </c>
      <c r="N547">
        <v>2</v>
      </c>
      <c r="O547" t="s">
        <v>4115</v>
      </c>
      <c r="P547" t="s">
        <v>4114</v>
      </c>
      <c r="Q547" t="s">
        <v>2486</v>
      </c>
      <c r="R547" s="7">
        <v>36800</v>
      </c>
      <c r="S547" s="8">
        <f t="shared" si="64"/>
        <v>2000</v>
      </c>
      <c r="T547" s="8">
        <v>2000</v>
      </c>
      <c r="U547" s="8">
        <f t="shared" si="65"/>
        <v>22</v>
      </c>
      <c r="V547" s="7">
        <v>36800</v>
      </c>
      <c r="W547" t="s">
        <v>4113</v>
      </c>
      <c r="X547" s="2">
        <v>0.26700000000000002</v>
      </c>
      <c r="Y547" s="6">
        <f t="shared" si="66"/>
        <v>7.1274125090093707E-3</v>
      </c>
      <c r="AA547">
        <v>10224653</v>
      </c>
      <c r="AB547">
        <v>24184</v>
      </c>
      <c r="AD547" t="s">
        <v>3</v>
      </c>
      <c r="AE547">
        <v>9</v>
      </c>
      <c r="AF547">
        <v>4</v>
      </c>
      <c r="AH547" t="s">
        <v>4112</v>
      </c>
      <c r="AI547" t="s">
        <v>4111</v>
      </c>
      <c r="AK547" t="s">
        <v>4110</v>
      </c>
      <c r="AL547">
        <v>0</v>
      </c>
      <c r="AM547" s="5">
        <f t="shared" si="67"/>
        <v>0</v>
      </c>
      <c r="AN547" s="4">
        <f t="shared" si="68"/>
        <v>0</v>
      </c>
      <c r="AO547" s="3"/>
      <c r="AP547">
        <v>0</v>
      </c>
      <c r="AR547" t="s">
        <v>1</v>
      </c>
      <c r="AT547" s="2">
        <v>1.014</v>
      </c>
      <c r="AU547" s="1">
        <f t="shared" si="69"/>
        <v>0.49891887563065596</v>
      </c>
      <c r="AV547" s="1">
        <f t="shared" si="70"/>
        <v>0.35637062545046855</v>
      </c>
      <c r="AW547" s="1">
        <f t="shared" si="71"/>
        <v>0.21382237527028108</v>
      </c>
    </row>
    <row r="548" spans="1:49" x14ac:dyDescent="0.2">
      <c r="A548">
        <v>546</v>
      </c>
      <c r="B548" t="s">
        <v>4109</v>
      </c>
      <c r="C548" t="s">
        <v>4108</v>
      </c>
      <c r="F548" t="s">
        <v>4107</v>
      </c>
      <c r="G548" t="s">
        <v>9</v>
      </c>
      <c r="H548" t="s">
        <v>8</v>
      </c>
      <c r="I548" t="s">
        <v>4106</v>
      </c>
      <c r="J548" t="s">
        <v>4101</v>
      </c>
      <c r="K548" t="s">
        <v>4105</v>
      </c>
      <c r="L548" t="s">
        <v>4104</v>
      </c>
      <c r="M548" t="s">
        <v>168</v>
      </c>
      <c r="N548">
        <v>2</v>
      </c>
      <c r="O548" t="s">
        <v>4103</v>
      </c>
      <c r="P548" t="s">
        <v>4102</v>
      </c>
      <c r="Q548" t="s">
        <v>4101</v>
      </c>
      <c r="R548" s="7">
        <v>36800</v>
      </c>
      <c r="S548" s="8">
        <f t="shared" si="64"/>
        <v>2000</v>
      </c>
      <c r="T548" s="8">
        <v>2000</v>
      </c>
      <c r="U548" s="8">
        <f t="shared" si="65"/>
        <v>22</v>
      </c>
      <c r="V548" s="7">
        <v>36800</v>
      </c>
      <c r="W548" t="s">
        <v>297</v>
      </c>
      <c r="X548" s="2">
        <v>1.3720000000000001</v>
      </c>
      <c r="Y548" s="6">
        <f t="shared" si="66"/>
        <v>3.662475641333654E-2</v>
      </c>
      <c r="AA548">
        <v>189480</v>
      </c>
      <c r="AB548">
        <v>17366</v>
      </c>
      <c r="AD548" t="s">
        <v>3</v>
      </c>
      <c r="AE548">
        <v>48</v>
      </c>
      <c r="AF548">
        <v>10</v>
      </c>
      <c r="AH548" t="s">
        <v>4100</v>
      </c>
      <c r="AI548" t="s">
        <v>4099</v>
      </c>
      <c r="AK548" t="s">
        <v>4098</v>
      </c>
      <c r="AL548">
        <v>7</v>
      </c>
      <c r="AM548" s="5">
        <f t="shared" si="67"/>
        <v>0.31818181818181818</v>
      </c>
      <c r="AN548" s="4">
        <f t="shared" si="68"/>
        <v>4.8191112182024716E-4</v>
      </c>
      <c r="AO548" s="3"/>
      <c r="AP548">
        <v>0</v>
      </c>
      <c r="AR548" t="s">
        <v>1</v>
      </c>
      <c r="AT548" s="2" t="s">
        <v>0</v>
      </c>
      <c r="AU548" s="1">
        <f t="shared" si="69"/>
        <v>2.5781902825881651</v>
      </c>
      <c r="AV548" s="1">
        <f t="shared" si="70"/>
        <v>1.8553333767578395</v>
      </c>
      <c r="AW548" s="1">
        <f t="shared" si="71"/>
        <v>1.1324764709275137</v>
      </c>
    </row>
    <row r="549" spans="1:49" x14ac:dyDescent="0.2">
      <c r="A549">
        <v>547</v>
      </c>
      <c r="B549" t="s">
        <v>4097</v>
      </c>
      <c r="C549" t="s">
        <v>4096</v>
      </c>
      <c r="D549" t="s">
        <v>4095</v>
      </c>
      <c r="F549" t="s">
        <v>4094</v>
      </c>
      <c r="G549" t="s">
        <v>9</v>
      </c>
      <c r="H549" t="s">
        <v>8</v>
      </c>
      <c r="I549" t="s">
        <v>4093</v>
      </c>
      <c r="J549" t="s">
        <v>1065</v>
      </c>
      <c r="K549" t="s">
        <v>1064</v>
      </c>
      <c r="L549" t="s">
        <v>1063</v>
      </c>
      <c r="M549" t="s">
        <v>1062</v>
      </c>
      <c r="N549">
        <v>1</v>
      </c>
      <c r="O549" t="s">
        <v>4092</v>
      </c>
      <c r="P549">
        <v>6507758854</v>
      </c>
      <c r="Q549" t="s">
        <v>1060</v>
      </c>
      <c r="R549" s="7">
        <v>36800</v>
      </c>
      <c r="S549" s="8">
        <f t="shared" si="64"/>
        <v>2000</v>
      </c>
      <c r="T549" s="8">
        <v>2000</v>
      </c>
      <c r="U549" s="8">
        <f t="shared" si="65"/>
        <v>22</v>
      </c>
      <c r="V549" s="7">
        <v>36800</v>
      </c>
      <c r="W549" t="s">
        <v>2264</v>
      </c>
      <c r="X549" s="2">
        <v>0.82</v>
      </c>
      <c r="Y549" s="6">
        <f t="shared" si="66"/>
        <v>2.1889431675609299E-2</v>
      </c>
      <c r="AA549">
        <v>189456</v>
      </c>
      <c r="AB549">
        <v>15361</v>
      </c>
      <c r="AD549" t="s">
        <v>3</v>
      </c>
      <c r="AE549">
        <v>49</v>
      </c>
      <c r="AF549">
        <v>5</v>
      </c>
      <c r="AH549" t="s">
        <v>4091</v>
      </c>
      <c r="AI549" t="s">
        <v>4090</v>
      </c>
      <c r="AJ549" t="s">
        <v>4089</v>
      </c>
      <c r="AK549" t="s">
        <v>4088</v>
      </c>
      <c r="AL549">
        <v>43</v>
      </c>
      <c r="AM549" s="5">
        <f t="shared" si="67"/>
        <v>1.9545454545454546</v>
      </c>
      <c r="AN549" s="4">
        <f t="shared" si="68"/>
        <v>2.9603111768958042E-3</v>
      </c>
      <c r="AO549" s="3"/>
      <c r="AP549">
        <v>0</v>
      </c>
      <c r="AR549" t="s">
        <v>4087</v>
      </c>
      <c r="AT549" s="2" t="s">
        <v>0</v>
      </c>
      <c r="AU549" s="1">
        <f t="shared" si="69"/>
        <v>1.6210695525995249</v>
      </c>
      <c r="AV549" s="1">
        <f t="shared" si="70"/>
        <v>1.2424871426252551</v>
      </c>
      <c r="AW549" s="1">
        <f t="shared" si="71"/>
        <v>0.86390473265098522</v>
      </c>
    </row>
    <row r="550" spans="1:49" x14ac:dyDescent="0.2">
      <c r="A550">
        <v>548</v>
      </c>
      <c r="B550" t="s">
        <v>4086</v>
      </c>
      <c r="C550" t="s">
        <v>4085</v>
      </c>
      <c r="F550" t="s">
        <v>4084</v>
      </c>
      <c r="G550" t="s">
        <v>9</v>
      </c>
      <c r="H550" t="s">
        <v>8</v>
      </c>
      <c r="I550" t="s">
        <v>4083</v>
      </c>
      <c r="J550">
        <v>60104244</v>
      </c>
      <c r="K550" t="s">
        <v>4082</v>
      </c>
      <c r="L550" t="s">
        <v>98</v>
      </c>
      <c r="M550" t="s">
        <v>16</v>
      </c>
      <c r="N550">
        <v>3</v>
      </c>
      <c r="O550" t="s">
        <v>4081</v>
      </c>
      <c r="P550" t="s">
        <v>4080</v>
      </c>
      <c r="Q550" t="s">
        <v>4079</v>
      </c>
      <c r="R550" s="7">
        <v>36800</v>
      </c>
      <c r="S550" s="8">
        <f t="shared" si="64"/>
        <v>2000</v>
      </c>
      <c r="T550" s="8">
        <v>2000</v>
      </c>
      <c r="U550" s="8">
        <f t="shared" si="65"/>
        <v>22</v>
      </c>
      <c r="V550" s="7">
        <v>36800</v>
      </c>
      <c r="W550" t="s">
        <v>297</v>
      </c>
      <c r="X550" s="2">
        <v>1.3720000000000001</v>
      </c>
      <c r="Y550" s="6">
        <f t="shared" si="66"/>
        <v>3.662475641333654E-2</v>
      </c>
      <c r="AA550">
        <v>189480</v>
      </c>
      <c r="AB550">
        <v>17366</v>
      </c>
      <c r="AD550" t="s">
        <v>3</v>
      </c>
      <c r="AE550">
        <v>48</v>
      </c>
      <c r="AF550">
        <v>10</v>
      </c>
      <c r="AH550" t="s">
        <v>4078</v>
      </c>
      <c r="AI550" t="s">
        <v>4077</v>
      </c>
      <c r="AK550" t="s">
        <v>4076</v>
      </c>
      <c r="AL550">
        <v>5</v>
      </c>
      <c r="AM550" s="5">
        <f t="shared" si="67"/>
        <v>0.22727272727272727</v>
      </c>
      <c r="AN550" s="4">
        <f t="shared" si="68"/>
        <v>3.4422222987160508E-4</v>
      </c>
      <c r="AO550" s="3"/>
      <c r="AP550">
        <v>0</v>
      </c>
      <c r="AR550" t="s">
        <v>1</v>
      </c>
      <c r="AT550" s="2" t="s">
        <v>0</v>
      </c>
      <c r="AU550" s="1">
        <f t="shared" si="69"/>
        <v>2.5740596158297055</v>
      </c>
      <c r="AV550" s="1">
        <f t="shared" si="70"/>
        <v>1.8484489321604074</v>
      </c>
      <c r="AW550" s="1">
        <f t="shared" si="71"/>
        <v>1.1228382484911086</v>
      </c>
    </row>
    <row r="551" spans="1:49" x14ac:dyDescent="0.2">
      <c r="A551">
        <v>549</v>
      </c>
      <c r="B551" t="s">
        <v>4075</v>
      </c>
      <c r="C551" t="s">
        <v>4074</v>
      </c>
      <c r="F551" t="s">
        <v>4073</v>
      </c>
      <c r="G551" t="s">
        <v>9</v>
      </c>
      <c r="H551" t="s">
        <v>8</v>
      </c>
      <c r="I551" t="s">
        <v>4072</v>
      </c>
      <c r="J551">
        <v>60032179</v>
      </c>
      <c r="K551" t="s">
        <v>51</v>
      </c>
      <c r="L551" t="s">
        <v>50</v>
      </c>
      <c r="M551" t="s">
        <v>5</v>
      </c>
      <c r="N551">
        <v>3</v>
      </c>
      <c r="O551" t="s">
        <v>4071</v>
      </c>
      <c r="P551" t="s">
        <v>4070</v>
      </c>
      <c r="Q551" t="s">
        <v>49</v>
      </c>
      <c r="R551" s="7">
        <v>36800</v>
      </c>
      <c r="S551" s="8">
        <f t="shared" si="64"/>
        <v>2000</v>
      </c>
      <c r="T551" s="8">
        <v>2000</v>
      </c>
      <c r="U551" s="8">
        <f t="shared" si="65"/>
        <v>22</v>
      </c>
      <c r="V551" s="7">
        <v>36800</v>
      </c>
      <c r="W551" t="s">
        <v>365</v>
      </c>
      <c r="X551" s="2">
        <v>1.468</v>
      </c>
      <c r="Y551" s="6">
        <f t="shared" si="66"/>
        <v>3.9187421585115186E-2</v>
      </c>
      <c r="AA551">
        <v>906778</v>
      </c>
      <c r="AB551">
        <v>18931</v>
      </c>
      <c r="AD551" t="s">
        <v>3</v>
      </c>
      <c r="AE551">
        <v>48</v>
      </c>
      <c r="AF551">
        <v>10</v>
      </c>
      <c r="AH551" t="s">
        <v>4069</v>
      </c>
      <c r="AI551" t="s">
        <v>4068</v>
      </c>
      <c r="AK551" t="s">
        <v>4067</v>
      </c>
      <c r="AL551">
        <v>21</v>
      </c>
      <c r="AM551" s="5">
        <f t="shared" si="67"/>
        <v>0.95454545454545459</v>
      </c>
      <c r="AN551" s="4">
        <f t="shared" si="68"/>
        <v>1.4457333654607416E-3</v>
      </c>
      <c r="AO551" s="3"/>
      <c r="AP551">
        <v>0</v>
      </c>
      <c r="AR551" t="s">
        <v>1</v>
      </c>
      <c r="AT551" s="2">
        <v>5.0830000000000002</v>
      </c>
      <c r="AU551" s="1">
        <f t="shared" si="69"/>
        <v>2.7864915119218852</v>
      </c>
      <c r="AV551" s="1">
        <f t="shared" si="70"/>
        <v>2.0316577475287962</v>
      </c>
      <c r="AW551" s="1">
        <f t="shared" si="71"/>
        <v>1.2768239831357073</v>
      </c>
    </row>
    <row r="552" spans="1:49" x14ac:dyDescent="0.2">
      <c r="A552">
        <v>550</v>
      </c>
      <c r="B552" t="s">
        <v>4066</v>
      </c>
      <c r="C552" t="s">
        <v>4065</v>
      </c>
      <c r="F552" t="s">
        <v>4064</v>
      </c>
      <c r="G552" t="s">
        <v>9</v>
      </c>
      <c r="H552" t="s">
        <v>8</v>
      </c>
      <c r="I552" t="s">
        <v>4063</v>
      </c>
      <c r="J552" t="s">
        <v>4062</v>
      </c>
      <c r="K552" t="s">
        <v>4061</v>
      </c>
      <c r="L552" t="s">
        <v>4060</v>
      </c>
      <c r="M552" t="s">
        <v>4059</v>
      </c>
      <c r="N552">
        <v>2</v>
      </c>
      <c r="O552" t="s">
        <v>4058</v>
      </c>
      <c r="P552" t="s">
        <v>4057</v>
      </c>
      <c r="Q552" t="s">
        <v>4056</v>
      </c>
      <c r="R552" s="7">
        <v>36800</v>
      </c>
      <c r="S552" s="8">
        <f t="shared" si="64"/>
        <v>2000</v>
      </c>
      <c r="T552" s="8">
        <v>2000</v>
      </c>
      <c r="U552" s="8">
        <f t="shared" si="65"/>
        <v>22</v>
      </c>
      <c r="V552" s="7">
        <v>36800</v>
      </c>
      <c r="W552" t="s">
        <v>352</v>
      </c>
      <c r="X552" s="2">
        <v>1.137</v>
      </c>
      <c r="Y552" s="6">
        <f t="shared" si="66"/>
        <v>3.0351565628253384E-2</v>
      </c>
      <c r="AA552">
        <v>189251</v>
      </c>
      <c r="AB552">
        <v>17336</v>
      </c>
      <c r="AD552" t="s">
        <v>3</v>
      </c>
      <c r="AE552">
        <v>36</v>
      </c>
      <c r="AF552">
        <v>4</v>
      </c>
      <c r="AH552" t="s">
        <v>4055</v>
      </c>
      <c r="AI552" t="s">
        <v>4054</v>
      </c>
      <c r="AK552" t="s">
        <v>4053</v>
      </c>
      <c r="AL552">
        <v>10</v>
      </c>
      <c r="AM552" s="5">
        <f t="shared" si="67"/>
        <v>0.45454545454545453</v>
      </c>
      <c r="AN552" s="4">
        <f t="shared" si="68"/>
        <v>6.8844445974321016E-4</v>
      </c>
      <c r="AO552" s="3"/>
      <c r="AP552">
        <v>0</v>
      </c>
      <c r="AR552" t="s">
        <v>1</v>
      </c>
      <c r="AT552" s="2" t="s">
        <v>0</v>
      </c>
      <c r="AU552" s="1">
        <f t="shared" si="69"/>
        <v>2.145262927770033</v>
      </c>
      <c r="AV552" s="1">
        <f t="shared" si="70"/>
        <v>1.5520005043998297</v>
      </c>
      <c r="AW552" s="1">
        <f t="shared" si="71"/>
        <v>0.95873808102962621</v>
      </c>
    </row>
    <row r="553" spans="1:49" x14ac:dyDescent="0.2">
      <c r="A553">
        <v>551</v>
      </c>
      <c r="B553" t="s">
        <v>4052</v>
      </c>
      <c r="C553" t="s">
        <v>4051</v>
      </c>
      <c r="F553" t="s">
        <v>4050</v>
      </c>
      <c r="G553" t="s">
        <v>9</v>
      </c>
      <c r="H553" t="s">
        <v>8</v>
      </c>
      <c r="I553" t="s">
        <v>4049</v>
      </c>
      <c r="J553" t="s">
        <v>4048</v>
      </c>
      <c r="K553" t="s">
        <v>4047</v>
      </c>
      <c r="L553" t="s">
        <v>4046</v>
      </c>
      <c r="M553" t="s">
        <v>484</v>
      </c>
      <c r="N553">
        <v>5</v>
      </c>
      <c r="O553" t="s">
        <v>4045</v>
      </c>
      <c r="P553" t="s">
        <v>4044</v>
      </c>
      <c r="Q553" t="s">
        <v>4043</v>
      </c>
      <c r="R553" s="7">
        <v>36800</v>
      </c>
      <c r="S553" s="8">
        <f t="shared" si="64"/>
        <v>2000</v>
      </c>
      <c r="T553" s="8">
        <v>2000</v>
      </c>
      <c r="U553" s="8">
        <f t="shared" si="65"/>
        <v>22</v>
      </c>
      <c r="V553" s="7">
        <v>36800</v>
      </c>
      <c r="W553" t="s">
        <v>783</v>
      </c>
      <c r="X553" s="2">
        <v>1.3460000000000001</v>
      </c>
      <c r="Y553" s="6">
        <f t="shared" si="66"/>
        <v>3.593070126264649E-2</v>
      </c>
      <c r="AA553">
        <v>7338724</v>
      </c>
      <c r="AB553">
        <v>12178</v>
      </c>
      <c r="AD553" t="s">
        <v>3</v>
      </c>
      <c r="AE553">
        <v>18</v>
      </c>
      <c r="AF553">
        <v>10</v>
      </c>
      <c r="AH553" t="s">
        <v>4042</v>
      </c>
      <c r="AI553" t="s">
        <v>4041</v>
      </c>
      <c r="AK553" t="s">
        <v>4040</v>
      </c>
      <c r="AL553">
        <v>98</v>
      </c>
      <c r="AM553" s="5">
        <f t="shared" si="67"/>
        <v>4.4545454545454541</v>
      </c>
      <c r="AN553" s="4">
        <f t="shared" si="68"/>
        <v>6.7467557054834591E-3</v>
      </c>
      <c r="AO553" s="3"/>
      <c r="AP553">
        <v>0</v>
      </c>
      <c r="AR553" t="s">
        <v>1</v>
      </c>
      <c r="AT553" s="2">
        <v>4.1420000000000003</v>
      </c>
      <c r="AU553" s="1">
        <f t="shared" si="69"/>
        <v>2.7175517595497576</v>
      </c>
      <c r="AV553" s="1">
        <f t="shared" si="70"/>
        <v>2.1338728484064973</v>
      </c>
      <c r="AW553" s="1">
        <f t="shared" si="71"/>
        <v>1.550193937263237</v>
      </c>
    </row>
    <row r="554" spans="1:49" x14ac:dyDescent="0.2">
      <c r="A554">
        <v>552</v>
      </c>
      <c r="B554" t="s">
        <v>4039</v>
      </c>
      <c r="C554" t="s">
        <v>4038</v>
      </c>
      <c r="F554" t="s">
        <v>4037</v>
      </c>
      <c r="G554" t="s">
        <v>9</v>
      </c>
      <c r="H554" t="s">
        <v>8</v>
      </c>
      <c r="I554" t="s">
        <v>4036</v>
      </c>
      <c r="J554">
        <v>60001439</v>
      </c>
      <c r="K554" t="s">
        <v>120</v>
      </c>
      <c r="L554" t="s">
        <v>119</v>
      </c>
      <c r="M554" t="s">
        <v>5</v>
      </c>
      <c r="N554">
        <v>2</v>
      </c>
      <c r="O554" t="s">
        <v>4035</v>
      </c>
      <c r="P554" t="s">
        <v>4034</v>
      </c>
      <c r="Q554" t="s">
        <v>4033</v>
      </c>
      <c r="R554" s="7">
        <v>36800</v>
      </c>
      <c r="S554" s="8">
        <f t="shared" si="64"/>
        <v>2000</v>
      </c>
      <c r="T554" s="8">
        <v>2000</v>
      </c>
      <c r="U554" s="8">
        <f t="shared" si="65"/>
        <v>22</v>
      </c>
      <c r="V554" s="7">
        <v>36800</v>
      </c>
      <c r="W554" t="s">
        <v>1186</v>
      </c>
      <c r="X554" s="2">
        <v>0.28799999999999998</v>
      </c>
      <c r="Y554" s="6">
        <f t="shared" si="66"/>
        <v>7.6879955153359488E-3</v>
      </c>
      <c r="AA554">
        <v>10689605</v>
      </c>
      <c r="AB554">
        <v>19515</v>
      </c>
      <c r="AD554" t="s">
        <v>3</v>
      </c>
      <c r="AE554">
        <v>7</v>
      </c>
      <c r="AF554">
        <v>4</v>
      </c>
      <c r="AH554" t="s">
        <v>4032</v>
      </c>
      <c r="AI554" t="s">
        <v>4031</v>
      </c>
      <c r="AK554" t="s">
        <v>4030</v>
      </c>
      <c r="AL554">
        <v>13</v>
      </c>
      <c r="AM554" s="5">
        <f t="shared" si="67"/>
        <v>0.59090909090909094</v>
      </c>
      <c r="AN554" s="4">
        <f t="shared" si="68"/>
        <v>8.9497779766617338E-4</v>
      </c>
      <c r="AO554" s="3"/>
      <c r="AP554">
        <v>0</v>
      </c>
      <c r="AQ554" t="s">
        <v>210</v>
      </c>
      <c r="AR554" t="s">
        <v>1491</v>
      </c>
      <c r="AS554" t="s">
        <v>209</v>
      </c>
      <c r="AT554" s="2" t="s">
        <v>0</v>
      </c>
      <c r="AU554" s="1">
        <f t="shared" si="69"/>
        <v>0.56500902000350151</v>
      </c>
      <c r="AV554" s="1">
        <f t="shared" si="70"/>
        <v>0.42914866565010606</v>
      </c>
      <c r="AW554" s="1">
        <f t="shared" si="71"/>
        <v>0.29328831129671062</v>
      </c>
    </row>
    <row r="555" spans="1:49" x14ac:dyDescent="0.2">
      <c r="A555">
        <v>553</v>
      </c>
      <c r="B555" t="s">
        <v>4029</v>
      </c>
      <c r="F555" t="s">
        <v>4028</v>
      </c>
      <c r="G555" t="s">
        <v>9</v>
      </c>
      <c r="H555" t="s">
        <v>8</v>
      </c>
      <c r="I555" t="s">
        <v>4027</v>
      </c>
      <c r="J555">
        <v>60005101</v>
      </c>
      <c r="K555" t="s">
        <v>4026</v>
      </c>
      <c r="L555" t="s">
        <v>292</v>
      </c>
      <c r="M555" t="s">
        <v>214</v>
      </c>
      <c r="N555">
        <v>1</v>
      </c>
      <c r="O555" t="s">
        <v>4025</v>
      </c>
      <c r="P555">
        <v>7409751643</v>
      </c>
      <c r="Q555">
        <v>60005101</v>
      </c>
      <c r="R555" s="7">
        <v>36800</v>
      </c>
      <c r="S555" s="8">
        <f t="shared" si="64"/>
        <v>2000</v>
      </c>
      <c r="T555" s="8">
        <v>2000</v>
      </c>
      <c r="U555" s="8">
        <f t="shared" si="65"/>
        <v>22</v>
      </c>
      <c r="V555" s="7">
        <v>36800</v>
      </c>
      <c r="W555" t="s">
        <v>345</v>
      </c>
      <c r="X555" s="2">
        <v>0.21099999999999999</v>
      </c>
      <c r="Y555" s="6">
        <f t="shared" si="66"/>
        <v>5.6325244921384904E-3</v>
      </c>
      <c r="AA555">
        <v>9168516</v>
      </c>
      <c r="AB555">
        <v>18936</v>
      </c>
      <c r="AD555" t="s">
        <v>3</v>
      </c>
      <c r="AE555" t="s">
        <v>344</v>
      </c>
      <c r="AF555">
        <v>10</v>
      </c>
      <c r="AH555" t="s">
        <v>4024</v>
      </c>
      <c r="AI555" t="s">
        <v>4023</v>
      </c>
      <c r="AK555" t="s">
        <v>4022</v>
      </c>
      <c r="AL555">
        <v>0</v>
      </c>
      <c r="AM555" s="5">
        <f t="shared" si="67"/>
        <v>0</v>
      </c>
      <c r="AN555" s="4">
        <f t="shared" si="68"/>
        <v>0</v>
      </c>
      <c r="AO555" s="3"/>
      <c r="AP555">
        <v>0</v>
      </c>
      <c r="AR555" t="s">
        <v>1</v>
      </c>
      <c r="AT555" s="2">
        <v>0.52500000000000002</v>
      </c>
      <c r="AU555" s="1">
        <f t="shared" si="69"/>
        <v>0.39427671444969431</v>
      </c>
      <c r="AV555" s="1">
        <f t="shared" si="70"/>
        <v>0.28162622460692455</v>
      </c>
      <c r="AW555" s="1">
        <f t="shared" si="71"/>
        <v>0.1689757347641547</v>
      </c>
    </row>
    <row r="556" spans="1:49" x14ac:dyDescent="0.2">
      <c r="A556">
        <v>554</v>
      </c>
      <c r="B556" t="s">
        <v>4021</v>
      </c>
      <c r="C556" t="s">
        <v>4020</v>
      </c>
      <c r="F556" t="s">
        <v>4019</v>
      </c>
      <c r="G556" t="s">
        <v>9</v>
      </c>
      <c r="H556" t="s">
        <v>8</v>
      </c>
      <c r="I556" t="s">
        <v>4018</v>
      </c>
      <c r="J556" t="s">
        <v>4017</v>
      </c>
      <c r="K556" t="s">
        <v>4016</v>
      </c>
      <c r="L556" t="s">
        <v>4015</v>
      </c>
      <c r="M556" t="s">
        <v>183</v>
      </c>
      <c r="N556">
        <v>2</v>
      </c>
      <c r="O556" t="s">
        <v>4014</v>
      </c>
      <c r="P556" t="s">
        <v>4013</v>
      </c>
      <c r="Q556" t="s">
        <v>4012</v>
      </c>
      <c r="R556" s="7">
        <v>36800</v>
      </c>
      <c r="S556" s="8">
        <f t="shared" si="64"/>
        <v>2000</v>
      </c>
      <c r="T556" s="8">
        <v>2000</v>
      </c>
      <c r="U556" s="8">
        <f t="shared" si="65"/>
        <v>22</v>
      </c>
      <c r="V556" s="7">
        <v>36800</v>
      </c>
      <c r="W556" t="s">
        <v>352</v>
      </c>
      <c r="X556" s="2">
        <v>1.137</v>
      </c>
      <c r="Y556" s="6">
        <f t="shared" si="66"/>
        <v>3.0351565628253384E-2</v>
      </c>
      <c r="AA556">
        <v>189251</v>
      </c>
      <c r="AB556">
        <v>17336</v>
      </c>
      <c r="AD556" t="s">
        <v>3</v>
      </c>
      <c r="AE556">
        <v>36</v>
      </c>
      <c r="AF556">
        <v>4</v>
      </c>
      <c r="AH556" t="s">
        <v>4011</v>
      </c>
      <c r="AI556" t="s">
        <v>4010</v>
      </c>
      <c r="AK556" t="s">
        <v>4009</v>
      </c>
      <c r="AL556">
        <v>3</v>
      </c>
      <c r="AM556" s="5">
        <f t="shared" si="67"/>
        <v>0.13636363636363635</v>
      </c>
      <c r="AN556" s="4">
        <f t="shared" si="68"/>
        <v>2.0653333792296306E-4</v>
      </c>
      <c r="AO556" s="3"/>
      <c r="AP556">
        <v>0</v>
      </c>
      <c r="AR556" t="s">
        <v>1</v>
      </c>
      <c r="AT556" s="2" t="s">
        <v>0</v>
      </c>
      <c r="AU556" s="1">
        <f t="shared" si="69"/>
        <v>2.1308055941154254</v>
      </c>
      <c r="AV556" s="1">
        <f t="shared" si="70"/>
        <v>1.5279049483088174</v>
      </c>
      <c r="AW556" s="1">
        <f t="shared" si="71"/>
        <v>0.925004302502209</v>
      </c>
    </row>
    <row r="557" spans="1:49" x14ac:dyDescent="0.2">
      <c r="A557">
        <v>555</v>
      </c>
      <c r="B557" t="s">
        <v>4008</v>
      </c>
      <c r="C557" t="s">
        <v>4007</v>
      </c>
      <c r="F557" t="s">
        <v>4006</v>
      </c>
      <c r="G557" t="s">
        <v>9</v>
      </c>
      <c r="H557" t="s">
        <v>8</v>
      </c>
      <c r="I557" t="s">
        <v>4005</v>
      </c>
      <c r="J557">
        <v>60083761</v>
      </c>
      <c r="K557" t="s">
        <v>4004</v>
      </c>
      <c r="L557" t="s">
        <v>564</v>
      </c>
      <c r="M557" t="s">
        <v>53</v>
      </c>
      <c r="N557">
        <v>2</v>
      </c>
      <c r="O557" t="s">
        <v>4003</v>
      </c>
      <c r="P557" t="s">
        <v>4002</v>
      </c>
      <c r="Q557" t="s">
        <v>4001</v>
      </c>
      <c r="R557" s="7">
        <v>36800</v>
      </c>
      <c r="S557" s="8">
        <f t="shared" si="64"/>
        <v>2000</v>
      </c>
      <c r="T557" s="8">
        <v>2000</v>
      </c>
      <c r="U557" s="8">
        <f t="shared" si="65"/>
        <v>22</v>
      </c>
      <c r="V557" s="7">
        <v>36800</v>
      </c>
      <c r="W557" t="s">
        <v>473</v>
      </c>
      <c r="X557" s="2">
        <v>0.88100000000000001</v>
      </c>
      <c r="Y557" s="6">
        <f t="shared" si="66"/>
        <v>2.3517791836843653E-2</v>
      </c>
      <c r="AA557">
        <v>10459243</v>
      </c>
      <c r="AB557">
        <v>17248</v>
      </c>
      <c r="AD557" t="s">
        <v>3</v>
      </c>
      <c r="AE557">
        <v>42</v>
      </c>
      <c r="AF557">
        <v>5</v>
      </c>
      <c r="AH557" t="s">
        <v>4000</v>
      </c>
      <c r="AI557" t="s">
        <v>3999</v>
      </c>
      <c r="AK557" t="s">
        <v>3998</v>
      </c>
      <c r="AL557">
        <v>10</v>
      </c>
      <c r="AM557" s="5">
        <f t="shared" si="67"/>
        <v>0.45454545454545453</v>
      </c>
      <c r="AN557" s="4">
        <f t="shared" si="68"/>
        <v>6.8844445974321016E-4</v>
      </c>
      <c r="AO557" s="3"/>
      <c r="AP557">
        <v>0</v>
      </c>
      <c r="AR557" t="s">
        <v>1</v>
      </c>
      <c r="AT557" s="2" t="s">
        <v>0</v>
      </c>
      <c r="AU557" s="1">
        <f t="shared" si="69"/>
        <v>1.6668987623713518</v>
      </c>
      <c r="AV557" s="1">
        <f t="shared" si="70"/>
        <v>1.210311814829343</v>
      </c>
      <c r="AW557" s="1">
        <f t="shared" si="71"/>
        <v>0.75372486728733423</v>
      </c>
    </row>
    <row r="558" spans="1:49" x14ac:dyDescent="0.2">
      <c r="A558">
        <v>556</v>
      </c>
      <c r="B558" t="s">
        <v>3997</v>
      </c>
      <c r="C558" t="s">
        <v>3996</v>
      </c>
      <c r="F558" t="s">
        <v>3995</v>
      </c>
      <c r="G558" t="s">
        <v>9</v>
      </c>
      <c r="H558" t="s">
        <v>8</v>
      </c>
      <c r="I558" t="s">
        <v>3994</v>
      </c>
      <c r="J558">
        <v>100508586</v>
      </c>
      <c r="K558" t="s">
        <v>3993</v>
      </c>
      <c r="L558" t="s">
        <v>381</v>
      </c>
      <c r="M558" t="s">
        <v>234</v>
      </c>
      <c r="N558">
        <v>1</v>
      </c>
      <c r="O558" t="s">
        <v>3992</v>
      </c>
      <c r="P558">
        <v>57215743163</v>
      </c>
      <c r="Q558">
        <v>100508586</v>
      </c>
      <c r="R558" s="7">
        <v>36800</v>
      </c>
      <c r="S558" s="8">
        <f t="shared" si="64"/>
        <v>2000</v>
      </c>
      <c r="T558" s="8">
        <v>2000</v>
      </c>
      <c r="U558" s="8">
        <f t="shared" si="65"/>
        <v>22</v>
      </c>
      <c r="V558" s="7">
        <v>36800</v>
      </c>
      <c r="W558" t="s">
        <v>473</v>
      </c>
      <c r="X558" s="2">
        <v>0.88100000000000001</v>
      </c>
      <c r="Y558" s="6">
        <f t="shared" si="66"/>
        <v>2.3517791836843653E-2</v>
      </c>
      <c r="AA558">
        <v>10459243</v>
      </c>
      <c r="AB558">
        <v>17248</v>
      </c>
      <c r="AD558" t="s">
        <v>3</v>
      </c>
      <c r="AE558">
        <v>42</v>
      </c>
      <c r="AF558">
        <v>5</v>
      </c>
      <c r="AH558" t="s">
        <v>3991</v>
      </c>
      <c r="AI558" t="s">
        <v>3990</v>
      </c>
      <c r="AK558" t="s">
        <v>3989</v>
      </c>
      <c r="AL558">
        <v>2</v>
      </c>
      <c r="AM558" s="5">
        <f t="shared" si="67"/>
        <v>9.0909090909090912E-2</v>
      </c>
      <c r="AN558" s="4">
        <f t="shared" si="68"/>
        <v>1.3768889194864205E-4</v>
      </c>
      <c r="AO558" s="3"/>
      <c r="AP558">
        <v>0</v>
      </c>
      <c r="AR558" t="s">
        <v>1</v>
      </c>
      <c r="AT558" s="2" t="s">
        <v>0</v>
      </c>
      <c r="AU558" s="1">
        <f t="shared" si="69"/>
        <v>1.6503760953375148</v>
      </c>
      <c r="AV558" s="1">
        <f t="shared" si="70"/>
        <v>1.1827740364396147</v>
      </c>
      <c r="AW558" s="1">
        <f t="shared" si="71"/>
        <v>0.71517197754171458</v>
      </c>
    </row>
    <row r="559" spans="1:49" x14ac:dyDescent="0.2">
      <c r="A559">
        <v>557</v>
      </c>
      <c r="B559" t="s">
        <v>3988</v>
      </c>
      <c r="F559" t="s">
        <v>3987</v>
      </c>
      <c r="G559" t="s">
        <v>9</v>
      </c>
      <c r="H559" t="s">
        <v>8</v>
      </c>
      <c r="I559" t="s">
        <v>294</v>
      </c>
      <c r="J559">
        <v>60032315</v>
      </c>
      <c r="K559" t="s">
        <v>85</v>
      </c>
      <c r="L559" t="s">
        <v>84</v>
      </c>
      <c r="M559" t="s">
        <v>43</v>
      </c>
      <c r="N559">
        <v>2</v>
      </c>
      <c r="O559" t="s">
        <v>3986</v>
      </c>
      <c r="P559" t="s">
        <v>3985</v>
      </c>
      <c r="Q559" t="s">
        <v>83</v>
      </c>
      <c r="R559" s="7">
        <v>36800</v>
      </c>
      <c r="S559" s="8">
        <f t="shared" si="64"/>
        <v>2000</v>
      </c>
      <c r="T559" s="8">
        <v>2000</v>
      </c>
      <c r="U559" s="8">
        <f t="shared" si="65"/>
        <v>22</v>
      </c>
      <c r="V559" s="7">
        <v>36800</v>
      </c>
      <c r="W559" t="s">
        <v>345</v>
      </c>
      <c r="X559" s="2">
        <v>0.21099999999999999</v>
      </c>
      <c r="Y559" s="6">
        <f t="shared" si="66"/>
        <v>5.6325244921384904E-3</v>
      </c>
      <c r="AA559">
        <v>9168516</v>
      </c>
      <c r="AB559">
        <v>18936</v>
      </c>
      <c r="AD559" t="s">
        <v>3</v>
      </c>
      <c r="AE559" t="s">
        <v>344</v>
      </c>
      <c r="AF559">
        <v>10</v>
      </c>
      <c r="AH559" t="s">
        <v>3984</v>
      </c>
      <c r="AI559" t="s">
        <v>3983</v>
      </c>
      <c r="AK559" t="s">
        <v>3982</v>
      </c>
      <c r="AL559">
        <v>4</v>
      </c>
      <c r="AM559" s="5">
        <f t="shared" si="67"/>
        <v>0.18181818181818182</v>
      </c>
      <c r="AN559" s="4">
        <f t="shared" si="68"/>
        <v>2.753777838972841E-4</v>
      </c>
      <c r="AO559" s="3"/>
      <c r="AP559">
        <v>0</v>
      </c>
      <c r="AR559" t="s">
        <v>1</v>
      </c>
      <c r="AT559" s="2">
        <v>0.52500000000000002</v>
      </c>
      <c r="AU559" s="1">
        <f t="shared" si="69"/>
        <v>0.40253804796661286</v>
      </c>
      <c r="AV559" s="1">
        <f t="shared" si="70"/>
        <v>0.29539511380178873</v>
      </c>
      <c r="AW559" s="1">
        <f t="shared" si="71"/>
        <v>0.18825217963696461</v>
      </c>
    </row>
    <row r="560" spans="1:49" x14ac:dyDescent="0.2">
      <c r="A560">
        <v>558</v>
      </c>
      <c r="B560" t="s">
        <v>3981</v>
      </c>
      <c r="C560" t="s">
        <v>3980</v>
      </c>
      <c r="F560" t="s">
        <v>3979</v>
      </c>
      <c r="G560" t="s">
        <v>9</v>
      </c>
      <c r="H560" t="s">
        <v>8</v>
      </c>
      <c r="I560" t="s">
        <v>3978</v>
      </c>
      <c r="J560" t="s">
        <v>3977</v>
      </c>
      <c r="K560" t="s">
        <v>3976</v>
      </c>
      <c r="L560" t="s">
        <v>3975</v>
      </c>
      <c r="M560" t="s">
        <v>183</v>
      </c>
      <c r="N560">
        <v>3</v>
      </c>
      <c r="O560" t="s">
        <v>3974</v>
      </c>
      <c r="P560" t="s">
        <v>3973</v>
      </c>
      <c r="Q560" t="s">
        <v>3972</v>
      </c>
      <c r="R560" s="7">
        <v>36800</v>
      </c>
      <c r="S560" s="8">
        <f t="shared" si="64"/>
        <v>2000</v>
      </c>
      <c r="T560" s="8">
        <v>2000</v>
      </c>
      <c r="U560" s="8">
        <f t="shared" si="65"/>
        <v>22</v>
      </c>
      <c r="V560" s="7">
        <v>36800</v>
      </c>
      <c r="W560" t="s">
        <v>1406</v>
      </c>
      <c r="X560" s="2">
        <v>0.752</v>
      </c>
      <c r="Y560" s="6">
        <f t="shared" si="66"/>
        <v>2.0074210512266089E-2</v>
      </c>
      <c r="AA560">
        <v>3649059</v>
      </c>
      <c r="AB560">
        <v>17277</v>
      </c>
      <c r="AD560" t="s">
        <v>3</v>
      </c>
      <c r="AE560">
        <v>25</v>
      </c>
      <c r="AF560">
        <v>4</v>
      </c>
      <c r="AH560" t="s">
        <v>3971</v>
      </c>
      <c r="AI560" t="s">
        <v>3970</v>
      </c>
      <c r="AK560" t="s">
        <v>3969</v>
      </c>
      <c r="AL560">
        <v>58</v>
      </c>
      <c r="AM560" s="5">
        <f t="shared" si="67"/>
        <v>2.6363636363636362</v>
      </c>
      <c r="AN560" s="4">
        <f t="shared" si="68"/>
        <v>3.9929778665106193E-3</v>
      </c>
      <c r="AO560" s="3"/>
      <c r="AP560">
        <v>0</v>
      </c>
      <c r="AQ560" t="s">
        <v>210</v>
      </c>
      <c r="AR560" t="s">
        <v>3968</v>
      </c>
      <c r="AS560" t="s">
        <v>209</v>
      </c>
      <c r="AT560" s="2">
        <v>3.5539999999999998</v>
      </c>
      <c r="AU560" s="1">
        <f t="shared" si="69"/>
        <v>1.5249840718539447</v>
      </c>
      <c r="AV560" s="1">
        <f t="shared" si="70"/>
        <v>1.2033594189388355</v>
      </c>
      <c r="AW560" s="1">
        <f t="shared" si="71"/>
        <v>0.88173476602372602</v>
      </c>
    </row>
    <row r="561" spans="1:49" x14ac:dyDescent="0.2">
      <c r="A561">
        <v>559</v>
      </c>
      <c r="B561" t="s">
        <v>3967</v>
      </c>
      <c r="C561" t="s">
        <v>3966</v>
      </c>
      <c r="F561" t="s">
        <v>3965</v>
      </c>
      <c r="G561" t="s">
        <v>9</v>
      </c>
      <c r="H561" t="s">
        <v>8</v>
      </c>
      <c r="I561" t="s">
        <v>3964</v>
      </c>
      <c r="J561">
        <v>60001439</v>
      </c>
      <c r="K561" t="s">
        <v>120</v>
      </c>
      <c r="L561" t="s">
        <v>119</v>
      </c>
      <c r="M561" t="s">
        <v>5</v>
      </c>
      <c r="N561">
        <v>4</v>
      </c>
      <c r="O561" t="s">
        <v>3963</v>
      </c>
      <c r="P561" t="s">
        <v>3962</v>
      </c>
      <c r="Q561" t="s">
        <v>3961</v>
      </c>
      <c r="R561" s="7">
        <v>36800</v>
      </c>
      <c r="S561" s="8">
        <f t="shared" si="64"/>
        <v>2000</v>
      </c>
      <c r="T561" s="8">
        <v>2000</v>
      </c>
      <c r="U561" s="8">
        <f t="shared" si="65"/>
        <v>22</v>
      </c>
      <c r="V561" s="7">
        <v>36800</v>
      </c>
      <c r="W561" t="s">
        <v>1406</v>
      </c>
      <c r="X561" s="2">
        <v>0.752</v>
      </c>
      <c r="Y561" s="6">
        <f t="shared" si="66"/>
        <v>2.0074210512266089E-2</v>
      </c>
      <c r="AA561">
        <v>3649059</v>
      </c>
      <c r="AB561">
        <v>17277</v>
      </c>
      <c r="AD561" t="s">
        <v>3</v>
      </c>
      <c r="AE561">
        <v>25</v>
      </c>
      <c r="AF561">
        <v>4</v>
      </c>
      <c r="AH561" t="s">
        <v>958</v>
      </c>
      <c r="AI561" t="s">
        <v>3960</v>
      </c>
      <c r="AK561" t="s">
        <v>3959</v>
      </c>
      <c r="AL561">
        <v>7</v>
      </c>
      <c r="AM561" s="5">
        <f t="shared" si="67"/>
        <v>0.31818181818181818</v>
      </c>
      <c r="AN561" s="4">
        <f t="shared" si="68"/>
        <v>4.8191112182024716E-4</v>
      </c>
      <c r="AO561" s="3"/>
      <c r="AP561">
        <v>0</v>
      </c>
      <c r="AQ561" t="s">
        <v>476</v>
      </c>
      <c r="AR561" t="s">
        <v>3958</v>
      </c>
      <c r="AS561" t="s">
        <v>475</v>
      </c>
      <c r="AT561" s="2">
        <v>3.5539999999999998</v>
      </c>
      <c r="AU561" s="1">
        <f t="shared" si="69"/>
        <v>1.4196520695132335</v>
      </c>
      <c r="AV561" s="1">
        <f t="shared" si="70"/>
        <v>1.0278060817043169</v>
      </c>
      <c r="AW561" s="1">
        <f t="shared" si="71"/>
        <v>0.63596009389539998</v>
      </c>
    </row>
    <row r="562" spans="1:49" x14ac:dyDescent="0.2">
      <c r="A562">
        <v>560</v>
      </c>
      <c r="B562" t="s">
        <v>3957</v>
      </c>
      <c r="C562" t="s">
        <v>3956</v>
      </c>
      <c r="F562" t="s">
        <v>3955</v>
      </c>
      <c r="G562" t="s">
        <v>9</v>
      </c>
      <c r="H562" t="s">
        <v>8</v>
      </c>
      <c r="I562" t="s">
        <v>3954</v>
      </c>
      <c r="J562">
        <v>60121579</v>
      </c>
      <c r="K562" t="s">
        <v>3953</v>
      </c>
      <c r="L562" t="s">
        <v>273</v>
      </c>
      <c r="M562" t="s">
        <v>5</v>
      </c>
      <c r="N562">
        <v>2</v>
      </c>
      <c r="O562" t="s">
        <v>3952</v>
      </c>
      <c r="P562" t="s">
        <v>3951</v>
      </c>
      <c r="Q562" t="s">
        <v>3950</v>
      </c>
      <c r="R562" s="7">
        <v>36800</v>
      </c>
      <c r="S562" s="8">
        <f t="shared" si="64"/>
        <v>2000</v>
      </c>
      <c r="T562" s="8">
        <v>2000</v>
      </c>
      <c r="U562" s="8">
        <f t="shared" si="65"/>
        <v>22</v>
      </c>
      <c r="V562" s="7">
        <v>36800</v>
      </c>
      <c r="W562" t="s">
        <v>1406</v>
      </c>
      <c r="X562" s="2">
        <v>0.752</v>
      </c>
      <c r="Y562" s="6">
        <f t="shared" si="66"/>
        <v>2.0074210512266089E-2</v>
      </c>
      <c r="AA562">
        <v>3649059</v>
      </c>
      <c r="AB562">
        <v>17277</v>
      </c>
      <c r="AD562" t="s">
        <v>3</v>
      </c>
      <c r="AE562">
        <v>25</v>
      </c>
      <c r="AF562">
        <v>4</v>
      </c>
      <c r="AH562" t="s">
        <v>3949</v>
      </c>
      <c r="AI562" t="s">
        <v>3948</v>
      </c>
      <c r="AK562" t="s">
        <v>3947</v>
      </c>
      <c r="AL562">
        <v>11</v>
      </c>
      <c r="AM562" s="5">
        <f t="shared" si="67"/>
        <v>0.5</v>
      </c>
      <c r="AN562" s="4">
        <f t="shared" si="68"/>
        <v>7.572889057175312E-4</v>
      </c>
      <c r="AO562" s="3"/>
      <c r="AP562">
        <v>0</v>
      </c>
      <c r="AQ562" t="s">
        <v>476</v>
      </c>
      <c r="AR562" t="s">
        <v>3946</v>
      </c>
      <c r="AS562" t="s">
        <v>475</v>
      </c>
      <c r="AT562" s="2">
        <v>3.5539999999999998</v>
      </c>
      <c r="AU562" s="1">
        <f t="shared" si="69"/>
        <v>1.4279134030301521</v>
      </c>
      <c r="AV562" s="1">
        <f t="shared" si="70"/>
        <v>1.0415749708991811</v>
      </c>
      <c r="AW562" s="1">
        <f t="shared" si="71"/>
        <v>0.65523653876820986</v>
      </c>
    </row>
    <row r="563" spans="1:49" x14ac:dyDescent="0.2">
      <c r="A563">
        <v>561</v>
      </c>
      <c r="B563" t="s">
        <v>3945</v>
      </c>
      <c r="C563" t="s">
        <v>3944</v>
      </c>
      <c r="F563" t="s">
        <v>3943</v>
      </c>
      <c r="G563" t="s">
        <v>9</v>
      </c>
      <c r="H563" t="s">
        <v>8</v>
      </c>
      <c r="I563" t="s">
        <v>3942</v>
      </c>
      <c r="J563">
        <v>60009037</v>
      </c>
      <c r="K563" t="s">
        <v>313</v>
      </c>
      <c r="L563" t="s">
        <v>312</v>
      </c>
      <c r="M563" t="s">
        <v>5</v>
      </c>
      <c r="N563">
        <v>3</v>
      </c>
      <c r="O563" t="s">
        <v>3941</v>
      </c>
      <c r="P563" t="s">
        <v>3940</v>
      </c>
      <c r="Q563" t="s">
        <v>560</v>
      </c>
      <c r="R563" s="7">
        <v>36800</v>
      </c>
      <c r="S563" s="8">
        <f t="shared" si="64"/>
        <v>2000</v>
      </c>
      <c r="T563" s="8">
        <v>2000</v>
      </c>
      <c r="U563" s="8">
        <f t="shared" si="65"/>
        <v>22</v>
      </c>
      <c r="V563" s="7">
        <v>36800</v>
      </c>
      <c r="W563" s="11" t="s">
        <v>3939</v>
      </c>
      <c r="X563" s="2">
        <v>2.383</v>
      </c>
      <c r="Y563" s="6">
        <f t="shared" si="66"/>
        <v>6.3612824003630442E-2</v>
      </c>
      <c r="AA563">
        <v>14625970</v>
      </c>
      <c r="AB563">
        <v>18713</v>
      </c>
      <c r="AD563" t="s">
        <v>3</v>
      </c>
      <c r="AE563">
        <v>147</v>
      </c>
      <c r="AF563">
        <v>5</v>
      </c>
      <c r="AH563" t="s">
        <v>3938</v>
      </c>
      <c r="AI563" t="s">
        <v>3937</v>
      </c>
      <c r="AK563" t="s">
        <v>3936</v>
      </c>
      <c r="AL563">
        <v>3</v>
      </c>
      <c r="AM563" s="5">
        <f t="shared" si="67"/>
        <v>0.13636363636363635</v>
      </c>
      <c r="AN563" s="4">
        <f t="shared" si="68"/>
        <v>2.0653333792296306E-4</v>
      </c>
      <c r="AO563" s="3"/>
      <c r="AP563">
        <v>0</v>
      </c>
      <c r="AR563" t="s">
        <v>1</v>
      </c>
      <c r="AT563" s="2" t="s">
        <v>0</v>
      </c>
      <c r="AU563" s="1">
        <f t="shared" si="69"/>
        <v>4.4590936803918204</v>
      </c>
      <c r="AV563" s="1">
        <f t="shared" si="70"/>
        <v>3.1909678670776702</v>
      </c>
      <c r="AW563" s="1">
        <f t="shared" si="71"/>
        <v>1.9228420537635207</v>
      </c>
    </row>
    <row r="564" spans="1:49" x14ac:dyDescent="0.2">
      <c r="A564">
        <v>562</v>
      </c>
      <c r="B564" t="s">
        <v>3935</v>
      </c>
      <c r="C564" t="s">
        <v>3934</v>
      </c>
      <c r="F564" t="s">
        <v>3933</v>
      </c>
      <c r="G564" t="s">
        <v>9</v>
      </c>
      <c r="H564" t="s">
        <v>8</v>
      </c>
      <c r="I564" t="s">
        <v>3932</v>
      </c>
      <c r="J564" t="s">
        <v>3931</v>
      </c>
      <c r="K564" t="s">
        <v>3930</v>
      </c>
      <c r="L564" t="s">
        <v>3929</v>
      </c>
      <c r="M564" t="s">
        <v>3928</v>
      </c>
      <c r="N564">
        <v>2</v>
      </c>
      <c r="O564" t="s">
        <v>3927</v>
      </c>
      <c r="P564" t="s">
        <v>3926</v>
      </c>
      <c r="Q564" t="s">
        <v>3925</v>
      </c>
      <c r="R564" s="7">
        <v>36800</v>
      </c>
      <c r="S564" s="8">
        <f t="shared" si="64"/>
        <v>2000</v>
      </c>
      <c r="T564" s="8">
        <v>2000</v>
      </c>
      <c r="U564" s="8">
        <f t="shared" si="65"/>
        <v>22</v>
      </c>
      <c r="V564" s="7">
        <v>36800</v>
      </c>
      <c r="W564" t="s">
        <v>291</v>
      </c>
      <c r="X564" s="2">
        <v>1.6519999999999999</v>
      </c>
      <c r="Y564" s="6">
        <f t="shared" si="66"/>
        <v>4.409919649769093E-2</v>
      </c>
      <c r="AA564" t="s">
        <v>290</v>
      </c>
      <c r="AB564">
        <v>17337</v>
      </c>
      <c r="AD564" t="s">
        <v>3</v>
      </c>
      <c r="AE564">
        <v>48</v>
      </c>
      <c r="AF564">
        <v>10</v>
      </c>
      <c r="AH564" t="s">
        <v>3924</v>
      </c>
      <c r="AI564" t="s">
        <v>3923</v>
      </c>
      <c r="AK564" t="s">
        <v>3922</v>
      </c>
      <c r="AL564">
        <v>10</v>
      </c>
      <c r="AM564" s="5">
        <f t="shared" si="67"/>
        <v>0.45454545454545453</v>
      </c>
      <c r="AN564" s="4">
        <f t="shared" si="68"/>
        <v>6.8844445974321016E-4</v>
      </c>
      <c r="AO564" s="3"/>
      <c r="AP564">
        <v>0</v>
      </c>
      <c r="AQ564" t="s">
        <v>3921</v>
      </c>
      <c r="AR564" t="s">
        <v>3920</v>
      </c>
      <c r="AS564" t="s">
        <v>3919</v>
      </c>
      <c r="AT564" s="2" t="s">
        <v>0</v>
      </c>
      <c r="AU564" s="1">
        <f t="shared" si="69"/>
        <v>3.1075970886306612</v>
      </c>
      <c r="AV564" s="1">
        <f t="shared" si="70"/>
        <v>2.239382047871707</v>
      </c>
      <c r="AW564" s="1">
        <f t="shared" si="71"/>
        <v>1.3711670071127524</v>
      </c>
    </row>
    <row r="565" spans="1:49" x14ac:dyDescent="0.2">
      <c r="A565">
        <v>563</v>
      </c>
      <c r="B565" t="s">
        <v>3918</v>
      </c>
      <c r="C565" t="s">
        <v>3917</v>
      </c>
      <c r="F565" t="s">
        <v>3916</v>
      </c>
      <c r="G565" t="s">
        <v>9</v>
      </c>
      <c r="H565" t="s">
        <v>8</v>
      </c>
      <c r="I565" t="s">
        <v>3915</v>
      </c>
      <c r="J565" t="s">
        <v>3914</v>
      </c>
      <c r="K565" t="s">
        <v>3913</v>
      </c>
      <c r="L565" t="s">
        <v>3912</v>
      </c>
      <c r="M565" t="s">
        <v>19</v>
      </c>
      <c r="N565">
        <v>2</v>
      </c>
      <c r="O565" t="s">
        <v>3911</v>
      </c>
      <c r="P565" t="s">
        <v>3910</v>
      </c>
      <c r="Q565" t="s">
        <v>3909</v>
      </c>
      <c r="R565" s="7">
        <v>36800</v>
      </c>
      <c r="S565" s="8">
        <f t="shared" si="64"/>
        <v>2000</v>
      </c>
      <c r="T565" s="8">
        <v>2000</v>
      </c>
      <c r="U565" s="8">
        <f t="shared" si="65"/>
        <v>22</v>
      </c>
      <c r="V565" s="7">
        <v>36800</v>
      </c>
      <c r="W565" t="s">
        <v>291</v>
      </c>
      <c r="X565" s="2">
        <v>1.6519999999999999</v>
      </c>
      <c r="Y565" s="6">
        <f t="shared" si="66"/>
        <v>4.409919649769093E-2</v>
      </c>
      <c r="AA565" t="s">
        <v>290</v>
      </c>
      <c r="AB565">
        <v>17337</v>
      </c>
      <c r="AD565" t="s">
        <v>3</v>
      </c>
      <c r="AE565">
        <v>48</v>
      </c>
      <c r="AF565">
        <v>10</v>
      </c>
      <c r="AH565" t="s">
        <v>3908</v>
      </c>
      <c r="AI565" t="s">
        <v>3907</v>
      </c>
      <c r="AK565" t="s">
        <v>3906</v>
      </c>
      <c r="AL565">
        <v>46</v>
      </c>
      <c r="AM565" s="5">
        <f t="shared" si="67"/>
        <v>2.0909090909090908</v>
      </c>
      <c r="AN565" s="4">
        <f t="shared" si="68"/>
        <v>3.1668445148187669E-3</v>
      </c>
      <c r="AO565" s="3"/>
      <c r="AP565">
        <v>0</v>
      </c>
      <c r="AR565" t="s">
        <v>1</v>
      </c>
      <c r="AT565" s="2" t="s">
        <v>0</v>
      </c>
      <c r="AU565" s="1">
        <f t="shared" si="69"/>
        <v>3.1819490902829282</v>
      </c>
      <c r="AV565" s="1">
        <f t="shared" si="70"/>
        <v>2.3633020506254847</v>
      </c>
      <c r="AW565" s="1">
        <f t="shared" si="71"/>
        <v>1.5446550109680415</v>
      </c>
    </row>
    <row r="566" spans="1:49" x14ac:dyDescent="0.2">
      <c r="A566">
        <v>564</v>
      </c>
      <c r="B566" t="s">
        <v>3905</v>
      </c>
      <c r="C566" t="s">
        <v>3904</v>
      </c>
      <c r="F566" t="s">
        <v>3903</v>
      </c>
      <c r="G566" t="s">
        <v>9</v>
      </c>
      <c r="H566" t="s">
        <v>8</v>
      </c>
      <c r="I566" t="s">
        <v>3902</v>
      </c>
      <c r="J566" t="s">
        <v>3901</v>
      </c>
      <c r="K566" t="s">
        <v>3900</v>
      </c>
      <c r="L566" t="s">
        <v>3899</v>
      </c>
      <c r="M566" t="s">
        <v>27</v>
      </c>
      <c r="N566">
        <v>2</v>
      </c>
      <c r="O566" t="s">
        <v>3898</v>
      </c>
      <c r="P566" t="s">
        <v>3897</v>
      </c>
      <c r="Q566" t="s">
        <v>3896</v>
      </c>
      <c r="R566" s="7">
        <v>36800</v>
      </c>
      <c r="S566" s="8">
        <f t="shared" si="64"/>
        <v>2000</v>
      </c>
      <c r="T566" s="8">
        <v>2000</v>
      </c>
      <c r="U566" s="8">
        <f t="shared" si="65"/>
        <v>22</v>
      </c>
      <c r="V566" s="7">
        <v>36800</v>
      </c>
      <c r="W566" t="s">
        <v>291</v>
      </c>
      <c r="X566" s="2">
        <v>1.6519999999999999</v>
      </c>
      <c r="Y566" s="6">
        <f t="shared" si="66"/>
        <v>4.409919649769093E-2</v>
      </c>
      <c r="AA566" t="s">
        <v>290</v>
      </c>
      <c r="AB566">
        <v>17337</v>
      </c>
      <c r="AD566" t="s">
        <v>3</v>
      </c>
      <c r="AE566">
        <v>48</v>
      </c>
      <c r="AF566">
        <v>10</v>
      </c>
      <c r="AH566" t="s">
        <v>3895</v>
      </c>
      <c r="AI566" t="s">
        <v>3894</v>
      </c>
      <c r="AK566" t="s">
        <v>3893</v>
      </c>
      <c r="AL566">
        <v>39</v>
      </c>
      <c r="AM566" s="5">
        <f t="shared" si="67"/>
        <v>1.7727272727272727</v>
      </c>
      <c r="AN566" s="4">
        <f t="shared" si="68"/>
        <v>2.6849333929985196E-3</v>
      </c>
      <c r="AO566" s="3"/>
      <c r="AP566">
        <v>0</v>
      </c>
      <c r="AQ566" t="s">
        <v>364</v>
      </c>
      <c r="AR566" t="s">
        <v>3892</v>
      </c>
      <c r="AS566" t="s">
        <v>363</v>
      </c>
      <c r="AT566" s="2" t="s">
        <v>0</v>
      </c>
      <c r="AU566" s="1">
        <f t="shared" si="69"/>
        <v>3.1674917566283205</v>
      </c>
      <c r="AV566" s="1">
        <f t="shared" si="70"/>
        <v>2.3392064945344724</v>
      </c>
      <c r="AW566" s="1">
        <f t="shared" si="71"/>
        <v>1.5109212324406243</v>
      </c>
    </row>
    <row r="567" spans="1:49" x14ac:dyDescent="0.2">
      <c r="A567">
        <v>565</v>
      </c>
      <c r="B567" t="s">
        <v>3891</v>
      </c>
      <c r="C567" t="s">
        <v>3890</v>
      </c>
      <c r="F567" t="s">
        <v>3889</v>
      </c>
      <c r="G567" t="s">
        <v>9</v>
      </c>
      <c r="H567" t="s">
        <v>8</v>
      </c>
      <c r="I567" t="s">
        <v>3888</v>
      </c>
      <c r="J567" t="s">
        <v>3887</v>
      </c>
      <c r="K567" t="s">
        <v>3886</v>
      </c>
      <c r="L567" t="s">
        <v>3885</v>
      </c>
      <c r="M567" t="s">
        <v>28</v>
      </c>
      <c r="N567">
        <v>7</v>
      </c>
      <c r="O567" t="s">
        <v>3884</v>
      </c>
      <c r="P567" t="s">
        <v>3883</v>
      </c>
      <c r="Q567" t="s">
        <v>3882</v>
      </c>
      <c r="R567" s="7">
        <v>36800</v>
      </c>
      <c r="S567" s="8">
        <f t="shared" si="64"/>
        <v>2000</v>
      </c>
      <c r="T567" s="8">
        <v>2000</v>
      </c>
      <c r="U567" s="8">
        <f t="shared" si="65"/>
        <v>22</v>
      </c>
      <c r="V567" s="7">
        <v>36800</v>
      </c>
      <c r="W567" t="s">
        <v>3803</v>
      </c>
      <c r="X567" s="2">
        <v>0.46</v>
      </c>
      <c r="Y567" s="6">
        <f t="shared" si="66"/>
        <v>1.2279437281439364E-2</v>
      </c>
      <c r="AA567">
        <v>933813</v>
      </c>
      <c r="AB567">
        <v>28031</v>
      </c>
      <c r="AD567" t="s">
        <v>3</v>
      </c>
      <c r="AE567">
        <v>28</v>
      </c>
      <c r="AF567">
        <v>5</v>
      </c>
      <c r="AH567" t="s">
        <v>3881</v>
      </c>
      <c r="AI567" t="s">
        <v>3880</v>
      </c>
      <c r="AK567" t="s">
        <v>3879</v>
      </c>
      <c r="AL567">
        <v>8</v>
      </c>
      <c r="AM567" s="5">
        <f t="shared" si="67"/>
        <v>0.36363636363636365</v>
      </c>
      <c r="AN567" s="4">
        <f t="shared" si="68"/>
        <v>5.5075556779456819E-4</v>
      </c>
      <c r="AO567" s="3"/>
      <c r="AP567">
        <v>0</v>
      </c>
      <c r="AQ567" t="s">
        <v>306</v>
      </c>
      <c r="AR567" t="s">
        <v>1</v>
      </c>
      <c r="AS567" t="s">
        <v>305</v>
      </c>
      <c r="AT567" s="2">
        <v>1.222</v>
      </c>
      <c r="AU567" s="1">
        <f t="shared" si="69"/>
        <v>0.87608327673459241</v>
      </c>
      <c r="AV567" s="1">
        <f t="shared" si="70"/>
        <v>0.64150964246169662</v>
      </c>
      <c r="AW567" s="1">
        <f t="shared" si="71"/>
        <v>0.40693600818880071</v>
      </c>
    </row>
    <row r="568" spans="1:49" x14ac:dyDescent="0.2">
      <c r="A568">
        <v>566</v>
      </c>
      <c r="B568" t="s">
        <v>3878</v>
      </c>
      <c r="C568" t="s">
        <v>3877</v>
      </c>
      <c r="F568" t="s">
        <v>3876</v>
      </c>
      <c r="G568" t="s">
        <v>9</v>
      </c>
      <c r="H568" t="s">
        <v>8</v>
      </c>
      <c r="I568" t="s">
        <v>3875</v>
      </c>
      <c r="J568">
        <v>60010365</v>
      </c>
      <c r="K568" t="s">
        <v>742</v>
      </c>
      <c r="L568" t="s">
        <v>681</v>
      </c>
      <c r="M568" t="s">
        <v>16</v>
      </c>
      <c r="N568">
        <v>2</v>
      </c>
      <c r="O568" t="s">
        <v>3874</v>
      </c>
      <c r="P568" t="s">
        <v>3873</v>
      </c>
      <c r="Q568" t="s">
        <v>741</v>
      </c>
      <c r="R568" s="7">
        <v>36800</v>
      </c>
      <c r="S568" s="8">
        <f t="shared" si="64"/>
        <v>2000</v>
      </c>
      <c r="T568" s="8">
        <v>2000</v>
      </c>
      <c r="U568" s="8">
        <f t="shared" si="65"/>
        <v>22</v>
      </c>
      <c r="V568" s="7">
        <v>36800</v>
      </c>
      <c r="W568" t="s">
        <v>291</v>
      </c>
      <c r="X568" s="2">
        <v>1.6519999999999999</v>
      </c>
      <c r="Y568" s="6">
        <f t="shared" si="66"/>
        <v>4.409919649769093E-2</v>
      </c>
      <c r="AA568" t="s">
        <v>290</v>
      </c>
      <c r="AB568">
        <v>17337</v>
      </c>
      <c r="AD568" t="s">
        <v>3</v>
      </c>
      <c r="AE568">
        <v>48</v>
      </c>
      <c r="AF568">
        <v>10</v>
      </c>
      <c r="AH568" t="s">
        <v>3872</v>
      </c>
      <c r="AI568" t="s">
        <v>3871</v>
      </c>
      <c r="AK568" t="s">
        <v>3870</v>
      </c>
      <c r="AL568">
        <v>5</v>
      </c>
      <c r="AM568" s="5">
        <f t="shared" si="67"/>
        <v>0.22727272727272727</v>
      </c>
      <c r="AN568" s="4">
        <f t="shared" si="68"/>
        <v>3.4422222987160508E-4</v>
      </c>
      <c r="AO568" s="3"/>
      <c r="AP568">
        <v>0</v>
      </c>
      <c r="AR568" t="s">
        <v>1</v>
      </c>
      <c r="AT568" s="2" t="s">
        <v>0</v>
      </c>
      <c r="AU568" s="1">
        <f t="shared" si="69"/>
        <v>3.0972704217345131</v>
      </c>
      <c r="AV568" s="1">
        <f t="shared" si="70"/>
        <v>2.2221709363781268</v>
      </c>
      <c r="AW568" s="1">
        <f t="shared" si="71"/>
        <v>1.3470714510217401</v>
      </c>
    </row>
    <row r="569" spans="1:49" x14ac:dyDescent="0.2">
      <c r="A569">
        <v>567</v>
      </c>
      <c r="B569" t="s">
        <v>3869</v>
      </c>
      <c r="C569" t="s">
        <v>3868</v>
      </c>
      <c r="F569" t="s">
        <v>3867</v>
      </c>
      <c r="G569" t="s">
        <v>9</v>
      </c>
      <c r="H569" t="s">
        <v>8</v>
      </c>
      <c r="I569" t="s">
        <v>3866</v>
      </c>
      <c r="J569" t="s">
        <v>3865</v>
      </c>
      <c r="K569" t="s">
        <v>3864</v>
      </c>
      <c r="L569" t="s">
        <v>3863</v>
      </c>
      <c r="M569" t="s">
        <v>183</v>
      </c>
      <c r="N569">
        <v>5</v>
      </c>
      <c r="O569" t="s">
        <v>3862</v>
      </c>
      <c r="P569" t="s">
        <v>3861</v>
      </c>
      <c r="Q569" t="s">
        <v>3860</v>
      </c>
      <c r="R569" s="7">
        <v>36800</v>
      </c>
      <c r="S569" s="8">
        <f t="shared" si="64"/>
        <v>2000</v>
      </c>
      <c r="T569" s="8">
        <v>2000</v>
      </c>
      <c r="U569" s="8">
        <f t="shared" si="65"/>
        <v>22</v>
      </c>
      <c r="V569" s="7">
        <v>36800</v>
      </c>
      <c r="W569" t="s">
        <v>3803</v>
      </c>
      <c r="X569" s="2">
        <v>0.46</v>
      </c>
      <c r="Y569" s="6">
        <f t="shared" si="66"/>
        <v>1.2279437281439364E-2</v>
      </c>
      <c r="AA569">
        <v>933813</v>
      </c>
      <c r="AB569">
        <v>28031</v>
      </c>
      <c r="AD569" t="s">
        <v>3</v>
      </c>
      <c r="AE569">
        <v>28</v>
      </c>
      <c r="AF569">
        <v>5</v>
      </c>
      <c r="AH569" t="s">
        <v>3859</v>
      </c>
      <c r="AI569" t="s">
        <v>3858</v>
      </c>
      <c r="AK569" t="s">
        <v>3857</v>
      </c>
      <c r="AL569">
        <v>11</v>
      </c>
      <c r="AM569" s="5">
        <f t="shared" si="67"/>
        <v>0.5</v>
      </c>
      <c r="AN569" s="4">
        <f t="shared" si="68"/>
        <v>7.572889057175312E-4</v>
      </c>
      <c r="AO569" s="3"/>
      <c r="AP569">
        <v>0</v>
      </c>
      <c r="AR569" t="s">
        <v>1</v>
      </c>
      <c r="AT569" s="2">
        <v>1.222</v>
      </c>
      <c r="AU569" s="1">
        <f t="shared" si="69"/>
        <v>0.88227927687228125</v>
      </c>
      <c r="AV569" s="1">
        <f t="shared" si="70"/>
        <v>0.65183630935784476</v>
      </c>
      <c r="AW569" s="1">
        <f t="shared" si="71"/>
        <v>0.4213933418434081</v>
      </c>
    </row>
    <row r="570" spans="1:49" x14ac:dyDescent="0.2">
      <c r="A570">
        <v>568</v>
      </c>
      <c r="B570" t="s">
        <v>3856</v>
      </c>
      <c r="C570" t="s">
        <v>3855</v>
      </c>
      <c r="F570" t="s">
        <v>3854</v>
      </c>
      <c r="G570" t="s">
        <v>9</v>
      </c>
      <c r="H570" t="s">
        <v>8</v>
      </c>
      <c r="I570" t="s">
        <v>3853</v>
      </c>
      <c r="J570">
        <v>60005837</v>
      </c>
      <c r="K570" t="s">
        <v>3852</v>
      </c>
      <c r="L570" t="s">
        <v>3851</v>
      </c>
      <c r="M570" t="s">
        <v>5</v>
      </c>
      <c r="N570">
        <v>4</v>
      </c>
      <c r="O570" t="s">
        <v>3850</v>
      </c>
      <c r="P570" t="s">
        <v>3849</v>
      </c>
      <c r="Q570" t="s">
        <v>3848</v>
      </c>
      <c r="R570" s="7">
        <v>36800</v>
      </c>
      <c r="S570" s="8">
        <f t="shared" si="64"/>
        <v>2000</v>
      </c>
      <c r="T570" s="8">
        <v>2000</v>
      </c>
      <c r="U570" s="8">
        <f t="shared" si="65"/>
        <v>22</v>
      </c>
      <c r="V570" s="7">
        <v>36800</v>
      </c>
      <c r="W570" t="s">
        <v>291</v>
      </c>
      <c r="X570" s="2">
        <v>1.6519999999999999</v>
      </c>
      <c r="Y570" s="6">
        <f t="shared" si="66"/>
        <v>4.409919649769093E-2</v>
      </c>
      <c r="AA570" t="s">
        <v>290</v>
      </c>
      <c r="AB570">
        <v>17337</v>
      </c>
      <c r="AD570" t="s">
        <v>3</v>
      </c>
      <c r="AE570">
        <v>48</v>
      </c>
      <c r="AF570">
        <v>10</v>
      </c>
      <c r="AH570" t="s">
        <v>3847</v>
      </c>
      <c r="AI570" t="s">
        <v>3846</v>
      </c>
      <c r="AK570" t="s">
        <v>3845</v>
      </c>
      <c r="AL570">
        <v>88</v>
      </c>
      <c r="AM570" s="5">
        <f t="shared" si="67"/>
        <v>4</v>
      </c>
      <c r="AN570" s="4">
        <f t="shared" si="68"/>
        <v>6.0583112457402496E-3</v>
      </c>
      <c r="AO570" s="3"/>
      <c r="AP570">
        <v>0</v>
      </c>
      <c r="AR570" t="s">
        <v>1</v>
      </c>
      <c r="AT570" s="2" t="s">
        <v>0</v>
      </c>
      <c r="AU570" s="1">
        <f t="shared" si="69"/>
        <v>3.2686930922105728</v>
      </c>
      <c r="AV570" s="1">
        <f t="shared" si="70"/>
        <v>2.5078753871715591</v>
      </c>
      <c r="AW570" s="1">
        <f t="shared" si="71"/>
        <v>1.7470576821325454</v>
      </c>
    </row>
    <row r="571" spans="1:49" x14ac:dyDescent="0.2">
      <c r="A571">
        <v>569</v>
      </c>
      <c r="B571" t="s">
        <v>3844</v>
      </c>
      <c r="C571" t="s">
        <v>3843</v>
      </c>
      <c r="F571" t="s">
        <v>3842</v>
      </c>
      <c r="G571" t="s">
        <v>9</v>
      </c>
      <c r="H571" t="s">
        <v>8</v>
      </c>
      <c r="I571" t="s">
        <v>3841</v>
      </c>
      <c r="J571">
        <v>60030551</v>
      </c>
      <c r="K571" t="s">
        <v>928</v>
      </c>
      <c r="L571" t="s">
        <v>449</v>
      </c>
      <c r="M571" t="s">
        <v>5</v>
      </c>
      <c r="N571">
        <v>3</v>
      </c>
      <c r="O571" t="s">
        <v>3840</v>
      </c>
      <c r="P571" t="s">
        <v>3839</v>
      </c>
      <c r="Q571" t="s">
        <v>927</v>
      </c>
      <c r="R571" s="7">
        <v>36800</v>
      </c>
      <c r="S571" s="8">
        <f t="shared" si="64"/>
        <v>2000</v>
      </c>
      <c r="T571" s="8">
        <v>2000</v>
      </c>
      <c r="U571" s="8">
        <f t="shared" si="65"/>
        <v>22</v>
      </c>
      <c r="V571" s="7">
        <v>36800</v>
      </c>
      <c r="W571" t="s">
        <v>291</v>
      </c>
      <c r="X571" s="2">
        <v>1.6519999999999999</v>
      </c>
      <c r="Y571" s="6">
        <f t="shared" si="66"/>
        <v>4.409919649769093E-2</v>
      </c>
      <c r="AA571" t="s">
        <v>290</v>
      </c>
      <c r="AB571">
        <v>17337</v>
      </c>
      <c r="AD571" t="s">
        <v>3</v>
      </c>
      <c r="AE571">
        <v>48</v>
      </c>
      <c r="AF571">
        <v>10</v>
      </c>
      <c r="AH571" t="s">
        <v>3838</v>
      </c>
      <c r="AI571" t="s">
        <v>3837</v>
      </c>
      <c r="AK571" t="s">
        <v>3836</v>
      </c>
      <c r="AL571">
        <v>14</v>
      </c>
      <c r="AM571" s="5">
        <f t="shared" si="67"/>
        <v>0.63636363636363635</v>
      </c>
      <c r="AN571" s="4">
        <f t="shared" si="68"/>
        <v>9.6382224364049431E-4</v>
      </c>
      <c r="AO571" s="3"/>
      <c r="AP571">
        <v>0</v>
      </c>
      <c r="AQ571" t="s">
        <v>3835</v>
      </c>
      <c r="AR571" t="s">
        <v>1</v>
      </c>
      <c r="AS571" t="s">
        <v>928</v>
      </c>
      <c r="AT571" s="2" t="s">
        <v>0</v>
      </c>
      <c r="AU571" s="1">
        <f t="shared" si="69"/>
        <v>3.1158584221475798</v>
      </c>
      <c r="AV571" s="1">
        <f t="shared" si="70"/>
        <v>2.2531509370665712</v>
      </c>
      <c r="AW571" s="1">
        <f t="shared" si="71"/>
        <v>1.3904434519855624</v>
      </c>
    </row>
    <row r="572" spans="1:49" x14ac:dyDescent="0.2">
      <c r="A572">
        <v>570</v>
      </c>
      <c r="B572" t="s">
        <v>3834</v>
      </c>
      <c r="C572" t="s">
        <v>3833</v>
      </c>
      <c r="F572" t="s">
        <v>3832</v>
      </c>
      <c r="G572" t="s">
        <v>9</v>
      </c>
      <c r="H572" t="s">
        <v>8</v>
      </c>
      <c r="I572" t="s">
        <v>3831</v>
      </c>
      <c r="J572" t="s">
        <v>3830</v>
      </c>
      <c r="K572" t="s">
        <v>3829</v>
      </c>
      <c r="L572" t="s">
        <v>3828</v>
      </c>
      <c r="M572" t="s">
        <v>574</v>
      </c>
      <c r="N572">
        <v>2</v>
      </c>
      <c r="O572" t="s">
        <v>3827</v>
      </c>
      <c r="P572" t="s">
        <v>3826</v>
      </c>
      <c r="Q572" t="s">
        <v>3825</v>
      </c>
      <c r="R572" s="7">
        <v>36800</v>
      </c>
      <c r="S572" s="8">
        <f t="shared" si="64"/>
        <v>2000</v>
      </c>
      <c r="T572" s="8">
        <v>2000</v>
      </c>
      <c r="U572" s="8">
        <f t="shared" si="65"/>
        <v>22</v>
      </c>
      <c r="V572" s="7">
        <v>36800</v>
      </c>
      <c r="W572" t="s">
        <v>291</v>
      </c>
      <c r="X572" s="2">
        <v>1.6519999999999999</v>
      </c>
      <c r="Y572" s="6">
        <f t="shared" si="66"/>
        <v>4.409919649769093E-2</v>
      </c>
      <c r="AA572" t="s">
        <v>290</v>
      </c>
      <c r="AB572">
        <v>17337</v>
      </c>
      <c r="AD572" t="s">
        <v>3</v>
      </c>
      <c r="AE572">
        <v>48</v>
      </c>
      <c r="AF572">
        <v>10</v>
      </c>
      <c r="AH572" t="s">
        <v>3824</v>
      </c>
      <c r="AI572" t="s">
        <v>3823</v>
      </c>
      <c r="AK572" t="s">
        <v>3822</v>
      </c>
      <c r="AL572">
        <v>25</v>
      </c>
      <c r="AM572" s="5">
        <f t="shared" si="67"/>
        <v>1.1363636363636365</v>
      </c>
      <c r="AN572" s="4">
        <f t="shared" si="68"/>
        <v>1.7211111493580257E-3</v>
      </c>
      <c r="AO572" s="3"/>
      <c r="AP572">
        <v>0</v>
      </c>
      <c r="AR572" t="s">
        <v>1</v>
      </c>
      <c r="AT572" s="2" t="s">
        <v>0</v>
      </c>
      <c r="AU572" s="1">
        <f t="shared" si="69"/>
        <v>3.1385770893191056</v>
      </c>
      <c r="AV572" s="1">
        <f t="shared" si="70"/>
        <v>2.2910153823524477</v>
      </c>
      <c r="AW572" s="1">
        <f t="shared" si="71"/>
        <v>1.4434536753857896</v>
      </c>
    </row>
    <row r="573" spans="1:49" x14ac:dyDescent="0.2">
      <c r="A573">
        <v>571</v>
      </c>
      <c r="B573" t="s">
        <v>3821</v>
      </c>
      <c r="C573" t="s">
        <v>3820</v>
      </c>
      <c r="F573" t="s">
        <v>3819</v>
      </c>
      <c r="G573" t="s">
        <v>9</v>
      </c>
      <c r="H573" t="s">
        <v>8</v>
      </c>
      <c r="I573" t="s">
        <v>3818</v>
      </c>
      <c r="J573">
        <v>60009697</v>
      </c>
      <c r="K573" t="s">
        <v>391</v>
      </c>
      <c r="L573" t="s">
        <v>390</v>
      </c>
      <c r="M573" t="s">
        <v>16</v>
      </c>
      <c r="N573">
        <v>1</v>
      </c>
      <c r="O573" t="s">
        <v>3817</v>
      </c>
      <c r="P573">
        <v>7005104207</v>
      </c>
      <c r="Q573">
        <v>60009697</v>
      </c>
      <c r="R573" s="7">
        <v>36800</v>
      </c>
      <c r="S573" s="8">
        <f t="shared" si="64"/>
        <v>2000</v>
      </c>
      <c r="T573" s="8">
        <v>2000</v>
      </c>
      <c r="U573" s="8">
        <f t="shared" si="65"/>
        <v>22</v>
      </c>
      <c r="V573" s="7">
        <v>36800</v>
      </c>
      <c r="W573" t="s">
        <v>291</v>
      </c>
      <c r="X573" s="2">
        <v>1.6519999999999999</v>
      </c>
      <c r="Y573" s="6">
        <f t="shared" si="66"/>
        <v>4.409919649769093E-2</v>
      </c>
      <c r="AA573" t="s">
        <v>290</v>
      </c>
      <c r="AB573">
        <v>17337</v>
      </c>
      <c r="AD573" t="s">
        <v>3</v>
      </c>
      <c r="AE573">
        <v>48</v>
      </c>
      <c r="AF573">
        <v>10</v>
      </c>
      <c r="AH573" t="s">
        <v>3816</v>
      </c>
      <c r="AI573" t="s">
        <v>3815</v>
      </c>
      <c r="AK573" t="s">
        <v>3814</v>
      </c>
      <c r="AL573">
        <v>27</v>
      </c>
      <c r="AM573" s="5">
        <f t="shared" si="67"/>
        <v>1.2272727272727273</v>
      </c>
      <c r="AN573" s="4">
        <f t="shared" si="68"/>
        <v>1.8588000413066676E-3</v>
      </c>
      <c r="AO573" s="3"/>
      <c r="AP573">
        <v>0</v>
      </c>
      <c r="AR573" t="s">
        <v>1</v>
      </c>
      <c r="AT573" s="2" t="s">
        <v>0</v>
      </c>
      <c r="AU573" s="1">
        <f t="shared" si="69"/>
        <v>3.1427077560775651</v>
      </c>
      <c r="AV573" s="1">
        <f t="shared" si="70"/>
        <v>2.2978998269498798</v>
      </c>
      <c r="AW573" s="1">
        <f t="shared" si="71"/>
        <v>1.4530918978221945</v>
      </c>
    </row>
    <row r="574" spans="1:49" x14ac:dyDescent="0.2">
      <c r="A574">
        <v>572</v>
      </c>
      <c r="B574" t="s">
        <v>3813</v>
      </c>
      <c r="C574" t="s">
        <v>3812</v>
      </c>
      <c r="F574" t="s">
        <v>3811</v>
      </c>
      <c r="G574" t="s">
        <v>9</v>
      </c>
      <c r="H574" t="s">
        <v>8</v>
      </c>
      <c r="I574" t="s">
        <v>3810</v>
      </c>
      <c r="J574" t="s">
        <v>3809</v>
      </c>
      <c r="K574" t="s">
        <v>3808</v>
      </c>
      <c r="L574" t="s">
        <v>3807</v>
      </c>
      <c r="M574" t="s">
        <v>19</v>
      </c>
      <c r="N574">
        <v>11</v>
      </c>
      <c r="O574" t="s">
        <v>3806</v>
      </c>
      <c r="P574" t="s">
        <v>3805</v>
      </c>
      <c r="Q574" t="s">
        <v>3804</v>
      </c>
      <c r="R574" s="7">
        <v>36800</v>
      </c>
      <c r="S574" s="8">
        <f t="shared" si="64"/>
        <v>2000</v>
      </c>
      <c r="T574" s="8">
        <v>2000</v>
      </c>
      <c r="U574" s="8">
        <f t="shared" si="65"/>
        <v>22</v>
      </c>
      <c r="V574" s="7">
        <v>36800</v>
      </c>
      <c r="W574" t="s">
        <v>3803</v>
      </c>
      <c r="X574" s="2">
        <v>0.46</v>
      </c>
      <c r="Y574" s="6">
        <f t="shared" si="66"/>
        <v>1.2279437281439364E-2</v>
      </c>
      <c r="AA574">
        <v>933813</v>
      </c>
      <c r="AB574">
        <v>28031</v>
      </c>
      <c r="AD574" t="s">
        <v>3</v>
      </c>
      <c r="AE574">
        <v>28</v>
      </c>
      <c r="AF574">
        <v>5</v>
      </c>
      <c r="AH574" t="s">
        <v>3802</v>
      </c>
      <c r="AI574" t="s">
        <v>3801</v>
      </c>
      <c r="AK574" t="s">
        <v>3800</v>
      </c>
      <c r="AL574">
        <v>34</v>
      </c>
      <c r="AM574" s="5">
        <f t="shared" si="67"/>
        <v>1.5454545454545454</v>
      </c>
      <c r="AN574" s="4">
        <f t="shared" si="68"/>
        <v>2.3407111631269148E-3</v>
      </c>
      <c r="AO574" s="3"/>
      <c r="AP574">
        <v>0</v>
      </c>
      <c r="AR574" t="s">
        <v>1</v>
      </c>
      <c r="AT574" s="2">
        <v>1.222</v>
      </c>
      <c r="AU574" s="1">
        <f t="shared" si="69"/>
        <v>0.92978194459456287</v>
      </c>
      <c r="AV574" s="1">
        <f t="shared" si="70"/>
        <v>0.73100742222831394</v>
      </c>
      <c r="AW574" s="1">
        <f t="shared" si="71"/>
        <v>0.5322328998620649</v>
      </c>
    </row>
    <row r="575" spans="1:49" x14ac:dyDescent="0.2">
      <c r="A575">
        <v>573</v>
      </c>
      <c r="B575" t="s">
        <v>3799</v>
      </c>
      <c r="F575" t="s">
        <v>3798</v>
      </c>
      <c r="G575" t="s">
        <v>9</v>
      </c>
      <c r="H575" t="s">
        <v>8</v>
      </c>
      <c r="I575" t="s">
        <v>3797</v>
      </c>
      <c r="J575">
        <v>60032619</v>
      </c>
      <c r="K575" t="s">
        <v>659</v>
      </c>
      <c r="L575" t="s">
        <v>658</v>
      </c>
      <c r="M575" t="s">
        <v>16</v>
      </c>
      <c r="N575">
        <v>3</v>
      </c>
      <c r="O575" t="s">
        <v>3796</v>
      </c>
      <c r="P575" t="s">
        <v>3795</v>
      </c>
      <c r="Q575" t="s">
        <v>657</v>
      </c>
      <c r="R575" s="7">
        <v>36800</v>
      </c>
      <c r="S575" s="8">
        <f t="shared" si="64"/>
        <v>2000</v>
      </c>
      <c r="T575" s="8">
        <v>2000</v>
      </c>
      <c r="U575" s="8">
        <f t="shared" si="65"/>
        <v>22</v>
      </c>
      <c r="V575" s="7">
        <v>36800</v>
      </c>
      <c r="W575" t="s">
        <v>847</v>
      </c>
      <c r="X575" s="2">
        <v>0.46400000000000002</v>
      </c>
      <c r="Y575" s="6">
        <f t="shared" si="66"/>
        <v>1.2386214996930142E-2</v>
      </c>
      <c r="AA575">
        <v>8408688</v>
      </c>
      <c r="AB575">
        <v>26200</v>
      </c>
      <c r="AD575" t="s">
        <v>3</v>
      </c>
      <c r="AE575">
        <v>25</v>
      </c>
      <c r="AF575">
        <v>4</v>
      </c>
      <c r="AH575" t="s">
        <v>3794</v>
      </c>
      <c r="AI575" t="s">
        <v>3793</v>
      </c>
      <c r="AK575" t="s">
        <v>3792</v>
      </c>
      <c r="AL575">
        <v>0</v>
      </c>
      <c r="AM575" s="5">
        <f t="shared" si="67"/>
        <v>0</v>
      </c>
      <c r="AN575" s="4">
        <f t="shared" si="68"/>
        <v>0</v>
      </c>
      <c r="AO575" s="3"/>
      <c r="AP575">
        <v>0</v>
      </c>
      <c r="AR575" t="s">
        <v>1</v>
      </c>
      <c r="AT575" s="2" t="s">
        <v>0</v>
      </c>
      <c r="AU575" s="1">
        <f t="shared" si="69"/>
        <v>0.86703504978510992</v>
      </c>
      <c r="AV575" s="1">
        <f t="shared" si="70"/>
        <v>0.61931074984650714</v>
      </c>
      <c r="AW575" s="1">
        <f t="shared" si="71"/>
        <v>0.37158644990790424</v>
      </c>
    </row>
    <row r="576" spans="1:49" x14ac:dyDescent="0.2">
      <c r="A576">
        <v>574</v>
      </c>
      <c r="B576" t="s">
        <v>3791</v>
      </c>
      <c r="C576" t="s">
        <v>3790</v>
      </c>
      <c r="F576" t="s">
        <v>3789</v>
      </c>
      <c r="G576" t="s">
        <v>9</v>
      </c>
      <c r="H576" t="s">
        <v>8</v>
      </c>
      <c r="I576" t="s">
        <v>3788</v>
      </c>
      <c r="J576">
        <v>60031226</v>
      </c>
      <c r="K576" t="s">
        <v>3787</v>
      </c>
      <c r="L576" t="s">
        <v>549</v>
      </c>
      <c r="M576" t="s">
        <v>86</v>
      </c>
      <c r="N576">
        <v>1</v>
      </c>
      <c r="O576" t="s">
        <v>3786</v>
      </c>
      <c r="P576">
        <v>6603903004</v>
      </c>
      <c r="Q576">
        <v>60031226</v>
      </c>
      <c r="R576" s="7">
        <v>36800</v>
      </c>
      <c r="S576" s="8">
        <f t="shared" si="64"/>
        <v>2000</v>
      </c>
      <c r="T576" s="8">
        <v>2000</v>
      </c>
      <c r="U576" s="8">
        <f t="shared" si="65"/>
        <v>22</v>
      </c>
      <c r="V576" s="7">
        <v>36800</v>
      </c>
      <c r="W576" t="s">
        <v>3785</v>
      </c>
      <c r="X576" s="2">
        <v>1.4950000000000001</v>
      </c>
      <c r="Y576" s="6">
        <f t="shared" si="66"/>
        <v>3.9908171164677937E-2</v>
      </c>
      <c r="AA576">
        <v>10805370</v>
      </c>
      <c r="AB576">
        <v>144827</v>
      </c>
      <c r="AC576">
        <v>15211886</v>
      </c>
      <c r="AD576" t="s">
        <v>3</v>
      </c>
      <c r="AE576">
        <v>4</v>
      </c>
      <c r="AF576">
        <v>2</v>
      </c>
      <c r="AH576" t="s">
        <v>3784</v>
      </c>
      <c r="AI576" t="s">
        <v>3783</v>
      </c>
      <c r="AJ576" t="s">
        <v>3782</v>
      </c>
      <c r="AK576" t="s">
        <v>3781</v>
      </c>
      <c r="AL576">
        <v>2</v>
      </c>
      <c r="AM576" s="5">
        <f t="shared" si="67"/>
        <v>9.0909090909090912E-2</v>
      </c>
      <c r="AN576" s="4">
        <f t="shared" si="68"/>
        <v>1.3768889194864205E-4</v>
      </c>
      <c r="AO576" s="3"/>
      <c r="AP576">
        <v>0</v>
      </c>
      <c r="AR576" t="s">
        <v>1</v>
      </c>
      <c r="AS576" t="s">
        <v>3780</v>
      </c>
      <c r="AT576" s="2">
        <v>4.0659999999999998</v>
      </c>
      <c r="AU576" s="1">
        <f t="shared" si="69"/>
        <v>2.7977026482859149</v>
      </c>
      <c r="AV576" s="1">
        <f t="shared" si="70"/>
        <v>2.0022930028313288</v>
      </c>
      <c r="AW576" s="1">
        <f t="shared" si="71"/>
        <v>1.206883357376743</v>
      </c>
    </row>
    <row r="577" spans="1:49" x14ac:dyDescent="0.2">
      <c r="A577">
        <v>575</v>
      </c>
      <c r="B577" t="s">
        <v>3779</v>
      </c>
      <c r="C577" t="s">
        <v>3778</v>
      </c>
      <c r="F577" t="s">
        <v>3777</v>
      </c>
      <c r="G577" t="s">
        <v>9</v>
      </c>
      <c r="H577" t="s">
        <v>8</v>
      </c>
      <c r="I577" t="s">
        <v>698</v>
      </c>
      <c r="J577">
        <v>60028419</v>
      </c>
      <c r="K577" t="s">
        <v>227</v>
      </c>
      <c r="L577" t="s">
        <v>226</v>
      </c>
      <c r="M577" t="s">
        <v>109</v>
      </c>
      <c r="N577">
        <v>3</v>
      </c>
      <c r="O577" t="s">
        <v>3776</v>
      </c>
      <c r="P577" t="s">
        <v>3775</v>
      </c>
      <c r="Q577" t="s">
        <v>1686</v>
      </c>
      <c r="R577" s="7">
        <v>36797</v>
      </c>
      <c r="S577" s="8">
        <f t="shared" si="64"/>
        <v>2000</v>
      </c>
      <c r="T577" s="8">
        <v>2000</v>
      </c>
      <c r="U577" s="8">
        <f t="shared" si="65"/>
        <v>22</v>
      </c>
      <c r="V577" s="7">
        <v>36797</v>
      </c>
      <c r="W577" t="s">
        <v>718</v>
      </c>
      <c r="X577" s="2">
        <v>0.375</v>
      </c>
      <c r="Y577" s="6">
        <f t="shared" si="66"/>
        <v>1.0010410827260351E-2</v>
      </c>
      <c r="AA577">
        <v>135194</v>
      </c>
      <c r="AB577">
        <v>24918</v>
      </c>
      <c r="AD577" t="s">
        <v>3</v>
      </c>
      <c r="AE577">
        <v>36</v>
      </c>
      <c r="AF577">
        <v>20</v>
      </c>
      <c r="AH577" t="s">
        <v>3774</v>
      </c>
      <c r="AI577" t="s">
        <v>3773</v>
      </c>
      <c r="AK577" t="s">
        <v>3772</v>
      </c>
      <c r="AL577">
        <v>13</v>
      </c>
      <c r="AM577" s="5">
        <f t="shared" si="67"/>
        <v>0.59090909090909094</v>
      </c>
      <c r="AN577" s="4">
        <f t="shared" si="68"/>
        <v>8.9497779766617338E-4</v>
      </c>
      <c r="AO577" s="3"/>
      <c r="AP577">
        <v>0</v>
      </c>
      <c r="AR577" t="s">
        <v>1</v>
      </c>
      <c r="AT577" s="2">
        <v>1.3140000000000001</v>
      </c>
      <c r="AU577" s="1">
        <f t="shared" si="69"/>
        <v>0.72757809183820976</v>
      </c>
      <c r="AV577" s="1">
        <f t="shared" si="70"/>
        <v>0.54526943124632621</v>
      </c>
      <c r="AW577" s="1">
        <f t="shared" si="71"/>
        <v>0.3629607706544426</v>
      </c>
    </row>
    <row r="578" spans="1:49" x14ac:dyDescent="0.2">
      <c r="A578">
        <v>576</v>
      </c>
      <c r="B578" t="s">
        <v>3771</v>
      </c>
      <c r="C578" t="s">
        <v>3770</v>
      </c>
      <c r="F578" t="s">
        <v>3769</v>
      </c>
      <c r="G578" t="s">
        <v>9</v>
      </c>
      <c r="H578" t="s">
        <v>8</v>
      </c>
      <c r="I578" t="s">
        <v>779</v>
      </c>
      <c r="J578">
        <v>60006288</v>
      </c>
      <c r="K578" t="s">
        <v>739</v>
      </c>
      <c r="L578" t="s">
        <v>738</v>
      </c>
      <c r="M578" t="s">
        <v>29</v>
      </c>
      <c r="N578">
        <v>3</v>
      </c>
      <c r="O578" t="s">
        <v>3768</v>
      </c>
      <c r="P578" t="s">
        <v>778</v>
      </c>
      <c r="Q578" t="s">
        <v>737</v>
      </c>
      <c r="R578" s="7">
        <v>36797</v>
      </c>
      <c r="S578" s="8">
        <f t="shared" ref="S578:S641" si="72">YEAR(R578)</f>
        <v>2000</v>
      </c>
      <c r="T578" s="8">
        <v>2000</v>
      </c>
      <c r="U578" s="8">
        <f t="shared" ref="U578:U641" si="73">2022-T578</f>
        <v>22</v>
      </c>
      <c r="V578" s="7">
        <v>36797</v>
      </c>
      <c r="W578" t="s">
        <v>718</v>
      </c>
      <c r="X578" s="2">
        <v>0.375</v>
      </c>
      <c r="Y578" s="6">
        <f t="shared" ref="Y578:Y641" si="74">(X578-$Z$3)/($Z$2-$Z$3)</f>
        <v>1.0010410827260351E-2</v>
      </c>
      <c r="AA578">
        <v>135194</v>
      </c>
      <c r="AB578">
        <v>24918</v>
      </c>
      <c r="AD578" t="s">
        <v>3</v>
      </c>
      <c r="AE578">
        <v>36</v>
      </c>
      <c r="AF578">
        <v>20</v>
      </c>
      <c r="AH578" t="s">
        <v>3767</v>
      </c>
      <c r="AI578" t="s">
        <v>3766</v>
      </c>
      <c r="AK578" t="s">
        <v>3765</v>
      </c>
      <c r="AL578">
        <v>61</v>
      </c>
      <c r="AM578" s="5">
        <f t="shared" ref="AM578:AM641" si="75">AL578/U578</f>
        <v>2.7727272727272729</v>
      </c>
      <c r="AN578" s="4">
        <f t="shared" ref="AN578:AN641" si="76">(AM578-$AO$3)/($AO$2-$AO$3)</f>
        <v>4.1995112044335824E-3</v>
      </c>
      <c r="AO578" s="3"/>
      <c r="AP578">
        <v>0</v>
      </c>
      <c r="AR578" t="s">
        <v>1</v>
      </c>
      <c r="AT578" s="2">
        <v>1.3140000000000001</v>
      </c>
      <c r="AU578" s="1">
        <f t="shared" ref="AU578:AU641" si="77">(Y578*0.7+AN578*0.3)*100</f>
        <v>0.82671409404123197</v>
      </c>
      <c r="AV578" s="1">
        <f t="shared" ref="AV578:AV641" si="78">(Y578*0.5+AN578*0.5)*100</f>
        <v>0.71049610158469667</v>
      </c>
      <c r="AW578" s="1">
        <f t="shared" ref="AW578:AW641" si="79">(Y578*0.3+AN578*0.7)*100</f>
        <v>0.59427810912816126</v>
      </c>
    </row>
    <row r="579" spans="1:49" x14ac:dyDescent="0.2">
      <c r="A579">
        <v>577</v>
      </c>
      <c r="B579" t="s">
        <v>3764</v>
      </c>
      <c r="C579" t="s">
        <v>3763</v>
      </c>
      <c r="F579" t="s">
        <v>3762</v>
      </c>
      <c r="G579" t="s">
        <v>9</v>
      </c>
      <c r="H579" t="s">
        <v>8</v>
      </c>
      <c r="I579" t="s">
        <v>3761</v>
      </c>
      <c r="J579" t="s">
        <v>3760</v>
      </c>
      <c r="K579" t="s">
        <v>3759</v>
      </c>
      <c r="L579" t="s">
        <v>3758</v>
      </c>
      <c r="M579" t="s">
        <v>3757</v>
      </c>
      <c r="N579">
        <v>9</v>
      </c>
      <c r="O579" t="s">
        <v>3756</v>
      </c>
      <c r="P579" t="s">
        <v>3755</v>
      </c>
      <c r="Q579" t="s">
        <v>3754</v>
      </c>
      <c r="R579" s="7">
        <v>36796</v>
      </c>
      <c r="S579" s="8">
        <f t="shared" si="72"/>
        <v>2000</v>
      </c>
      <c r="T579" s="8">
        <v>2000</v>
      </c>
      <c r="U579" s="8">
        <f t="shared" si="73"/>
        <v>22</v>
      </c>
      <c r="V579" s="7">
        <v>36796</v>
      </c>
      <c r="W579" t="s">
        <v>763</v>
      </c>
      <c r="X579" s="2">
        <v>7.1150000000000002</v>
      </c>
      <c r="Y579" s="6">
        <f t="shared" si="74"/>
        <v>0.18993086142921972</v>
      </c>
      <c r="AA579">
        <v>27863</v>
      </c>
      <c r="AB579">
        <v>22680</v>
      </c>
      <c r="AD579" t="s">
        <v>3</v>
      </c>
      <c r="AE579">
        <v>122</v>
      </c>
      <c r="AF579">
        <v>38</v>
      </c>
      <c r="AH579" t="s">
        <v>3753</v>
      </c>
      <c r="AI579" t="s">
        <v>3752</v>
      </c>
      <c r="AK579" t="s">
        <v>3751</v>
      </c>
      <c r="AL579">
        <v>228</v>
      </c>
      <c r="AM579" s="5">
        <f t="shared" si="75"/>
        <v>10.363636363636363</v>
      </c>
      <c r="AN579" s="4">
        <f t="shared" si="76"/>
        <v>1.5696533682145193E-2</v>
      </c>
      <c r="AO579" s="3"/>
      <c r="AP579">
        <v>0</v>
      </c>
      <c r="AR579" t="s">
        <v>1</v>
      </c>
      <c r="AT579" s="2" t="s">
        <v>0</v>
      </c>
      <c r="AU579" s="1">
        <f t="shared" si="77"/>
        <v>13.766056310509736</v>
      </c>
      <c r="AV579" s="1">
        <f t="shared" si="78"/>
        <v>10.281369755568246</v>
      </c>
      <c r="AW579" s="1">
        <f t="shared" si="79"/>
        <v>6.796683200626755</v>
      </c>
    </row>
    <row r="580" spans="1:49" x14ac:dyDescent="0.2">
      <c r="A580">
        <v>578</v>
      </c>
      <c r="B580" t="s">
        <v>3750</v>
      </c>
      <c r="C580" t="s">
        <v>3749</v>
      </c>
      <c r="F580" t="s">
        <v>3748</v>
      </c>
      <c r="G580" t="s">
        <v>9</v>
      </c>
      <c r="H580" t="s">
        <v>8</v>
      </c>
      <c r="I580" t="s">
        <v>3747</v>
      </c>
      <c r="J580">
        <v>60073625</v>
      </c>
      <c r="K580" t="s">
        <v>3746</v>
      </c>
      <c r="L580" t="s">
        <v>192</v>
      </c>
      <c r="M580" t="s">
        <v>191</v>
      </c>
      <c r="N580">
        <v>3</v>
      </c>
      <c r="O580" t="s">
        <v>3745</v>
      </c>
      <c r="P580" t="s">
        <v>3744</v>
      </c>
      <c r="Q580" t="s">
        <v>3743</v>
      </c>
      <c r="R580" s="7">
        <v>36795</v>
      </c>
      <c r="S580" s="8">
        <f t="shared" si="72"/>
        <v>2000</v>
      </c>
      <c r="T580" s="8">
        <v>2000</v>
      </c>
      <c r="U580" s="8">
        <f t="shared" si="73"/>
        <v>22</v>
      </c>
      <c r="V580" s="7">
        <v>2000</v>
      </c>
      <c r="W580" t="s">
        <v>3742</v>
      </c>
      <c r="X580" s="2">
        <v>2.41</v>
      </c>
      <c r="Y580" s="6">
        <f t="shared" si="74"/>
        <v>6.4333573583193193E-2</v>
      </c>
      <c r="AA580">
        <v>9599428</v>
      </c>
      <c r="AB580">
        <v>24641</v>
      </c>
      <c r="AD580" t="s">
        <v>3</v>
      </c>
      <c r="AE580">
        <v>10</v>
      </c>
      <c r="AF580">
        <v>9</v>
      </c>
      <c r="AH580" t="s">
        <v>3741</v>
      </c>
      <c r="AI580" t="s">
        <v>3740</v>
      </c>
      <c r="AK580" t="s">
        <v>3739</v>
      </c>
      <c r="AL580">
        <v>23</v>
      </c>
      <c r="AM580" s="5">
        <f t="shared" si="75"/>
        <v>1.0454545454545454</v>
      </c>
      <c r="AN580" s="4">
        <f t="shared" si="76"/>
        <v>1.5834222574093834E-3</v>
      </c>
      <c r="AO580" s="3"/>
      <c r="AP580">
        <v>0</v>
      </c>
      <c r="AR580" t="s">
        <v>1</v>
      </c>
      <c r="AT580" s="2" t="s">
        <v>0</v>
      </c>
      <c r="AU580" s="1">
        <f t="shared" si="77"/>
        <v>4.5508528185458053</v>
      </c>
      <c r="AV580" s="1">
        <f t="shared" si="78"/>
        <v>3.2958497920301291</v>
      </c>
      <c r="AW580" s="1">
        <f t="shared" si="79"/>
        <v>2.0408467655144524</v>
      </c>
    </row>
    <row r="581" spans="1:49" x14ac:dyDescent="0.2">
      <c r="A581">
        <v>579</v>
      </c>
      <c r="B581" t="s">
        <v>3738</v>
      </c>
      <c r="C581" t="s">
        <v>3737</v>
      </c>
      <c r="F581" t="s">
        <v>3736</v>
      </c>
      <c r="G581" t="s">
        <v>9</v>
      </c>
      <c r="H581" t="s">
        <v>8</v>
      </c>
      <c r="I581" t="s">
        <v>3735</v>
      </c>
      <c r="J581">
        <v>60069108</v>
      </c>
      <c r="K581" t="s">
        <v>3734</v>
      </c>
      <c r="L581" t="s">
        <v>3733</v>
      </c>
      <c r="M581" t="s">
        <v>228</v>
      </c>
      <c r="N581">
        <v>1</v>
      </c>
      <c r="O581" t="s">
        <v>3732</v>
      </c>
      <c r="P581">
        <v>7102834770</v>
      </c>
      <c r="Q581">
        <v>60069108</v>
      </c>
      <c r="R581" s="7">
        <v>36794</v>
      </c>
      <c r="S581" s="8">
        <f t="shared" si="72"/>
        <v>2000</v>
      </c>
      <c r="T581" s="8">
        <v>2000</v>
      </c>
      <c r="U581" s="8">
        <f t="shared" si="73"/>
        <v>22</v>
      </c>
      <c r="V581" s="7">
        <v>2000</v>
      </c>
      <c r="W581" t="s">
        <v>936</v>
      </c>
      <c r="X581" s="2">
        <v>0.5</v>
      </c>
      <c r="Y581" s="6">
        <f t="shared" si="74"/>
        <v>1.3347214436347135E-2</v>
      </c>
      <c r="AA581">
        <v>253154</v>
      </c>
      <c r="AB581">
        <v>12162</v>
      </c>
      <c r="AD581" t="s">
        <v>3</v>
      </c>
      <c r="AE581">
        <v>80</v>
      </c>
      <c r="AF581">
        <v>4</v>
      </c>
      <c r="AH581" t="s">
        <v>3731</v>
      </c>
      <c r="AI581" t="s">
        <v>3730</v>
      </c>
      <c r="AK581" t="s">
        <v>3729</v>
      </c>
      <c r="AL581">
        <v>1</v>
      </c>
      <c r="AM581" s="5">
        <f t="shared" si="75"/>
        <v>4.5454545454545456E-2</v>
      </c>
      <c r="AN581" s="4">
        <f t="shared" si="76"/>
        <v>6.8844445974321024E-5</v>
      </c>
      <c r="AO581" s="3"/>
      <c r="AP581">
        <v>0</v>
      </c>
      <c r="AR581" t="s">
        <v>1</v>
      </c>
      <c r="AT581" s="2" t="s">
        <v>0</v>
      </c>
      <c r="AU581" s="1">
        <f t="shared" si="77"/>
        <v>0.93637034392352902</v>
      </c>
      <c r="AV581" s="1">
        <f t="shared" si="78"/>
        <v>0.67080294411607277</v>
      </c>
      <c r="AW581" s="1">
        <f t="shared" si="79"/>
        <v>0.40523554430861647</v>
      </c>
    </row>
    <row r="582" spans="1:49" x14ac:dyDescent="0.2">
      <c r="A582">
        <v>580</v>
      </c>
      <c r="B582" t="s">
        <v>3728</v>
      </c>
      <c r="C582" t="s">
        <v>3727</v>
      </c>
      <c r="F582" t="s">
        <v>3726</v>
      </c>
      <c r="G582" t="s">
        <v>9</v>
      </c>
      <c r="H582" t="s">
        <v>8</v>
      </c>
      <c r="I582" t="s">
        <v>3725</v>
      </c>
      <c r="J582">
        <v>60026134</v>
      </c>
      <c r="K582" t="s">
        <v>593</v>
      </c>
      <c r="L582" t="s">
        <v>592</v>
      </c>
      <c r="M582" t="s">
        <v>109</v>
      </c>
      <c r="N582">
        <v>3</v>
      </c>
      <c r="O582" t="s">
        <v>3724</v>
      </c>
      <c r="P582" t="s">
        <v>3723</v>
      </c>
      <c r="Q582" t="s">
        <v>717</v>
      </c>
      <c r="R582" s="7">
        <v>36789</v>
      </c>
      <c r="S582" s="8">
        <f t="shared" si="72"/>
        <v>2000</v>
      </c>
      <c r="T582" s="8">
        <v>2000</v>
      </c>
      <c r="U582" s="8">
        <f t="shared" si="73"/>
        <v>22</v>
      </c>
      <c r="V582" s="7">
        <v>36789</v>
      </c>
      <c r="W582" t="s">
        <v>150</v>
      </c>
      <c r="X582" s="2">
        <v>0.30399999999999999</v>
      </c>
      <c r="Y582" s="6">
        <f t="shared" si="74"/>
        <v>8.115106377299057E-3</v>
      </c>
      <c r="AA582">
        <v>8952477</v>
      </c>
      <c r="AB582">
        <v>12250</v>
      </c>
      <c r="AD582" t="s">
        <v>3</v>
      </c>
      <c r="AE582">
        <v>26</v>
      </c>
      <c r="AF582">
        <v>6</v>
      </c>
      <c r="AH582" t="s">
        <v>3722</v>
      </c>
      <c r="AI582" t="s">
        <v>3721</v>
      </c>
      <c r="AK582" t="s">
        <v>3720</v>
      </c>
      <c r="AL582">
        <v>9</v>
      </c>
      <c r="AM582" s="5">
        <f t="shared" si="75"/>
        <v>0.40909090909090912</v>
      </c>
      <c r="AN582" s="4">
        <f t="shared" si="76"/>
        <v>6.1960001376888923E-4</v>
      </c>
      <c r="AO582" s="3"/>
      <c r="AP582">
        <v>0</v>
      </c>
      <c r="AR582" t="s">
        <v>1</v>
      </c>
      <c r="AT582" s="2" t="s">
        <v>0</v>
      </c>
      <c r="AU582" s="1">
        <f t="shared" si="77"/>
        <v>0.58664544682400055</v>
      </c>
      <c r="AV582" s="1">
        <f t="shared" si="78"/>
        <v>0.43673531955339728</v>
      </c>
      <c r="AW582" s="1">
        <f t="shared" si="79"/>
        <v>0.28682519228279396</v>
      </c>
    </row>
    <row r="583" spans="1:49" x14ac:dyDescent="0.2">
      <c r="A583">
        <v>581</v>
      </c>
      <c r="B583" t="s">
        <v>3719</v>
      </c>
      <c r="C583" t="s">
        <v>3718</v>
      </c>
      <c r="F583" t="s">
        <v>3717</v>
      </c>
      <c r="G583" t="s">
        <v>9</v>
      </c>
      <c r="H583" t="s">
        <v>8</v>
      </c>
      <c r="I583" t="s">
        <v>3716</v>
      </c>
      <c r="J583">
        <v>60028419</v>
      </c>
      <c r="K583" t="s">
        <v>227</v>
      </c>
      <c r="L583" t="s">
        <v>226</v>
      </c>
      <c r="M583" t="s">
        <v>109</v>
      </c>
      <c r="N583">
        <v>5</v>
      </c>
      <c r="O583" t="s">
        <v>3715</v>
      </c>
      <c r="P583" t="s">
        <v>3714</v>
      </c>
      <c r="Q583" t="s">
        <v>3713</v>
      </c>
      <c r="R583" s="7">
        <v>36789</v>
      </c>
      <c r="S583" s="8">
        <f t="shared" si="72"/>
        <v>2000</v>
      </c>
      <c r="T583" s="8">
        <v>2000</v>
      </c>
      <c r="U583" s="8">
        <f t="shared" si="73"/>
        <v>22</v>
      </c>
      <c r="V583" s="7">
        <v>36789</v>
      </c>
      <c r="W583" t="s">
        <v>150</v>
      </c>
      <c r="X583" s="2">
        <v>0.30399999999999999</v>
      </c>
      <c r="Y583" s="6">
        <f t="shared" si="74"/>
        <v>8.115106377299057E-3</v>
      </c>
      <c r="AA583">
        <v>8952477</v>
      </c>
      <c r="AB583">
        <v>12250</v>
      </c>
      <c r="AD583" t="s">
        <v>3</v>
      </c>
      <c r="AE583">
        <v>26</v>
      </c>
      <c r="AF583">
        <v>6</v>
      </c>
      <c r="AH583" t="s">
        <v>3712</v>
      </c>
      <c r="AI583" t="s">
        <v>3711</v>
      </c>
      <c r="AK583" t="s">
        <v>3710</v>
      </c>
      <c r="AL583">
        <v>1</v>
      </c>
      <c r="AM583" s="5">
        <f t="shared" si="75"/>
        <v>4.5454545454545456E-2</v>
      </c>
      <c r="AN583" s="4">
        <f t="shared" si="76"/>
        <v>6.8844445974321024E-5</v>
      </c>
      <c r="AO583" s="3"/>
      <c r="AP583">
        <v>0</v>
      </c>
      <c r="AR583" t="s">
        <v>1</v>
      </c>
      <c r="AT583" s="2" t="s">
        <v>0</v>
      </c>
      <c r="AU583" s="1">
        <f t="shared" si="77"/>
        <v>0.57012277979016357</v>
      </c>
      <c r="AV583" s="1">
        <f t="shared" si="78"/>
        <v>0.40919754116366885</v>
      </c>
      <c r="AW583" s="1">
        <f t="shared" si="79"/>
        <v>0.24827230253717419</v>
      </c>
    </row>
    <row r="584" spans="1:49" x14ac:dyDescent="0.2">
      <c r="A584">
        <v>582</v>
      </c>
      <c r="B584" t="s">
        <v>3709</v>
      </c>
      <c r="C584" t="s">
        <v>3708</v>
      </c>
      <c r="F584" t="s">
        <v>3707</v>
      </c>
      <c r="G584" t="s">
        <v>9</v>
      </c>
      <c r="H584" t="s">
        <v>8</v>
      </c>
      <c r="I584" t="s">
        <v>3706</v>
      </c>
      <c r="J584">
        <v>60022002</v>
      </c>
      <c r="K584" t="s">
        <v>3705</v>
      </c>
      <c r="L584" t="s">
        <v>3704</v>
      </c>
      <c r="M584" t="s">
        <v>66</v>
      </c>
      <c r="N584">
        <v>1</v>
      </c>
      <c r="O584" t="s">
        <v>3703</v>
      </c>
      <c r="P584">
        <v>56039766000</v>
      </c>
      <c r="Q584">
        <v>60022002</v>
      </c>
      <c r="R584" s="7">
        <v>36789</v>
      </c>
      <c r="S584" s="8">
        <f t="shared" si="72"/>
        <v>2000</v>
      </c>
      <c r="T584" s="8">
        <v>2000</v>
      </c>
      <c r="U584" s="8">
        <f t="shared" si="73"/>
        <v>22</v>
      </c>
      <c r="V584" s="7">
        <v>36789</v>
      </c>
      <c r="W584" t="s">
        <v>150</v>
      </c>
      <c r="X584" s="2">
        <v>0.30399999999999999</v>
      </c>
      <c r="Y584" s="6">
        <f t="shared" si="74"/>
        <v>8.115106377299057E-3</v>
      </c>
      <c r="AA584">
        <v>8952477</v>
      </c>
      <c r="AB584">
        <v>12250</v>
      </c>
      <c r="AD584" t="s">
        <v>3</v>
      </c>
      <c r="AE584">
        <v>26</v>
      </c>
      <c r="AF584">
        <v>6</v>
      </c>
      <c r="AH584" t="s">
        <v>2</v>
      </c>
      <c r="AI584" t="s">
        <v>3702</v>
      </c>
      <c r="AK584" t="s">
        <v>3701</v>
      </c>
      <c r="AL584">
        <v>5</v>
      </c>
      <c r="AM584" s="5">
        <f t="shared" si="75"/>
        <v>0.22727272727272727</v>
      </c>
      <c r="AN584" s="4">
        <f t="shared" si="76"/>
        <v>3.4422222987160508E-4</v>
      </c>
      <c r="AO584" s="3"/>
      <c r="AP584">
        <v>0</v>
      </c>
      <c r="AR584" t="s">
        <v>1</v>
      </c>
      <c r="AT584" s="2" t="s">
        <v>0</v>
      </c>
      <c r="AU584" s="1">
        <f t="shared" si="77"/>
        <v>0.57838411330708206</v>
      </c>
      <c r="AV584" s="1">
        <f t="shared" si="78"/>
        <v>0.42296643035853304</v>
      </c>
      <c r="AW584" s="1">
        <f t="shared" si="79"/>
        <v>0.26754874740998408</v>
      </c>
    </row>
    <row r="585" spans="1:49" x14ac:dyDescent="0.2">
      <c r="A585">
        <v>583</v>
      </c>
      <c r="B585" t="s">
        <v>3700</v>
      </c>
      <c r="C585" t="s">
        <v>3699</v>
      </c>
      <c r="F585" t="s">
        <v>3698</v>
      </c>
      <c r="G585" t="s">
        <v>9</v>
      </c>
      <c r="H585" t="s">
        <v>8</v>
      </c>
      <c r="I585" t="s">
        <v>757</v>
      </c>
      <c r="J585">
        <v>60012873</v>
      </c>
      <c r="K585" t="s">
        <v>756</v>
      </c>
      <c r="L585" t="s">
        <v>755</v>
      </c>
      <c r="M585" t="s">
        <v>754</v>
      </c>
      <c r="N585">
        <v>1</v>
      </c>
      <c r="O585" t="s">
        <v>753</v>
      </c>
      <c r="P585">
        <v>7005794256</v>
      </c>
      <c r="Q585">
        <v>60012873</v>
      </c>
      <c r="R585" s="7">
        <v>36789</v>
      </c>
      <c r="S585" s="8">
        <f t="shared" si="72"/>
        <v>2000</v>
      </c>
      <c r="T585" s="8">
        <v>2000</v>
      </c>
      <c r="U585" s="8">
        <f t="shared" si="73"/>
        <v>22</v>
      </c>
      <c r="V585" s="7">
        <v>36789</v>
      </c>
      <c r="W585" t="s">
        <v>150</v>
      </c>
      <c r="X585" s="2">
        <v>0.30399999999999999</v>
      </c>
      <c r="Y585" s="6">
        <f t="shared" si="74"/>
        <v>8.115106377299057E-3</v>
      </c>
      <c r="AA585">
        <v>8952477</v>
      </c>
      <c r="AB585">
        <v>12250</v>
      </c>
      <c r="AD585" t="s">
        <v>3</v>
      </c>
      <c r="AE585">
        <v>26</v>
      </c>
      <c r="AF585">
        <v>6</v>
      </c>
      <c r="AH585" t="s">
        <v>546</v>
      </c>
      <c r="AI585" t="s">
        <v>3697</v>
      </c>
      <c r="AK585" t="s">
        <v>3696</v>
      </c>
      <c r="AL585">
        <v>14</v>
      </c>
      <c r="AM585" s="5">
        <f t="shared" si="75"/>
        <v>0.63636363636363635</v>
      </c>
      <c r="AN585" s="4">
        <f t="shared" si="76"/>
        <v>9.6382224364049431E-4</v>
      </c>
      <c r="AO585" s="3"/>
      <c r="AP585">
        <v>0</v>
      </c>
      <c r="AR585" t="s">
        <v>1</v>
      </c>
      <c r="AT585" s="2" t="s">
        <v>0</v>
      </c>
      <c r="AU585" s="1">
        <f t="shared" si="77"/>
        <v>0.5969721137201488</v>
      </c>
      <c r="AV585" s="1">
        <f t="shared" si="78"/>
        <v>0.45394643104697757</v>
      </c>
      <c r="AW585" s="1">
        <f t="shared" si="79"/>
        <v>0.31092074837380634</v>
      </c>
    </row>
    <row r="586" spans="1:49" x14ac:dyDescent="0.2">
      <c r="A586">
        <v>584</v>
      </c>
      <c r="B586" t="s">
        <v>3695</v>
      </c>
      <c r="C586" t="s">
        <v>3694</v>
      </c>
      <c r="F586" t="s">
        <v>3693</v>
      </c>
      <c r="G586" t="s">
        <v>9</v>
      </c>
      <c r="H586" t="s">
        <v>8</v>
      </c>
      <c r="I586" t="s">
        <v>380</v>
      </c>
      <c r="J586" t="s">
        <v>623</v>
      </c>
      <c r="K586" t="s">
        <v>622</v>
      </c>
      <c r="L586" t="s">
        <v>621</v>
      </c>
      <c r="M586" t="s">
        <v>620</v>
      </c>
      <c r="N586">
        <v>4</v>
      </c>
      <c r="O586" t="s">
        <v>3692</v>
      </c>
      <c r="P586" t="s">
        <v>3691</v>
      </c>
      <c r="Q586" t="s">
        <v>3690</v>
      </c>
      <c r="R586" s="7">
        <v>36789</v>
      </c>
      <c r="S586" s="8">
        <f t="shared" si="72"/>
        <v>2000</v>
      </c>
      <c r="T586" s="8">
        <v>2000</v>
      </c>
      <c r="U586" s="8">
        <f t="shared" si="73"/>
        <v>22</v>
      </c>
      <c r="V586" s="7">
        <v>36789</v>
      </c>
      <c r="W586" t="s">
        <v>150</v>
      </c>
      <c r="X586" s="2">
        <v>0.30399999999999999</v>
      </c>
      <c r="Y586" s="6">
        <f t="shared" si="74"/>
        <v>8.115106377299057E-3</v>
      </c>
      <c r="AA586">
        <v>8952477</v>
      </c>
      <c r="AB586">
        <v>12250</v>
      </c>
      <c r="AD586" t="s">
        <v>3</v>
      </c>
      <c r="AE586">
        <v>26</v>
      </c>
      <c r="AF586">
        <v>6</v>
      </c>
      <c r="AH586" t="s">
        <v>3689</v>
      </c>
      <c r="AI586" t="s">
        <v>3688</v>
      </c>
      <c r="AK586" t="s">
        <v>3687</v>
      </c>
      <c r="AL586">
        <v>5</v>
      </c>
      <c r="AM586" s="5">
        <f t="shared" si="75"/>
        <v>0.22727272727272727</v>
      </c>
      <c r="AN586" s="4">
        <f t="shared" si="76"/>
        <v>3.4422222987160508E-4</v>
      </c>
      <c r="AO586" s="3"/>
      <c r="AP586">
        <v>0</v>
      </c>
      <c r="AR586" t="s">
        <v>1</v>
      </c>
      <c r="AT586" s="2" t="s">
        <v>0</v>
      </c>
      <c r="AU586" s="1">
        <f t="shared" si="77"/>
        <v>0.57838411330708206</v>
      </c>
      <c r="AV586" s="1">
        <f t="shared" si="78"/>
        <v>0.42296643035853304</v>
      </c>
      <c r="AW586" s="1">
        <f t="shared" si="79"/>
        <v>0.26754874740998408</v>
      </c>
    </row>
    <row r="587" spans="1:49" x14ac:dyDescent="0.2">
      <c r="A587">
        <v>585</v>
      </c>
      <c r="B587" t="s">
        <v>3686</v>
      </c>
      <c r="C587" t="s">
        <v>3685</v>
      </c>
      <c r="F587" t="s">
        <v>3684</v>
      </c>
      <c r="G587" t="s">
        <v>9</v>
      </c>
      <c r="H587" t="s">
        <v>8</v>
      </c>
      <c r="I587" t="s">
        <v>3683</v>
      </c>
      <c r="J587">
        <v>60013983</v>
      </c>
      <c r="K587" t="s">
        <v>162</v>
      </c>
      <c r="L587" t="s">
        <v>161</v>
      </c>
      <c r="M587" t="s">
        <v>160</v>
      </c>
      <c r="N587">
        <v>3</v>
      </c>
      <c r="O587" t="s">
        <v>3682</v>
      </c>
      <c r="P587" t="s">
        <v>3681</v>
      </c>
      <c r="Q587" t="s">
        <v>542</v>
      </c>
      <c r="R587" s="7">
        <v>36789</v>
      </c>
      <c r="S587" s="8">
        <f t="shared" si="72"/>
        <v>2000</v>
      </c>
      <c r="T587" s="8">
        <v>2000</v>
      </c>
      <c r="U587" s="8">
        <f t="shared" si="73"/>
        <v>22</v>
      </c>
      <c r="V587" s="7">
        <v>36789</v>
      </c>
      <c r="W587" t="s">
        <v>150</v>
      </c>
      <c r="X587" s="2">
        <v>0.30399999999999999</v>
      </c>
      <c r="Y587" s="6">
        <f t="shared" si="74"/>
        <v>8.115106377299057E-3</v>
      </c>
      <c r="AA587">
        <v>8952477</v>
      </c>
      <c r="AB587">
        <v>12250</v>
      </c>
      <c r="AD587" t="s">
        <v>3</v>
      </c>
      <c r="AE587">
        <v>26</v>
      </c>
      <c r="AF587">
        <v>6</v>
      </c>
      <c r="AH587" t="s">
        <v>3680</v>
      </c>
      <c r="AI587" t="s">
        <v>3679</v>
      </c>
      <c r="AK587" t="s">
        <v>3678</v>
      </c>
      <c r="AL587">
        <v>0</v>
      </c>
      <c r="AM587" s="5">
        <f t="shared" si="75"/>
        <v>0</v>
      </c>
      <c r="AN587" s="4">
        <f t="shared" si="76"/>
        <v>0</v>
      </c>
      <c r="AO587" s="3"/>
      <c r="AP587">
        <v>0</v>
      </c>
      <c r="AR587" t="s">
        <v>1</v>
      </c>
      <c r="AT587" s="2" t="s">
        <v>0</v>
      </c>
      <c r="AU587" s="1">
        <f t="shared" si="77"/>
        <v>0.56805744641093392</v>
      </c>
      <c r="AV587" s="1">
        <f t="shared" si="78"/>
        <v>0.40575531886495286</v>
      </c>
      <c r="AW587" s="1">
        <f t="shared" si="79"/>
        <v>0.24345319131897172</v>
      </c>
    </row>
    <row r="588" spans="1:49" x14ac:dyDescent="0.2">
      <c r="A588">
        <v>586</v>
      </c>
      <c r="B588" t="s">
        <v>3677</v>
      </c>
      <c r="C588" t="s">
        <v>3676</v>
      </c>
      <c r="F588" t="s">
        <v>3675</v>
      </c>
      <c r="G588" t="s">
        <v>9</v>
      </c>
      <c r="H588" t="s">
        <v>8</v>
      </c>
      <c r="I588" t="s">
        <v>3674</v>
      </c>
      <c r="J588">
        <v>60014153</v>
      </c>
      <c r="K588" t="s">
        <v>261</v>
      </c>
      <c r="L588" t="s">
        <v>260</v>
      </c>
      <c r="M588" t="s">
        <v>251</v>
      </c>
      <c r="N588">
        <v>2</v>
      </c>
      <c r="O588" t="s">
        <v>3673</v>
      </c>
      <c r="P588" t="s">
        <v>3672</v>
      </c>
      <c r="Q588" t="s">
        <v>512</v>
      </c>
      <c r="R588" s="7">
        <v>36789</v>
      </c>
      <c r="S588" s="8">
        <f t="shared" si="72"/>
        <v>2000</v>
      </c>
      <c r="T588" s="8">
        <v>2000</v>
      </c>
      <c r="U588" s="8">
        <f t="shared" si="73"/>
        <v>22</v>
      </c>
      <c r="V588" s="7">
        <v>36789</v>
      </c>
      <c r="W588" t="s">
        <v>150</v>
      </c>
      <c r="X588" s="2">
        <v>0.30399999999999999</v>
      </c>
      <c r="Y588" s="6">
        <f t="shared" si="74"/>
        <v>8.115106377299057E-3</v>
      </c>
      <c r="AA588">
        <v>8952477</v>
      </c>
      <c r="AB588">
        <v>12250</v>
      </c>
      <c r="AD588" t="s">
        <v>3</v>
      </c>
      <c r="AE588">
        <v>26</v>
      </c>
      <c r="AF588">
        <v>6</v>
      </c>
      <c r="AH588" t="s">
        <v>3671</v>
      </c>
      <c r="AI588" t="s">
        <v>3670</v>
      </c>
      <c r="AK588" t="s">
        <v>3669</v>
      </c>
      <c r="AL588">
        <v>5</v>
      </c>
      <c r="AM588" s="5">
        <f t="shared" si="75"/>
        <v>0.22727272727272727</v>
      </c>
      <c r="AN588" s="4">
        <f t="shared" si="76"/>
        <v>3.4422222987160508E-4</v>
      </c>
      <c r="AO588" s="3"/>
      <c r="AP588">
        <v>0</v>
      </c>
      <c r="AR588" t="s">
        <v>1</v>
      </c>
      <c r="AT588" s="2" t="s">
        <v>0</v>
      </c>
      <c r="AU588" s="1">
        <f t="shared" si="77"/>
        <v>0.57838411330708206</v>
      </c>
      <c r="AV588" s="1">
        <f t="shared" si="78"/>
        <v>0.42296643035853304</v>
      </c>
      <c r="AW588" s="1">
        <f t="shared" si="79"/>
        <v>0.26754874740998408</v>
      </c>
    </row>
    <row r="589" spans="1:49" x14ac:dyDescent="0.2">
      <c r="A589">
        <v>587</v>
      </c>
      <c r="B589" t="s">
        <v>3668</v>
      </c>
      <c r="C589" t="s">
        <v>3667</v>
      </c>
      <c r="D589" t="s">
        <v>3666</v>
      </c>
      <c r="E589">
        <v>11024285</v>
      </c>
      <c r="F589" t="s">
        <v>3665</v>
      </c>
      <c r="G589" t="s">
        <v>9</v>
      </c>
      <c r="H589" t="s">
        <v>8</v>
      </c>
      <c r="I589" t="s">
        <v>3664</v>
      </c>
      <c r="J589" t="s">
        <v>3663</v>
      </c>
      <c r="K589" t="s">
        <v>3662</v>
      </c>
      <c r="L589" t="s">
        <v>3661</v>
      </c>
      <c r="M589" t="s">
        <v>168</v>
      </c>
      <c r="N589">
        <v>5</v>
      </c>
      <c r="O589" t="s">
        <v>3660</v>
      </c>
      <c r="P589" t="s">
        <v>3659</v>
      </c>
      <c r="Q589" t="s">
        <v>3658</v>
      </c>
      <c r="R589" s="7">
        <v>36788</v>
      </c>
      <c r="S589" s="8">
        <f t="shared" si="72"/>
        <v>2000</v>
      </c>
      <c r="T589" s="8">
        <v>2000</v>
      </c>
      <c r="U589" s="8">
        <f t="shared" si="73"/>
        <v>22</v>
      </c>
      <c r="V589" s="7">
        <v>36788</v>
      </c>
      <c r="W589" t="s">
        <v>804</v>
      </c>
      <c r="X589" s="2">
        <v>0.91600000000000004</v>
      </c>
      <c r="Y589" s="6">
        <f t="shared" si="74"/>
        <v>2.4452096847387951E-2</v>
      </c>
      <c r="AA589">
        <v>3781119</v>
      </c>
      <c r="AB589">
        <v>15636</v>
      </c>
      <c r="AD589" t="s">
        <v>3</v>
      </c>
      <c r="AE589">
        <v>255</v>
      </c>
      <c r="AF589">
        <v>2</v>
      </c>
      <c r="AH589" t="s">
        <v>3657</v>
      </c>
      <c r="AI589" t="s">
        <v>3656</v>
      </c>
      <c r="AJ589" t="s">
        <v>3655</v>
      </c>
      <c r="AK589" t="s">
        <v>3654</v>
      </c>
      <c r="AL589">
        <v>14</v>
      </c>
      <c r="AM589" s="5">
        <f t="shared" si="75"/>
        <v>0.63636363636363635</v>
      </c>
      <c r="AN589" s="4">
        <f t="shared" si="76"/>
        <v>9.6382224364049431E-4</v>
      </c>
      <c r="AO589" s="3"/>
      <c r="AP589">
        <v>0</v>
      </c>
      <c r="AQ589" t="s">
        <v>107</v>
      </c>
      <c r="AR589" t="s">
        <v>3653</v>
      </c>
      <c r="AS589" t="s">
        <v>106</v>
      </c>
      <c r="AT589" s="2">
        <v>3.6880000000000002</v>
      </c>
      <c r="AU589" s="1">
        <f t="shared" si="77"/>
        <v>1.7405614466263712</v>
      </c>
      <c r="AV589" s="1">
        <f t="shared" si="78"/>
        <v>1.2707959545514222</v>
      </c>
      <c r="AW589" s="1">
        <f t="shared" si="79"/>
        <v>0.80103046247647303</v>
      </c>
    </row>
    <row r="590" spans="1:49" x14ac:dyDescent="0.2">
      <c r="A590">
        <v>588</v>
      </c>
      <c r="B590" t="s">
        <v>3652</v>
      </c>
      <c r="C590" t="s">
        <v>3651</v>
      </c>
      <c r="E590">
        <v>10951213</v>
      </c>
      <c r="F590" t="s">
        <v>3650</v>
      </c>
      <c r="G590" t="s">
        <v>9</v>
      </c>
      <c r="H590" t="s">
        <v>8</v>
      </c>
      <c r="I590" t="s">
        <v>3649</v>
      </c>
      <c r="J590" t="s">
        <v>3648</v>
      </c>
      <c r="K590" t="s">
        <v>3647</v>
      </c>
      <c r="L590" t="s">
        <v>3646</v>
      </c>
      <c r="M590" t="s">
        <v>3645</v>
      </c>
      <c r="N590">
        <v>7</v>
      </c>
      <c r="O590" t="s">
        <v>3644</v>
      </c>
      <c r="P590" t="s">
        <v>3643</v>
      </c>
      <c r="Q590" t="s">
        <v>3642</v>
      </c>
      <c r="R590" s="7">
        <v>36788</v>
      </c>
      <c r="S590" s="8">
        <f t="shared" si="72"/>
        <v>2000</v>
      </c>
      <c r="T590" s="8">
        <v>2000</v>
      </c>
      <c r="U590" s="8">
        <f t="shared" si="73"/>
        <v>22</v>
      </c>
      <c r="V590" s="7">
        <v>2000</v>
      </c>
      <c r="W590" t="s">
        <v>442</v>
      </c>
      <c r="X590" s="2">
        <v>1.9810000000000001</v>
      </c>
      <c r="Y590" s="6">
        <f t="shared" si="74"/>
        <v>5.2881663596807349E-2</v>
      </c>
      <c r="AA590">
        <v>142956</v>
      </c>
      <c r="AB590">
        <v>39034</v>
      </c>
      <c r="AD590" t="s">
        <v>3</v>
      </c>
      <c r="AE590">
        <v>267</v>
      </c>
      <c r="AF590">
        <v>17</v>
      </c>
      <c r="AH590" t="s">
        <v>3641</v>
      </c>
      <c r="AI590" t="s">
        <v>3640</v>
      </c>
      <c r="AJ590" t="s">
        <v>3639</v>
      </c>
      <c r="AK590" t="s">
        <v>3638</v>
      </c>
      <c r="AL590">
        <v>45</v>
      </c>
      <c r="AM590" s="5">
        <f t="shared" si="75"/>
        <v>2.0454545454545454</v>
      </c>
      <c r="AN590" s="4">
        <f t="shared" si="76"/>
        <v>3.0980000688444458E-3</v>
      </c>
      <c r="AO590" s="3"/>
      <c r="AP590">
        <v>0</v>
      </c>
      <c r="AR590" t="s">
        <v>1</v>
      </c>
      <c r="AT590" s="2" t="s">
        <v>0</v>
      </c>
      <c r="AU590" s="1">
        <f t="shared" si="77"/>
        <v>3.7946564538418479</v>
      </c>
      <c r="AV590" s="1">
        <f t="shared" si="78"/>
        <v>2.7989831832825898</v>
      </c>
      <c r="AW590" s="1">
        <f t="shared" si="79"/>
        <v>1.8033099127233314</v>
      </c>
    </row>
    <row r="591" spans="1:49" x14ac:dyDescent="0.2">
      <c r="A591">
        <v>589</v>
      </c>
      <c r="B591" t="s">
        <v>3637</v>
      </c>
      <c r="C591" t="s">
        <v>3636</v>
      </c>
      <c r="E591">
        <v>10954842</v>
      </c>
      <c r="F591" t="s">
        <v>3635</v>
      </c>
      <c r="G591" t="s">
        <v>9</v>
      </c>
      <c r="H591" t="s">
        <v>8</v>
      </c>
      <c r="I591" t="s">
        <v>3634</v>
      </c>
      <c r="J591" t="s">
        <v>3633</v>
      </c>
      <c r="K591" t="s">
        <v>3632</v>
      </c>
      <c r="L591" t="s">
        <v>3631</v>
      </c>
      <c r="M591" t="s">
        <v>52</v>
      </c>
      <c r="N591">
        <v>3</v>
      </c>
      <c r="O591" t="s">
        <v>3630</v>
      </c>
      <c r="P591" t="s">
        <v>3629</v>
      </c>
      <c r="Q591" t="s">
        <v>3628</v>
      </c>
      <c r="R591" s="7">
        <v>36787</v>
      </c>
      <c r="S591" s="8">
        <f t="shared" si="72"/>
        <v>2000</v>
      </c>
      <c r="T591" s="8">
        <v>2000</v>
      </c>
      <c r="U591" s="8">
        <f t="shared" si="73"/>
        <v>22</v>
      </c>
      <c r="V591" s="7">
        <v>36787</v>
      </c>
      <c r="W591" t="s">
        <v>964</v>
      </c>
      <c r="X591" s="2">
        <v>1.855</v>
      </c>
      <c r="Y591" s="6">
        <f t="shared" si="74"/>
        <v>4.9518165558847867E-2</v>
      </c>
      <c r="AA591">
        <v>219967</v>
      </c>
      <c r="AB591">
        <v>16689</v>
      </c>
      <c r="AD591" t="s">
        <v>3</v>
      </c>
      <c r="AE591">
        <v>425</v>
      </c>
      <c r="AF591">
        <v>2</v>
      </c>
      <c r="AH591" t="s">
        <v>3627</v>
      </c>
      <c r="AI591" t="s">
        <v>3626</v>
      </c>
      <c r="AJ591" t="s">
        <v>3625</v>
      </c>
      <c r="AK591" t="s">
        <v>3624</v>
      </c>
      <c r="AL591">
        <v>13</v>
      </c>
      <c r="AM591" s="5">
        <f t="shared" si="75"/>
        <v>0.59090909090909094</v>
      </c>
      <c r="AN591" s="4">
        <f t="shared" si="76"/>
        <v>8.9497779766617338E-4</v>
      </c>
      <c r="AO591" s="3"/>
      <c r="AP591">
        <v>0</v>
      </c>
      <c r="AQ591" t="s">
        <v>963</v>
      </c>
      <c r="AR591" t="s">
        <v>962</v>
      </c>
      <c r="AS591" t="s">
        <v>961</v>
      </c>
      <c r="AT591" s="2">
        <v>3.2149999999999999</v>
      </c>
      <c r="AU591" s="1">
        <f t="shared" si="77"/>
        <v>3.4931209230493359</v>
      </c>
      <c r="AV591" s="1">
        <f t="shared" si="78"/>
        <v>2.5206571678257021</v>
      </c>
      <c r="AW591" s="1">
        <f t="shared" si="79"/>
        <v>1.548193412602068</v>
      </c>
    </row>
    <row r="592" spans="1:49" x14ac:dyDescent="0.2">
      <c r="A592">
        <v>590</v>
      </c>
      <c r="B592" t="s">
        <v>3623</v>
      </c>
      <c r="C592" t="s">
        <v>3622</v>
      </c>
      <c r="F592" t="s">
        <v>3621</v>
      </c>
      <c r="G592" t="s">
        <v>9</v>
      </c>
      <c r="H592" t="s">
        <v>8</v>
      </c>
      <c r="I592" t="s">
        <v>3620</v>
      </c>
      <c r="J592">
        <v>60016675</v>
      </c>
      <c r="K592" t="s">
        <v>3619</v>
      </c>
      <c r="L592" t="s">
        <v>3618</v>
      </c>
      <c r="M592" t="s">
        <v>5</v>
      </c>
      <c r="N592">
        <v>2</v>
      </c>
      <c r="O592" t="s">
        <v>3617</v>
      </c>
      <c r="P592" t="s">
        <v>3616</v>
      </c>
      <c r="Q592" t="s">
        <v>3615</v>
      </c>
      <c r="R592" s="7">
        <v>36787</v>
      </c>
      <c r="S592" s="8">
        <f t="shared" si="72"/>
        <v>2000</v>
      </c>
      <c r="T592" s="8">
        <v>2000</v>
      </c>
      <c r="U592" s="8">
        <f t="shared" si="73"/>
        <v>22</v>
      </c>
      <c r="V592" s="7">
        <v>36787</v>
      </c>
      <c r="W592" t="s">
        <v>3614</v>
      </c>
      <c r="X592" s="2" t="s">
        <v>0</v>
      </c>
      <c r="Y592" s="6" t="e">
        <f t="shared" si="74"/>
        <v>#VALUE!</v>
      </c>
      <c r="AA592">
        <v>1718630</v>
      </c>
      <c r="AB592">
        <v>12169</v>
      </c>
      <c r="AD592" t="s">
        <v>3</v>
      </c>
      <c r="AE592">
        <v>203</v>
      </c>
      <c r="AH592" t="s">
        <v>3613</v>
      </c>
      <c r="AI592" t="s">
        <v>3612</v>
      </c>
      <c r="AJ592" t="s">
        <v>3611</v>
      </c>
      <c r="AK592" t="s">
        <v>3610</v>
      </c>
      <c r="AL592">
        <v>19</v>
      </c>
      <c r="AM592" s="5">
        <f t="shared" si="75"/>
        <v>0.86363636363636365</v>
      </c>
      <c r="AN592" s="4">
        <f t="shared" si="76"/>
        <v>1.3080444735120995E-3</v>
      </c>
      <c r="AO592" s="3"/>
      <c r="AP592">
        <v>1</v>
      </c>
      <c r="AR592" t="s">
        <v>1</v>
      </c>
      <c r="AT592" s="2">
        <v>2.8239999999999998</v>
      </c>
      <c r="AU592" s="1" t="e">
        <f t="shared" si="77"/>
        <v>#VALUE!</v>
      </c>
      <c r="AV592" s="1" t="e">
        <f t="shared" si="78"/>
        <v>#VALUE!</v>
      </c>
      <c r="AW592" s="1" t="e">
        <f t="shared" si="79"/>
        <v>#VALUE!</v>
      </c>
    </row>
    <row r="593" spans="1:49" x14ac:dyDescent="0.2">
      <c r="A593">
        <v>591</v>
      </c>
      <c r="B593" t="s">
        <v>3609</v>
      </c>
      <c r="C593" t="s">
        <v>3608</v>
      </c>
      <c r="F593" t="s">
        <v>3607</v>
      </c>
      <c r="G593" t="s">
        <v>9</v>
      </c>
      <c r="H593" t="s">
        <v>8</v>
      </c>
      <c r="I593" t="s">
        <v>3606</v>
      </c>
      <c r="J593" t="s">
        <v>3605</v>
      </c>
      <c r="K593" t="s">
        <v>3604</v>
      </c>
      <c r="L593" t="s">
        <v>3603</v>
      </c>
      <c r="M593" t="s">
        <v>3602</v>
      </c>
      <c r="N593">
        <v>4</v>
      </c>
      <c r="O593" t="s">
        <v>3601</v>
      </c>
      <c r="P593" t="s">
        <v>3600</v>
      </c>
      <c r="Q593" t="s">
        <v>3599</v>
      </c>
      <c r="R593" s="7">
        <v>36787</v>
      </c>
      <c r="S593" s="8">
        <f t="shared" si="72"/>
        <v>2000</v>
      </c>
      <c r="T593" s="8">
        <v>2000</v>
      </c>
      <c r="U593" s="8">
        <f t="shared" si="73"/>
        <v>22</v>
      </c>
      <c r="V593" s="7">
        <v>36787</v>
      </c>
      <c r="W593" t="s">
        <v>803</v>
      </c>
      <c r="X593" s="2">
        <v>1.1819999999999999</v>
      </c>
      <c r="Y593" s="6">
        <f t="shared" si="74"/>
        <v>3.1552814927524625E-2</v>
      </c>
      <c r="AA593">
        <v>36951</v>
      </c>
      <c r="AB593">
        <v>27030</v>
      </c>
      <c r="AD593" t="s">
        <v>3</v>
      </c>
      <c r="AE593">
        <v>77</v>
      </c>
      <c r="AF593">
        <v>12</v>
      </c>
      <c r="AH593" t="s">
        <v>3598</v>
      </c>
      <c r="AI593" t="s">
        <v>3597</v>
      </c>
      <c r="AK593" t="s">
        <v>3596</v>
      </c>
      <c r="AL593">
        <v>43</v>
      </c>
      <c r="AM593" s="5">
        <f t="shared" si="75"/>
        <v>1.9545454545454546</v>
      </c>
      <c r="AN593" s="4">
        <f t="shared" si="76"/>
        <v>2.9603111768958042E-3</v>
      </c>
      <c r="AO593" s="3"/>
      <c r="AP593">
        <v>0</v>
      </c>
      <c r="AR593" t="s">
        <v>1</v>
      </c>
      <c r="AT593" s="2">
        <v>3.7909999999999999</v>
      </c>
      <c r="AU593" s="1">
        <f t="shared" si="77"/>
        <v>2.2975063802335978</v>
      </c>
      <c r="AV593" s="1">
        <f t="shared" si="78"/>
        <v>1.7256563052210214</v>
      </c>
      <c r="AW593" s="1">
        <f t="shared" si="79"/>
        <v>1.1538062302084451</v>
      </c>
    </row>
    <row r="594" spans="1:49" x14ac:dyDescent="0.2">
      <c r="A594">
        <v>592</v>
      </c>
      <c r="B594" t="s">
        <v>3595</v>
      </c>
      <c r="C594" t="s">
        <v>3594</v>
      </c>
      <c r="D594" t="s">
        <v>3593</v>
      </c>
      <c r="F594" t="s">
        <v>3592</v>
      </c>
      <c r="G594" t="s">
        <v>9</v>
      </c>
      <c r="H594" t="s">
        <v>8</v>
      </c>
      <c r="I594" t="s">
        <v>3591</v>
      </c>
      <c r="J594" t="s">
        <v>3590</v>
      </c>
      <c r="K594" t="s">
        <v>3589</v>
      </c>
      <c r="L594" t="s">
        <v>3588</v>
      </c>
      <c r="M594" t="s">
        <v>3587</v>
      </c>
      <c r="N594">
        <v>4</v>
      </c>
      <c r="O594" t="s">
        <v>3586</v>
      </c>
      <c r="P594" t="s">
        <v>3585</v>
      </c>
      <c r="Q594" t="s">
        <v>3584</v>
      </c>
      <c r="R594" s="7">
        <v>36784</v>
      </c>
      <c r="S594" s="8">
        <f t="shared" si="72"/>
        <v>2000</v>
      </c>
      <c r="T594" s="8">
        <v>2000</v>
      </c>
      <c r="U594" s="8">
        <f t="shared" si="73"/>
        <v>22</v>
      </c>
      <c r="V594" s="7">
        <v>36784</v>
      </c>
      <c r="W594" t="s">
        <v>3583</v>
      </c>
      <c r="X594" s="2" t="s">
        <v>0</v>
      </c>
      <c r="Y594" s="6" t="e">
        <f t="shared" si="74"/>
        <v>#VALUE!</v>
      </c>
      <c r="AA594">
        <v>9284869</v>
      </c>
      <c r="AB594">
        <v>79766</v>
      </c>
      <c r="AD594" t="s">
        <v>3</v>
      </c>
      <c r="AE594">
        <v>8</v>
      </c>
      <c r="AF594" s="10">
        <v>44289</v>
      </c>
      <c r="AH594" t="s">
        <v>3582</v>
      </c>
      <c r="AI594" t="s">
        <v>3581</v>
      </c>
      <c r="AK594" t="s">
        <v>3580</v>
      </c>
      <c r="AL594">
        <v>5</v>
      </c>
      <c r="AM594" s="5">
        <f t="shared" si="75"/>
        <v>0.22727272727272727</v>
      </c>
      <c r="AN594" s="4">
        <f t="shared" si="76"/>
        <v>3.4422222987160508E-4</v>
      </c>
      <c r="AO594" s="3"/>
      <c r="AP594">
        <v>0</v>
      </c>
      <c r="AR594" t="s">
        <v>1</v>
      </c>
      <c r="AT594" s="2" t="s">
        <v>0</v>
      </c>
      <c r="AU594" s="1" t="e">
        <f t="shared" si="77"/>
        <v>#VALUE!</v>
      </c>
      <c r="AV594" s="1" t="e">
        <f t="shared" si="78"/>
        <v>#VALUE!</v>
      </c>
      <c r="AW594" s="1" t="e">
        <f t="shared" si="79"/>
        <v>#VALUE!</v>
      </c>
    </row>
    <row r="595" spans="1:49" x14ac:dyDescent="0.2">
      <c r="A595">
        <v>593</v>
      </c>
      <c r="B595" t="s">
        <v>3579</v>
      </c>
      <c r="C595" t="s">
        <v>3578</v>
      </c>
      <c r="F595" t="s">
        <v>3577</v>
      </c>
      <c r="G595" t="s">
        <v>9</v>
      </c>
      <c r="H595" t="s">
        <v>8</v>
      </c>
      <c r="I595" t="s">
        <v>3576</v>
      </c>
      <c r="J595">
        <v>60024322</v>
      </c>
      <c r="K595" t="s">
        <v>60</v>
      </c>
      <c r="L595" t="s">
        <v>59</v>
      </c>
      <c r="M595" t="s">
        <v>43</v>
      </c>
      <c r="N595">
        <v>2</v>
      </c>
      <c r="O595" t="s">
        <v>3575</v>
      </c>
      <c r="P595" t="s">
        <v>3574</v>
      </c>
      <c r="Q595" t="s">
        <v>3573</v>
      </c>
      <c r="R595" s="7">
        <v>36784</v>
      </c>
      <c r="S595" s="8">
        <f t="shared" si="72"/>
        <v>2000</v>
      </c>
      <c r="T595" s="8">
        <v>2000</v>
      </c>
      <c r="U595" s="8">
        <f t="shared" si="73"/>
        <v>22</v>
      </c>
      <c r="V595" s="7">
        <v>36784</v>
      </c>
      <c r="W595" t="s">
        <v>64</v>
      </c>
      <c r="X595" s="2">
        <v>2.0070000000000001</v>
      </c>
      <c r="Y595" s="6">
        <f t="shared" si="74"/>
        <v>5.3575718747497406E-2</v>
      </c>
      <c r="AA595">
        <v>948276</v>
      </c>
      <c r="AB595">
        <v>27962</v>
      </c>
      <c r="AD595" t="s">
        <v>3</v>
      </c>
      <c r="AE595">
        <v>27</v>
      </c>
      <c r="AF595">
        <v>18</v>
      </c>
      <c r="AH595" t="s">
        <v>3572</v>
      </c>
      <c r="AI595" t="s">
        <v>3571</v>
      </c>
      <c r="AK595" t="s">
        <v>3570</v>
      </c>
      <c r="AL595">
        <v>17</v>
      </c>
      <c r="AM595" s="5">
        <f t="shared" si="75"/>
        <v>0.77272727272727271</v>
      </c>
      <c r="AN595" s="4">
        <f t="shared" si="76"/>
        <v>1.1703555815634574E-3</v>
      </c>
      <c r="AO595" s="3"/>
      <c r="AP595">
        <v>0</v>
      </c>
      <c r="AR595" t="s">
        <v>1</v>
      </c>
      <c r="AT595" s="2">
        <v>4.72</v>
      </c>
      <c r="AU595" s="1">
        <f t="shared" si="77"/>
        <v>3.7854109797717221</v>
      </c>
      <c r="AV595" s="1">
        <f t="shared" si="78"/>
        <v>2.7373037164530429</v>
      </c>
      <c r="AW595" s="1">
        <f t="shared" si="79"/>
        <v>1.6891964531343637</v>
      </c>
    </row>
    <row r="596" spans="1:49" x14ac:dyDescent="0.2">
      <c r="A596">
        <v>594</v>
      </c>
      <c r="B596" t="s">
        <v>3569</v>
      </c>
      <c r="C596" t="s">
        <v>3568</v>
      </c>
      <c r="F596" t="s">
        <v>3567</v>
      </c>
      <c r="G596" t="s">
        <v>9</v>
      </c>
      <c r="H596" t="s">
        <v>8</v>
      </c>
      <c r="I596" t="s">
        <v>301</v>
      </c>
      <c r="J596" t="s">
        <v>3566</v>
      </c>
      <c r="K596" t="s">
        <v>3565</v>
      </c>
      <c r="L596" t="s">
        <v>3564</v>
      </c>
      <c r="M596" t="s">
        <v>3563</v>
      </c>
      <c r="N596">
        <v>4</v>
      </c>
      <c r="O596" t="s">
        <v>3562</v>
      </c>
      <c r="P596" t="s">
        <v>3561</v>
      </c>
      <c r="Q596" t="s">
        <v>3560</v>
      </c>
      <c r="R596" s="7">
        <v>36783</v>
      </c>
      <c r="S596" s="8">
        <f t="shared" si="72"/>
        <v>2000</v>
      </c>
      <c r="T596" s="8">
        <v>2000</v>
      </c>
      <c r="U596" s="8">
        <f t="shared" si="73"/>
        <v>22</v>
      </c>
      <c r="V596" s="7">
        <v>36783</v>
      </c>
      <c r="W596" t="s">
        <v>718</v>
      </c>
      <c r="X596" s="2">
        <v>0.375</v>
      </c>
      <c r="Y596" s="6">
        <f t="shared" si="74"/>
        <v>1.0010410827260351E-2</v>
      </c>
      <c r="AA596">
        <v>135194</v>
      </c>
      <c r="AB596">
        <v>24918</v>
      </c>
      <c r="AD596" t="s">
        <v>3</v>
      </c>
      <c r="AE596">
        <v>36</v>
      </c>
      <c r="AF596">
        <v>19</v>
      </c>
      <c r="AH596" t="s">
        <v>3559</v>
      </c>
      <c r="AI596" t="s">
        <v>3558</v>
      </c>
      <c r="AK596" t="s">
        <v>3557</v>
      </c>
      <c r="AL596">
        <v>0</v>
      </c>
      <c r="AM596" s="5">
        <f t="shared" si="75"/>
        <v>0</v>
      </c>
      <c r="AN596" s="4">
        <f t="shared" si="76"/>
        <v>0</v>
      </c>
      <c r="AO596" s="3"/>
      <c r="AP596">
        <v>0</v>
      </c>
      <c r="AR596" t="s">
        <v>1</v>
      </c>
      <c r="AT596" s="2">
        <v>1.3140000000000001</v>
      </c>
      <c r="AU596" s="1">
        <f t="shared" si="77"/>
        <v>0.70072875790822453</v>
      </c>
      <c r="AV596" s="1">
        <f t="shared" si="78"/>
        <v>0.5005205413630176</v>
      </c>
      <c r="AW596" s="1">
        <f t="shared" si="79"/>
        <v>0.30031232481781051</v>
      </c>
    </row>
    <row r="597" spans="1:49" x14ac:dyDescent="0.2">
      <c r="A597">
        <v>595</v>
      </c>
      <c r="B597" t="s">
        <v>3556</v>
      </c>
      <c r="C597" t="s">
        <v>3555</v>
      </c>
      <c r="F597" t="s">
        <v>3554</v>
      </c>
      <c r="G597" t="s">
        <v>9</v>
      </c>
      <c r="H597" t="s">
        <v>8</v>
      </c>
      <c r="I597" t="s">
        <v>839</v>
      </c>
      <c r="J597">
        <v>60003196</v>
      </c>
      <c r="K597" t="s">
        <v>3553</v>
      </c>
      <c r="L597" t="s">
        <v>73</v>
      </c>
      <c r="M597" t="s">
        <v>73</v>
      </c>
      <c r="N597">
        <v>4</v>
      </c>
      <c r="O597" t="s">
        <v>3552</v>
      </c>
      <c r="P597" t="s">
        <v>3551</v>
      </c>
      <c r="Q597" t="s">
        <v>3550</v>
      </c>
      <c r="R597" s="7">
        <v>36783</v>
      </c>
      <c r="S597" s="8">
        <f t="shared" si="72"/>
        <v>2000</v>
      </c>
      <c r="T597" s="8">
        <v>2000</v>
      </c>
      <c r="U597" s="8">
        <f t="shared" si="73"/>
        <v>22</v>
      </c>
      <c r="V597" s="7">
        <v>36783</v>
      </c>
      <c r="W597" t="s">
        <v>718</v>
      </c>
      <c r="X597" s="2">
        <v>0.375</v>
      </c>
      <c r="Y597" s="6">
        <f t="shared" si="74"/>
        <v>1.0010410827260351E-2</v>
      </c>
      <c r="AA597">
        <v>135194</v>
      </c>
      <c r="AB597">
        <v>24918</v>
      </c>
      <c r="AD597" t="s">
        <v>3</v>
      </c>
      <c r="AE597">
        <v>36</v>
      </c>
      <c r="AF597">
        <v>19</v>
      </c>
      <c r="AH597" t="s">
        <v>3549</v>
      </c>
      <c r="AI597" t="s">
        <v>3548</v>
      </c>
      <c r="AK597" t="s">
        <v>3547</v>
      </c>
      <c r="AL597">
        <v>14</v>
      </c>
      <c r="AM597" s="5">
        <f t="shared" si="75"/>
        <v>0.63636363636363635</v>
      </c>
      <c r="AN597" s="4">
        <f t="shared" si="76"/>
        <v>9.6382224364049431E-4</v>
      </c>
      <c r="AO597" s="3"/>
      <c r="AP597">
        <v>0</v>
      </c>
      <c r="AR597" t="s">
        <v>1</v>
      </c>
      <c r="AT597" s="2">
        <v>1.3140000000000001</v>
      </c>
      <c r="AU597" s="1">
        <f t="shared" si="77"/>
        <v>0.72964342521743941</v>
      </c>
      <c r="AV597" s="1">
        <f t="shared" si="78"/>
        <v>0.54871165354504225</v>
      </c>
      <c r="AW597" s="1">
        <f t="shared" si="79"/>
        <v>0.3677798818726451</v>
      </c>
    </row>
    <row r="598" spans="1:49" x14ac:dyDescent="0.2">
      <c r="A598">
        <v>596</v>
      </c>
      <c r="B598" t="s">
        <v>3546</v>
      </c>
      <c r="C598" t="s">
        <v>3545</v>
      </c>
      <c r="F598" t="s">
        <v>3544</v>
      </c>
      <c r="G598" t="s">
        <v>9</v>
      </c>
      <c r="H598" t="s">
        <v>8</v>
      </c>
      <c r="I598" t="s">
        <v>3543</v>
      </c>
      <c r="J598" t="s">
        <v>3538</v>
      </c>
      <c r="K598" t="s">
        <v>3542</v>
      </c>
      <c r="L598" t="s">
        <v>3541</v>
      </c>
      <c r="M598" t="s">
        <v>94</v>
      </c>
      <c r="N598">
        <v>2</v>
      </c>
      <c r="O598" t="s">
        <v>3540</v>
      </c>
      <c r="P598" t="s">
        <v>3539</v>
      </c>
      <c r="Q598" t="s">
        <v>3538</v>
      </c>
      <c r="R598" s="7">
        <v>36783</v>
      </c>
      <c r="S598" s="8">
        <f t="shared" si="72"/>
        <v>2000</v>
      </c>
      <c r="T598" s="8">
        <v>2000</v>
      </c>
      <c r="U598" s="8">
        <f t="shared" si="73"/>
        <v>22</v>
      </c>
      <c r="V598" s="7">
        <v>36783</v>
      </c>
      <c r="W598" t="s">
        <v>718</v>
      </c>
      <c r="X598" s="2">
        <v>0.375</v>
      </c>
      <c r="Y598" s="6">
        <f t="shared" si="74"/>
        <v>1.0010410827260351E-2</v>
      </c>
      <c r="AA598">
        <v>135194</v>
      </c>
      <c r="AB598">
        <v>24918</v>
      </c>
      <c r="AD598" t="s">
        <v>3</v>
      </c>
      <c r="AE598">
        <v>36</v>
      </c>
      <c r="AF598">
        <v>19</v>
      </c>
      <c r="AH598" t="s">
        <v>3537</v>
      </c>
      <c r="AI598" t="s">
        <v>3536</v>
      </c>
      <c r="AK598" t="s">
        <v>3535</v>
      </c>
      <c r="AL598">
        <v>15</v>
      </c>
      <c r="AM598" s="5">
        <f t="shared" si="75"/>
        <v>0.68181818181818177</v>
      </c>
      <c r="AN598" s="4">
        <f t="shared" si="76"/>
        <v>1.0326666896148153E-3</v>
      </c>
      <c r="AO598" s="3"/>
      <c r="AP598">
        <v>0</v>
      </c>
      <c r="AR598" t="s">
        <v>1</v>
      </c>
      <c r="AT598" s="2">
        <v>1.3140000000000001</v>
      </c>
      <c r="AU598" s="1">
        <f t="shared" si="77"/>
        <v>0.73170875859666895</v>
      </c>
      <c r="AV598" s="1">
        <f t="shared" si="78"/>
        <v>0.5521538758437583</v>
      </c>
      <c r="AW598" s="1">
        <f t="shared" si="79"/>
        <v>0.3725989930908476</v>
      </c>
    </row>
    <row r="599" spans="1:49" x14ac:dyDescent="0.2">
      <c r="A599">
        <v>597</v>
      </c>
      <c r="B599" t="s">
        <v>3534</v>
      </c>
      <c r="C599" t="s">
        <v>3533</v>
      </c>
      <c r="F599" t="s">
        <v>3532</v>
      </c>
      <c r="G599" t="s">
        <v>9</v>
      </c>
      <c r="H599" t="s">
        <v>8</v>
      </c>
      <c r="I599" t="s">
        <v>3531</v>
      </c>
      <c r="J599">
        <v>60031581</v>
      </c>
      <c r="K599" t="s">
        <v>3530</v>
      </c>
      <c r="L599" t="s">
        <v>312</v>
      </c>
      <c r="M599" t="s">
        <v>5</v>
      </c>
      <c r="N599">
        <v>1</v>
      </c>
      <c r="O599" t="s">
        <v>3529</v>
      </c>
      <c r="P599">
        <v>7006046869</v>
      </c>
      <c r="Q599">
        <v>60031581</v>
      </c>
      <c r="R599" s="7">
        <v>36780</v>
      </c>
      <c r="S599" s="8">
        <f t="shared" si="72"/>
        <v>2000</v>
      </c>
      <c r="T599" s="8">
        <v>2000</v>
      </c>
      <c r="U599" s="8">
        <f t="shared" si="73"/>
        <v>22</v>
      </c>
      <c r="V599" s="7">
        <v>36780</v>
      </c>
      <c r="W599" t="s">
        <v>1891</v>
      </c>
      <c r="X599" s="2">
        <v>2.0579999999999998</v>
      </c>
      <c r="Y599" s="6">
        <f t="shared" si="74"/>
        <v>5.4937134620004803E-2</v>
      </c>
      <c r="AA599">
        <v>358711</v>
      </c>
      <c r="AB599">
        <v>28218</v>
      </c>
      <c r="AD599" t="s">
        <v>3</v>
      </c>
      <c r="AE599">
        <v>317</v>
      </c>
      <c r="AF599">
        <v>2</v>
      </c>
      <c r="AH599" t="s">
        <v>3528</v>
      </c>
      <c r="AI599" t="s">
        <v>3527</v>
      </c>
      <c r="AJ599" t="s">
        <v>3526</v>
      </c>
      <c r="AK599" t="s">
        <v>3525</v>
      </c>
      <c r="AL599">
        <v>22</v>
      </c>
      <c r="AM599" s="5">
        <f t="shared" si="75"/>
        <v>1</v>
      </c>
      <c r="AN599" s="4">
        <f t="shared" si="76"/>
        <v>1.5145778114350624E-3</v>
      </c>
      <c r="AO599" s="3"/>
      <c r="AP599">
        <v>1</v>
      </c>
      <c r="AR599" t="s">
        <v>1</v>
      </c>
      <c r="AT599" s="2" t="s">
        <v>0</v>
      </c>
      <c r="AU599" s="1">
        <f t="shared" si="77"/>
        <v>3.8910367577433878</v>
      </c>
      <c r="AV599" s="1">
        <f t="shared" si="78"/>
        <v>2.8225856215719931</v>
      </c>
      <c r="AW599" s="1">
        <f t="shared" si="79"/>
        <v>1.7541344854005985</v>
      </c>
    </row>
    <row r="600" spans="1:49" x14ac:dyDescent="0.2">
      <c r="A600">
        <v>598</v>
      </c>
      <c r="B600" t="s">
        <v>3524</v>
      </c>
      <c r="C600" t="s">
        <v>3523</v>
      </c>
      <c r="F600" t="s">
        <v>3522</v>
      </c>
      <c r="G600" t="s">
        <v>9</v>
      </c>
      <c r="H600" t="s">
        <v>8</v>
      </c>
      <c r="I600" t="s">
        <v>913</v>
      </c>
      <c r="J600" t="s">
        <v>3521</v>
      </c>
      <c r="K600" t="s">
        <v>3520</v>
      </c>
      <c r="L600" t="s">
        <v>3519</v>
      </c>
      <c r="M600" t="s">
        <v>3518</v>
      </c>
      <c r="N600">
        <v>5</v>
      </c>
      <c r="O600" t="s">
        <v>3517</v>
      </c>
      <c r="P600" t="s">
        <v>3516</v>
      </c>
      <c r="Q600" t="s">
        <v>3515</v>
      </c>
      <c r="R600" s="7">
        <v>36780</v>
      </c>
      <c r="S600" s="8">
        <f t="shared" si="72"/>
        <v>2000</v>
      </c>
      <c r="T600" s="8">
        <v>2000</v>
      </c>
      <c r="U600" s="8">
        <f t="shared" si="73"/>
        <v>22</v>
      </c>
      <c r="V600" s="7">
        <v>36780</v>
      </c>
      <c r="W600" t="s">
        <v>1891</v>
      </c>
      <c r="X600" s="2">
        <v>2.0579999999999998</v>
      </c>
      <c r="Y600" s="6">
        <f t="shared" si="74"/>
        <v>5.4937134620004803E-2</v>
      </c>
      <c r="AA600">
        <v>358711</v>
      </c>
      <c r="AB600">
        <v>28218</v>
      </c>
      <c r="AD600" t="s">
        <v>3</v>
      </c>
      <c r="AE600">
        <v>317</v>
      </c>
      <c r="AF600">
        <v>2</v>
      </c>
      <c r="AH600" t="s">
        <v>3514</v>
      </c>
      <c r="AI600" t="s">
        <v>3513</v>
      </c>
      <c r="AJ600" t="s">
        <v>3512</v>
      </c>
      <c r="AK600" t="s">
        <v>3511</v>
      </c>
      <c r="AL600">
        <v>33</v>
      </c>
      <c r="AM600" s="5">
        <f t="shared" si="75"/>
        <v>1.5</v>
      </c>
      <c r="AN600" s="4">
        <f t="shared" si="76"/>
        <v>2.2718667171525938E-3</v>
      </c>
      <c r="AO600" s="3"/>
      <c r="AP600">
        <v>1</v>
      </c>
      <c r="AR600" t="s">
        <v>1</v>
      </c>
      <c r="AT600" s="2" t="s">
        <v>0</v>
      </c>
      <c r="AU600" s="1">
        <f t="shared" si="77"/>
        <v>3.9137554249149136</v>
      </c>
      <c r="AV600" s="1">
        <f t="shared" si="78"/>
        <v>2.8604500668578696</v>
      </c>
      <c r="AW600" s="1">
        <f t="shared" si="79"/>
        <v>1.8071447088008257</v>
      </c>
    </row>
    <row r="601" spans="1:49" x14ac:dyDescent="0.2">
      <c r="A601">
        <v>599</v>
      </c>
      <c r="B601" t="s">
        <v>3510</v>
      </c>
      <c r="F601" t="s">
        <v>3509</v>
      </c>
      <c r="G601" t="s">
        <v>9</v>
      </c>
      <c r="H601" t="s">
        <v>8</v>
      </c>
      <c r="I601" t="s">
        <v>3508</v>
      </c>
      <c r="J601">
        <v>60019616</v>
      </c>
      <c r="K601" t="s">
        <v>3507</v>
      </c>
      <c r="L601" t="s">
        <v>3506</v>
      </c>
      <c r="M601" t="s">
        <v>191</v>
      </c>
      <c r="N601">
        <v>2</v>
      </c>
      <c r="O601" t="s">
        <v>3505</v>
      </c>
      <c r="P601" t="s">
        <v>3504</v>
      </c>
      <c r="Q601" t="s">
        <v>3503</v>
      </c>
      <c r="R601" s="7">
        <v>36770</v>
      </c>
      <c r="S601" s="8">
        <f t="shared" si="72"/>
        <v>2000</v>
      </c>
      <c r="T601" s="8">
        <v>2000</v>
      </c>
      <c r="U601" s="8">
        <f t="shared" si="73"/>
        <v>22</v>
      </c>
      <c r="V601" s="7">
        <v>36770</v>
      </c>
      <c r="W601" t="s">
        <v>3502</v>
      </c>
      <c r="X601" s="2">
        <v>0.12</v>
      </c>
      <c r="Y601" s="6">
        <f t="shared" si="74"/>
        <v>3.2033314647233121E-3</v>
      </c>
      <c r="AA601">
        <v>10059113</v>
      </c>
      <c r="AB601">
        <v>12658</v>
      </c>
      <c r="AD601" t="s">
        <v>3</v>
      </c>
      <c r="AE601">
        <v>7</v>
      </c>
      <c r="AF601">
        <v>3</v>
      </c>
      <c r="AH601" t="s">
        <v>3501</v>
      </c>
      <c r="AI601" t="s">
        <v>3500</v>
      </c>
      <c r="AJ601" t="s">
        <v>3499</v>
      </c>
      <c r="AK601" t="s">
        <v>3498</v>
      </c>
      <c r="AL601">
        <v>1</v>
      </c>
      <c r="AM601" s="5">
        <f t="shared" si="75"/>
        <v>4.5454545454545456E-2</v>
      </c>
      <c r="AN601" s="4">
        <f t="shared" si="76"/>
        <v>6.8844445974321024E-5</v>
      </c>
      <c r="AO601" s="3"/>
      <c r="AP601">
        <v>0</v>
      </c>
      <c r="AR601" t="s">
        <v>1</v>
      </c>
      <c r="AT601" s="2" t="s">
        <v>0</v>
      </c>
      <c r="AU601" s="1">
        <f t="shared" si="77"/>
        <v>0.22629853590986146</v>
      </c>
      <c r="AV601" s="1">
        <f t="shared" si="78"/>
        <v>0.16360879553488167</v>
      </c>
      <c r="AW601" s="1">
        <f t="shared" si="79"/>
        <v>0.10091905515990182</v>
      </c>
    </row>
    <row r="602" spans="1:49" x14ac:dyDescent="0.2">
      <c r="A602">
        <v>600</v>
      </c>
      <c r="B602" t="s">
        <v>3497</v>
      </c>
      <c r="C602" t="s">
        <v>3496</v>
      </c>
      <c r="F602" t="s">
        <v>3495</v>
      </c>
      <c r="G602" t="s">
        <v>9</v>
      </c>
      <c r="H602" t="s">
        <v>8</v>
      </c>
      <c r="I602" t="s">
        <v>388</v>
      </c>
      <c r="J602" t="s">
        <v>387</v>
      </c>
      <c r="K602" t="s">
        <v>386</v>
      </c>
      <c r="L602" t="s">
        <v>385</v>
      </c>
      <c r="M602" t="s">
        <v>384</v>
      </c>
      <c r="N602">
        <v>4</v>
      </c>
      <c r="O602" t="s">
        <v>3494</v>
      </c>
      <c r="P602" t="s">
        <v>3493</v>
      </c>
      <c r="Q602" t="s">
        <v>661</v>
      </c>
      <c r="R602" s="7">
        <v>36770</v>
      </c>
      <c r="S602" s="8">
        <f t="shared" si="72"/>
        <v>2000</v>
      </c>
      <c r="T602" s="8">
        <v>2000</v>
      </c>
      <c r="U602" s="8">
        <f t="shared" si="73"/>
        <v>22</v>
      </c>
      <c r="V602" s="7">
        <v>36770</v>
      </c>
      <c r="W602" t="s">
        <v>463</v>
      </c>
      <c r="X602" s="2">
        <v>0.251</v>
      </c>
      <c r="Y602" s="6">
        <f t="shared" si="74"/>
        <v>6.7003016470462617E-3</v>
      </c>
      <c r="AA602">
        <v>207217</v>
      </c>
      <c r="AB602">
        <v>26145</v>
      </c>
      <c r="AD602" t="s">
        <v>3</v>
      </c>
      <c r="AE602">
        <v>87</v>
      </c>
      <c r="AF602">
        <v>9</v>
      </c>
      <c r="AH602" t="s">
        <v>3492</v>
      </c>
      <c r="AI602" t="s">
        <v>3491</v>
      </c>
      <c r="AK602" t="s">
        <v>3490</v>
      </c>
      <c r="AL602">
        <v>1</v>
      </c>
      <c r="AM602" s="5">
        <f t="shared" si="75"/>
        <v>4.5454545454545456E-2</v>
      </c>
      <c r="AN602" s="4">
        <f t="shared" si="76"/>
        <v>6.8844445974321024E-5</v>
      </c>
      <c r="AO602" s="3"/>
      <c r="AP602">
        <v>0</v>
      </c>
      <c r="AR602" t="s">
        <v>1</v>
      </c>
      <c r="AT602" s="2">
        <v>1.3360000000000001</v>
      </c>
      <c r="AU602" s="1">
        <f t="shared" si="77"/>
        <v>0.47108644867246791</v>
      </c>
      <c r="AV602" s="1">
        <f t="shared" si="78"/>
        <v>0.33845730465102913</v>
      </c>
      <c r="AW602" s="1">
        <f t="shared" si="79"/>
        <v>0.20582816062959031</v>
      </c>
    </row>
    <row r="603" spans="1:49" x14ac:dyDescent="0.2">
      <c r="A603">
        <v>601</v>
      </c>
      <c r="B603" t="s">
        <v>3489</v>
      </c>
      <c r="C603" t="s">
        <v>3488</v>
      </c>
      <c r="F603" t="s">
        <v>3487</v>
      </c>
      <c r="G603" t="s">
        <v>9</v>
      </c>
      <c r="H603" t="s">
        <v>8</v>
      </c>
      <c r="I603" t="s">
        <v>645</v>
      </c>
      <c r="J603" t="s">
        <v>3486</v>
      </c>
      <c r="K603" t="s">
        <v>3485</v>
      </c>
      <c r="L603" t="s">
        <v>3484</v>
      </c>
      <c r="M603" t="s">
        <v>3483</v>
      </c>
      <c r="N603">
        <v>5</v>
      </c>
      <c r="O603" t="s">
        <v>3482</v>
      </c>
      <c r="P603" t="s">
        <v>3481</v>
      </c>
      <c r="Q603" t="s">
        <v>3480</v>
      </c>
      <c r="R603" s="7">
        <v>36770</v>
      </c>
      <c r="S603" s="8">
        <f t="shared" si="72"/>
        <v>2000</v>
      </c>
      <c r="T603" s="8">
        <v>2000</v>
      </c>
      <c r="U603" s="8">
        <f t="shared" si="73"/>
        <v>22</v>
      </c>
      <c r="V603" s="7">
        <v>36770</v>
      </c>
      <c r="W603" t="s">
        <v>295</v>
      </c>
      <c r="X603" s="2">
        <v>0.371</v>
      </c>
      <c r="Y603" s="6">
        <f t="shared" si="74"/>
        <v>9.9036331117695747E-3</v>
      </c>
      <c r="AA603">
        <v>486604</v>
      </c>
      <c r="AB603">
        <v>28580</v>
      </c>
      <c r="AD603" t="s">
        <v>3</v>
      </c>
      <c r="AE603">
        <v>35</v>
      </c>
      <c r="AF603">
        <v>5</v>
      </c>
      <c r="AH603" t="s">
        <v>3479</v>
      </c>
      <c r="AI603" t="s">
        <v>3478</v>
      </c>
      <c r="AK603" t="s">
        <v>3477</v>
      </c>
      <c r="AL603">
        <v>5</v>
      </c>
      <c r="AM603" s="5">
        <f t="shared" si="75"/>
        <v>0.22727272727272727</v>
      </c>
      <c r="AN603" s="4">
        <f t="shared" si="76"/>
        <v>3.4422222987160508E-4</v>
      </c>
      <c r="AO603" s="3"/>
      <c r="AP603">
        <v>0</v>
      </c>
      <c r="AR603" t="s">
        <v>1</v>
      </c>
      <c r="AT603" s="2">
        <v>1.431</v>
      </c>
      <c r="AU603" s="1">
        <f t="shared" si="77"/>
        <v>0.70358098472001829</v>
      </c>
      <c r="AV603" s="1">
        <f t="shared" si="78"/>
        <v>0.51239276708205894</v>
      </c>
      <c r="AW603" s="1">
        <f t="shared" si="79"/>
        <v>0.3212045494440996</v>
      </c>
    </row>
    <row r="604" spans="1:49" x14ac:dyDescent="0.2">
      <c r="A604">
        <v>602</v>
      </c>
      <c r="B604" t="s">
        <v>3476</v>
      </c>
      <c r="C604" t="s">
        <v>3475</v>
      </c>
      <c r="E604">
        <v>10966609</v>
      </c>
      <c r="F604" t="s">
        <v>3474</v>
      </c>
      <c r="G604" t="s">
        <v>9</v>
      </c>
      <c r="H604" t="s">
        <v>8</v>
      </c>
      <c r="I604" t="s">
        <v>3473</v>
      </c>
      <c r="J604">
        <v>60030718</v>
      </c>
      <c r="K604" t="s">
        <v>96</v>
      </c>
      <c r="L604" t="s">
        <v>95</v>
      </c>
      <c r="M604" t="s">
        <v>13</v>
      </c>
      <c r="N604">
        <v>2</v>
      </c>
      <c r="O604" t="s">
        <v>3472</v>
      </c>
      <c r="P604" t="s">
        <v>3471</v>
      </c>
      <c r="Q604" t="s">
        <v>3470</v>
      </c>
      <c r="R604" s="7">
        <v>36770</v>
      </c>
      <c r="S604" s="8">
        <f t="shared" si="72"/>
        <v>2000</v>
      </c>
      <c r="T604" s="8">
        <v>2000</v>
      </c>
      <c r="U604" s="8">
        <f t="shared" si="73"/>
        <v>22</v>
      </c>
      <c r="V604" s="7">
        <v>36770</v>
      </c>
      <c r="W604" t="s">
        <v>2983</v>
      </c>
      <c r="X604" s="2">
        <v>13.403</v>
      </c>
      <c r="Y604" s="6">
        <f t="shared" si="74"/>
        <v>0.35778543018072129</v>
      </c>
      <c r="AA604">
        <v>10976256</v>
      </c>
      <c r="AB604">
        <v>17436</v>
      </c>
      <c r="AD604" t="s">
        <v>3</v>
      </c>
      <c r="AE604">
        <v>3</v>
      </c>
      <c r="AF604">
        <v>9</v>
      </c>
      <c r="AH604" t="s">
        <v>3469</v>
      </c>
      <c r="AI604" t="s">
        <v>3468</v>
      </c>
      <c r="AK604" t="s">
        <v>3467</v>
      </c>
      <c r="AL604">
        <v>16</v>
      </c>
      <c r="AM604" s="5">
        <f t="shared" si="75"/>
        <v>0.72727272727272729</v>
      </c>
      <c r="AN604" s="4">
        <f t="shared" si="76"/>
        <v>1.1015111355891364E-3</v>
      </c>
      <c r="AO604" s="3"/>
      <c r="AP604">
        <v>0</v>
      </c>
      <c r="AR604" t="s">
        <v>1</v>
      </c>
      <c r="AT604" s="2">
        <v>24.884</v>
      </c>
      <c r="AU604" s="1">
        <f t="shared" si="77"/>
        <v>25.078025446718161</v>
      </c>
      <c r="AV604" s="1">
        <f t="shared" si="78"/>
        <v>17.944347065815521</v>
      </c>
      <c r="AW604" s="1">
        <f t="shared" si="79"/>
        <v>10.810668684912878</v>
      </c>
    </row>
    <row r="605" spans="1:49" x14ac:dyDescent="0.2">
      <c r="A605">
        <v>603</v>
      </c>
      <c r="B605" t="s">
        <v>3466</v>
      </c>
      <c r="F605" t="s">
        <v>3465</v>
      </c>
      <c r="G605" t="s">
        <v>9</v>
      </c>
      <c r="H605" t="s">
        <v>8</v>
      </c>
      <c r="I605" t="s">
        <v>672</v>
      </c>
      <c r="N605">
        <v>2</v>
      </c>
      <c r="O605" t="s">
        <v>3464</v>
      </c>
      <c r="P605" t="s">
        <v>1109</v>
      </c>
      <c r="Q605" t="s">
        <v>367</v>
      </c>
      <c r="R605" s="7">
        <v>36770</v>
      </c>
      <c r="S605" s="8">
        <f t="shared" si="72"/>
        <v>2000</v>
      </c>
      <c r="T605" s="8">
        <v>2000</v>
      </c>
      <c r="U605" s="8">
        <f t="shared" si="73"/>
        <v>22</v>
      </c>
      <c r="V605" s="7">
        <v>36770</v>
      </c>
      <c r="W605" t="s">
        <v>639</v>
      </c>
      <c r="X605" s="2">
        <v>0.29499999999999998</v>
      </c>
      <c r="Y605" s="6">
        <f t="shared" si="74"/>
        <v>7.8748565174448087E-3</v>
      </c>
      <c r="AA605">
        <v>10642269</v>
      </c>
      <c r="AB605">
        <v>19554</v>
      </c>
      <c r="AD605" t="s">
        <v>3</v>
      </c>
      <c r="AE605">
        <v>45</v>
      </c>
      <c r="AF605">
        <v>9</v>
      </c>
      <c r="AH605" t="s">
        <v>3463</v>
      </c>
      <c r="AI605" t="s">
        <v>3462</v>
      </c>
      <c r="AK605" t="s">
        <v>3461</v>
      </c>
      <c r="AL605">
        <v>3</v>
      </c>
      <c r="AM605" s="5">
        <f t="shared" si="75"/>
        <v>0.13636363636363635</v>
      </c>
      <c r="AN605" s="4">
        <f t="shared" si="76"/>
        <v>2.0653333792296306E-4</v>
      </c>
      <c r="AO605" s="3"/>
      <c r="AP605">
        <v>0</v>
      </c>
      <c r="AR605" t="s">
        <v>1</v>
      </c>
      <c r="AT605" s="2" t="s">
        <v>0</v>
      </c>
      <c r="AU605" s="1">
        <f t="shared" si="77"/>
        <v>0.55743595635882548</v>
      </c>
      <c r="AV605" s="1">
        <f t="shared" si="78"/>
        <v>0.40406949276838855</v>
      </c>
      <c r="AW605" s="1">
        <f t="shared" si="79"/>
        <v>0.25070302917795168</v>
      </c>
    </row>
    <row r="606" spans="1:49" x14ac:dyDescent="0.2">
      <c r="A606">
        <v>604</v>
      </c>
      <c r="B606" t="s">
        <v>3460</v>
      </c>
      <c r="C606" t="s">
        <v>3459</v>
      </c>
      <c r="F606" t="s">
        <v>3458</v>
      </c>
      <c r="G606" t="s">
        <v>9</v>
      </c>
      <c r="H606" t="s">
        <v>8</v>
      </c>
      <c r="I606" t="s">
        <v>3457</v>
      </c>
      <c r="J606" t="s">
        <v>3456</v>
      </c>
      <c r="K606" t="s">
        <v>3455</v>
      </c>
      <c r="L606" t="s">
        <v>3454</v>
      </c>
      <c r="M606" t="s">
        <v>3453</v>
      </c>
      <c r="N606">
        <v>8</v>
      </c>
      <c r="O606" t="s">
        <v>3452</v>
      </c>
      <c r="P606" t="s">
        <v>3451</v>
      </c>
      <c r="Q606" t="s">
        <v>3450</v>
      </c>
      <c r="R606" s="7">
        <v>36770</v>
      </c>
      <c r="S606" s="8">
        <f t="shared" si="72"/>
        <v>2000</v>
      </c>
      <c r="T606" s="8">
        <v>2000</v>
      </c>
      <c r="U606" s="8">
        <f t="shared" si="73"/>
        <v>22</v>
      </c>
      <c r="V606" s="7">
        <v>36770</v>
      </c>
      <c r="W606" t="s">
        <v>722</v>
      </c>
      <c r="X606" s="2">
        <v>0.66800000000000004</v>
      </c>
      <c r="Y606" s="6">
        <f t="shared" si="74"/>
        <v>1.7831878486959774E-2</v>
      </c>
      <c r="AA606" t="s">
        <v>721</v>
      </c>
      <c r="AB606">
        <v>29593</v>
      </c>
      <c r="AC606">
        <v>21553165</v>
      </c>
      <c r="AD606" t="s">
        <v>3</v>
      </c>
      <c r="AE606">
        <v>39</v>
      </c>
      <c r="AF606">
        <v>25</v>
      </c>
      <c r="AH606" t="s">
        <v>3449</v>
      </c>
      <c r="AI606" t="s">
        <v>3448</v>
      </c>
      <c r="AK606" t="s">
        <v>3447</v>
      </c>
      <c r="AL606">
        <v>16</v>
      </c>
      <c r="AM606" s="5">
        <f t="shared" si="75"/>
        <v>0.72727272727272729</v>
      </c>
      <c r="AN606" s="4">
        <f t="shared" si="76"/>
        <v>1.1015111355891364E-3</v>
      </c>
      <c r="AO606" s="3"/>
      <c r="AP606">
        <v>0</v>
      </c>
      <c r="AR606" t="s">
        <v>1</v>
      </c>
      <c r="AT606" s="2">
        <v>1.98</v>
      </c>
      <c r="AU606" s="1">
        <f t="shared" si="77"/>
        <v>1.2812768281548581</v>
      </c>
      <c r="AV606" s="1">
        <f t="shared" si="78"/>
        <v>0.94666948112744553</v>
      </c>
      <c r="AW606" s="1">
        <f t="shared" si="79"/>
        <v>0.61206213410003274</v>
      </c>
    </row>
    <row r="607" spans="1:49" x14ac:dyDescent="0.2">
      <c r="A607">
        <v>605</v>
      </c>
      <c r="B607" t="s">
        <v>3446</v>
      </c>
      <c r="C607" t="s">
        <v>3445</v>
      </c>
      <c r="F607" t="s">
        <v>3444</v>
      </c>
      <c r="G607" t="s">
        <v>9</v>
      </c>
      <c r="H607" t="s">
        <v>8</v>
      </c>
      <c r="I607" t="s">
        <v>3443</v>
      </c>
      <c r="J607">
        <v>60015590</v>
      </c>
      <c r="K607" t="s">
        <v>3442</v>
      </c>
      <c r="L607" t="s">
        <v>61</v>
      </c>
      <c r="M607" t="s">
        <v>5</v>
      </c>
      <c r="N607">
        <v>4</v>
      </c>
      <c r="O607" t="s">
        <v>3441</v>
      </c>
      <c r="P607" t="s">
        <v>3440</v>
      </c>
      <c r="Q607" t="s">
        <v>3439</v>
      </c>
      <c r="R607" s="7">
        <v>36770</v>
      </c>
      <c r="S607" s="8">
        <f t="shared" si="72"/>
        <v>2000</v>
      </c>
      <c r="T607" s="8">
        <v>2000</v>
      </c>
      <c r="U607" s="8">
        <f t="shared" si="73"/>
        <v>22</v>
      </c>
      <c r="V607" s="7">
        <v>36770</v>
      </c>
      <c r="W607" t="s">
        <v>64</v>
      </c>
      <c r="X607" s="2">
        <v>2.0070000000000001</v>
      </c>
      <c r="Y607" s="6">
        <f t="shared" si="74"/>
        <v>5.3575718747497406E-2</v>
      </c>
      <c r="AA607">
        <v>948276</v>
      </c>
      <c r="AB607">
        <v>27962</v>
      </c>
      <c r="AD607" t="s">
        <v>3</v>
      </c>
      <c r="AE607">
        <v>27</v>
      </c>
      <c r="AF607">
        <v>17</v>
      </c>
      <c r="AH607" t="s">
        <v>3438</v>
      </c>
      <c r="AI607" t="s">
        <v>3437</v>
      </c>
      <c r="AK607" t="s">
        <v>3436</v>
      </c>
      <c r="AL607">
        <v>106</v>
      </c>
      <c r="AM607" s="5">
        <f t="shared" si="75"/>
        <v>4.8181818181818183</v>
      </c>
      <c r="AN607" s="4">
        <f t="shared" si="76"/>
        <v>7.2975112732780283E-3</v>
      </c>
      <c r="AO607" s="3"/>
      <c r="AP607">
        <v>0</v>
      </c>
      <c r="AR607" t="s">
        <v>1</v>
      </c>
      <c r="AT607" s="2">
        <v>4.72</v>
      </c>
      <c r="AU607" s="1">
        <f t="shared" si="77"/>
        <v>3.9692256505231587</v>
      </c>
      <c r="AV607" s="1">
        <f t="shared" si="78"/>
        <v>3.043661501038772</v>
      </c>
      <c r="AW607" s="1">
        <f t="shared" si="79"/>
        <v>2.1180973515543839</v>
      </c>
    </row>
    <row r="608" spans="1:49" x14ac:dyDescent="0.2">
      <c r="A608">
        <v>606</v>
      </c>
      <c r="B608" t="s">
        <v>3435</v>
      </c>
      <c r="F608" t="s">
        <v>3434</v>
      </c>
      <c r="G608" t="s">
        <v>9</v>
      </c>
      <c r="H608" t="s">
        <v>8</v>
      </c>
      <c r="I608" t="s">
        <v>3433</v>
      </c>
      <c r="J608">
        <v>60031888</v>
      </c>
      <c r="K608" t="s">
        <v>674</v>
      </c>
      <c r="L608" t="s">
        <v>673</v>
      </c>
      <c r="M608" t="s">
        <v>42</v>
      </c>
      <c r="N608">
        <v>3</v>
      </c>
      <c r="O608" t="s">
        <v>3432</v>
      </c>
      <c r="P608" t="s">
        <v>3431</v>
      </c>
      <c r="Q608" t="s">
        <v>3430</v>
      </c>
      <c r="R608" s="7">
        <v>36770</v>
      </c>
      <c r="S608" s="8">
        <f t="shared" si="72"/>
        <v>2000</v>
      </c>
      <c r="T608" s="8">
        <v>2000</v>
      </c>
      <c r="U608" s="8">
        <f t="shared" si="73"/>
        <v>22</v>
      </c>
      <c r="V608" s="7">
        <v>36770</v>
      </c>
      <c r="W608" t="s">
        <v>3429</v>
      </c>
      <c r="X608" s="2">
        <v>0.42099999999999999</v>
      </c>
      <c r="Y608" s="6">
        <f t="shared" si="74"/>
        <v>1.1238354555404288E-2</v>
      </c>
      <c r="AA608">
        <v>10214437</v>
      </c>
      <c r="AB608">
        <v>17169</v>
      </c>
      <c r="AD608" t="s">
        <v>3</v>
      </c>
      <c r="AE608">
        <v>47</v>
      </c>
      <c r="AF608">
        <v>5</v>
      </c>
      <c r="AH608" t="s">
        <v>3428</v>
      </c>
      <c r="AI608" t="s">
        <v>3427</v>
      </c>
      <c r="AJ608" t="s">
        <v>3426</v>
      </c>
      <c r="AK608" t="s">
        <v>3425</v>
      </c>
      <c r="AL608">
        <v>2</v>
      </c>
      <c r="AM608" s="5">
        <f t="shared" si="75"/>
        <v>9.0909090909090912E-2</v>
      </c>
      <c r="AN608" s="4">
        <f t="shared" si="76"/>
        <v>1.3768889194864205E-4</v>
      </c>
      <c r="AO608" s="3"/>
      <c r="AP608">
        <v>0</v>
      </c>
      <c r="AR608" t="s">
        <v>1</v>
      </c>
      <c r="AT608" s="2">
        <v>1.4810000000000001</v>
      </c>
      <c r="AU608" s="1">
        <f t="shared" si="77"/>
        <v>0.79081548563675941</v>
      </c>
      <c r="AV608" s="1">
        <f t="shared" si="78"/>
        <v>0.56880217236764652</v>
      </c>
      <c r="AW608" s="1">
        <f t="shared" si="79"/>
        <v>0.34678885909853352</v>
      </c>
    </row>
    <row r="609" spans="1:49" x14ac:dyDescent="0.2">
      <c r="A609">
        <v>607</v>
      </c>
      <c r="B609" t="s">
        <v>3424</v>
      </c>
      <c r="C609" t="s">
        <v>3423</v>
      </c>
      <c r="D609" t="s">
        <v>3422</v>
      </c>
      <c r="E609">
        <v>11034303</v>
      </c>
      <c r="F609" t="s">
        <v>3421</v>
      </c>
      <c r="G609" t="s">
        <v>9</v>
      </c>
      <c r="H609" t="s">
        <v>8</v>
      </c>
      <c r="I609" t="s">
        <v>3420</v>
      </c>
      <c r="J609">
        <v>60030732</v>
      </c>
      <c r="K609" t="s">
        <v>3419</v>
      </c>
      <c r="L609" t="s">
        <v>95</v>
      </c>
      <c r="M609" t="s">
        <v>13</v>
      </c>
      <c r="N609">
        <v>4</v>
      </c>
      <c r="O609" t="s">
        <v>3418</v>
      </c>
      <c r="P609" t="s">
        <v>3417</v>
      </c>
      <c r="Q609" t="s">
        <v>3416</v>
      </c>
      <c r="R609" s="7">
        <v>36770</v>
      </c>
      <c r="S609" s="8">
        <f t="shared" si="72"/>
        <v>2000</v>
      </c>
      <c r="T609" s="8">
        <v>2000</v>
      </c>
      <c r="U609" s="8">
        <f t="shared" si="73"/>
        <v>22</v>
      </c>
      <c r="V609" s="7">
        <v>36770</v>
      </c>
      <c r="W609" t="s">
        <v>855</v>
      </c>
      <c r="X609" s="2">
        <v>1.593</v>
      </c>
      <c r="Y609" s="6">
        <f t="shared" si="74"/>
        <v>4.2524225194201973E-2</v>
      </c>
      <c r="AA609">
        <v>145793</v>
      </c>
      <c r="AB609">
        <v>17481</v>
      </c>
      <c r="AD609" t="s">
        <v>3</v>
      </c>
      <c r="AE609">
        <v>480</v>
      </c>
      <c r="AF609" s="10">
        <v>44257</v>
      </c>
      <c r="AH609" t="s">
        <v>3415</v>
      </c>
      <c r="AI609" t="s">
        <v>3414</v>
      </c>
      <c r="AJ609" t="s">
        <v>3413</v>
      </c>
      <c r="AK609" t="s">
        <v>3412</v>
      </c>
      <c r="AL609">
        <v>17</v>
      </c>
      <c r="AM609" s="5">
        <f t="shared" si="75"/>
        <v>0.77272727272727271</v>
      </c>
      <c r="AN609" s="4">
        <f t="shared" si="76"/>
        <v>1.1703555815634574E-3</v>
      </c>
      <c r="AO609" s="3"/>
      <c r="AP609">
        <v>1</v>
      </c>
      <c r="AR609" t="s">
        <v>1</v>
      </c>
      <c r="AT609" s="2">
        <v>4.1239999999999997</v>
      </c>
      <c r="AU609" s="1">
        <f t="shared" si="77"/>
        <v>3.0118064310410415</v>
      </c>
      <c r="AV609" s="1">
        <f t="shared" si="78"/>
        <v>2.1847290387882712</v>
      </c>
      <c r="AW609" s="1">
        <f t="shared" si="79"/>
        <v>1.3576516465355011</v>
      </c>
    </row>
    <row r="610" spans="1:49" x14ac:dyDescent="0.2">
      <c r="A610">
        <v>608</v>
      </c>
      <c r="B610" t="s">
        <v>3411</v>
      </c>
      <c r="C610" t="s">
        <v>3410</v>
      </c>
      <c r="D610" t="s">
        <v>3409</v>
      </c>
      <c r="E610">
        <v>10999634</v>
      </c>
      <c r="F610" t="s">
        <v>3408</v>
      </c>
      <c r="G610" t="s">
        <v>9</v>
      </c>
      <c r="H610" t="s">
        <v>8</v>
      </c>
      <c r="I610" t="s">
        <v>3407</v>
      </c>
      <c r="J610">
        <v>60025555</v>
      </c>
      <c r="K610" t="s">
        <v>252</v>
      </c>
      <c r="L610" t="s">
        <v>163</v>
      </c>
      <c r="M610" t="s">
        <v>43</v>
      </c>
      <c r="N610">
        <v>4</v>
      </c>
      <c r="O610" t="s">
        <v>3406</v>
      </c>
      <c r="P610" t="s">
        <v>3405</v>
      </c>
      <c r="Q610" t="s">
        <v>505</v>
      </c>
      <c r="R610" s="7">
        <v>36770</v>
      </c>
      <c r="S610" s="8">
        <f t="shared" si="72"/>
        <v>2000</v>
      </c>
      <c r="T610" s="8">
        <v>2000</v>
      </c>
      <c r="U610" s="8">
        <f t="shared" si="73"/>
        <v>22</v>
      </c>
      <c r="V610" s="7">
        <v>36770</v>
      </c>
      <c r="W610" t="s">
        <v>1948</v>
      </c>
      <c r="X610" s="2">
        <v>1.0109999999999999</v>
      </c>
      <c r="Y610" s="6">
        <f t="shared" si="74"/>
        <v>2.6988067590293905E-2</v>
      </c>
      <c r="AA610">
        <v>219673</v>
      </c>
      <c r="AB610">
        <v>130000</v>
      </c>
      <c r="AD610" t="s">
        <v>3</v>
      </c>
      <c r="AE610">
        <v>891</v>
      </c>
      <c r="AF610">
        <v>1</v>
      </c>
      <c r="AH610" t="s">
        <v>3404</v>
      </c>
      <c r="AI610" t="s">
        <v>3403</v>
      </c>
      <c r="AJ610" t="s">
        <v>3402</v>
      </c>
      <c r="AK610" t="s">
        <v>3401</v>
      </c>
      <c r="AL610">
        <v>23</v>
      </c>
      <c r="AM610" s="5">
        <f t="shared" si="75"/>
        <v>1.0454545454545454</v>
      </c>
      <c r="AN610" s="4">
        <f t="shared" si="76"/>
        <v>1.5834222574093834E-3</v>
      </c>
      <c r="AO610" s="3"/>
      <c r="AP610">
        <v>0</v>
      </c>
      <c r="AR610" t="s">
        <v>1</v>
      </c>
      <c r="AT610" s="2">
        <v>4.7590000000000003</v>
      </c>
      <c r="AU610" s="1">
        <f t="shared" si="77"/>
        <v>1.9366673990428549</v>
      </c>
      <c r="AV610" s="1">
        <f t="shared" si="78"/>
        <v>1.4285744923851644</v>
      </c>
      <c r="AW610" s="1">
        <f t="shared" si="79"/>
        <v>0.92048158572747407</v>
      </c>
    </row>
    <row r="611" spans="1:49" x14ac:dyDescent="0.2">
      <c r="A611">
        <v>609</v>
      </c>
      <c r="B611" t="s">
        <v>3400</v>
      </c>
      <c r="C611" t="s">
        <v>3399</v>
      </c>
      <c r="D611" t="s">
        <v>3398</v>
      </c>
      <c r="E611">
        <v>10966810</v>
      </c>
      <c r="F611" t="s">
        <v>3397</v>
      </c>
      <c r="G611" t="s">
        <v>9</v>
      </c>
      <c r="H611" t="s">
        <v>8</v>
      </c>
      <c r="I611" t="s">
        <v>3396</v>
      </c>
      <c r="J611" t="s">
        <v>3395</v>
      </c>
      <c r="K611" t="s">
        <v>3394</v>
      </c>
      <c r="L611" t="s">
        <v>3393</v>
      </c>
      <c r="M611" t="s">
        <v>633</v>
      </c>
      <c r="N611">
        <v>4</v>
      </c>
      <c r="O611" t="s">
        <v>3392</v>
      </c>
      <c r="P611" t="s">
        <v>3391</v>
      </c>
      <c r="Q611" t="s">
        <v>3390</v>
      </c>
      <c r="R611" s="7">
        <v>36770</v>
      </c>
      <c r="S611" s="8">
        <f t="shared" si="72"/>
        <v>2000</v>
      </c>
      <c r="T611" s="8">
        <v>2000</v>
      </c>
      <c r="U611" s="8">
        <f t="shared" si="73"/>
        <v>22</v>
      </c>
      <c r="V611" s="7">
        <v>36770</v>
      </c>
      <c r="W611" t="s">
        <v>3389</v>
      </c>
      <c r="X611" s="2">
        <v>3.1890000000000001</v>
      </c>
      <c r="Y611" s="6">
        <f t="shared" si="74"/>
        <v>8.5128533675022031E-2</v>
      </c>
      <c r="AA611">
        <v>222836</v>
      </c>
      <c r="AB611">
        <v>17618</v>
      </c>
      <c r="AD611" t="s">
        <v>3</v>
      </c>
      <c r="AE611">
        <v>301</v>
      </c>
      <c r="AF611">
        <v>5</v>
      </c>
      <c r="AH611" t="s">
        <v>3388</v>
      </c>
      <c r="AI611" t="s">
        <v>3387</v>
      </c>
      <c r="AJ611" t="s">
        <v>3386</v>
      </c>
      <c r="AK611" t="s">
        <v>3385</v>
      </c>
      <c r="AL611">
        <v>137</v>
      </c>
      <c r="AM611" s="5">
        <f t="shared" si="75"/>
        <v>6.2272727272727275</v>
      </c>
      <c r="AN611" s="4">
        <f t="shared" si="76"/>
        <v>9.4316890984819796E-3</v>
      </c>
      <c r="AO611" s="3"/>
      <c r="AP611">
        <v>0</v>
      </c>
      <c r="AQ611" t="s">
        <v>279</v>
      </c>
      <c r="AR611" t="s">
        <v>1</v>
      </c>
      <c r="AS611" t="s">
        <v>278</v>
      </c>
      <c r="AT611" s="2">
        <v>5.4690000000000003</v>
      </c>
      <c r="AU611" s="1">
        <f t="shared" si="77"/>
        <v>6.2419480302060011</v>
      </c>
      <c r="AV611" s="1">
        <f t="shared" si="78"/>
        <v>4.7280111386752006</v>
      </c>
      <c r="AW611" s="1">
        <f t="shared" si="79"/>
        <v>3.2140742471443993</v>
      </c>
    </row>
    <row r="612" spans="1:49" x14ac:dyDescent="0.2">
      <c r="A612">
        <v>610</v>
      </c>
      <c r="B612" t="s">
        <v>3384</v>
      </c>
      <c r="C612" t="s">
        <v>3383</v>
      </c>
      <c r="D612" t="s">
        <v>3382</v>
      </c>
      <c r="F612" t="s">
        <v>3381</v>
      </c>
      <c r="G612" t="s">
        <v>9</v>
      </c>
      <c r="H612" t="s">
        <v>8</v>
      </c>
      <c r="I612" t="s">
        <v>3380</v>
      </c>
      <c r="J612">
        <v>60003500</v>
      </c>
      <c r="K612" t="s">
        <v>309</v>
      </c>
      <c r="L612" t="s">
        <v>308</v>
      </c>
      <c r="M612" t="s">
        <v>5</v>
      </c>
      <c r="N612">
        <v>2</v>
      </c>
      <c r="O612" t="s">
        <v>3379</v>
      </c>
      <c r="P612" t="s">
        <v>3378</v>
      </c>
      <c r="Q612" t="s">
        <v>3377</v>
      </c>
      <c r="R612" s="7">
        <v>36770</v>
      </c>
      <c r="S612" s="8">
        <f t="shared" si="72"/>
        <v>2000</v>
      </c>
      <c r="T612" s="8">
        <v>2000</v>
      </c>
      <c r="U612" s="8">
        <f t="shared" si="73"/>
        <v>22</v>
      </c>
      <c r="V612" s="7">
        <v>36770</v>
      </c>
      <c r="W612" t="s">
        <v>427</v>
      </c>
      <c r="X612" s="2">
        <v>0.627</v>
      </c>
      <c r="Y612" s="6">
        <f t="shared" si="74"/>
        <v>1.6737406903179305E-2</v>
      </c>
      <c r="AA612">
        <v>9269851</v>
      </c>
      <c r="AB612">
        <v>28435</v>
      </c>
      <c r="AD612" t="s">
        <v>3</v>
      </c>
      <c r="AE612">
        <v>45</v>
      </c>
      <c r="AF612">
        <v>2</v>
      </c>
      <c r="AH612" t="s">
        <v>3376</v>
      </c>
      <c r="AI612" t="s">
        <v>3375</v>
      </c>
      <c r="AJ612" t="s">
        <v>3374</v>
      </c>
      <c r="AK612" t="s">
        <v>3373</v>
      </c>
      <c r="AL612">
        <v>98</v>
      </c>
      <c r="AM612" s="5">
        <f t="shared" si="75"/>
        <v>4.4545454545454541</v>
      </c>
      <c r="AN612" s="4">
        <f t="shared" si="76"/>
        <v>6.7467557054834591E-3</v>
      </c>
      <c r="AO612" s="3"/>
      <c r="AP612">
        <v>0</v>
      </c>
      <c r="AR612" t="s">
        <v>1</v>
      </c>
      <c r="AT612" s="2">
        <v>2.121</v>
      </c>
      <c r="AU612" s="1">
        <f t="shared" si="77"/>
        <v>1.3740211543870551</v>
      </c>
      <c r="AV612" s="1">
        <f t="shared" si="78"/>
        <v>1.1742081304331382</v>
      </c>
      <c r="AW612" s="1">
        <f t="shared" si="79"/>
        <v>0.97439510647922123</v>
      </c>
    </row>
    <row r="613" spans="1:49" x14ac:dyDescent="0.2">
      <c r="A613">
        <v>611</v>
      </c>
      <c r="B613" t="s">
        <v>3372</v>
      </c>
      <c r="C613" t="s">
        <v>3371</v>
      </c>
      <c r="F613" t="s">
        <v>3370</v>
      </c>
      <c r="G613" t="s">
        <v>9</v>
      </c>
      <c r="H613" t="s">
        <v>8</v>
      </c>
      <c r="I613" t="s">
        <v>3369</v>
      </c>
      <c r="J613" t="s">
        <v>3368</v>
      </c>
      <c r="K613" t="s">
        <v>3367</v>
      </c>
      <c r="L613" t="s">
        <v>3366</v>
      </c>
      <c r="M613" t="s">
        <v>3365</v>
      </c>
      <c r="N613">
        <v>6</v>
      </c>
      <c r="O613" t="s">
        <v>3364</v>
      </c>
      <c r="P613" t="s">
        <v>3363</v>
      </c>
      <c r="Q613" t="s">
        <v>3362</v>
      </c>
      <c r="R613" s="7">
        <v>36770</v>
      </c>
      <c r="S613" s="8">
        <f t="shared" si="72"/>
        <v>2000</v>
      </c>
      <c r="T613" s="8">
        <v>2000</v>
      </c>
      <c r="U613" s="8">
        <f t="shared" si="73"/>
        <v>22</v>
      </c>
      <c r="V613" s="7">
        <v>36770</v>
      </c>
      <c r="W613" t="s">
        <v>150</v>
      </c>
      <c r="X613" s="2">
        <v>0.30399999999999999</v>
      </c>
      <c r="Y613" s="6">
        <f t="shared" si="74"/>
        <v>8.115106377299057E-3</v>
      </c>
      <c r="AA613">
        <v>8952477</v>
      </c>
      <c r="AB613">
        <v>12250</v>
      </c>
      <c r="AD613" t="s">
        <v>3</v>
      </c>
      <c r="AE613">
        <v>26</v>
      </c>
      <c r="AF613">
        <v>5</v>
      </c>
      <c r="AH613" t="s">
        <v>2152</v>
      </c>
      <c r="AI613" t="s">
        <v>3361</v>
      </c>
      <c r="AK613" t="s">
        <v>3360</v>
      </c>
      <c r="AL613">
        <v>4</v>
      </c>
      <c r="AM613" s="5">
        <f t="shared" si="75"/>
        <v>0.18181818181818182</v>
      </c>
      <c r="AN613" s="4">
        <f t="shared" si="76"/>
        <v>2.753777838972841E-4</v>
      </c>
      <c r="AO613" s="3"/>
      <c r="AP613">
        <v>0</v>
      </c>
      <c r="AR613" t="s">
        <v>1</v>
      </c>
      <c r="AT613" s="2" t="s">
        <v>0</v>
      </c>
      <c r="AU613" s="1">
        <f t="shared" si="77"/>
        <v>0.57631877992785252</v>
      </c>
      <c r="AV613" s="1">
        <f t="shared" si="78"/>
        <v>0.41952420805981705</v>
      </c>
      <c r="AW613" s="1">
        <f t="shared" si="79"/>
        <v>0.26272963619178158</v>
      </c>
    </row>
    <row r="614" spans="1:49" x14ac:dyDescent="0.2">
      <c r="A614">
        <v>612</v>
      </c>
      <c r="B614" t="s">
        <v>3359</v>
      </c>
      <c r="C614" t="s">
        <v>3358</v>
      </c>
      <c r="F614" t="s">
        <v>3357</v>
      </c>
      <c r="G614" t="s">
        <v>9</v>
      </c>
      <c r="H614" t="s">
        <v>8</v>
      </c>
      <c r="I614" t="s">
        <v>3356</v>
      </c>
      <c r="J614">
        <v>60000221</v>
      </c>
      <c r="K614" t="s">
        <v>831</v>
      </c>
      <c r="L614" t="s">
        <v>61</v>
      </c>
      <c r="M614" t="s">
        <v>5</v>
      </c>
      <c r="N614">
        <v>1</v>
      </c>
      <c r="O614" t="s">
        <v>3355</v>
      </c>
      <c r="P614">
        <v>7402592343</v>
      </c>
      <c r="Q614">
        <v>60000221</v>
      </c>
      <c r="R614" s="7">
        <v>36770</v>
      </c>
      <c r="S614" s="8">
        <f t="shared" si="72"/>
        <v>2000</v>
      </c>
      <c r="T614" s="8">
        <v>2000</v>
      </c>
      <c r="U614" s="8">
        <f t="shared" si="73"/>
        <v>22</v>
      </c>
      <c r="V614" s="7">
        <v>36770</v>
      </c>
      <c r="W614" t="s">
        <v>454</v>
      </c>
      <c r="X614" s="2">
        <v>0.44400000000000001</v>
      </c>
      <c r="Y614" s="6">
        <f t="shared" si="74"/>
        <v>1.1852326419476256E-2</v>
      </c>
      <c r="AA614">
        <v>15273342</v>
      </c>
      <c r="AB614">
        <v>17296</v>
      </c>
      <c r="AD614" t="s">
        <v>3</v>
      </c>
      <c r="AE614">
        <v>1</v>
      </c>
      <c r="AF614">
        <v>3</v>
      </c>
      <c r="AH614" t="s">
        <v>668</v>
      </c>
      <c r="AI614" t="s">
        <v>3354</v>
      </c>
      <c r="AK614" t="s">
        <v>3353</v>
      </c>
      <c r="AL614">
        <v>10</v>
      </c>
      <c r="AM614" s="5">
        <f t="shared" si="75"/>
        <v>0.45454545454545453</v>
      </c>
      <c r="AN614" s="4">
        <f t="shared" si="76"/>
        <v>6.8844445974321016E-4</v>
      </c>
      <c r="AO614" s="3"/>
      <c r="AP614">
        <v>0</v>
      </c>
      <c r="AR614" t="s">
        <v>1</v>
      </c>
      <c r="AT614" s="2">
        <v>2.714</v>
      </c>
      <c r="AU614" s="1">
        <f t="shared" si="77"/>
        <v>0.85031618315563395</v>
      </c>
      <c r="AV614" s="1">
        <f t="shared" si="78"/>
        <v>0.62703854396097325</v>
      </c>
      <c r="AW614" s="1">
        <f t="shared" si="79"/>
        <v>0.40376090476631238</v>
      </c>
    </row>
    <row r="615" spans="1:49" x14ac:dyDescent="0.2">
      <c r="A615">
        <v>613</v>
      </c>
      <c r="B615" t="s">
        <v>3352</v>
      </c>
      <c r="C615" t="s">
        <v>3351</v>
      </c>
      <c r="F615" t="s">
        <v>3350</v>
      </c>
      <c r="G615" t="s">
        <v>9</v>
      </c>
      <c r="H615" t="s">
        <v>8</v>
      </c>
      <c r="I615" t="s">
        <v>3349</v>
      </c>
      <c r="J615">
        <v>60024872</v>
      </c>
      <c r="K615" t="s">
        <v>257</v>
      </c>
      <c r="L615" t="s">
        <v>11</v>
      </c>
      <c r="M615" t="s">
        <v>10</v>
      </c>
      <c r="N615">
        <v>2</v>
      </c>
      <c r="O615" t="s">
        <v>3348</v>
      </c>
      <c r="P615" t="s">
        <v>3347</v>
      </c>
      <c r="Q615" t="s">
        <v>256</v>
      </c>
      <c r="R615" s="7">
        <v>36770</v>
      </c>
      <c r="S615" s="8">
        <f t="shared" si="72"/>
        <v>2000</v>
      </c>
      <c r="T615" s="8">
        <v>2000</v>
      </c>
      <c r="U615" s="8">
        <f t="shared" si="73"/>
        <v>22</v>
      </c>
      <c r="V615" s="7">
        <v>36770</v>
      </c>
      <c r="W615" t="s">
        <v>150</v>
      </c>
      <c r="X615" s="2">
        <v>0.30399999999999999</v>
      </c>
      <c r="Y615" s="6">
        <f t="shared" si="74"/>
        <v>8.115106377299057E-3</v>
      </c>
      <c r="AA615">
        <v>8952477</v>
      </c>
      <c r="AB615">
        <v>12250</v>
      </c>
      <c r="AD615" t="s">
        <v>3</v>
      </c>
      <c r="AE615">
        <v>26</v>
      </c>
      <c r="AF615">
        <v>5</v>
      </c>
      <c r="AH615" t="s">
        <v>3346</v>
      </c>
      <c r="AI615" t="s">
        <v>3345</v>
      </c>
      <c r="AK615" t="s">
        <v>3344</v>
      </c>
      <c r="AL615">
        <v>8</v>
      </c>
      <c r="AM615" s="5">
        <f t="shared" si="75"/>
        <v>0.36363636363636365</v>
      </c>
      <c r="AN615" s="4">
        <f t="shared" si="76"/>
        <v>5.5075556779456819E-4</v>
      </c>
      <c r="AO615" s="3"/>
      <c r="AP615">
        <v>0</v>
      </c>
      <c r="AR615" t="s">
        <v>1</v>
      </c>
      <c r="AT615" s="2" t="s">
        <v>0</v>
      </c>
      <c r="AU615" s="1">
        <f t="shared" si="77"/>
        <v>0.58458011344477101</v>
      </c>
      <c r="AV615" s="1">
        <f t="shared" si="78"/>
        <v>0.43329309725468124</v>
      </c>
      <c r="AW615" s="1">
        <f t="shared" si="79"/>
        <v>0.28200608106459152</v>
      </c>
    </row>
    <row r="616" spans="1:49" x14ac:dyDescent="0.2">
      <c r="A616">
        <v>614</v>
      </c>
      <c r="B616" t="s">
        <v>3343</v>
      </c>
      <c r="C616" t="s">
        <v>3342</v>
      </c>
      <c r="F616" t="s">
        <v>3341</v>
      </c>
      <c r="G616" t="s">
        <v>9</v>
      </c>
      <c r="H616" t="s">
        <v>8</v>
      </c>
      <c r="I616" t="s">
        <v>3340</v>
      </c>
      <c r="J616">
        <v>60103653</v>
      </c>
      <c r="K616" t="s">
        <v>153</v>
      </c>
      <c r="L616" t="s">
        <v>152</v>
      </c>
      <c r="M616" t="s">
        <v>22</v>
      </c>
      <c r="N616">
        <v>2</v>
      </c>
      <c r="O616" t="s">
        <v>3339</v>
      </c>
      <c r="P616" t="s">
        <v>3338</v>
      </c>
      <c r="Q616" t="s">
        <v>151</v>
      </c>
      <c r="R616" s="7">
        <v>36770</v>
      </c>
      <c r="S616" s="8">
        <f t="shared" si="72"/>
        <v>2000</v>
      </c>
      <c r="T616" s="8">
        <v>2000</v>
      </c>
      <c r="U616" s="8">
        <f t="shared" si="73"/>
        <v>22</v>
      </c>
      <c r="V616" s="7">
        <v>36770</v>
      </c>
      <c r="W616" t="s">
        <v>150</v>
      </c>
      <c r="X616" s="2">
        <v>0.30399999999999999</v>
      </c>
      <c r="Y616" s="6">
        <f t="shared" si="74"/>
        <v>8.115106377299057E-3</v>
      </c>
      <c r="AA616">
        <v>8952477</v>
      </c>
      <c r="AB616">
        <v>12250</v>
      </c>
      <c r="AD616" t="s">
        <v>3</v>
      </c>
      <c r="AE616">
        <v>26</v>
      </c>
      <c r="AF616">
        <v>5</v>
      </c>
      <c r="AH616" t="s">
        <v>3337</v>
      </c>
      <c r="AI616" t="s">
        <v>3336</v>
      </c>
      <c r="AK616" t="s">
        <v>3335</v>
      </c>
      <c r="AL616">
        <v>0</v>
      </c>
      <c r="AM616" s="5">
        <f t="shared" si="75"/>
        <v>0</v>
      </c>
      <c r="AN616" s="4">
        <f t="shared" si="76"/>
        <v>0</v>
      </c>
      <c r="AO616" s="3"/>
      <c r="AP616">
        <v>0</v>
      </c>
      <c r="AR616" t="s">
        <v>1</v>
      </c>
      <c r="AT616" s="2" t="s">
        <v>0</v>
      </c>
      <c r="AU616" s="1">
        <f t="shared" si="77"/>
        <v>0.56805744641093392</v>
      </c>
      <c r="AV616" s="1">
        <f t="shared" si="78"/>
        <v>0.40575531886495286</v>
      </c>
      <c r="AW616" s="1">
        <f t="shared" si="79"/>
        <v>0.24345319131897172</v>
      </c>
    </row>
    <row r="617" spans="1:49" x14ac:dyDescent="0.2">
      <c r="A617">
        <v>615</v>
      </c>
      <c r="B617" t="s">
        <v>3334</v>
      </c>
      <c r="F617" t="s">
        <v>3333</v>
      </c>
      <c r="G617" t="s">
        <v>9</v>
      </c>
      <c r="H617" t="s">
        <v>8</v>
      </c>
      <c r="I617" t="s">
        <v>3332</v>
      </c>
      <c r="J617">
        <v>60018308</v>
      </c>
      <c r="K617" t="s">
        <v>3331</v>
      </c>
      <c r="L617" t="s">
        <v>3330</v>
      </c>
      <c r="M617" t="s">
        <v>191</v>
      </c>
      <c r="N617">
        <v>4</v>
      </c>
      <c r="O617" t="s">
        <v>3329</v>
      </c>
      <c r="P617" t="s">
        <v>3328</v>
      </c>
      <c r="Q617" t="s">
        <v>3327</v>
      </c>
      <c r="R617" s="7">
        <v>36770</v>
      </c>
      <c r="S617" s="8">
        <f t="shared" si="72"/>
        <v>2000</v>
      </c>
      <c r="T617" s="8">
        <v>2000</v>
      </c>
      <c r="U617" s="8">
        <f t="shared" si="73"/>
        <v>22</v>
      </c>
      <c r="V617" s="7">
        <v>36770</v>
      </c>
      <c r="W617" t="s">
        <v>3326</v>
      </c>
      <c r="X617" s="2">
        <v>0.89500000000000002</v>
      </c>
      <c r="Y617" s="6">
        <f t="shared" si="74"/>
        <v>2.3891513841061373E-2</v>
      </c>
      <c r="AA617">
        <v>10001026</v>
      </c>
      <c r="AB617">
        <v>25397</v>
      </c>
      <c r="AD617" t="s">
        <v>3</v>
      </c>
      <c r="AE617">
        <v>24</v>
      </c>
      <c r="AF617">
        <v>17</v>
      </c>
      <c r="AH617" t="s">
        <v>3325</v>
      </c>
      <c r="AI617" t="s">
        <v>3324</v>
      </c>
      <c r="AK617" t="s">
        <v>3323</v>
      </c>
      <c r="AL617">
        <v>33</v>
      </c>
      <c r="AM617" s="5">
        <f t="shared" si="75"/>
        <v>1.5</v>
      </c>
      <c r="AN617" s="4">
        <f t="shared" si="76"/>
        <v>2.2718667171525938E-3</v>
      </c>
      <c r="AO617" s="3"/>
      <c r="AP617">
        <v>0</v>
      </c>
      <c r="AR617" t="s">
        <v>1</v>
      </c>
      <c r="AT617" s="2" t="s">
        <v>0</v>
      </c>
      <c r="AU617" s="1">
        <f t="shared" si="77"/>
        <v>1.7405619703888739</v>
      </c>
      <c r="AV617" s="1">
        <f t="shared" si="78"/>
        <v>1.3081690279106983</v>
      </c>
      <c r="AW617" s="1">
        <f t="shared" si="79"/>
        <v>0.87577608543252272</v>
      </c>
    </row>
    <row r="618" spans="1:49" x14ac:dyDescent="0.2">
      <c r="A618">
        <v>616</v>
      </c>
      <c r="B618" t="s">
        <v>3322</v>
      </c>
      <c r="C618" t="s">
        <v>3321</v>
      </c>
      <c r="F618" t="s">
        <v>3320</v>
      </c>
      <c r="G618" t="s">
        <v>9</v>
      </c>
      <c r="H618" t="s">
        <v>8</v>
      </c>
      <c r="I618" t="s">
        <v>223</v>
      </c>
      <c r="J618">
        <v>60013372</v>
      </c>
      <c r="K618" t="s">
        <v>818</v>
      </c>
      <c r="L618" t="s">
        <v>817</v>
      </c>
      <c r="M618" t="s">
        <v>5</v>
      </c>
      <c r="N618">
        <v>3</v>
      </c>
      <c r="O618" t="s">
        <v>3319</v>
      </c>
      <c r="P618" t="s">
        <v>3318</v>
      </c>
      <c r="Q618" t="s">
        <v>816</v>
      </c>
      <c r="R618" s="7">
        <v>36770</v>
      </c>
      <c r="S618" s="8">
        <f t="shared" si="72"/>
        <v>2000</v>
      </c>
      <c r="T618" s="8">
        <v>2000</v>
      </c>
      <c r="U618" s="8">
        <f t="shared" si="73"/>
        <v>22</v>
      </c>
      <c r="V618" s="7">
        <v>36770</v>
      </c>
      <c r="W618" t="s">
        <v>150</v>
      </c>
      <c r="X618" s="2">
        <v>0.30399999999999999</v>
      </c>
      <c r="Y618" s="6">
        <f t="shared" si="74"/>
        <v>8.115106377299057E-3</v>
      </c>
      <c r="AA618">
        <v>8952477</v>
      </c>
      <c r="AB618">
        <v>12250</v>
      </c>
      <c r="AD618" t="s">
        <v>3</v>
      </c>
      <c r="AE618">
        <v>26</v>
      </c>
      <c r="AF618">
        <v>5</v>
      </c>
      <c r="AH618" t="s">
        <v>636</v>
      </c>
      <c r="AI618" t="s">
        <v>3317</v>
      </c>
      <c r="AK618" t="s">
        <v>3316</v>
      </c>
      <c r="AL618">
        <v>50</v>
      </c>
      <c r="AM618" s="5">
        <f t="shared" si="75"/>
        <v>2.2727272727272729</v>
      </c>
      <c r="AN618" s="4">
        <f t="shared" si="76"/>
        <v>3.4422222987160515E-3</v>
      </c>
      <c r="AO618" s="3"/>
      <c r="AP618">
        <v>0</v>
      </c>
      <c r="AR618" t="s">
        <v>1</v>
      </c>
      <c r="AT618" s="2" t="s">
        <v>0</v>
      </c>
      <c r="AU618" s="1">
        <f t="shared" si="77"/>
        <v>0.67132411537241554</v>
      </c>
      <c r="AV618" s="1">
        <f t="shared" si="78"/>
        <v>0.57786643380075542</v>
      </c>
      <c r="AW618" s="1">
        <f t="shared" si="79"/>
        <v>0.4844087522290953</v>
      </c>
    </row>
    <row r="619" spans="1:49" x14ac:dyDescent="0.2">
      <c r="A619">
        <v>617</v>
      </c>
      <c r="B619" t="s">
        <v>3315</v>
      </c>
      <c r="C619" t="s">
        <v>3314</v>
      </c>
      <c r="F619" t="s">
        <v>3313</v>
      </c>
      <c r="G619" t="s">
        <v>9</v>
      </c>
      <c r="H619" t="s">
        <v>8</v>
      </c>
      <c r="I619" t="s">
        <v>3312</v>
      </c>
      <c r="J619" t="s">
        <v>3311</v>
      </c>
      <c r="K619" t="s">
        <v>3310</v>
      </c>
      <c r="L619" t="s">
        <v>3309</v>
      </c>
      <c r="M619" t="s">
        <v>760</v>
      </c>
      <c r="N619">
        <v>4</v>
      </c>
      <c r="O619" t="s">
        <v>3308</v>
      </c>
      <c r="P619" t="s">
        <v>3307</v>
      </c>
      <c r="Q619" t="s">
        <v>3306</v>
      </c>
      <c r="R619" s="7">
        <v>36770</v>
      </c>
      <c r="S619" s="8">
        <f t="shared" si="72"/>
        <v>2000</v>
      </c>
      <c r="T619" s="8">
        <v>2000</v>
      </c>
      <c r="U619" s="8">
        <f t="shared" si="73"/>
        <v>22</v>
      </c>
      <c r="V619" s="7">
        <v>36770</v>
      </c>
      <c r="W619" t="s">
        <v>150</v>
      </c>
      <c r="X619" s="2">
        <v>0.30399999999999999</v>
      </c>
      <c r="Y619" s="6">
        <f t="shared" si="74"/>
        <v>8.115106377299057E-3</v>
      </c>
      <c r="AA619">
        <v>8952477</v>
      </c>
      <c r="AB619">
        <v>12250</v>
      </c>
      <c r="AD619" t="s">
        <v>3</v>
      </c>
      <c r="AE619">
        <v>26</v>
      </c>
      <c r="AF619">
        <v>5</v>
      </c>
      <c r="AH619" t="s">
        <v>3305</v>
      </c>
      <c r="AI619" t="s">
        <v>3304</v>
      </c>
      <c r="AK619" t="s">
        <v>3303</v>
      </c>
      <c r="AL619">
        <v>23</v>
      </c>
      <c r="AM619" s="5">
        <f t="shared" si="75"/>
        <v>1.0454545454545454</v>
      </c>
      <c r="AN619" s="4">
        <f t="shared" si="76"/>
        <v>1.5834222574093834E-3</v>
      </c>
      <c r="AO619" s="3"/>
      <c r="AP619">
        <v>0</v>
      </c>
      <c r="AR619" t="s">
        <v>1</v>
      </c>
      <c r="AT619" s="2" t="s">
        <v>0</v>
      </c>
      <c r="AU619" s="1">
        <f t="shared" si="77"/>
        <v>0.61556011413321543</v>
      </c>
      <c r="AV619" s="1">
        <f t="shared" si="78"/>
        <v>0.48492643173542199</v>
      </c>
      <c r="AW619" s="1">
        <f t="shared" si="79"/>
        <v>0.35429274933762855</v>
      </c>
    </row>
    <row r="620" spans="1:49" x14ac:dyDescent="0.2">
      <c r="A620">
        <v>618</v>
      </c>
      <c r="B620" t="s">
        <v>3302</v>
      </c>
      <c r="C620" t="s">
        <v>3301</v>
      </c>
      <c r="F620" t="s">
        <v>3300</v>
      </c>
      <c r="G620" t="s">
        <v>9</v>
      </c>
      <c r="H620" t="s">
        <v>8</v>
      </c>
      <c r="I620" t="s">
        <v>3299</v>
      </c>
      <c r="J620" t="s">
        <v>3298</v>
      </c>
      <c r="K620" t="s">
        <v>3297</v>
      </c>
      <c r="L620" t="s">
        <v>3296</v>
      </c>
      <c r="M620" t="s">
        <v>3295</v>
      </c>
      <c r="N620">
        <v>1</v>
      </c>
      <c r="O620" t="s">
        <v>3294</v>
      </c>
      <c r="P620">
        <v>7006510917</v>
      </c>
      <c r="Q620" t="s">
        <v>3293</v>
      </c>
      <c r="R620" s="7">
        <v>36770</v>
      </c>
      <c r="S620" s="8">
        <f t="shared" si="72"/>
        <v>2000</v>
      </c>
      <c r="T620" s="8">
        <v>2000</v>
      </c>
      <c r="U620" s="8">
        <f t="shared" si="73"/>
        <v>22</v>
      </c>
      <c r="V620" s="7">
        <v>36770</v>
      </c>
      <c r="W620" t="s">
        <v>382</v>
      </c>
      <c r="X620" s="2">
        <v>1.218</v>
      </c>
      <c r="Y620" s="6">
        <f t="shared" si="74"/>
        <v>3.2513814366941618E-2</v>
      </c>
      <c r="AA620">
        <v>189448</v>
      </c>
      <c r="AB620">
        <v>15107</v>
      </c>
      <c r="AD620" t="s">
        <v>3</v>
      </c>
      <c r="AE620">
        <v>46</v>
      </c>
      <c r="AF620">
        <v>6</v>
      </c>
      <c r="AH620" t="s">
        <v>3292</v>
      </c>
      <c r="AI620" t="s">
        <v>3291</v>
      </c>
      <c r="AK620" t="s">
        <v>3290</v>
      </c>
      <c r="AL620">
        <v>204</v>
      </c>
      <c r="AM620" s="5">
        <f t="shared" si="75"/>
        <v>9.2727272727272734</v>
      </c>
      <c r="AN620" s="4">
        <f t="shared" si="76"/>
        <v>1.404426697876149E-2</v>
      </c>
      <c r="AO620" s="3"/>
      <c r="AP620">
        <v>0</v>
      </c>
      <c r="AR620" t="s">
        <v>1</v>
      </c>
      <c r="AT620" s="2" t="s">
        <v>0</v>
      </c>
      <c r="AU620" s="1">
        <f t="shared" si="77"/>
        <v>2.6972950150487578</v>
      </c>
      <c r="AV620" s="1">
        <f t="shared" si="78"/>
        <v>2.3279040672851554</v>
      </c>
      <c r="AW620" s="1">
        <f t="shared" si="79"/>
        <v>1.958513119521553</v>
      </c>
    </row>
    <row r="621" spans="1:49" x14ac:dyDescent="0.2">
      <c r="A621">
        <v>619</v>
      </c>
      <c r="B621" t="s">
        <v>3289</v>
      </c>
      <c r="C621" t="s">
        <v>3288</v>
      </c>
      <c r="F621" t="s">
        <v>3287</v>
      </c>
      <c r="G621" t="s">
        <v>9</v>
      </c>
      <c r="H621" t="s">
        <v>8</v>
      </c>
      <c r="I621" t="s">
        <v>3286</v>
      </c>
      <c r="J621">
        <v>60026810</v>
      </c>
      <c r="K621" t="s">
        <v>3285</v>
      </c>
      <c r="L621" t="s">
        <v>457</v>
      </c>
      <c r="M621" t="s">
        <v>317</v>
      </c>
      <c r="N621">
        <v>1</v>
      </c>
      <c r="O621" t="s">
        <v>3284</v>
      </c>
      <c r="P621">
        <v>6602701159</v>
      </c>
      <c r="Q621">
        <v>60026810</v>
      </c>
      <c r="R621" s="7">
        <v>36770</v>
      </c>
      <c r="S621" s="8">
        <f t="shared" si="72"/>
        <v>2000</v>
      </c>
      <c r="T621" s="8">
        <v>2000</v>
      </c>
      <c r="U621" s="8">
        <f t="shared" si="73"/>
        <v>22</v>
      </c>
      <c r="V621" s="7">
        <v>36770</v>
      </c>
      <c r="W621" t="s">
        <v>297</v>
      </c>
      <c r="X621" s="2">
        <v>1.3720000000000001</v>
      </c>
      <c r="Y621" s="6">
        <f t="shared" si="74"/>
        <v>3.662475641333654E-2</v>
      </c>
      <c r="AA621">
        <v>189480</v>
      </c>
      <c r="AB621">
        <v>17366</v>
      </c>
      <c r="AD621" t="s">
        <v>3</v>
      </c>
      <c r="AE621">
        <v>48</v>
      </c>
      <c r="AF621">
        <v>9</v>
      </c>
      <c r="AH621" t="s">
        <v>3283</v>
      </c>
      <c r="AI621" t="s">
        <v>3282</v>
      </c>
      <c r="AK621" t="s">
        <v>3281</v>
      </c>
      <c r="AL621">
        <v>7</v>
      </c>
      <c r="AM621" s="5">
        <f t="shared" si="75"/>
        <v>0.31818181818181818</v>
      </c>
      <c r="AN621" s="4">
        <f t="shared" si="76"/>
        <v>4.8191112182024716E-4</v>
      </c>
      <c r="AO621" s="3"/>
      <c r="AP621">
        <v>0</v>
      </c>
      <c r="AR621" t="s">
        <v>1</v>
      </c>
      <c r="AT621" s="2" t="s">
        <v>0</v>
      </c>
      <c r="AU621" s="1">
        <f t="shared" si="77"/>
        <v>2.5781902825881651</v>
      </c>
      <c r="AV621" s="1">
        <f t="shared" si="78"/>
        <v>1.8553333767578395</v>
      </c>
      <c r="AW621" s="1">
        <f t="shared" si="79"/>
        <v>1.1324764709275137</v>
      </c>
    </row>
    <row r="622" spans="1:49" x14ac:dyDescent="0.2">
      <c r="A622">
        <v>620</v>
      </c>
      <c r="B622" t="s">
        <v>3280</v>
      </c>
      <c r="C622" t="s">
        <v>3279</v>
      </c>
      <c r="D622" t="s">
        <v>3278</v>
      </c>
      <c r="F622" t="s">
        <v>3277</v>
      </c>
      <c r="G622" t="s">
        <v>9</v>
      </c>
      <c r="H622" t="s">
        <v>8</v>
      </c>
      <c r="I622" t="s">
        <v>3276</v>
      </c>
      <c r="J622" t="s">
        <v>3275</v>
      </c>
      <c r="K622" t="s">
        <v>3274</v>
      </c>
      <c r="L622" t="s">
        <v>3273</v>
      </c>
      <c r="M622" t="s">
        <v>3272</v>
      </c>
      <c r="N622">
        <v>4</v>
      </c>
      <c r="O622" t="s">
        <v>3271</v>
      </c>
      <c r="P622" t="s">
        <v>3270</v>
      </c>
      <c r="Q622" t="s">
        <v>3269</v>
      </c>
      <c r="R622" s="7">
        <v>36770</v>
      </c>
      <c r="S622" s="8">
        <f t="shared" si="72"/>
        <v>2000</v>
      </c>
      <c r="T622" s="8">
        <v>2000</v>
      </c>
      <c r="U622" s="8">
        <f t="shared" si="73"/>
        <v>22</v>
      </c>
      <c r="V622" s="7">
        <v>36770</v>
      </c>
      <c r="W622" t="s">
        <v>300</v>
      </c>
      <c r="X622" s="2">
        <v>2.141</v>
      </c>
      <c r="Y622" s="6">
        <f t="shared" si="74"/>
        <v>5.7152772216438434E-2</v>
      </c>
      <c r="AA622">
        <v>1962892</v>
      </c>
      <c r="AB622">
        <v>17360</v>
      </c>
      <c r="AD622" t="s">
        <v>3</v>
      </c>
      <c r="AE622">
        <v>38</v>
      </c>
      <c r="AF622" t="s">
        <v>26</v>
      </c>
      <c r="AH622" t="s">
        <v>3268</v>
      </c>
      <c r="AI622" t="s">
        <v>3267</v>
      </c>
      <c r="AJ622" t="s">
        <v>3266</v>
      </c>
      <c r="AK622" t="s">
        <v>3265</v>
      </c>
      <c r="AL622">
        <v>21</v>
      </c>
      <c r="AM622" s="5">
        <f t="shared" si="75"/>
        <v>0.95454545454545459</v>
      </c>
      <c r="AN622" s="4">
        <f t="shared" si="76"/>
        <v>1.4457333654607416E-3</v>
      </c>
      <c r="AO622" s="3"/>
      <c r="AP622">
        <v>0</v>
      </c>
      <c r="AR622" t="s">
        <v>1</v>
      </c>
      <c r="AT622" s="2" t="s">
        <v>0</v>
      </c>
      <c r="AU622" s="1">
        <f t="shared" si="77"/>
        <v>4.0440660561145121</v>
      </c>
      <c r="AV622" s="1">
        <f t="shared" si="78"/>
        <v>2.929925279094959</v>
      </c>
      <c r="AW622" s="1">
        <f t="shared" si="79"/>
        <v>1.8157845020754051</v>
      </c>
    </row>
    <row r="623" spans="1:49" x14ac:dyDescent="0.2">
      <c r="A623">
        <v>621</v>
      </c>
      <c r="B623" t="s">
        <v>3264</v>
      </c>
      <c r="C623" t="s">
        <v>3263</v>
      </c>
      <c r="F623" t="s">
        <v>3262</v>
      </c>
      <c r="G623" t="s">
        <v>9</v>
      </c>
      <c r="H623" t="s">
        <v>8</v>
      </c>
      <c r="I623" t="s">
        <v>3261</v>
      </c>
      <c r="J623">
        <v>60028186</v>
      </c>
      <c r="K623" t="s">
        <v>179</v>
      </c>
      <c r="L623" t="s">
        <v>178</v>
      </c>
      <c r="M623" t="s">
        <v>177</v>
      </c>
      <c r="N623">
        <v>2</v>
      </c>
      <c r="O623" t="s">
        <v>3260</v>
      </c>
      <c r="P623" t="s">
        <v>3259</v>
      </c>
      <c r="Q623" t="s">
        <v>502</v>
      </c>
      <c r="R623" s="7">
        <v>36770</v>
      </c>
      <c r="S623" s="8">
        <f t="shared" si="72"/>
        <v>2000</v>
      </c>
      <c r="T623" s="8">
        <v>2000</v>
      </c>
      <c r="U623" s="8">
        <f t="shared" si="73"/>
        <v>22</v>
      </c>
      <c r="V623" s="7">
        <v>36770</v>
      </c>
      <c r="W623" t="s">
        <v>297</v>
      </c>
      <c r="X623" s="2">
        <v>1.3720000000000001</v>
      </c>
      <c r="Y623" s="6">
        <f t="shared" si="74"/>
        <v>3.662475641333654E-2</v>
      </c>
      <c r="AA623">
        <v>189480</v>
      </c>
      <c r="AB623">
        <v>17366</v>
      </c>
      <c r="AD623" t="s">
        <v>3</v>
      </c>
      <c r="AE623">
        <v>48</v>
      </c>
      <c r="AF623">
        <v>9</v>
      </c>
      <c r="AH623" t="s">
        <v>3258</v>
      </c>
      <c r="AI623" t="s">
        <v>3257</v>
      </c>
      <c r="AK623" t="s">
        <v>3256</v>
      </c>
      <c r="AL623">
        <v>31</v>
      </c>
      <c r="AM623" s="5">
        <f t="shared" si="75"/>
        <v>1.4090909090909092</v>
      </c>
      <c r="AN623" s="4">
        <f t="shared" si="76"/>
        <v>2.1341778252039517E-3</v>
      </c>
      <c r="AO623" s="3"/>
      <c r="AP623">
        <v>0</v>
      </c>
      <c r="AR623" t="s">
        <v>1</v>
      </c>
      <c r="AT623" s="2" t="s">
        <v>0</v>
      </c>
      <c r="AU623" s="1">
        <f t="shared" si="77"/>
        <v>2.6277582836896762</v>
      </c>
      <c r="AV623" s="1">
        <f t="shared" si="78"/>
        <v>1.9379467119270248</v>
      </c>
      <c r="AW623" s="1">
        <f t="shared" si="79"/>
        <v>1.2481351401643728</v>
      </c>
    </row>
    <row r="624" spans="1:49" x14ac:dyDescent="0.2">
      <c r="A624">
        <v>622</v>
      </c>
      <c r="B624" t="s">
        <v>3255</v>
      </c>
      <c r="C624" t="s">
        <v>3254</v>
      </c>
      <c r="F624" t="s">
        <v>3253</v>
      </c>
      <c r="G624" t="s">
        <v>9</v>
      </c>
      <c r="H624" t="s">
        <v>8</v>
      </c>
      <c r="I624" t="s">
        <v>3252</v>
      </c>
      <c r="J624" t="s">
        <v>3251</v>
      </c>
      <c r="K624" t="s">
        <v>3250</v>
      </c>
      <c r="L624" t="s">
        <v>3249</v>
      </c>
      <c r="M624" t="s">
        <v>3248</v>
      </c>
      <c r="N624">
        <v>4</v>
      </c>
      <c r="O624" t="s">
        <v>3247</v>
      </c>
      <c r="P624" t="s">
        <v>3246</v>
      </c>
      <c r="Q624" t="s">
        <v>3245</v>
      </c>
      <c r="R624" s="7">
        <v>36770</v>
      </c>
      <c r="S624" s="8">
        <f t="shared" si="72"/>
        <v>2000</v>
      </c>
      <c r="T624" s="8">
        <v>2000</v>
      </c>
      <c r="U624" s="8">
        <f t="shared" si="73"/>
        <v>22</v>
      </c>
      <c r="V624" s="7">
        <v>36770</v>
      </c>
      <c r="W624" t="s">
        <v>644</v>
      </c>
      <c r="X624" s="2">
        <v>0.89600000000000002</v>
      </c>
      <c r="Y624" s="6">
        <f t="shared" si="74"/>
        <v>2.3918208269934065E-2</v>
      </c>
      <c r="AA624" t="s">
        <v>643</v>
      </c>
      <c r="AB624">
        <v>21100855841</v>
      </c>
      <c r="AD624" t="s">
        <v>3</v>
      </c>
      <c r="AE624">
        <v>62</v>
      </c>
      <c r="AF624" t="s">
        <v>3244</v>
      </c>
      <c r="AH624" t="s">
        <v>3243</v>
      </c>
      <c r="AI624" t="s">
        <v>3242</v>
      </c>
      <c r="AK624" t="s">
        <v>3241</v>
      </c>
      <c r="AL624">
        <v>64</v>
      </c>
      <c r="AM624" s="5">
        <f t="shared" si="75"/>
        <v>2.9090909090909092</v>
      </c>
      <c r="AN624" s="4">
        <f t="shared" si="76"/>
        <v>4.4060445423565455E-3</v>
      </c>
      <c r="AO624" s="3"/>
      <c r="AP624">
        <v>0</v>
      </c>
      <c r="AR624" t="s">
        <v>1</v>
      </c>
      <c r="AT624" s="2" t="s">
        <v>0</v>
      </c>
      <c r="AU624" s="1">
        <f t="shared" si="77"/>
        <v>1.8064559151660806</v>
      </c>
      <c r="AV624" s="1">
        <f t="shared" si="78"/>
        <v>1.4162126406145306</v>
      </c>
      <c r="AW624" s="1">
        <f t="shared" si="79"/>
        <v>1.0259693660629801</v>
      </c>
    </row>
    <row r="625" spans="1:49" x14ac:dyDescent="0.2">
      <c r="A625">
        <v>623</v>
      </c>
      <c r="B625" t="s">
        <v>3240</v>
      </c>
      <c r="C625" t="s">
        <v>3239</v>
      </c>
      <c r="F625" t="s">
        <v>3238</v>
      </c>
      <c r="G625" t="s">
        <v>9</v>
      </c>
      <c r="H625" t="s">
        <v>8</v>
      </c>
      <c r="I625" t="s">
        <v>3237</v>
      </c>
      <c r="J625" t="s">
        <v>3236</v>
      </c>
      <c r="K625" t="s">
        <v>3235</v>
      </c>
      <c r="L625" t="s">
        <v>3234</v>
      </c>
      <c r="M625" t="s">
        <v>3233</v>
      </c>
      <c r="N625">
        <v>5</v>
      </c>
      <c r="O625" t="s">
        <v>3232</v>
      </c>
      <c r="P625" t="s">
        <v>3231</v>
      </c>
      <c r="Q625" t="s">
        <v>3230</v>
      </c>
      <c r="R625" s="7">
        <v>36770</v>
      </c>
      <c r="S625" s="8">
        <f t="shared" si="72"/>
        <v>2000</v>
      </c>
      <c r="T625" s="8">
        <v>2000</v>
      </c>
      <c r="U625" s="8">
        <f t="shared" si="73"/>
        <v>22</v>
      </c>
      <c r="V625" s="7">
        <v>36770</v>
      </c>
      <c r="W625" t="s">
        <v>382</v>
      </c>
      <c r="X625" s="2">
        <v>1.218</v>
      </c>
      <c r="Y625" s="6">
        <f t="shared" si="74"/>
        <v>3.2513814366941618E-2</v>
      </c>
      <c r="AA625">
        <v>189448</v>
      </c>
      <c r="AB625">
        <v>15107</v>
      </c>
      <c r="AD625" t="s">
        <v>3</v>
      </c>
      <c r="AE625">
        <v>46</v>
      </c>
      <c r="AF625">
        <v>6</v>
      </c>
      <c r="AH625" t="s">
        <v>3229</v>
      </c>
      <c r="AI625" t="s">
        <v>3228</v>
      </c>
      <c r="AK625" t="s">
        <v>3227</v>
      </c>
      <c r="AL625">
        <v>541</v>
      </c>
      <c r="AM625" s="5">
        <f t="shared" si="75"/>
        <v>24.59090909090909</v>
      </c>
      <c r="AN625" s="4">
        <f t="shared" si="76"/>
        <v>3.7244845272107668E-2</v>
      </c>
      <c r="AO625" s="3"/>
      <c r="AP625">
        <v>0</v>
      </c>
      <c r="AR625" t="s">
        <v>1</v>
      </c>
      <c r="AT625" s="2" t="s">
        <v>0</v>
      </c>
      <c r="AU625" s="1">
        <f t="shared" si="77"/>
        <v>3.3933123638491427</v>
      </c>
      <c r="AV625" s="1">
        <f t="shared" si="78"/>
        <v>3.4879329819524645</v>
      </c>
      <c r="AW625" s="1">
        <f t="shared" si="79"/>
        <v>3.5825536000557849</v>
      </c>
    </row>
    <row r="626" spans="1:49" x14ac:dyDescent="0.2">
      <c r="A626">
        <v>624</v>
      </c>
      <c r="B626" t="s">
        <v>3226</v>
      </c>
      <c r="C626" t="s">
        <v>3225</v>
      </c>
      <c r="D626" t="s">
        <v>3224</v>
      </c>
      <c r="F626" t="s">
        <v>3223</v>
      </c>
      <c r="G626" t="s">
        <v>9</v>
      </c>
      <c r="H626" t="s">
        <v>8</v>
      </c>
      <c r="I626" t="s">
        <v>377</v>
      </c>
      <c r="J626" t="s">
        <v>3222</v>
      </c>
      <c r="K626" t="s">
        <v>3221</v>
      </c>
      <c r="L626" t="s">
        <v>3220</v>
      </c>
      <c r="M626" t="s">
        <v>633</v>
      </c>
      <c r="N626">
        <v>5</v>
      </c>
      <c r="O626" t="s">
        <v>3219</v>
      </c>
      <c r="P626" t="s">
        <v>3218</v>
      </c>
      <c r="Q626" t="s">
        <v>3217</v>
      </c>
      <c r="R626" s="7">
        <v>36770</v>
      </c>
      <c r="S626" s="8">
        <f t="shared" si="72"/>
        <v>2000</v>
      </c>
      <c r="T626" s="8">
        <v>2000</v>
      </c>
      <c r="U626" s="8">
        <f t="shared" si="73"/>
        <v>22</v>
      </c>
      <c r="V626" s="7">
        <v>36770</v>
      </c>
      <c r="W626" t="s">
        <v>300</v>
      </c>
      <c r="X626" s="2">
        <v>2.141</v>
      </c>
      <c r="Y626" s="6">
        <f t="shared" si="74"/>
        <v>5.7152772216438434E-2</v>
      </c>
      <c r="AA626">
        <v>1962892</v>
      </c>
      <c r="AB626">
        <v>17360</v>
      </c>
      <c r="AD626" t="s">
        <v>3</v>
      </c>
      <c r="AE626">
        <v>38</v>
      </c>
      <c r="AF626" t="s">
        <v>641</v>
      </c>
      <c r="AH626" t="s">
        <v>3216</v>
      </c>
      <c r="AI626" t="s">
        <v>3215</v>
      </c>
      <c r="AJ626" t="s">
        <v>3214</v>
      </c>
      <c r="AK626" t="s">
        <v>3213</v>
      </c>
      <c r="AL626">
        <v>21</v>
      </c>
      <c r="AM626" s="5">
        <f t="shared" si="75"/>
        <v>0.95454545454545459</v>
      </c>
      <c r="AN626" s="4">
        <f t="shared" si="76"/>
        <v>1.4457333654607416E-3</v>
      </c>
      <c r="AO626" s="3"/>
      <c r="AP626">
        <v>0</v>
      </c>
      <c r="AR626" t="s">
        <v>1</v>
      </c>
      <c r="AT626" s="2" t="s">
        <v>0</v>
      </c>
      <c r="AU626" s="1">
        <f t="shared" si="77"/>
        <v>4.0440660561145121</v>
      </c>
      <c r="AV626" s="1">
        <f t="shared" si="78"/>
        <v>2.929925279094959</v>
      </c>
      <c r="AW626" s="1">
        <f t="shared" si="79"/>
        <v>1.8157845020754051</v>
      </c>
    </row>
    <row r="627" spans="1:49" x14ac:dyDescent="0.2">
      <c r="A627">
        <v>625</v>
      </c>
      <c r="B627" t="s">
        <v>3212</v>
      </c>
      <c r="C627" t="s">
        <v>3211</v>
      </c>
      <c r="F627" t="s">
        <v>3210</v>
      </c>
      <c r="G627" t="s">
        <v>9</v>
      </c>
      <c r="H627" t="s">
        <v>8</v>
      </c>
      <c r="I627" t="s">
        <v>3209</v>
      </c>
      <c r="J627" t="s">
        <v>3208</v>
      </c>
      <c r="K627" t="s">
        <v>3207</v>
      </c>
      <c r="L627" t="s">
        <v>3206</v>
      </c>
      <c r="M627" t="s">
        <v>183</v>
      </c>
      <c r="N627">
        <v>4</v>
      </c>
      <c r="O627" t="s">
        <v>3205</v>
      </c>
      <c r="P627" t="s">
        <v>3204</v>
      </c>
      <c r="Q627" t="s">
        <v>3203</v>
      </c>
      <c r="R627" s="7">
        <v>36770</v>
      </c>
      <c r="S627" s="8">
        <f t="shared" si="72"/>
        <v>2000</v>
      </c>
      <c r="T627" s="8">
        <v>2000</v>
      </c>
      <c r="U627" s="8">
        <f t="shared" si="73"/>
        <v>22</v>
      </c>
      <c r="V627" s="7">
        <v>36770</v>
      </c>
      <c r="W627" t="s">
        <v>295</v>
      </c>
      <c r="X627" s="2">
        <v>0.371</v>
      </c>
      <c r="Y627" s="6">
        <f t="shared" si="74"/>
        <v>9.9036331117695747E-3</v>
      </c>
      <c r="AA627">
        <v>486604</v>
      </c>
      <c r="AB627">
        <v>28580</v>
      </c>
      <c r="AD627" t="s">
        <v>3</v>
      </c>
      <c r="AE627">
        <v>35</v>
      </c>
      <c r="AF627">
        <v>5</v>
      </c>
      <c r="AH627" t="s">
        <v>3202</v>
      </c>
      <c r="AI627" t="s">
        <v>3201</v>
      </c>
      <c r="AK627" t="s">
        <v>3200</v>
      </c>
      <c r="AL627">
        <v>52</v>
      </c>
      <c r="AM627" s="5">
        <f t="shared" si="75"/>
        <v>2.3636363636363638</v>
      </c>
      <c r="AN627" s="4">
        <f t="shared" si="76"/>
        <v>3.5799111906646935E-3</v>
      </c>
      <c r="AO627" s="3"/>
      <c r="AP627">
        <v>1</v>
      </c>
      <c r="AR627" t="s">
        <v>1</v>
      </c>
      <c r="AT627" s="2">
        <v>1.431</v>
      </c>
      <c r="AU627" s="1">
        <f t="shared" si="77"/>
        <v>0.80065165354381107</v>
      </c>
      <c r="AV627" s="1">
        <f t="shared" si="78"/>
        <v>0.67417721512171347</v>
      </c>
      <c r="AW627" s="1">
        <f t="shared" si="79"/>
        <v>0.54770277669961587</v>
      </c>
    </row>
    <row r="628" spans="1:49" x14ac:dyDescent="0.2">
      <c r="A628">
        <v>626</v>
      </c>
      <c r="B628" t="s">
        <v>3199</v>
      </c>
      <c r="C628" t="s">
        <v>3198</v>
      </c>
      <c r="F628" t="s">
        <v>3197</v>
      </c>
      <c r="G628" t="s">
        <v>9</v>
      </c>
      <c r="H628" t="s">
        <v>8</v>
      </c>
      <c r="I628" t="s">
        <v>3196</v>
      </c>
      <c r="J628">
        <v>100573418</v>
      </c>
      <c r="K628" t="s">
        <v>3195</v>
      </c>
      <c r="L628" t="s">
        <v>496</v>
      </c>
      <c r="M628" t="s">
        <v>5</v>
      </c>
      <c r="N628">
        <v>1</v>
      </c>
      <c r="O628" t="s">
        <v>3194</v>
      </c>
      <c r="P628">
        <v>14121997400</v>
      </c>
      <c r="Q628">
        <v>100573418</v>
      </c>
      <c r="R628" s="7">
        <v>36770</v>
      </c>
      <c r="S628" s="8">
        <f t="shared" si="72"/>
        <v>2000</v>
      </c>
      <c r="T628" s="8">
        <v>2000</v>
      </c>
      <c r="U628" s="8">
        <f t="shared" si="73"/>
        <v>22</v>
      </c>
      <c r="V628" s="7">
        <v>36770</v>
      </c>
      <c r="W628" t="s">
        <v>365</v>
      </c>
      <c r="X628" s="2">
        <v>1.468</v>
      </c>
      <c r="Y628" s="6">
        <f t="shared" si="74"/>
        <v>3.9187421585115186E-2</v>
      </c>
      <c r="AA628">
        <v>906778</v>
      </c>
      <c r="AB628">
        <v>18931</v>
      </c>
      <c r="AD628" t="s">
        <v>3</v>
      </c>
      <c r="AE628">
        <v>48</v>
      </c>
      <c r="AF628">
        <v>9</v>
      </c>
      <c r="AH628" t="s">
        <v>3193</v>
      </c>
      <c r="AI628" t="s">
        <v>3192</v>
      </c>
      <c r="AK628" t="s">
        <v>3191</v>
      </c>
      <c r="AL628">
        <v>9</v>
      </c>
      <c r="AM628" s="5">
        <f t="shared" si="75"/>
        <v>0.40909090909090912</v>
      </c>
      <c r="AN628" s="4">
        <f t="shared" si="76"/>
        <v>6.1960001376888923E-4</v>
      </c>
      <c r="AO628" s="3"/>
      <c r="AP628">
        <v>0</v>
      </c>
      <c r="AR628" t="s">
        <v>1</v>
      </c>
      <c r="AT628" s="2">
        <v>5.0830000000000002</v>
      </c>
      <c r="AU628" s="1">
        <f t="shared" si="77"/>
        <v>2.7617075113711294</v>
      </c>
      <c r="AV628" s="1">
        <f t="shared" si="78"/>
        <v>1.9903510799442037</v>
      </c>
      <c r="AW628" s="1">
        <f t="shared" si="79"/>
        <v>1.2189946485172778</v>
      </c>
    </row>
    <row r="629" spans="1:49" x14ac:dyDescent="0.2">
      <c r="A629">
        <v>627</v>
      </c>
      <c r="B629" t="s">
        <v>3190</v>
      </c>
      <c r="C629" t="s">
        <v>3189</v>
      </c>
      <c r="F629" t="s">
        <v>3188</v>
      </c>
      <c r="G629" t="s">
        <v>9</v>
      </c>
      <c r="H629" t="s">
        <v>8</v>
      </c>
      <c r="I629" t="s">
        <v>3187</v>
      </c>
      <c r="J629">
        <v>60015009</v>
      </c>
      <c r="K629" t="s">
        <v>3186</v>
      </c>
      <c r="L629" t="s">
        <v>3185</v>
      </c>
      <c r="M629" t="s">
        <v>5</v>
      </c>
      <c r="N629">
        <v>2</v>
      </c>
      <c r="O629" t="s">
        <v>3184</v>
      </c>
      <c r="P629" t="s">
        <v>3183</v>
      </c>
      <c r="Q629" t="s">
        <v>3182</v>
      </c>
      <c r="R629" s="7">
        <v>36770</v>
      </c>
      <c r="S629" s="8">
        <f t="shared" si="72"/>
        <v>2000</v>
      </c>
      <c r="T629" s="8">
        <v>2000</v>
      </c>
      <c r="U629" s="8">
        <f t="shared" si="73"/>
        <v>22</v>
      </c>
      <c r="V629" s="7">
        <v>36770</v>
      </c>
      <c r="W629" t="s">
        <v>295</v>
      </c>
      <c r="X629" s="2">
        <v>0.371</v>
      </c>
      <c r="Y629" s="6">
        <f t="shared" si="74"/>
        <v>9.9036331117695747E-3</v>
      </c>
      <c r="AA629">
        <v>486604</v>
      </c>
      <c r="AB629">
        <v>28580</v>
      </c>
      <c r="AD629" t="s">
        <v>3</v>
      </c>
      <c r="AE629">
        <v>35</v>
      </c>
      <c r="AF629">
        <v>5</v>
      </c>
      <c r="AH629" t="s">
        <v>3181</v>
      </c>
      <c r="AI629" t="s">
        <v>3180</v>
      </c>
      <c r="AK629" t="s">
        <v>3179</v>
      </c>
      <c r="AL629">
        <v>7</v>
      </c>
      <c r="AM629" s="5">
        <f t="shared" si="75"/>
        <v>0.31818181818181818</v>
      </c>
      <c r="AN629" s="4">
        <f t="shared" si="76"/>
        <v>4.8191112182024716E-4</v>
      </c>
      <c r="AO629" s="3"/>
      <c r="AP629">
        <v>1</v>
      </c>
      <c r="AR629" t="s">
        <v>1</v>
      </c>
      <c r="AT629" s="2">
        <v>1.431</v>
      </c>
      <c r="AU629" s="1">
        <f t="shared" si="77"/>
        <v>0.70771165147847759</v>
      </c>
      <c r="AV629" s="1">
        <f t="shared" si="78"/>
        <v>0.51927721167949104</v>
      </c>
      <c r="AW629" s="1">
        <f t="shared" si="79"/>
        <v>0.33084277188050454</v>
      </c>
    </row>
    <row r="630" spans="1:49" x14ac:dyDescent="0.2">
      <c r="A630">
        <v>628</v>
      </c>
      <c r="B630" t="s">
        <v>3178</v>
      </c>
      <c r="C630" t="s">
        <v>3177</v>
      </c>
      <c r="F630" t="s">
        <v>3176</v>
      </c>
      <c r="G630" t="s">
        <v>9</v>
      </c>
      <c r="H630" t="s">
        <v>8</v>
      </c>
      <c r="I630" t="s">
        <v>2689</v>
      </c>
      <c r="J630">
        <v>60022144</v>
      </c>
      <c r="K630" t="s">
        <v>525</v>
      </c>
      <c r="L630" t="s">
        <v>524</v>
      </c>
      <c r="M630" t="s">
        <v>5</v>
      </c>
      <c r="N630">
        <v>2</v>
      </c>
      <c r="O630" t="s">
        <v>2688</v>
      </c>
      <c r="P630" t="s">
        <v>2687</v>
      </c>
      <c r="Q630" t="s">
        <v>770</v>
      </c>
      <c r="R630" s="7">
        <v>36770</v>
      </c>
      <c r="S630" s="8">
        <f t="shared" si="72"/>
        <v>2000</v>
      </c>
      <c r="T630" s="8">
        <v>2000</v>
      </c>
      <c r="U630" s="8">
        <f t="shared" si="73"/>
        <v>22</v>
      </c>
      <c r="V630" s="7">
        <v>36770</v>
      </c>
      <c r="W630" t="s">
        <v>780</v>
      </c>
      <c r="X630" s="2">
        <v>0.35699999999999998</v>
      </c>
      <c r="Y630" s="6">
        <f t="shared" si="74"/>
        <v>9.5299111075518531E-3</v>
      </c>
      <c r="AA630">
        <v>913286</v>
      </c>
      <c r="AB630">
        <v>12316</v>
      </c>
      <c r="AD630" t="s">
        <v>3</v>
      </c>
      <c r="AE630">
        <v>39</v>
      </c>
      <c r="AF630">
        <v>9</v>
      </c>
      <c r="AH630" t="s">
        <v>3175</v>
      </c>
      <c r="AI630" t="s">
        <v>3174</v>
      </c>
      <c r="AK630" t="s">
        <v>3173</v>
      </c>
      <c r="AL630">
        <v>9</v>
      </c>
      <c r="AM630" s="5">
        <f t="shared" si="75"/>
        <v>0.40909090909090912</v>
      </c>
      <c r="AN630" s="4">
        <f t="shared" si="76"/>
        <v>6.1960001376888923E-4</v>
      </c>
      <c r="AO630" s="3"/>
      <c r="AP630">
        <v>0</v>
      </c>
      <c r="AR630" t="s">
        <v>1</v>
      </c>
      <c r="AT630" s="2">
        <v>1.0840000000000001</v>
      </c>
      <c r="AU630" s="1">
        <f t="shared" si="77"/>
        <v>0.68568177794169638</v>
      </c>
      <c r="AV630" s="1">
        <f t="shared" si="78"/>
        <v>0.50747555606603711</v>
      </c>
      <c r="AW630" s="1">
        <f t="shared" si="79"/>
        <v>0.32926933419037779</v>
      </c>
    </row>
    <row r="631" spans="1:49" x14ac:dyDescent="0.2">
      <c r="A631">
        <v>629</v>
      </c>
      <c r="B631" t="s">
        <v>3172</v>
      </c>
      <c r="C631" t="s">
        <v>3171</v>
      </c>
      <c r="F631" t="s">
        <v>3170</v>
      </c>
      <c r="G631" t="s">
        <v>9</v>
      </c>
      <c r="H631" t="s">
        <v>8</v>
      </c>
      <c r="I631" t="s">
        <v>174</v>
      </c>
      <c r="J631" t="s">
        <v>3169</v>
      </c>
      <c r="K631" t="s">
        <v>3168</v>
      </c>
      <c r="L631" t="s">
        <v>3167</v>
      </c>
      <c r="M631" t="s">
        <v>19</v>
      </c>
      <c r="N631">
        <v>2</v>
      </c>
      <c r="O631" t="s">
        <v>3166</v>
      </c>
      <c r="P631" t="s">
        <v>3165</v>
      </c>
      <c r="Q631" t="s">
        <v>3164</v>
      </c>
      <c r="R631" s="7">
        <v>36770</v>
      </c>
      <c r="S631" s="8">
        <f t="shared" si="72"/>
        <v>2000</v>
      </c>
      <c r="T631" s="8">
        <v>2000</v>
      </c>
      <c r="U631" s="8">
        <f t="shared" si="73"/>
        <v>22</v>
      </c>
      <c r="V631" s="7">
        <v>36770</v>
      </c>
      <c r="W631" t="s">
        <v>780</v>
      </c>
      <c r="X631" s="2">
        <v>0.35699999999999998</v>
      </c>
      <c r="Y631" s="6">
        <f t="shared" si="74"/>
        <v>9.5299111075518531E-3</v>
      </c>
      <c r="AA631">
        <v>913286</v>
      </c>
      <c r="AB631">
        <v>12316</v>
      </c>
      <c r="AD631" t="s">
        <v>3</v>
      </c>
      <c r="AE631">
        <v>39</v>
      </c>
      <c r="AF631">
        <v>9</v>
      </c>
      <c r="AH631" t="s">
        <v>3163</v>
      </c>
      <c r="AI631" t="s">
        <v>3162</v>
      </c>
      <c r="AK631" t="s">
        <v>3161</v>
      </c>
      <c r="AL631">
        <v>1</v>
      </c>
      <c r="AM631" s="5">
        <f t="shared" si="75"/>
        <v>4.5454545454545456E-2</v>
      </c>
      <c r="AN631" s="4">
        <f t="shared" si="76"/>
        <v>6.8844445974321024E-5</v>
      </c>
      <c r="AO631" s="3"/>
      <c r="AP631">
        <v>0</v>
      </c>
      <c r="AR631" t="s">
        <v>1</v>
      </c>
      <c r="AT631" s="2">
        <v>1.0840000000000001</v>
      </c>
      <c r="AU631" s="1">
        <f t="shared" si="77"/>
        <v>0.6691591109078594</v>
      </c>
      <c r="AV631" s="1">
        <f t="shared" si="78"/>
        <v>0.47993777767630869</v>
      </c>
      <c r="AW631" s="1">
        <f t="shared" si="79"/>
        <v>0.29071644444475808</v>
      </c>
    </row>
    <row r="632" spans="1:49" x14ac:dyDescent="0.2">
      <c r="A632">
        <v>630</v>
      </c>
      <c r="B632" t="s">
        <v>3160</v>
      </c>
      <c r="C632" t="s">
        <v>3159</v>
      </c>
      <c r="F632" t="s">
        <v>3158</v>
      </c>
      <c r="G632" t="s">
        <v>9</v>
      </c>
      <c r="H632" t="s">
        <v>8</v>
      </c>
      <c r="I632" t="s">
        <v>3157</v>
      </c>
      <c r="J632" t="s">
        <v>3156</v>
      </c>
      <c r="K632" t="s">
        <v>3155</v>
      </c>
      <c r="L632" t="s">
        <v>3154</v>
      </c>
      <c r="M632" t="s">
        <v>815</v>
      </c>
      <c r="N632">
        <v>5</v>
      </c>
      <c r="O632" t="s">
        <v>3153</v>
      </c>
      <c r="P632" t="s">
        <v>3152</v>
      </c>
      <c r="Q632" t="s">
        <v>3151</v>
      </c>
      <c r="R632" s="7">
        <v>36770</v>
      </c>
      <c r="S632" s="8">
        <f t="shared" si="72"/>
        <v>2000</v>
      </c>
      <c r="T632" s="8">
        <v>2000</v>
      </c>
      <c r="U632" s="8">
        <f t="shared" si="73"/>
        <v>22</v>
      </c>
      <c r="V632" s="7">
        <v>36770</v>
      </c>
      <c r="W632" t="s">
        <v>295</v>
      </c>
      <c r="X632" s="2">
        <v>0.371</v>
      </c>
      <c r="Y632" s="6">
        <f t="shared" si="74"/>
        <v>9.9036331117695747E-3</v>
      </c>
      <c r="AA632">
        <v>486604</v>
      </c>
      <c r="AB632">
        <v>28580</v>
      </c>
      <c r="AD632" t="s">
        <v>3</v>
      </c>
      <c r="AE632">
        <v>35</v>
      </c>
      <c r="AF632">
        <v>5</v>
      </c>
      <c r="AH632" t="s">
        <v>3150</v>
      </c>
      <c r="AI632" t="s">
        <v>3149</v>
      </c>
      <c r="AK632" t="s">
        <v>3148</v>
      </c>
      <c r="AL632">
        <v>7</v>
      </c>
      <c r="AM632" s="5">
        <f t="shared" si="75"/>
        <v>0.31818181818181818</v>
      </c>
      <c r="AN632" s="4">
        <f t="shared" si="76"/>
        <v>4.8191112182024716E-4</v>
      </c>
      <c r="AO632" s="3"/>
      <c r="AP632">
        <v>1</v>
      </c>
      <c r="AR632" t="s">
        <v>1</v>
      </c>
      <c r="AT632" s="2">
        <v>1.431</v>
      </c>
      <c r="AU632" s="1">
        <f t="shared" si="77"/>
        <v>0.70771165147847759</v>
      </c>
      <c r="AV632" s="1">
        <f t="shared" si="78"/>
        <v>0.51927721167949104</v>
      </c>
      <c r="AW632" s="1">
        <f t="shared" si="79"/>
        <v>0.33084277188050454</v>
      </c>
    </row>
    <row r="633" spans="1:49" x14ac:dyDescent="0.2">
      <c r="A633">
        <v>631</v>
      </c>
      <c r="B633" t="s">
        <v>3147</v>
      </c>
      <c r="C633" t="s">
        <v>3146</v>
      </c>
      <c r="F633" t="s">
        <v>3145</v>
      </c>
      <c r="G633" t="s">
        <v>9</v>
      </c>
      <c r="H633" t="s">
        <v>8</v>
      </c>
      <c r="I633" t="s">
        <v>894</v>
      </c>
      <c r="J633" t="s">
        <v>3144</v>
      </c>
      <c r="K633" t="s">
        <v>3143</v>
      </c>
      <c r="L633" t="s">
        <v>3142</v>
      </c>
      <c r="M633" t="s">
        <v>3141</v>
      </c>
      <c r="N633">
        <v>4</v>
      </c>
      <c r="O633" t="s">
        <v>3140</v>
      </c>
      <c r="P633" t="s">
        <v>3139</v>
      </c>
      <c r="Q633" t="s">
        <v>3138</v>
      </c>
      <c r="R633" s="7">
        <v>36770</v>
      </c>
      <c r="S633" s="8">
        <f t="shared" si="72"/>
        <v>2000</v>
      </c>
      <c r="T633" s="8">
        <v>2000</v>
      </c>
      <c r="U633" s="8">
        <f t="shared" si="73"/>
        <v>22</v>
      </c>
      <c r="V633" s="7">
        <v>36770</v>
      </c>
      <c r="W633" t="s">
        <v>295</v>
      </c>
      <c r="X633" s="2">
        <v>0.371</v>
      </c>
      <c r="Y633" s="6">
        <f t="shared" si="74"/>
        <v>9.9036331117695747E-3</v>
      </c>
      <c r="AA633">
        <v>486604</v>
      </c>
      <c r="AB633">
        <v>28580</v>
      </c>
      <c r="AD633" t="s">
        <v>3</v>
      </c>
      <c r="AE633">
        <v>35</v>
      </c>
      <c r="AF633">
        <v>5</v>
      </c>
      <c r="AH633" t="s">
        <v>3137</v>
      </c>
      <c r="AI633" t="s">
        <v>3136</v>
      </c>
      <c r="AK633" t="s">
        <v>3135</v>
      </c>
      <c r="AL633">
        <v>28</v>
      </c>
      <c r="AM633" s="5">
        <f t="shared" si="75"/>
        <v>1.2727272727272727</v>
      </c>
      <c r="AN633" s="4">
        <f t="shared" si="76"/>
        <v>1.9276444872809886E-3</v>
      </c>
      <c r="AO633" s="3"/>
      <c r="AP633">
        <v>0</v>
      </c>
      <c r="AR633" t="s">
        <v>1</v>
      </c>
      <c r="AT633" s="2">
        <v>1.431</v>
      </c>
      <c r="AU633" s="1">
        <f t="shared" si="77"/>
        <v>0.7510836524422998</v>
      </c>
      <c r="AV633" s="1">
        <f t="shared" si="78"/>
        <v>0.59156387995252824</v>
      </c>
      <c r="AW633" s="1">
        <f t="shared" si="79"/>
        <v>0.4320441074627564</v>
      </c>
    </row>
    <row r="634" spans="1:49" x14ac:dyDescent="0.2">
      <c r="A634">
        <v>632</v>
      </c>
      <c r="B634" t="s">
        <v>3134</v>
      </c>
      <c r="C634" t="s">
        <v>3133</v>
      </c>
      <c r="F634" t="s">
        <v>3132</v>
      </c>
      <c r="G634" t="s">
        <v>9</v>
      </c>
      <c r="H634" t="s">
        <v>8</v>
      </c>
      <c r="I634" t="s">
        <v>3131</v>
      </c>
      <c r="J634">
        <v>60014300</v>
      </c>
      <c r="K634" t="s">
        <v>494</v>
      </c>
      <c r="L634" t="s">
        <v>433</v>
      </c>
      <c r="M634" t="s">
        <v>5</v>
      </c>
      <c r="N634">
        <v>3</v>
      </c>
      <c r="O634" t="s">
        <v>3130</v>
      </c>
      <c r="P634" t="s">
        <v>3129</v>
      </c>
      <c r="Q634" t="s">
        <v>3128</v>
      </c>
      <c r="R634" s="7">
        <v>36770</v>
      </c>
      <c r="S634" s="8">
        <f t="shared" si="72"/>
        <v>2000</v>
      </c>
      <c r="T634" s="8">
        <v>2000</v>
      </c>
      <c r="U634" s="8">
        <f t="shared" si="73"/>
        <v>22</v>
      </c>
      <c r="V634" s="7">
        <v>36770</v>
      </c>
      <c r="W634" t="s">
        <v>646</v>
      </c>
      <c r="X634" s="2">
        <v>0.92900000000000005</v>
      </c>
      <c r="Y634" s="6">
        <f t="shared" si="74"/>
        <v>2.4799124422732979E-2</v>
      </c>
      <c r="AA634">
        <v>10897798</v>
      </c>
      <c r="AB634">
        <v>18896</v>
      </c>
      <c r="AD634" t="s">
        <v>3</v>
      </c>
      <c r="AE634">
        <v>4</v>
      </c>
      <c r="AF634">
        <v>9</v>
      </c>
      <c r="AH634" t="s">
        <v>3127</v>
      </c>
      <c r="AI634" t="s">
        <v>3126</v>
      </c>
      <c r="AK634" t="s">
        <v>3125</v>
      </c>
      <c r="AL634">
        <v>21</v>
      </c>
      <c r="AM634" s="5">
        <f t="shared" si="75"/>
        <v>0.95454545454545459</v>
      </c>
      <c r="AN634" s="4">
        <f t="shared" si="76"/>
        <v>1.4457333654607416E-3</v>
      </c>
      <c r="AO634" s="3"/>
      <c r="AP634">
        <v>0</v>
      </c>
      <c r="AR634" t="s">
        <v>1</v>
      </c>
      <c r="AT634" s="2">
        <v>3.4359999999999999</v>
      </c>
      <c r="AU634" s="1">
        <f t="shared" si="77"/>
        <v>1.7793107105551307</v>
      </c>
      <c r="AV634" s="1">
        <f t="shared" si="78"/>
        <v>1.312242889409686</v>
      </c>
      <c r="AW634" s="1">
        <f t="shared" si="79"/>
        <v>0.84517506826424127</v>
      </c>
    </row>
    <row r="635" spans="1:49" x14ac:dyDescent="0.2">
      <c r="A635">
        <v>633</v>
      </c>
      <c r="B635" t="s">
        <v>3124</v>
      </c>
      <c r="C635" t="s">
        <v>3123</v>
      </c>
      <c r="F635" t="s">
        <v>3122</v>
      </c>
      <c r="G635" t="s">
        <v>9</v>
      </c>
      <c r="H635" t="s">
        <v>8</v>
      </c>
      <c r="I635" t="s">
        <v>3121</v>
      </c>
      <c r="J635">
        <v>60008652</v>
      </c>
      <c r="K635" t="s">
        <v>887</v>
      </c>
      <c r="L635" t="s">
        <v>886</v>
      </c>
      <c r="M635" t="s">
        <v>87</v>
      </c>
      <c r="N635">
        <v>2</v>
      </c>
      <c r="O635" t="s">
        <v>3120</v>
      </c>
      <c r="P635" t="s">
        <v>3119</v>
      </c>
      <c r="Q635" t="s">
        <v>3118</v>
      </c>
      <c r="R635" s="7">
        <v>36770</v>
      </c>
      <c r="S635" s="8">
        <f t="shared" si="72"/>
        <v>2000</v>
      </c>
      <c r="T635" s="8">
        <v>2000</v>
      </c>
      <c r="U635" s="8">
        <f t="shared" si="73"/>
        <v>22</v>
      </c>
      <c r="V635" s="7">
        <v>36770</v>
      </c>
      <c r="W635" t="s">
        <v>221</v>
      </c>
      <c r="X635" s="2">
        <v>1.365</v>
      </c>
      <c r="Y635" s="6">
        <f t="shared" si="74"/>
        <v>3.6437895411227675E-2</v>
      </c>
      <c r="AA635">
        <v>189545</v>
      </c>
      <c r="AB635">
        <v>17393</v>
      </c>
      <c r="AD635" t="s">
        <v>3</v>
      </c>
      <c r="AE635">
        <v>49</v>
      </c>
      <c r="AF635">
        <v>5</v>
      </c>
      <c r="AH635" t="s">
        <v>3117</v>
      </c>
      <c r="AI635" t="s">
        <v>3116</v>
      </c>
      <c r="AK635" t="s">
        <v>3115</v>
      </c>
      <c r="AL635">
        <v>45</v>
      </c>
      <c r="AM635" s="5">
        <f t="shared" si="75"/>
        <v>2.0454545454545454</v>
      </c>
      <c r="AN635" s="4">
        <f t="shared" si="76"/>
        <v>3.0980000688444458E-3</v>
      </c>
      <c r="AO635" s="3"/>
      <c r="AP635">
        <v>0</v>
      </c>
      <c r="AR635" t="s">
        <v>1</v>
      </c>
      <c r="AT635" s="2" t="s">
        <v>0</v>
      </c>
      <c r="AU635" s="1">
        <f t="shared" si="77"/>
        <v>2.6435926808512704</v>
      </c>
      <c r="AV635" s="1">
        <f t="shared" si="78"/>
        <v>1.976794774003606</v>
      </c>
      <c r="AW635" s="1">
        <f t="shared" si="79"/>
        <v>1.3099968671559414</v>
      </c>
    </row>
    <row r="636" spans="1:49" x14ac:dyDescent="0.2">
      <c r="A636">
        <v>634</v>
      </c>
      <c r="B636" t="s">
        <v>3114</v>
      </c>
      <c r="C636" t="s">
        <v>3113</v>
      </c>
      <c r="F636" t="s">
        <v>3112</v>
      </c>
      <c r="G636" t="s">
        <v>9</v>
      </c>
      <c r="H636" t="s">
        <v>8</v>
      </c>
      <c r="I636" t="s">
        <v>3111</v>
      </c>
      <c r="J636">
        <v>60032144</v>
      </c>
      <c r="K636" t="s">
        <v>195</v>
      </c>
      <c r="L636" t="s">
        <v>194</v>
      </c>
      <c r="M636" t="s">
        <v>10</v>
      </c>
      <c r="N636">
        <v>1</v>
      </c>
      <c r="O636" t="s">
        <v>3110</v>
      </c>
      <c r="P636">
        <v>7407121982</v>
      </c>
      <c r="Q636">
        <v>60032144</v>
      </c>
      <c r="R636" s="7">
        <v>36770</v>
      </c>
      <c r="S636" s="8">
        <f t="shared" si="72"/>
        <v>2000</v>
      </c>
      <c r="T636" s="8">
        <v>2000</v>
      </c>
      <c r="U636" s="8">
        <f t="shared" si="73"/>
        <v>22</v>
      </c>
      <c r="V636" s="7">
        <v>36770</v>
      </c>
      <c r="W636" t="s">
        <v>221</v>
      </c>
      <c r="X636" s="2">
        <v>1.365</v>
      </c>
      <c r="Y636" s="6">
        <f t="shared" si="74"/>
        <v>3.6437895411227675E-2</v>
      </c>
      <c r="AA636">
        <v>189545</v>
      </c>
      <c r="AB636">
        <v>17393</v>
      </c>
      <c r="AD636" t="s">
        <v>3</v>
      </c>
      <c r="AE636">
        <v>49</v>
      </c>
      <c r="AF636">
        <v>5</v>
      </c>
      <c r="AH636" t="s">
        <v>3109</v>
      </c>
      <c r="AI636" t="s">
        <v>3108</v>
      </c>
      <c r="AK636" t="s">
        <v>3107</v>
      </c>
      <c r="AL636">
        <v>10</v>
      </c>
      <c r="AM636" s="5">
        <f t="shared" si="75"/>
        <v>0.45454545454545453</v>
      </c>
      <c r="AN636" s="4">
        <f t="shared" si="76"/>
        <v>6.8844445974321016E-4</v>
      </c>
      <c r="AO636" s="3"/>
      <c r="AP636">
        <v>0</v>
      </c>
      <c r="AR636" t="s">
        <v>1</v>
      </c>
      <c r="AT636" s="2" t="s">
        <v>0</v>
      </c>
      <c r="AU636" s="1">
        <f t="shared" si="77"/>
        <v>2.571306012578233</v>
      </c>
      <c r="AV636" s="1">
        <f t="shared" si="78"/>
        <v>1.8563169935485444</v>
      </c>
      <c r="AW636" s="1">
        <f t="shared" si="79"/>
        <v>1.1413279745188549</v>
      </c>
    </row>
    <row r="637" spans="1:49" x14ac:dyDescent="0.2">
      <c r="A637">
        <v>635</v>
      </c>
      <c r="B637" t="s">
        <v>3106</v>
      </c>
      <c r="C637" t="s">
        <v>3105</v>
      </c>
      <c r="F637" t="s">
        <v>3104</v>
      </c>
      <c r="G637" t="s">
        <v>9</v>
      </c>
      <c r="H637" t="s">
        <v>8</v>
      </c>
      <c r="I637" t="s">
        <v>3103</v>
      </c>
      <c r="J637">
        <v>60005510</v>
      </c>
      <c r="K637" t="s">
        <v>359</v>
      </c>
      <c r="L637" t="s">
        <v>74</v>
      </c>
      <c r="M637" t="s">
        <v>73</v>
      </c>
      <c r="N637">
        <v>1</v>
      </c>
      <c r="O637" t="s">
        <v>3102</v>
      </c>
      <c r="P637">
        <v>7402470446</v>
      </c>
      <c r="Q637">
        <v>60005510</v>
      </c>
      <c r="R637" s="7">
        <v>36770</v>
      </c>
      <c r="S637" s="8">
        <f t="shared" si="72"/>
        <v>2000</v>
      </c>
      <c r="T637" s="8">
        <v>2000</v>
      </c>
      <c r="U637" s="8">
        <f t="shared" si="73"/>
        <v>22</v>
      </c>
      <c r="V637" s="7">
        <v>36770</v>
      </c>
      <c r="W637" t="s">
        <v>221</v>
      </c>
      <c r="X637" s="2">
        <v>1.365</v>
      </c>
      <c r="Y637" s="6">
        <f t="shared" si="74"/>
        <v>3.6437895411227675E-2</v>
      </c>
      <c r="AA637">
        <v>189545</v>
      </c>
      <c r="AB637">
        <v>17393</v>
      </c>
      <c r="AD637" t="s">
        <v>3</v>
      </c>
      <c r="AE637">
        <v>49</v>
      </c>
      <c r="AF637">
        <v>5</v>
      </c>
      <c r="AH637" t="s">
        <v>3101</v>
      </c>
      <c r="AI637" t="s">
        <v>3100</v>
      </c>
      <c r="AK637" t="s">
        <v>3099</v>
      </c>
      <c r="AL637">
        <v>50</v>
      </c>
      <c r="AM637" s="5">
        <f t="shared" si="75"/>
        <v>2.2727272727272729</v>
      </c>
      <c r="AN637" s="4">
        <f t="shared" si="76"/>
        <v>3.4422222987160515E-3</v>
      </c>
      <c r="AO637" s="3"/>
      <c r="AP637">
        <v>0</v>
      </c>
      <c r="AR637" t="s">
        <v>1</v>
      </c>
      <c r="AT637" s="2" t="s">
        <v>0</v>
      </c>
      <c r="AU637" s="1">
        <f t="shared" si="77"/>
        <v>2.6539193477474186</v>
      </c>
      <c r="AV637" s="1">
        <f t="shared" si="78"/>
        <v>1.9940058854971865</v>
      </c>
      <c r="AW637" s="1">
        <f t="shared" si="79"/>
        <v>1.3340924232469538</v>
      </c>
    </row>
    <row r="638" spans="1:49" x14ac:dyDescent="0.2">
      <c r="A638">
        <v>636</v>
      </c>
      <c r="B638" t="s">
        <v>3098</v>
      </c>
      <c r="C638" t="s">
        <v>3097</v>
      </c>
      <c r="F638" t="s">
        <v>3096</v>
      </c>
      <c r="G638" t="s">
        <v>9</v>
      </c>
      <c r="H638" t="s">
        <v>8</v>
      </c>
      <c r="I638" t="s">
        <v>3095</v>
      </c>
      <c r="J638">
        <v>60104081</v>
      </c>
      <c r="K638" t="s">
        <v>3094</v>
      </c>
      <c r="L638" t="s">
        <v>3093</v>
      </c>
      <c r="M638" t="s">
        <v>105</v>
      </c>
      <c r="N638">
        <v>1</v>
      </c>
      <c r="O638" t="s">
        <v>3092</v>
      </c>
      <c r="P638">
        <v>6602733558</v>
      </c>
      <c r="Q638">
        <v>60104081</v>
      </c>
      <c r="R638" s="7">
        <v>36770</v>
      </c>
      <c r="S638" s="8">
        <f t="shared" si="72"/>
        <v>2000</v>
      </c>
      <c r="T638" s="8">
        <v>2000</v>
      </c>
      <c r="U638" s="8">
        <f t="shared" si="73"/>
        <v>22</v>
      </c>
      <c r="V638" s="7">
        <v>36770</v>
      </c>
      <c r="W638" t="s">
        <v>221</v>
      </c>
      <c r="X638" s="2">
        <v>1.365</v>
      </c>
      <c r="Y638" s="6">
        <f t="shared" si="74"/>
        <v>3.6437895411227675E-2</v>
      </c>
      <c r="AA638">
        <v>189545</v>
      </c>
      <c r="AB638">
        <v>17393</v>
      </c>
      <c r="AD638" t="s">
        <v>3</v>
      </c>
      <c r="AE638">
        <v>49</v>
      </c>
      <c r="AF638">
        <v>5</v>
      </c>
      <c r="AH638" t="s">
        <v>3091</v>
      </c>
      <c r="AI638" t="s">
        <v>3090</v>
      </c>
      <c r="AK638" t="s">
        <v>3089</v>
      </c>
      <c r="AL638">
        <v>26</v>
      </c>
      <c r="AM638" s="5">
        <f t="shared" si="75"/>
        <v>1.1818181818181819</v>
      </c>
      <c r="AN638" s="4">
        <f t="shared" si="76"/>
        <v>1.7899555953323468E-3</v>
      </c>
      <c r="AO638" s="3"/>
      <c r="AP638">
        <v>0</v>
      </c>
      <c r="AR638" t="s">
        <v>1</v>
      </c>
      <c r="AT638" s="2" t="s">
        <v>0</v>
      </c>
      <c r="AU638" s="1">
        <f t="shared" si="77"/>
        <v>2.6043513466459074</v>
      </c>
      <c r="AV638" s="1">
        <f t="shared" si="78"/>
        <v>1.9113925503280011</v>
      </c>
      <c r="AW638" s="1">
        <f t="shared" si="79"/>
        <v>1.2184337540100945</v>
      </c>
    </row>
    <row r="639" spans="1:49" x14ac:dyDescent="0.2">
      <c r="A639">
        <v>637</v>
      </c>
      <c r="B639" t="s">
        <v>3088</v>
      </c>
      <c r="C639" t="s">
        <v>3087</v>
      </c>
      <c r="F639" t="s">
        <v>3086</v>
      </c>
      <c r="G639" t="s">
        <v>9</v>
      </c>
      <c r="H639" t="s">
        <v>8</v>
      </c>
      <c r="I639" t="s">
        <v>3085</v>
      </c>
      <c r="J639">
        <v>60032144</v>
      </c>
      <c r="K639" t="s">
        <v>195</v>
      </c>
      <c r="L639" t="s">
        <v>194</v>
      </c>
      <c r="M639" t="s">
        <v>10</v>
      </c>
      <c r="N639">
        <v>1</v>
      </c>
      <c r="O639" t="s">
        <v>3084</v>
      </c>
      <c r="P639">
        <v>35316924900</v>
      </c>
      <c r="Q639">
        <v>60032144</v>
      </c>
      <c r="R639" s="7">
        <v>36770</v>
      </c>
      <c r="S639" s="8">
        <f t="shared" si="72"/>
        <v>2000</v>
      </c>
      <c r="T639" s="8">
        <v>2000</v>
      </c>
      <c r="U639" s="8">
        <f t="shared" si="73"/>
        <v>22</v>
      </c>
      <c r="V639" s="7">
        <v>36770</v>
      </c>
      <c r="W639" t="s">
        <v>221</v>
      </c>
      <c r="X639" s="2">
        <v>1.365</v>
      </c>
      <c r="Y639" s="6">
        <f t="shared" si="74"/>
        <v>3.6437895411227675E-2</v>
      </c>
      <c r="AA639">
        <v>189545</v>
      </c>
      <c r="AB639">
        <v>17393</v>
      </c>
      <c r="AD639" t="s">
        <v>3</v>
      </c>
      <c r="AE639">
        <v>49</v>
      </c>
      <c r="AF639">
        <v>5</v>
      </c>
      <c r="AH639" t="s">
        <v>3083</v>
      </c>
      <c r="AI639" t="s">
        <v>3082</v>
      </c>
      <c r="AK639" t="s">
        <v>3081</v>
      </c>
      <c r="AL639">
        <v>4</v>
      </c>
      <c r="AM639" s="5">
        <f t="shared" si="75"/>
        <v>0.18181818181818182</v>
      </c>
      <c r="AN639" s="4">
        <f t="shared" si="76"/>
        <v>2.753777838972841E-4</v>
      </c>
      <c r="AO639" s="3"/>
      <c r="AP639">
        <v>0</v>
      </c>
      <c r="AR639" t="s">
        <v>1</v>
      </c>
      <c r="AT639" s="2" t="s">
        <v>0</v>
      </c>
      <c r="AU639" s="1">
        <f t="shared" si="77"/>
        <v>2.5589140123028558</v>
      </c>
      <c r="AV639" s="1">
        <f t="shared" si="78"/>
        <v>1.8356636597562477</v>
      </c>
      <c r="AW639" s="1">
        <f t="shared" si="79"/>
        <v>1.11241330720964</v>
      </c>
    </row>
    <row r="640" spans="1:49" x14ac:dyDescent="0.2">
      <c r="A640">
        <v>638</v>
      </c>
      <c r="B640" t="s">
        <v>3080</v>
      </c>
      <c r="C640" t="s">
        <v>3079</v>
      </c>
      <c r="F640" t="s">
        <v>3078</v>
      </c>
      <c r="G640" t="s">
        <v>9</v>
      </c>
      <c r="H640" t="s">
        <v>8</v>
      </c>
      <c r="I640" t="s">
        <v>3077</v>
      </c>
      <c r="J640">
        <v>60025555</v>
      </c>
      <c r="K640" t="s">
        <v>252</v>
      </c>
      <c r="L640" t="s">
        <v>163</v>
      </c>
      <c r="M640" t="s">
        <v>43</v>
      </c>
      <c r="N640">
        <v>1</v>
      </c>
      <c r="O640" t="s">
        <v>3076</v>
      </c>
      <c r="P640">
        <v>35570176700</v>
      </c>
      <c r="Q640">
        <v>60025555</v>
      </c>
      <c r="R640" s="7">
        <v>36770</v>
      </c>
      <c r="S640" s="8">
        <f t="shared" si="72"/>
        <v>2000</v>
      </c>
      <c r="T640" s="8">
        <v>2000</v>
      </c>
      <c r="U640" s="8">
        <f t="shared" si="73"/>
        <v>22</v>
      </c>
      <c r="V640" s="7">
        <v>36770</v>
      </c>
      <c r="W640" t="s">
        <v>221</v>
      </c>
      <c r="X640" s="2">
        <v>1.365</v>
      </c>
      <c r="Y640" s="6">
        <f t="shared" si="74"/>
        <v>3.6437895411227675E-2</v>
      </c>
      <c r="AA640">
        <v>189545</v>
      </c>
      <c r="AB640">
        <v>17393</v>
      </c>
      <c r="AD640" t="s">
        <v>3</v>
      </c>
      <c r="AE640">
        <v>49</v>
      </c>
      <c r="AF640">
        <v>5</v>
      </c>
      <c r="AH640" t="s">
        <v>3075</v>
      </c>
      <c r="AI640" t="s">
        <v>3074</v>
      </c>
      <c r="AK640" t="s">
        <v>3073</v>
      </c>
      <c r="AL640">
        <v>2</v>
      </c>
      <c r="AM640" s="5">
        <f t="shared" si="75"/>
        <v>9.0909090909090912E-2</v>
      </c>
      <c r="AN640" s="4">
        <f t="shared" si="76"/>
        <v>1.3768889194864205E-4</v>
      </c>
      <c r="AO640" s="3"/>
      <c r="AP640">
        <v>0</v>
      </c>
      <c r="AR640" t="s">
        <v>1</v>
      </c>
      <c r="AT640" s="2" t="s">
        <v>0</v>
      </c>
      <c r="AU640" s="1">
        <f t="shared" si="77"/>
        <v>2.5547833455443962</v>
      </c>
      <c r="AV640" s="1">
        <f t="shared" si="78"/>
        <v>1.828779215158816</v>
      </c>
      <c r="AW640" s="1">
        <f t="shared" si="79"/>
        <v>1.1027750847732352</v>
      </c>
    </row>
    <row r="641" spans="1:49" x14ac:dyDescent="0.2">
      <c r="A641">
        <v>639</v>
      </c>
      <c r="B641" t="s">
        <v>3072</v>
      </c>
      <c r="C641" t="s">
        <v>3071</v>
      </c>
      <c r="F641" t="s">
        <v>3070</v>
      </c>
      <c r="G641" t="s">
        <v>9</v>
      </c>
      <c r="H641" t="s">
        <v>8</v>
      </c>
      <c r="I641" t="s">
        <v>3069</v>
      </c>
      <c r="J641">
        <v>60027550</v>
      </c>
      <c r="K641" t="s">
        <v>38</v>
      </c>
      <c r="L641" t="s">
        <v>37</v>
      </c>
      <c r="M641" t="s">
        <v>5</v>
      </c>
      <c r="N641">
        <v>1</v>
      </c>
      <c r="O641" t="s">
        <v>3068</v>
      </c>
      <c r="P641">
        <v>7201920095</v>
      </c>
      <c r="Q641">
        <v>60027550</v>
      </c>
      <c r="R641" s="7">
        <v>36770</v>
      </c>
      <c r="S641" s="8">
        <f t="shared" si="72"/>
        <v>2000</v>
      </c>
      <c r="T641" s="8">
        <v>2000</v>
      </c>
      <c r="U641" s="8">
        <f t="shared" si="73"/>
        <v>22</v>
      </c>
      <c r="V641" s="7">
        <v>36770</v>
      </c>
      <c r="W641" t="s">
        <v>221</v>
      </c>
      <c r="X641" s="2">
        <v>1.365</v>
      </c>
      <c r="Y641" s="6">
        <f t="shared" si="74"/>
        <v>3.6437895411227675E-2</v>
      </c>
      <c r="AA641">
        <v>189545</v>
      </c>
      <c r="AB641">
        <v>17393</v>
      </c>
      <c r="AD641" t="s">
        <v>3</v>
      </c>
      <c r="AE641">
        <v>49</v>
      </c>
      <c r="AF641">
        <v>5</v>
      </c>
      <c r="AH641" t="s">
        <v>3067</v>
      </c>
      <c r="AI641" t="s">
        <v>3066</v>
      </c>
      <c r="AK641" t="s">
        <v>3065</v>
      </c>
      <c r="AL641">
        <v>24</v>
      </c>
      <c r="AM641" s="5">
        <f t="shared" si="75"/>
        <v>1.0909090909090908</v>
      </c>
      <c r="AN641" s="4">
        <f t="shared" si="76"/>
        <v>1.6522667033837045E-3</v>
      </c>
      <c r="AO641" s="3"/>
      <c r="AP641">
        <v>0</v>
      </c>
      <c r="AR641" t="s">
        <v>3064</v>
      </c>
      <c r="AT641" s="2" t="s">
        <v>0</v>
      </c>
      <c r="AU641" s="1">
        <f t="shared" si="77"/>
        <v>2.6002206798874479</v>
      </c>
      <c r="AV641" s="1">
        <f t="shared" si="78"/>
        <v>1.9045081057305691</v>
      </c>
      <c r="AW641" s="1">
        <f t="shared" si="79"/>
        <v>1.2087955315736894</v>
      </c>
    </row>
    <row r="642" spans="1:49" x14ac:dyDescent="0.2">
      <c r="A642">
        <v>640</v>
      </c>
      <c r="B642" t="s">
        <v>3063</v>
      </c>
      <c r="C642" t="s">
        <v>3062</v>
      </c>
      <c r="F642" t="s">
        <v>3061</v>
      </c>
      <c r="G642" t="s">
        <v>9</v>
      </c>
      <c r="H642" t="s">
        <v>8</v>
      </c>
      <c r="I642" t="s">
        <v>3060</v>
      </c>
      <c r="J642">
        <v>60000142</v>
      </c>
      <c r="K642" t="s">
        <v>3059</v>
      </c>
      <c r="L642" t="s">
        <v>11</v>
      </c>
      <c r="M642" t="s">
        <v>10</v>
      </c>
      <c r="N642">
        <v>1</v>
      </c>
      <c r="O642" t="s">
        <v>3058</v>
      </c>
      <c r="P642">
        <v>7501393707</v>
      </c>
      <c r="Q642">
        <v>60000142</v>
      </c>
      <c r="R642" s="7">
        <v>36770</v>
      </c>
      <c r="S642" s="8">
        <f t="shared" ref="S642:S705" si="80">YEAR(R642)</f>
        <v>2000</v>
      </c>
      <c r="T642" s="8">
        <v>2000</v>
      </c>
      <c r="U642" s="8">
        <f t="shared" ref="U642:U705" si="81">2022-T642</f>
        <v>22</v>
      </c>
      <c r="V642" s="7">
        <v>36770</v>
      </c>
      <c r="W642" t="s">
        <v>221</v>
      </c>
      <c r="X642" s="2">
        <v>1.365</v>
      </c>
      <c r="Y642" s="6">
        <f t="shared" ref="Y642:Y705" si="82">(X642-$Z$3)/($Z$2-$Z$3)</f>
        <v>3.6437895411227675E-2</v>
      </c>
      <c r="AA642">
        <v>189545</v>
      </c>
      <c r="AB642">
        <v>17393</v>
      </c>
      <c r="AD642" t="s">
        <v>3</v>
      </c>
      <c r="AE642">
        <v>49</v>
      </c>
      <c r="AF642">
        <v>5</v>
      </c>
      <c r="AH642" t="s">
        <v>3057</v>
      </c>
      <c r="AI642" t="s">
        <v>3056</v>
      </c>
      <c r="AK642" t="s">
        <v>3055</v>
      </c>
      <c r="AL642">
        <v>29</v>
      </c>
      <c r="AM642" s="5">
        <f t="shared" ref="AM642:AM705" si="83">AL642/U642</f>
        <v>1.3181818181818181</v>
      </c>
      <c r="AN642" s="4">
        <f t="shared" ref="AN642:AN705" si="84">(AM642-$AO$3)/($AO$2-$AO$3)</f>
        <v>1.9964889332553097E-3</v>
      </c>
      <c r="AO642" s="3"/>
      <c r="AP642">
        <v>0</v>
      </c>
      <c r="AQ642" t="s">
        <v>3054</v>
      </c>
      <c r="AR642" t="s">
        <v>1</v>
      </c>
      <c r="AS642" t="s">
        <v>3053</v>
      </c>
      <c r="AT642" s="2" t="s">
        <v>0</v>
      </c>
      <c r="AU642" s="1">
        <f t="shared" ref="AU642:AU705" si="85">(Y642*0.7+AN642*0.3)*100</f>
        <v>2.610547346783596</v>
      </c>
      <c r="AV642" s="1">
        <f t="shared" ref="AV642:AV705" si="86">(Y642*0.5+AN642*0.5)*100</f>
        <v>1.9217192172241493</v>
      </c>
      <c r="AW642" s="1">
        <f t="shared" ref="AW642:AW705" si="87">(Y642*0.3+AN642*0.7)*100</f>
        <v>1.2328910876647019</v>
      </c>
    </row>
    <row r="643" spans="1:49" x14ac:dyDescent="0.2">
      <c r="A643">
        <v>641</v>
      </c>
      <c r="B643" t="s">
        <v>3052</v>
      </c>
      <c r="C643" t="s">
        <v>3051</v>
      </c>
      <c r="F643" t="s">
        <v>3050</v>
      </c>
      <c r="G643" t="s">
        <v>9</v>
      </c>
      <c r="H643" t="s">
        <v>8</v>
      </c>
      <c r="I643" t="s">
        <v>3049</v>
      </c>
      <c r="J643">
        <v>60003500</v>
      </c>
      <c r="K643" t="s">
        <v>309</v>
      </c>
      <c r="L643" t="s">
        <v>308</v>
      </c>
      <c r="M643" t="s">
        <v>5</v>
      </c>
      <c r="N643">
        <v>1</v>
      </c>
      <c r="O643" t="s">
        <v>3048</v>
      </c>
      <c r="P643">
        <v>57223450164</v>
      </c>
      <c r="Q643">
        <v>60003500</v>
      </c>
      <c r="R643" s="7">
        <v>36770</v>
      </c>
      <c r="S643" s="8">
        <f t="shared" si="80"/>
        <v>2000</v>
      </c>
      <c r="T643" s="8">
        <v>2000</v>
      </c>
      <c r="U643" s="8">
        <f t="shared" si="81"/>
        <v>22</v>
      </c>
      <c r="V643" s="7">
        <v>36770</v>
      </c>
      <c r="W643" t="s">
        <v>221</v>
      </c>
      <c r="X643" s="2">
        <v>1.365</v>
      </c>
      <c r="Y643" s="6">
        <f t="shared" si="82"/>
        <v>3.6437895411227675E-2</v>
      </c>
      <c r="AA643">
        <v>189545</v>
      </c>
      <c r="AB643">
        <v>17393</v>
      </c>
      <c r="AD643" t="s">
        <v>3</v>
      </c>
      <c r="AE643">
        <v>49</v>
      </c>
      <c r="AF643">
        <v>5</v>
      </c>
      <c r="AH643" t="s">
        <v>3047</v>
      </c>
      <c r="AI643" t="s">
        <v>3046</v>
      </c>
      <c r="AK643" t="s">
        <v>3045</v>
      </c>
      <c r="AL643">
        <v>13</v>
      </c>
      <c r="AM643" s="5">
        <f t="shared" si="83"/>
        <v>0.59090909090909094</v>
      </c>
      <c r="AN643" s="4">
        <f t="shared" si="84"/>
        <v>8.9497779766617338E-4</v>
      </c>
      <c r="AO643" s="3"/>
      <c r="AP643">
        <v>0</v>
      </c>
      <c r="AQ643" t="s">
        <v>476</v>
      </c>
      <c r="AR643" t="s">
        <v>1</v>
      </c>
      <c r="AS643" t="s">
        <v>475</v>
      </c>
      <c r="AT643" s="2" t="s">
        <v>0</v>
      </c>
      <c r="AU643" s="1">
        <f t="shared" si="85"/>
        <v>2.5775020127159225</v>
      </c>
      <c r="AV643" s="1">
        <f t="shared" si="86"/>
        <v>1.8666436604446925</v>
      </c>
      <c r="AW643" s="1">
        <f t="shared" si="87"/>
        <v>1.1557853081734621</v>
      </c>
    </row>
    <row r="644" spans="1:49" x14ac:dyDescent="0.2">
      <c r="A644">
        <v>642</v>
      </c>
      <c r="B644" t="s">
        <v>3044</v>
      </c>
      <c r="C644" t="s">
        <v>3043</v>
      </c>
      <c r="F644" t="s">
        <v>3042</v>
      </c>
      <c r="G644" t="s">
        <v>9</v>
      </c>
      <c r="H644" t="s">
        <v>8</v>
      </c>
      <c r="I644" t="s">
        <v>3041</v>
      </c>
      <c r="J644">
        <v>60018714</v>
      </c>
      <c r="K644" t="s">
        <v>707</v>
      </c>
      <c r="L644" t="s">
        <v>507</v>
      </c>
      <c r="M644" t="s">
        <v>16</v>
      </c>
      <c r="N644">
        <v>1</v>
      </c>
      <c r="O644" t="s">
        <v>3040</v>
      </c>
      <c r="P644">
        <v>55663947600</v>
      </c>
      <c r="Q644">
        <v>60018714</v>
      </c>
      <c r="R644" s="7">
        <v>36770</v>
      </c>
      <c r="S644" s="8">
        <f t="shared" si="80"/>
        <v>2000</v>
      </c>
      <c r="T644" s="8">
        <v>2000</v>
      </c>
      <c r="U644" s="8">
        <f t="shared" si="81"/>
        <v>22</v>
      </c>
      <c r="V644" s="7">
        <v>36770</v>
      </c>
      <c r="W644" t="s">
        <v>291</v>
      </c>
      <c r="X644" s="2">
        <v>1.6519999999999999</v>
      </c>
      <c r="Y644" s="6">
        <f t="shared" si="82"/>
        <v>4.409919649769093E-2</v>
      </c>
      <c r="AA644" t="s">
        <v>290</v>
      </c>
      <c r="AB644">
        <v>17337</v>
      </c>
      <c r="AD644" t="s">
        <v>3</v>
      </c>
      <c r="AE644">
        <v>48</v>
      </c>
      <c r="AF644">
        <v>9</v>
      </c>
      <c r="AH644" t="s">
        <v>552</v>
      </c>
      <c r="AI644" t="s">
        <v>3039</v>
      </c>
      <c r="AK644" t="s">
        <v>3038</v>
      </c>
      <c r="AL644">
        <v>18</v>
      </c>
      <c r="AM644" s="5">
        <f t="shared" si="83"/>
        <v>0.81818181818181823</v>
      </c>
      <c r="AN644" s="4">
        <f t="shared" si="84"/>
        <v>1.2392000275377785E-3</v>
      </c>
      <c r="AO644" s="3"/>
      <c r="AP644">
        <v>0</v>
      </c>
      <c r="AR644" t="s">
        <v>1</v>
      </c>
      <c r="AT644" s="2" t="s">
        <v>0</v>
      </c>
      <c r="AU644" s="1">
        <f t="shared" si="85"/>
        <v>3.1241197556644984</v>
      </c>
      <c r="AV644" s="1">
        <f t="shared" si="86"/>
        <v>2.2669198262614354</v>
      </c>
      <c r="AW644" s="1">
        <f t="shared" si="87"/>
        <v>1.4097198968583724</v>
      </c>
    </row>
    <row r="645" spans="1:49" x14ac:dyDescent="0.2">
      <c r="A645">
        <v>643</v>
      </c>
      <c r="B645" t="s">
        <v>3037</v>
      </c>
      <c r="C645" t="s">
        <v>3036</v>
      </c>
      <c r="F645" t="s">
        <v>3035</v>
      </c>
      <c r="G645" t="s">
        <v>9</v>
      </c>
      <c r="H645" t="s">
        <v>8</v>
      </c>
      <c r="I645" t="s">
        <v>3034</v>
      </c>
      <c r="J645" t="s">
        <v>395</v>
      </c>
      <c r="K645" t="s">
        <v>394</v>
      </c>
      <c r="L645" t="s">
        <v>393</v>
      </c>
      <c r="M645" t="s">
        <v>19</v>
      </c>
      <c r="N645">
        <v>2</v>
      </c>
      <c r="O645" t="s">
        <v>3033</v>
      </c>
      <c r="P645" t="s">
        <v>3032</v>
      </c>
      <c r="Q645" t="s">
        <v>3031</v>
      </c>
      <c r="R645" s="7">
        <v>36770</v>
      </c>
      <c r="S645" s="8">
        <f t="shared" si="80"/>
        <v>2000</v>
      </c>
      <c r="T645" s="8">
        <v>2000</v>
      </c>
      <c r="U645" s="8">
        <f t="shared" si="81"/>
        <v>22</v>
      </c>
      <c r="V645" s="7">
        <v>36770</v>
      </c>
      <c r="W645" t="s">
        <v>291</v>
      </c>
      <c r="X645" s="2">
        <v>1.6519999999999999</v>
      </c>
      <c r="Y645" s="6">
        <f t="shared" si="82"/>
        <v>4.409919649769093E-2</v>
      </c>
      <c r="AA645" t="s">
        <v>290</v>
      </c>
      <c r="AB645">
        <v>17337</v>
      </c>
      <c r="AD645" t="s">
        <v>3</v>
      </c>
      <c r="AE645">
        <v>48</v>
      </c>
      <c r="AF645">
        <v>9</v>
      </c>
      <c r="AH645" t="s">
        <v>3030</v>
      </c>
      <c r="AI645" t="s">
        <v>3029</v>
      </c>
      <c r="AK645" t="s">
        <v>3028</v>
      </c>
      <c r="AL645">
        <v>15</v>
      </c>
      <c r="AM645" s="5">
        <f t="shared" si="83"/>
        <v>0.68181818181818177</v>
      </c>
      <c r="AN645" s="4">
        <f t="shared" si="84"/>
        <v>1.0326666896148153E-3</v>
      </c>
      <c r="AO645" s="3"/>
      <c r="AP645">
        <v>0</v>
      </c>
      <c r="AQ645" t="s">
        <v>364</v>
      </c>
      <c r="AR645" t="s">
        <v>3027</v>
      </c>
      <c r="AS645" t="s">
        <v>363</v>
      </c>
      <c r="AT645" s="2" t="s">
        <v>0</v>
      </c>
      <c r="AU645" s="1">
        <f t="shared" si="85"/>
        <v>3.1179237555268093</v>
      </c>
      <c r="AV645" s="1">
        <f t="shared" si="86"/>
        <v>2.2565931593652873</v>
      </c>
      <c r="AW645" s="1">
        <f t="shared" si="87"/>
        <v>1.395262563203765</v>
      </c>
    </row>
    <row r="646" spans="1:49" x14ac:dyDescent="0.2">
      <c r="A646">
        <v>644</v>
      </c>
      <c r="B646" t="s">
        <v>3026</v>
      </c>
      <c r="C646" t="s">
        <v>3025</v>
      </c>
      <c r="F646" t="s">
        <v>3024</v>
      </c>
      <c r="G646" t="s">
        <v>9</v>
      </c>
      <c r="H646" t="s">
        <v>8</v>
      </c>
      <c r="I646" t="s">
        <v>267</v>
      </c>
      <c r="J646" t="s">
        <v>3023</v>
      </c>
      <c r="K646" t="s">
        <v>3022</v>
      </c>
      <c r="L646" t="s">
        <v>3021</v>
      </c>
      <c r="M646" t="s">
        <v>497</v>
      </c>
      <c r="N646">
        <v>3</v>
      </c>
      <c r="O646" t="s">
        <v>264</v>
      </c>
      <c r="P646" t="s">
        <v>263</v>
      </c>
      <c r="Q646" t="s">
        <v>3020</v>
      </c>
      <c r="R646" s="7">
        <v>36770</v>
      </c>
      <c r="S646" s="8">
        <f t="shared" si="80"/>
        <v>2000</v>
      </c>
      <c r="T646" s="8">
        <v>2000</v>
      </c>
      <c r="U646" s="8">
        <f t="shared" si="81"/>
        <v>22</v>
      </c>
      <c r="V646" s="7">
        <v>36770</v>
      </c>
      <c r="W646" t="s">
        <v>291</v>
      </c>
      <c r="X646" s="2">
        <v>1.6519999999999999</v>
      </c>
      <c r="Y646" s="6">
        <f t="shared" si="82"/>
        <v>4.409919649769093E-2</v>
      </c>
      <c r="AA646" t="s">
        <v>290</v>
      </c>
      <c r="AB646">
        <v>17337</v>
      </c>
      <c r="AD646" t="s">
        <v>3</v>
      </c>
      <c r="AE646">
        <v>48</v>
      </c>
      <c r="AF646">
        <v>9</v>
      </c>
      <c r="AH646" t="s">
        <v>3019</v>
      </c>
      <c r="AI646" t="s">
        <v>3018</v>
      </c>
      <c r="AK646" t="s">
        <v>3017</v>
      </c>
      <c r="AL646">
        <v>15</v>
      </c>
      <c r="AM646" s="5">
        <f t="shared" si="83"/>
        <v>0.68181818181818177</v>
      </c>
      <c r="AN646" s="4">
        <f t="shared" si="84"/>
        <v>1.0326666896148153E-3</v>
      </c>
      <c r="AO646" s="3"/>
      <c r="AP646">
        <v>0</v>
      </c>
      <c r="AQ646" t="s">
        <v>1283</v>
      </c>
      <c r="AR646">
        <v>10450389</v>
      </c>
      <c r="AS646" t="s">
        <v>184</v>
      </c>
      <c r="AT646" s="2" t="s">
        <v>0</v>
      </c>
      <c r="AU646" s="1">
        <f t="shared" si="85"/>
        <v>3.1179237555268093</v>
      </c>
      <c r="AV646" s="1">
        <f t="shared" si="86"/>
        <v>2.2565931593652873</v>
      </c>
      <c r="AW646" s="1">
        <f t="shared" si="87"/>
        <v>1.395262563203765</v>
      </c>
    </row>
    <row r="647" spans="1:49" x14ac:dyDescent="0.2">
      <c r="A647">
        <v>645</v>
      </c>
      <c r="B647" t="s">
        <v>3016</v>
      </c>
      <c r="C647" t="s">
        <v>3015</v>
      </c>
      <c r="F647" t="s">
        <v>3014</v>
      </c>
      <c r="G647" t="s">
        <v>9</v>
      </c>
      <c r="H647" t="s">
        <v>8</v>
      </c>
      <c r="I647" t="s">
        <v>3013</v>
      </c>
      <c r="J647" t="s">
        <v>3012</v>
      </c>
      <c r="K647" t="s">
        <v>3011</v>
      </c>
      <c r="L647" t="s">
        <v>3010</v>
      </c>
      <c r="M647" t="s">
        <v>19</v>
      </c>
      <c r="N647">
        <v>3</v>
      </c>
      <c r="O647" t="s">
        <v>3009</v>
      </c>
      <c r="P647" t="s">
        <v>3008</v>
      </c>
      <c r="Q647" t="s">
        <v>3007</v>
      </c>
      <c r="R647" s="7">
        <v>36770</v>
      </c>
      <c r="S647" s="8">
        <f t="shared" si="80"/>
        <v>2000</v>
      </c>
      <c r="T647" s="8">
        <v>2000</v>
      </c>
      <c r="U647" s="8">
        <f t="shared" si="81"/>
        <v>22</v>
      </c>
      <c r="V647" s="7">
        <v>36770</v>
      </c>
      <c r="W647" t="s">
        <v>291</v>
      </c>
      <c r="X647" s="2">
        <v>1.6519999999999999</v>
      </c>
      <c r="Y647" s="6">
        <f t="shared" si="82"/>
        <v>4.409919649769093E-2</v>
      </c>
      <c r="AA647" t="s">
        <v>290</v>
      </c>
      <c r="AB647">
        <v>17337</v>
      </c>
      <c r="AD647" t="s">
        <v>3</v>
      </c>
      <c r="AE647">
        <v>48</v>
      </c>
      <c r="AF647">
        <v>9</v>
      </c>
      <c r="AH647" t="s">
        <v>3006</v>
      </c>
      <c r="AI647" t="s">
        <v>3005</v>
      </c>
      <c r="AK647" t="s">
        <v>3004</v>
      </c>
      <c r="AL647">
        <v>8</v>
      </c>
      <c r="AM647" s="5">
        <f t="shared" si="83"/>
        <v>0.36363636363636365</v>
      </c>
      <c r="AN647" s="4">
        <f t="shared" si="84"/>
        <v>5.5075556779456819E-4</v>
      </c>
      <c r="AO647" s="3"/>
      <c r="AP647">
        <v>0</v>
      </c>
      <c r="AR647" t="s">
        <v>1</v>
      </c>
      <c r="AT647" s="2" t="s">
        <v>0</v>
      </c>
      <c r="AU647" s="1">
        <f t="shared" si="85"/>
        <v>3.1034664218722021</v>
      </c>
      <c r="AV647" s="1">
        <f t="shared" si="86"/>
        <v>2.2324976032742749</v>
      </c>
      <c r="AW647" s="1">
        <f t="shared" si="87"/>
        <v>1.3615287846763475</v>
      </c>
    </row>
    <row r="648" spans="1:49" x14ac:dyDescent="0.2">
      <c r="A648">
        <v>646</v>
      </c>
      <c r="B648" t="s">
        <v>3003</v>
      </c>
      <c r="C648" t="s">
        <v>3002</v>
      </c>
      <c r="F648" t="s">
        <v>3001</v>
      </c>
      <c r="G648" t="s">
        <v>9</v>
      </c>
      <c r="H648" t="s">
        <v>8</v>
      </c>
      <c r="I648" t="s">
        <v>3000</v>
      </c>
      <c r="J648" t="s">
        <v>2999</v>
      </c>
      <c r="K648" t="s">
        <v>2998</v>
      </c>
      <c r="L648" t="s">
        <v>2997</v>
      </c>
      <c r="M648" t="s">
        <v>19</v>
      </c>
      <c r="N648">
        <v>2</v>
      </c>
      <c r="O648" t="s">
        <v>2996</v>
      </c>
      <c r="P648" t="s">
        <v>2995</v>
      </c>
      <c r="Q648" t="s">
        <v>2994</v>
      </c>
      <c r="R648" s="7">
        <v>36770</v>
      </c>
      <c r="S648" s="8">
        <f t="shared" si="80"/>
        <v>2000</v>
      </c>
      <c r="T648" s="8">
        <v>2000</v>
      </c>
      <c r="U648" s="8">
        <f t="shared" si="81"/>
        <v>22</v>
      </c>
      <c r="V648" s="7">
        <v>36770</v>
      </c>
      <c r="W648" t="s">
        <v>291</v>
      </c>
      <c r="X648" s="2">
        <v>1.6519999999999999</v>
      </c>
      <c r="Y648" s="6">
        <f t="shared" si="82"/>
        <v>4.409919649769093E-2</v>
      </c>
      <c r="AA648" t="s">
        <v>290</v>
      </c>
      <c r="AB648">
        <v>17337</v>
      </c>
      <c r="AD648" t="s">
        <v>3</v>
      </c>
      <c r="AE648">
        <v>48</v>
      </c>
      <c r="AF648">
        <v>9</v>
      </c>
      <c r="AH648" t="s">
        <v>2993</v>
      </c>
      <c r="AI648" t="s">
        <v>2992</v>
      </c>
      <c r="AK648" t="s">
        <v>2991</v>
      </c>
      <c r="AL648">
        <v>7</v>
      </c>
      <c r="AM648" s="5">
        <f t="shared" si="83"/>
        <v>0.31818181818181818</v>
      </c>
      <c r="AN648" s="4">
        <f t="shared" si="84"/>
        <v>4.8191112182024716E-4</v>
      </c>
      <c r="AO648" s="3"/>
      <c r="AP648">
        <v>0</v>
      </c>
      <c r="AR648" t="s">
        <v>1</v>
      </c>
      <c r="AT648" s="2" t="s">
        <v>0</v>
      </c>
      <c r="AU648" s="1">
        <f t="shared" si="85"/>
        <v>3.1014010884929726</v>
      </c>
      <c r="AV648" s="1">
        <f t="shared" si="86"/>
        <v>2.2290553809755589</v>
      </c>
      <c r="AW648" s="1">
        <f t="shared" si="87"/>
        <v>1.3567096734581452</v>
      </c>
    </row>
    <row r="649" spans="1:49" x14ac:dyDescent="0.2">
      <c r="A649">
        <v>647</v>
      </c>
      <c r="B649" t="s">
        <v>2990</v>
      </c>
      <c r="C649" t="s">
        <v>2989</v>
      </c>
      <c r="E649">
        <v>10966624</v>
      </c>
      <c r="F649" t="s">
        <v>2988</v>
      </c>
      <c r="G649" t="s">
        <v>9</v>
      </c>
      <c r="H649" t="s">
        <v>8</v>
      </c>
      <c r="I649" t="s">
        <v>2987</v>
      </c>
      <c r="J649">
        <v>60023324</v>
      </c>
      <c r="K649" t="s">
        <v>565</v>
      </c>
      <c r="L649" t="s">
        <v>156</v>
      </c>
      <c r="M649" t="s">
        <v>5</v>
      </c>
      <c r="N649">
        <v>4</v>
      </c>
      <c r="O649" t="s">
        <v>2986</v>
      </c>
      <c r="P649" t="s">
        <v>2985</v>
      </c>
      <c r="Q649" t="s">
        <v>2984</v>
      </c>
      <c r="R649" s="7">
        <v>36770</v>
      </c>
      <c r="S649" s="8">
        <f t="shared" si="80"/>
        <v>2000</v>
      </c>
      <c r="T649" s="8">
        <v>2000</v>
      </c>
      <c r="U649" s="8">
        <f t="shared" si="81"/>
        <v>22</v>
      </c>
      <c r="V649" s="7">
        <v>36770</v>
      </c>
      <c r="W649" t="s">
        <v>2983</v>
      </c>
      <c r="X649" s="2">
        <v>13.403</v>
      </c>
      <c r="Y649" s="6">
        <f t="shared" si="82"/>
        <v>0.35778543018072129</v>
      </c>
      <c r="AA649">
        <v>10976256</v>
      </c>
      <c r="AB649">
        <v>17436</v>
      </c>
      <c r="AD649" t="s">
        <v>3</v>
      </c>
      <c r="AE649">
        <v>3</v>
      </c>
      <c r="AF649">
        <v>9</v>
      </c>
      <c r="AH649" t="s">
        <v>2982</v>
      </c>
      <c r="AI649" t="s">
        <v>2981</v>
      </c>
      <c r="AK649" t="s">
        <v>2980</v>
      </c>
      <c r="AL649">
        <v>100</v>
      </c>
      <c r="AM649" s="5">
        <f t="shared" si="83"/>
        <v>4.5454545454545459</v>
      </c>
      <c r="AN649" s="4">
        <f t="shared" si="84"/>
        <v>6.8844445974321029E-3</v>
      </c>
      <c r="AO649" s="3"/>
      <c r="AP649">
        <v>0</v>
      </c>
      <c r="AQ649" t="s">
        <v>425</v>
      </c>
      <c r="AR649" t="s">
        <v>1</v>
      </c>
      <c r="AS649" t="s">
        <v>424</v>
      </c>
      <c r="AT649" s="2">
        <v>24.884</v>
      </c>
      <c r="AU649" s="1">
        <f t="shared" si="85"/>
        <v>25.251513450573455</v>
      </c>
      <c r="AV649" s="1">
        <f t="shared" si="86"/>
        <v>18.233493738907669</v>
      </c>
      <c r="AW649" s="1">
        <f t="shared" si="87"/>
        <v>11.215474027241886</v>
      </c>
    </row>
    <row r="650" spans="1:49" x14ac:dyDescent="0.2">
      <c r="A650">
        <v>648</v>
      </c>
      <c r="B650" t="s">
        <v>2979</v>
      </c>
      <c r="F650" t="s">
        <v>2978</v>
      </c>
      <c r="G650" t="s">
        <v>9</v>
      </c>
      <c r="H650" t="s">
        <v>8</v>
      </c>
      <c r="I650" t="s">
        <v>2977</v>
      </c>
      <c r="J650">
        <v>60110441</v>
      </c>
      <c r="K650" t="s">
        <v>2976</v>
      </c>
      <c r="L650" t="s">
        <v>2975</v>
      </c>
      <c r="M650" t="s">
        <v>42</v>
      </c>
      <c r="N650">
        <v>3</v>
      </c>
      <c r="O650" t="s">
        <v>2974</v>
      </c>
      <c r="P650" t="s">
        <v>2973</v>
      </c>
      <c r="Q650" t="s">
        <v>2972</v>
      </c>
      <c r="R650" s="7">
        <v>36770</v>
      </c>
      <c r="S650" s="8">
        <f t="shared" si="80"/>
        <v>2000</v>
      </c>
      <c r="T650" s="8">
        <v>2000</v>
      </c>
      <c r="U650" s="8">
        <f t="shared" si="81"/>
        <v>22</v>
      </c>
      <c r="V650" s="7">
        <v>36770</v>
      </c>
      <c r="W650" t="s">
        <v>2971</v>
      </c>
      <c r="X650" s="2">
        <v>0.246</v>
      </c>
      <c r="Y650" s="6">
        <f t="shared" si="82"/>
        <v>6.5668295026827901E-3</v>
      </c>
      <c r="AA650">
        <v>15600904</v>
      </c>
      <c r="AB650">
        <v>21452</v>
      </c>
      <c r="AD650" t="s">
        <v>3</v>
      </c>
      <c r="AE650">
        <v>42</v>
      </c>
      <c r="AF650" s="10">
        <v>44478</v>
      </c>
      <c r="AH650" t="s">
        <v>2970</v>
      </c>
      <c r="AI650" t="s">
        <v>2969</v>
      </c>
      <c r="AK650" t="s">
        <v>2968</v>
      </c>
      <c r="AL650">
        <v>10</v>
      </c>
      <c r="AM650" s="5">
        <f t="shared" si="83"/>
        <v>0.45454545454545453</v>
      </c>
      <c r="AN650" s="4">
        <f t="shared" si="84"/>
        <v>6.8844445974321016E-4</v>
      </c>
      <c r="AO650" s="3"/>
      <c r="AP650">
        <v>0</v>
      </c>
      <c r="AR650" t="s">
        <v>1</v>
      </c>
      <c r="AT650" s="2" t="s">
        <v>0</v>
      </c>
      <c r="AU650" s="1">
        <f t="shared" si="85"/>
        <v>0.48033139898009158</v>
      </c>
      <c r="AV650" s="1">
        <f t="shared" si="86"/>
        <v>0.36276369812130005</v>
      </c>
      <c r="AW650" s="1">
        <f t="shared" si="87"/>
        <v>0.24519599726250843</v>
      </c>
    </row>
    <row r="651" spans="1:49" x14ac:dyDescent="0.2">
      <c r="A651">
        <v>649</v>
      </c>
      <c r="B651" t="s">
        <v>2967</v>
      </c>
      <c r="C651" t="s">
        <v>2966</v>
      </c>
      <c r="F651" t="s">
        <v>2965</v>
      </c>
      <c r="G651" t="s">
        <v>9</v>
      </c>
      <c r="H651" t="s">
        <v>8</v>
      </c>
      <c r="I651" t="s">
        <v>2956</v>
      </c>
      <c r="J651">
        <v>60159855</v>
      </c>
      <c r="K651" t="s">
        <v>2955</v>
      </c>
      <c r="L651" t="s">
        <v>2954</v>
      </c>
      <c r="M651" t="s">
        <v>2953</v>
      </c>
      <c r="N651">
        <v>2</v>
      </c>
      <c r="O651" t="s">
        <v>2964</v>
      </c>
      <c r="P651" t="s">
        <v>2963</v>
      </c>
      <c r="Q651" t="s">
        <v>2962</v>
      </c>
      <c r="R651" s="7">
        <v>36769</v>
      </c>
      <c r="S651" s="8">
        <f t="shared" si="80"/>
        <v>2000</v>
      </c>
      <c r="T651" s="8">
        <v>2000</v>
      </c>
      <c r="U651" s="8">
        <f t="shared" si="81"/>
        <v>22</v>
      </c>
      <c r="V651" s="7">
        <v>36769</v>
      </c>
      <c r="W651" t="s">
        <v>718</v>
      </c>
      <c r="X651" s="2">
        <v>0.375</v>
      </c>
      <c r="Y651" s="6">
        <f t="shared" si="82"/>
        <v>1.0010410827260351E-2</v>
      </c>
      <c r="AA651">
        <v>135194</v>
      </c>
      <c r="AB651">
        <v>24918</v>
      </c>
      <c r="AD651" t="s">
        <v>3</v>
      </c>
      <c r="AE651">
        <v>36</v>
      </c>
      <c r="AF651">
        <v>18</v>
      </c>
      <c r="AH651" t="s">
        <v>821</v>
      </c>
      <c r="AI651" t="s">
        <v>2961</v>
      </c>
      <c r="AK651" t="s">
        <v>2960</v>
      </c>
      <c r="AL651">
        <v>8</v>
      </c>
      <c r="AM651" s="5">
        <f t="shared" si="83"/>
        <v>0.36363636363636365</v>
      </c>
      <c r="AN651" s="4">
        <f t="shared" si="84"/>
        <v>5.5075556779456819E-4</v>
      </c>
      <c r="AO651" s="3"/>
      <c r="AP651">
        <v>0</v>
      </c>
      <c r="AR651" t="s">
        <v>1</v>
      </c>
      <c r="AT651" s="2">
        <v>1.3140000000000001</v>
      </c>
      <c r="AU651" s="1">
        <f t="shared" si="85"/>
        <v>0.71725142494206162</v>
      </c>
      <c r="AV651" s="1">
        <f t="shared" si="86"/>
        <v>0.52805831975274597</v>
      </c>
      <c r="AW651" s="1">
        <f t="shared" si="87"/>
        <v>0.33886521456343033</v>
      </c>
    </row>
    <row r="652" spans="1:49" x14ac:dyDescent="0.2">
      <c r="A652">
        <v>650</v>
      </c>
      <c r="B652" t="s">
        <v>2959</v>
      </c>
      <c r="C652" t="s">
        <v>2958</v>
      </c>
      <c r="F652" t="s">
        <v>2957</v>
      </c>
      <c r="G652" t="s">
        <v>9</v>
      </c>
      <c r="H652" t="s">
        <v>8</v>
      </c>
      <c r="I652" t="s">
        <v>2956</v>
      </c>
      <c r="J652">
        <v>60159855</v>
      </c>
      <c r="K652" t="s">
        <v>2955</v>
      </c>
      <c r="L652" t="s">
        <v>2954</v>
      </c>
      <c r="M652" t="s">
        <v>2953</v>
      </c>
      <c r="N652">
        <v>3</v>
      </c>
      <c r="O652" t="s">
        <v>2952</v>
      </c>
      <c r="P652" t="s">
        <v>2951</v>
      </c>
      <c r="Q652" t="s">
        <v>2950</v>
      </c>
      <c r="R652" s="7">
        <v>36769</v>
      </c>
      <c r="S652" s="8">
        <f t="shared" si="80"/>
        <v>2000</v>
      </c>
      <c r="T652" s="8">
        <v>2000</v>
      </c>
      <c r="U652" s="8">
        <f t="shared" si="81"/>
        <v>22</v>
      </c>
      <c r="V652" s="7">
        <v>36769</v>
      </c>
      <c r="W652" t="s">
        <v>718</v>
      </c>
      <c r="X652" s="2">
        <v>0.375</v>
      </c>
      <c r="Y652" s="6">
        <f t="shared" si="82"/>
        <v>1.0010410827260351E-2</v>
      </c>
      <c r="AA652">
        <v>135194</v>
      </c>
      <c r="AB652">
        <v>24918</v>
      </c>
      <c r="AD652" t="s">
        <v>3</v>
      </c>
      <c r="AE652">
        <v>36</v>
      </c>
      <c r="AF652">
        <v>18</v>
      </c>
      <c r="AH652" t="s">
        <v>2949</v>
      </c>
      <c r="AI652" t="s">
        <v>2948</v>
      </c>
      <c r="AK652" t="s">
        <v>2947</v>
      </c>
      <c r="AL652">
        <v>7</v>
      </c>
      <c r="AM652" s="5">
        <f t="shared" si="83"/>
        <v>0.31818181818181818</v>
      </c>
      <c r="AN652" s="4">
        <f t="shared" si="84"/>
        <v>4.8191112182024716E-4</v>
      </c>
      <c r="AO652" s="3"/>
      <c r="AP652">
        <v>0</v>
      </c>
      <c r="AR652" t="s">
        <v>1</v>
      </c>
      <c r="AT652" s="2">
        <v>1.3140000000000001</v>
      </c>
      <c r="AU652" s="1">
        <f t="shared" si="85"/>
        <v>0.71518609156283197</v>
      </c>
      <c r="AV652" s="1">
        <f t="shared" si="86"/>
        <v>0.52461609745402993</v>
      </c>
      <c r="AW652" s="1">
        <f t="shared" si="87"/>
        <v>0.33404610334522783</v>
      </c>
    </row>
    <row r="653" spans="1:49" x14ac:dyDescent="0.2">
      <c r="A653">
        <v>651</v>
      </c>
      <c r="B653" t="s">
        <v>2946</v>
      </c>
      <c r="C653" t="s">
        <v>2945</v>
      </c>
      <c r="F653" t="s">
        <v>2944</v>
      </c>
      <c r="G653" t="s">
        <v>9</v>
      </c>
      <c r="H653" t="s">
        <v>8</v>
      </c>
      <c r="I653" t="s">
        <v>2943</v>
      </c>
      <c r="J653">
        <v>60010818</v>
      </c>
      <c r="K653" t="s">
        <v>812</v>
      </c>
      <c r="L653" t="s">
        <v>811</v>
      </c>
      <c r="M653" t="s">
        <v>87</v>
      </c>
      <c r="N653">
        <v>2</v>
      </c>
      <c r="O653" t="s">
        <v>2942</v>
      </c>
      <c r="P653" t="s">
        <v>2941</v>
      </c>
      <c r="Q653" t="s">
        <v>810</v>
      </c>
      <c r="R653" s="7">
        <v>36769</v>
      </c>
      <c r="S653" s="8">
        <f t="shared" si="80"/>
        <v>2000</v>
      </c>
      <c r="T653" s="8">
        <v>2000</v>
      </c>
      <c r="U653" s="8">
        <f t="shared" si="81"/>
        <v>22</v>
      </c>
      <c r="V653" s="7">
        <v>36769</v>
      </c>
      <c r="W653" t="s">
        <v>718</v>
      </c>
      <c r="X653" s="2">
        <v>0.375</v>
      </c>
      <c r="Y653" s="6">
        <f t="shared" si="82"/>
        <v>1.0010410827260351E-2</v>
      </c>
      <c r="AA653">
        <v>135194</v>
      </c>
      <c r="AB653">
        <v>24918</v>
      </c>
      <c r="AD653" t="s">
        <v>3</v>
      </c>
      <c r="AE653">
        <v>36</v>
      </c>
      <c r="AF653">
        <v>18</v>
      </c>
      <c r="AH653" t="s">
        <v>2940</v>
      </c>
      <c r="AI653" t="s">
        <v>2939</v>
      </c>
      <c r="AK653" t="s">
        <v>2938</v>
      </c>
      <c r="AL653">
        <v>2</v>
      </c>
      <c r="AM653" s="5">
        <f t="shared" si="83"/>
        <v>9.0909090909090912E-2</v>
      </c>
      <c r="AN653" s="4">
        <f t="shared" si="84"/>
        <v>1.3768889194864205E-4</v>
      </c>
      <c r="AO653" s="3"/>
      <c r="AP653">
        <v>0</v>
      </c>
      <c r="AR653" t="s">
        <v>1</v>
      </c>
      <c r="AT653" s="2">
        <v>1.3140000000000001</v>
      </c>
      <c r="AU653" s="1">
        <f t="shared" si="85"/>
        <v>0.70485942466668383</v>
      </c>
      <c r="AV653" s="1">
        <f t="shared" si="86"/>
        <v>0.50740498596044969</v>
      </c>
      <c r="AW653" s="1">
        <f t="shared" si="87"/>
        <v>0.30995054725421545</v>
      </c>
    </row>
    <row r="654" spans="1:49" x14ac:dyDescent="0.2">
      <c r="A654">
        <v>652</v>
      </c>
      <c r="B654" t="s">
        <v>2937</v>
      </c>
      <c r="C654" t="s">
        <v>2936</v>
      </c>
      <c r="F654" t="s">
        <v>2935</v>
      </c>
      <c r="G654" t="s">
        <v>9</v>
      </c>
      <c r="H654" t="s">
        <v>8</v>
      </c>
      <c r="I654" t="s">
        <v>2934</v>
      </c>
      <c r="J654" t="s">
        <v>2933</v>
      </c>
      <c r="K654" t="s">
        <v>2932</v>
      </c>
      <c r="L654" t="s">
        <v>2931</v>
      </c>
      <c r="M654" t="s">
        <v>168</v>
      </c>
      <c r="N654">
        <v>5</v>
      </c>
      <c r="O654" t="s">
        <v>2930</v>
      </c>
      <c r="P654" t="s">
        <v>2929</v>
      </c>
      <c r="Q654" t="s">
        <v>2928</v>
      </c>
      <c r="R654" s="7">
        <v>36769</v>
      </c>
      <c r="S654" s="8">
        <f t="shared" si="80"/>
        <v>2000</v>
      </c>
      <c r="T654" s="8">
        <v>2000</v>
      </c>
      <c r="U654" s="8">
        <f t="shared" si="81"/>
        <v>22</v>
      </c>
      <c r="V654" s="7">
        <v>36769</v>
      </c>
      <c r="W654" t="s">
        <v>750</v>
      </c>
      <c r="X654" s="2">
        <v>0.86399999999999999</v>
      </c>
      <c r="Y654" s="6">
        <f t="shared" si="82"/>
        <v>2.3063986546007848E-2</v>
      </c>
      <c r="AA654">
        <v>10895647</v>
      </c>
      <c r="AB654">
        <v>26970</v>
      </c>
      <c r="AD654" t="s">
        <v>3</v>
      </c>
      <c r="AE654">
        <v>104</v>
      </c>
      <c r="AF654">
        <v>34</v>
      </c>
      <c r="AH654" t="s">
        <v>2927</v>
      </c>
      <c r="AI654" t="s">
        <v>2926</v>
      </c>
      <c r="AK654" t="s">
        <v>2925</v>
      </c>
      <c r="AL654">
        <v>53</v>
      </c>
      <c r="AM654" s="5">
        <f t="shared" si="83"/>
        <v>2.4090909090909092</v>
      </c>
      <c r="AN654" s="4">
        <f t="shared" si="84"/>
        <v>3.6487556366390141E-3</v>
      </c>
      <c r="AO654" s="3"/>
      <c r="AP654">
        <v>0</v>
      </c>
      <c r="AR654" t="s">
        <v>1</v>
      </c>
      <c r="AT654" s="2">
        <v>2.9910000000000001</v>
      </c>
      <c r="AU654" s="1">
        <f t="shared" si="85"/>
        <v>1.7239417273197195</v>
      </c>
      <c r="AV654" s="1">
        <f t="shared" si="86"/>
        <v>1.3356371091323431</v>
      </c>
      <c r="AW654" s="1">
        <f t="shared" si="87"/>
        <v>0.9473324909449663</v>
      </c>
    </row>
    <row r="655" spans="1:49" x14ac:dyDescent="0.2">
      <c r="A655">
        <v>653</v>
      </c>
      <c r="B655" t="s">
        <v>2924</v>
      </c>
      <c r="C655" t="s">
        <v>2923</v>
      </c>
      <c r="F655" t="s">
        <v>2922</v>
      </c>
      <c r="G655" t="s">
        <v>9</v>
      </c>
      <c r="H655" t="s">
        <v>8</v>
      </c>
      <c r="I655" t="s">
        <v>2921</v>
      </c>
      <c r="J655">
        <v>60002445</v>
      </c>
      <c r="K655" t="s">
        <v>2920</v>
      </c>
      <c r="L655" t="s">
        <v>2919</v>
      </c>
      <c r="M655" t="s">
        <v>10</v>
      </c>
      <c r="N655">
        <v>2</v>
      </c>
      <c r="O655" t="s">
        <v>2918</v>
      </c>
      <c r="P655" t="s">
        <v>2917</v>
      </c>
      <c r="Q655" t="s">
        <v>2916</v>
      </c>
      <c r="R655" s="7">
        <v>36769</v>
      </c>
      <c r="S655" s="8">
        <f t="shared" si="80"/>
        <v>2000</v>
      </c>
      <c r="T655" s="8">
        <v>2000</v>
      </c>
      <c r="U655" s="8">
        <f t="shared" si="81"/>
        <v>22</v>
      </c>
      <c r="V655" s="7">
        <v>36769</v>
      </c>
      <c r="W655" t="s">
        <v>718</v>
      </c>
      <c r="X655" s="2">
        <v>0.375</v>
      </c>
      <c r="Y655" s="6">
        <f t="shared" si="82"/>
        <v>1.0010410827260351E-2</v>
      </c>
      <c r="AA655">
        <v>135194</v>
      </c>
      <c r="AB655">
        <v>24918</v>
      </c>
      <c r="AD655" t="s">
        <v>3</v>
      </c>
      <c r="AE655">
        <v>36</v>
      </c>
      <c r="AF655">
        <v>18</v>
      </c>
      <c r="AH655" t="s">
        <v>2915</v>
      </c>
      <c r="AI655" t="s">
        <v>2914</v>
      </c>
      <c r="AK655" t="s">
        <v>2913</v>
      </c>
      <c r="AL655">
        <v>1</v>
      </c>
      <c r="AM655" s="5">
        <f t="shared" si="83"/>
        <v>4.5454545454545456E-2</v>
      </c>
      <c r="AN655" s="4">
        <f t="shared" si="84"/>
        <v>6.8844445974321024E-5</v>
      </c>
      <c r="AO655" s="3"/>
      <c r="AP655">
        <v>0</v>
      </c>
      <c r="AR655" t="s">
        <v>1</v>
      </c>
      <c r="AT655" s="2">
        <v>1.3140000000000001</v>
      </c>
      <c r="AU655" s="1">
        <f t="shared" si="85"/>
        <v>0.70279409128745418</v>
      </c>
      <c r="AV655" s="1">
        <f t="shared" si="86"/>
        <v>0.50396276366173354</v>
      </c>
      <c r="AW655" s="1">
        <f t="shared" si="87"/>
        <v>0.305131436036013</v>
      </c>
    </row>
    <row r="656" spans="1:49" x14ac:dyDescent="0.2">
      <c r="A656">
        <v>654</v>
      </c>
      <c r="B656" t="s">
        <v>2912</v>
      </c>
      <c r="C656" t="s">
        <v>2911</v>
      </c>
      <c r="F656" t="s">
        <v>2910</v>
      </c>
      <c r="G656" t="s">
        <v>9</v>
      </c>
      <c r="H656" t="s">
        <v>8</v>
      </c>
      <c r="I656" t="s">
        <v>914</v>
      </c>
      <c r="J656" t="s">
        <v>2909</v>
      </c>
      <c r="K656" t="s">
        <v>2908</v>
      </c>
      <c r="L656" t="s">
        <v>2907</v>
      </c>
      <c r="M656" t="s">
        <v>63</v>
      </c>
      <c r="N656">
        <v>2</v>
      </c>
      <c r="O656" t="s">
        <v>2906</v>
      </c>
      <c r="P656" t="s">
        <v>2905</v>
      </c>
      <c r="Q656" t="s">
        <v>2904</v>
      </c>
      <c r="R656" s="7">
        <v>36769</v>
      </c>
      <c r="S656" s="8">
        <f t="shared" si="80"/>
        <v>2000</v>
      </c>
      <c r="T656" s="8">
        <v>2000</v>
      </c>
      <c r="U656" s="8">
        <f t="shared" si="81"/>
        <v>22</v>
      </c>
      <c r="V656" s="7">
        <v>36769</v>
      </c>
      <c r="W656" t="s">
        <v>718</v>
      </c>
      <c r="X656" s="2">
        <v>0.375</v>
      </c>
      <c r="Y656" s="6">
        <f t="shared" si="82"/>
        <v>1.0010410827260351E-2</v>
      </c>
      <c r="AA656">
        <v>135194</v>
      </c>
      <c r="AB656">
        <v>24918</v>
      </c>
      <c r="AD656" t="s">
        <v>3</v>
      </c>
      <c r="AE656">
        <v>36</v>
      </c>
      <c r="AF656">
        <v>18</v>
      </c>
      <c r="AH656" t="s">
        <v>2903</v>
      </c>
      <c r="AI656" t="s">
        <v>2902</v>
      </c>
      <c r="AK656" t="s">
        <v>2901</v>
      </c>
      <c r="AL656">
        <v>0</v>
      </c>
      <c r="AM656" s="5">
        <f t="shared" si="83"/>
        <v>0</v>
      </c>
      <c r="AN656" s="4">
        <f t="shared" si="84"/>
        <v>0</v>
      </c>
      <c r="AO656" s="3"/>
      <c r="AP656">
        <v>0</v>
      </c>
      <c r="AR656" t="s">
        <v>1</v>
      </c>
      <c r="AT656" s="2">
        <v>1.3140000000000001</v>
      </c>
      <c r="AU656" s="1">
        <f t="shared" si="85"/>
        <v>0.70072875790822453</v>
      </c>
      <c r="AV656" s="1">
        <f t="shared" si="86"/>
        <v>0.5005205413630176</v>
      </c>
      <c r="AW656" s="1">
        <f t="shared" si="87"/>
        <v>0.30031232481781051</v>
      </c>
    </row>
    <row r="657" spans="1:49" x14ac:dyDescent="0.2">
      <c r="A657">
        <v>655</v>
      </c>
      <c r="B657" t="s">
        <v>2900</v>
      </c>
      <c r="C657" t="s">
        <v>2899</v>
      </c>
      <c r="F657" t="s">
        <v>2898</v>
      </c>
      <c r="G657" t="s">
        <v>9</v>
      </c>
      <c r="H657" t="s">
        <v>8</v>
      </c>
      <c r="I657" t="s">
        <v>729</v>
      </c>
      <c r="J657" t="s">
        <v>2897</v>
      </c>
      <c r="K657" t="s">
        <v>2896</v>
      </c>
      <c r="L657" t="s">
        <v>2895</v>
      </c>
      <c r="M657" t="s">
        <v>2894</v>
      </c>
      <c r="N657">
        <v>4</v>
      </c>
      <c r="O657" t="s">
        <v>728</v>
      </c>
      <c r="P657" t="s">
        <v>727</v>
      </c>
      <c r="Q657" t="s">
        <v>2893</v>
      </c>
      <c r="R657" s="7">
        <v>36769</v>
      </c>
      <c r="S657" s="8">
        <f t="shared" si="80"/>
        <v>2000</v>
      </c>
      <c r="T657" s="8">
        <v>2000</v>
      </c>
      <c r="U657" s="8">
        <f t="shared" si="81"/>
        <v>22</v>
      </c>
      <c r="V657" s="7">
        <v>36769</v>
      </c>
      <c r="W657" t="s">
        <v>718</v>
      </c>
      <c r="X657" s="2">
        <v>0.375</v>
      </c>
      <c r="Y657" s="6">
        <f t="shared" si="82"/>
        <v>1.0010410827260351E-2</v>
      </c>
      <c r="AA657">
        <v>135194</v>
      </c>
      <c r="AB657">
        <v>24918</v>
      </c>
      <c r="AD657" t="s">
        <v>3</v>
      </c>
      <c r="AE657">
        <v>36</v>
      </c>
      <c r="AF657">
        <v>18</v>
      </c>
      <c r="AH657" t="s">
        <v>2892</v>
      </c>
      <c r="AI657" t="s">
        <v>2891</v>
      </c>
      <c r="AK657" t="s">
        <v>2890</v>
      </c>
      <c r="AL657">
        <v>15</v>
      </c>
      <c r="AM657" s="5">
        <f t="shared" si="83"/>
        <v>0.68181818181818177</v>
      </c>
      <c r="AN657" s="4">
        <f t="shared" si="84"/>
        <v>1.0326666896148153E-3</v>
      </c>
      <c r="AO657" s="3"/>
      <c r="AP657">
        <v>0</v>
      </c>
      <c r="AR657" t="s">
        <v>1</v>
      </c>
      <c r="AT657" s="2">
        <v>1.3140000000000001</v>
      </c>
      <c r="AU657" s="1">
        <f t="shared" si="85"/>
        <v>0.73170875859666895</v>
      </c>
      <c r="AV657" s="1">
        <f t="shared" si="86"/>
        <v>0.5521538758437583</v>
      </c>
      <c r="AW657" s="1">
        <f t="shared" si="87"/>
        <v>0.3725989930908476</v>
      </c>
    </row>
    <row r="658" spans="1:49" x14ac:dyDescent="0.2">
      <c r="A658">
        <v>656</v>
      </c>
      <c r="B658" t="s">
        <v>2889</v>
      </c>
      <c r="C658" t="s">
        <v>2888</v>
      </c>
      <c r="F658" t="s">
        <v>2887</v>
      </c>
      <c r="G658" t="s">
        <v>9</v>
      </c>
      <c r="H658" t="s">
        <v>8</v>
      </c>
      <c r="I658" t="s">
        <v>2886</v>
      </c>
      <c r="J658">
        <v>60032144</v>
      </c>
      <c r="K658" t="s">
        <v>195</v>
      </c>
      <c r="L658" t="s">
        <v>194</v>
      </c>
      <c r="M658" t="s">
        <v>10</v>
      </c>
      <c r="N658">
        <v>2</v>
      </c>
      <c r="O658" t="s">
        <v>2885</v>
      </c>
      <c r="P658" t="s">
        <v>2884</v>
      </c>
      <c r="Q658" t="s">
        <v>193</v>
      </c>
      <c r="R658" s="7">
        <v>36769</v>
      </c>
      <c r="S658" s="8">
        <f t="shared" si="80"/>
        <v>2000</v>
      </c>
      <c r="T658" s="8">
        <v>2000</v>
      </c>
      <c r="U658" s="8">
        <f t="shared" si="81"/>
        <v>22</v>
      </c>
      <c r="V658" s="7">
        <v>36769</v>
      </c>
      <c r="W658" t="s">
        <v>718</v>
      </c>
      <c r="X658" s="2">
        <v>0.375</v>
      </c>
      <c r="Y658" s="6">
        <f t="shared" si="82"/>
        <v>1.0010410827260351E-2</v>
      </c>
      <c r="AA658">
        <v>135194</v>
      </c>
      <c r="AB658">
        <v>24918</v>
      </c>
      <c r="AD658" t="s">
        <v>3</v>
      </c>
      <c r="AE658">
        <v>36</v>
      </c>
      <c r="AF658">
        <v>18</v>
      </c>
      <c r="AH658" t="s">
        <v>2883</v>
      </c>
      <c r="AI658" t="s">
        <v>2882</v>
      </c>
      <c r="AK658" t="s">
        <v>2881</v>
      </c>
      <c r="AL658">
        <v>0</v>
      </c>
      <c r="AM658" s="5">
        <f t="shared" si="83"/>
        <v>0</v>
      </c>
      <c r="AN658" s="4">
        <f t="shared" si="84"/>
        <v>0</v>
      </c>
      <c r="AO658" s="3"/>
      <c r="AP658">
        <v>0</v>
      </c>
      <c r="AR658" t="s">
        <v>1</v>
      </c>
      <c r="AT658" s="2">
        <v>1.3140000000000001</v>
      </c>
      <c r="AU658" s="1">
        <f t="shared" si="85"/>
        <v>0.70072875790822453</v>
      </c>
      <c r="AV658" s="1">
        <f t="shared" si="86"/>
        <v>0.5005205413630176</v>
      </c>
      <c r="AW658" s="1">
        <f t="shared" si="87"/>
        <v>0.30031232481781051</v>
      </c>
    </row>
    <row r="659" spans="1:49" x14ac:dyDescent="0.2">
      <c r="A659">
        <v>657</v>
      </c>
      <c r="B659" t="s">
        <v>2880</v>
      </c>
      <c r="C659" t="s">
        <v>2879</v>
      </c>
      <c r="F659" t="s">
        <v>2878</v>
      </c>
      <c r="G659" t="s">
        <v>9</v>
      </c>
      <c r="H659" t="s">
        <v>8</v>
      </c>
      <c r="I659" t="s">
        <v>2877</v>
      </c>
      <c r="J659">
        <v>60110693</v>
      </c>
      <c r="K659" t="s">
        <v>190</v>
      </c>
      <c r="L659" t="s">
        <v>189</v>
      </c>
      <c r="M659" t="s">
        <v>105</v>
      </c>
      <c r="N659">
        <v>3</v>
      </c>
      <c r="O659" t="s">
        <v>2876</v>
      </c>
      <c r="P659" t="s">
        <v>2875</v>
      </c>
      <c r="Q659" t="s">
        <v>188</v>
      </c>
      <c r="R659" s="7">
        <v>36769</v>
      </c>
      <c r="S659" s="8">
        <f t="shared" si="80"/>
        <v>2000</v>
      </c>
      <c r="T659" s="8">
        <v>2000</v>
      </c>
      <c r="U659" s="8">
        <f t="shared" si="81"/>
        <v>22</v>
      </c>
      <c r="V659" s="7">
        <v>36769</v>
      </c>
      <c r="W659" t="s">
        <v>718</v>
      </c>
      <c r="X659" s="2">
        <v>0.375</v>
      </c>
      <c r="Y659" s="6">
        <f t="shared" si="82"/>
        <v>1.0010410827260351E-2</v>
      </c>
      <c r="AA659">
        <v>135194</v>
      </c>
      <c r="AB659">
        <v>24918</v>
      </c>
      <c r="AD659" t="s">
        <v>3</v>
      </c>
      <c r="AE659">
        <v>36</v>
      </c>
      <c r="AF659">
        <v>18</v>
      </c>
      <c r="AH659" t="s">
        <v>2874</v>
      </c>
      <c r="AI659" t="s">
        <v>2873</v>
      </c>
      <c r="AK659" t="s">
        <v>2872</v>
      </c>
      <c r="AL659">
        <v>87</v>
      </c>
      <c r="AM659" s="5">
        <f t="shared" si="83"/>
        <v>3.9545454545454546</v>
      </c>
      <c r="AN659" s="4">
        <f t="shared" si="84"/>
        <v>5.9894667997659285E-3</v>
      </c>
      <c r="AO659" s="3"/>
      <c r="AP659">
        <v>0</v>
      </c>
      <c r="AR659" t="s">
        <v>1</v>
      </c>
      <c r="AT659" s="2">
        <v>1.3140000000000001</v>
      </c>
      <c r="AU659" s="1">
        <f t="shared" si="85"/>
        <v>0.88041276190120243</v>
      </c>
      <c r="AV659" s="1">
        <f t="shared" si="86"/>
        <v>0.799993881351314</v>
      </c>
      <c r="AW659" s="1">
        <f t="shared" si="87"/>
        <v>0.71957500080142545</v>
      </c>
    </row>
    <row r="660" spans="1:49" x14ac:dyDescent="0.2">
      <c r="A660">
        <v>658</v>
      </c>
      <c r="B660" t="s">
        <v>2871</v>
      </c>
      <c r="C660" t="s">
        <v>2870</v>
      </c>
      <c r="E660">
        <v>10956037</v>
      </c>
      <c r="F660" t="s">
        <v>2869</v>
      </c>
      <c r="G660" t="s">
        <v>9</v>
      </c>
      <c r="H660" t="s">
        <v>8</v>
      </c>
      <c r="I660" t="s">
        <v>2868</v>
      </c>
      <c r="J660" t="s">
        <v>2867</v>
      </c>
      <c r="K660" t="s">
        <v>2866</v>
      </c>
      <c r="L660" t="s">
        <v>2865</v>
      </c>
      <c r="M660" t="s">
        <v>2864</v>
      </c>
      <c r="N660">
        <v>5</v>
      </c>
      <c r="O660" t="s">
        <v>2863</v>
      </c>
      <c r="P660" t="s">
        <v>2862</v>
      </c>
      <c r="Q660" t="s">
        <v>2861</v>
      </c>
      <c r="R660" s="7">
        <v>36767</v>
      </c>
      <c r="S660" s="8">
        <f t="shared" si="80"/>
        <v>2000</v>
      </c>
      <c r="T660" s="8">
        <v>2000</v>
      </c>
      <c r="U660" s="8">
        <f t="shared" si="81"/>
        <v>22</v>
      </c>
      <c r="V660" s="7">
        <v>36767</v>
      </c>
      <c r="W660" t="s">
        <v>758</v>
      </c>
      <c r="X660" s="2">
        <v>1.43</v>
      </c>
      <c r="Y660" s="6">
        <f t="shared" si="82"/>
        <v>3.8173033287952803E-2</v>
      </c>
      <c r="AA660">
        <v>62960</v>
      </c>
      <c r="AB660">
        <v>16867</v>
      </c>
      <c r="AD660" t="s">
        <v>3</v>
      </c>
      <c r="AE660">
        <v>39</v>
      </c>
      <c r="AF660">
        <v>34</v>
      </c>
      <c r="AH660" t="s">
        <v>2860</v>
      </c>
      <c r="AI660" t="s">
        <v>2859</v>
      </c>
      <c r="AK660" t="s">
        <v>2858</v>
      </c>
      <c r="AL660">
        <v>32</v>
      </c>
      <c r="AM660" s="5">
        <f t="shared" si="83"/>
        <v>1.4545454545454546</v>
      </c>
      <c r="AN660" s="4">
        <f t="shared" si="84"/>
        <v>2.2030222711782728E-3</v>
      </c>
      <c r="AO660" s="3"/>
      <c r="AP660">
        <v>0</v>
      </c>
      <c r="AR660" t="s">
        <v>1</v>
      </c>
      <c r="AT660" s="2">
        <v>3.1619999999999999</v>
      </c>
      <c r="AU660" s="1">
        <f t="shared" si="85"/>
        <v>2.7382029982920444</v>
      </c>
      <c r="AV660" s="1">
        <f t="shared" si="86"/>
        <v>2.0188027779565538</v>
      </c>
      <c r="AW660" s="1">
        <f t="shared" si="87"/>
        <v>1.2994025576210633</v>
      </c>
    </row>
    <row r="661" spans="1:49" x14ac:dyDescent="0.2">
      <c r="A661">
        <v>659</v>
      </c>
      <c r="B661" t="s">
        <v>2857</v>
      </c>
      <c r="C661" t="s">
        <v>2856</v>
      </c>
      <c r="E661">
        <v>10985738</v>
      </c>
      <c r="F661" t="s">
        <v>2855</v>
      </c>
      <c r="G661" t="s">
        <v>9</v>
      </c>
      <c r="H661" t="s">
        <v>8</v>
      </c>
      <c r="I661" t="s">
        <v>2854</v>
      </c>
      <c r="J661">
        <v>60029472</v>
      </c>
      <c r="K661" t="s">
        <v>2853</v>
      </c>
      <c r="L661" t="s">
        <v>2852</v>
      </c>
      <c r="M661" t="s">
        <v>5</v>
      </c>
      <c r="N661">
        <v>4</v>
      </c>
      <c r="O661" t="s">
        <v>2851</v>
      </c>
      <c r="P661" t="s">
        <v>2850</v>
      </c>
      <c r="Q661" t="s">
        <v>2849</v>
      </c>
      <c r="R661" s="7">
        <v>36767</v>
      </c>
      <c r="S661" s="8">
        <f t="shared" si="80"/>
        <v>2000</v>
      </c>
      <c r="T661" s="8">
        <v>2000</v>
      </c>
      <c r="U661" s="8">
        <f t="shared" si="81"/>
        <v>22</v>
      </c>
      <c r="V661" s="7">
        <v>2000</v>
      </c>
      <c r="W661" t="s">
        <v>2848</v>
      </c>
      <c r="X661" s="2">
        <v>0.64800000000000002</v>
      </c>
      <c r="Y661" s="6">
        <f t="shared" si="82"/>
        <v>1.7297989909505887E-2</v>
      </c>
      <c r="AA661">
        <v>3028933</v>
      </c>
      <c r="AB661">
        <v>19623</v>
      </c>
      <c r="AD661" t="s">
        <v>3</v>
      </c>
      <c r="AE661">
        <v>174</v>
      </c>
      <c r="AF661" s="10">
        <v>44228</v>
      </c>
      <c r="AH661" t="s">
        <v>2847</v>
      </c>
      <c r="AI661" t="s">
        <v>2846</v>
      </c>
      <c r="AJ661" t="s">
        <v>2845</v>
      </c>
      <c r="AK661" t="s">
        <v>2844</v>
      </c>
      <c r="AL661">
        <v>67</v>
      </c>
      <c r="AM661" s="5">
        <f t="shared" si="83"/>
        <v>3.0454545454545454</v>
      </c>
      <c r="AN661" s="4">
        <f t="shared" si="84"/>
        <v>4.6125778802795087E-3</v>
      </c>
      <c r="AO661" s="3"/>
      <c r="AP661">
        <v>0</v>
      </c>
      <c r="AQ661" t="s">
        <v>210</v>
      </c>
      <c r="AR661" t="s">
        <v>1</v>
      </c>
      <c r="AS661" t="s">
        <v>209</v>
      </c>
      <c r="AT661" s="2">
        <v>2.552</v>
      </c>
      <c r="AU661" s="1">
        <f t="shared" si="85"/>
        <v>1.3492366300737972</v>
      </c>
      <c r="AV661" s="1">
        <f t="shared" si="86"/>
        <v>1.0955283894892698</v>
      </c>
      <c r="AW661" s="1">
        <f t="shared" si="87"/>
        <v>0.8418201489047421</v>
      </c>
    </row>
    <row r="662" spans="1:49" x14ac:dyDescent="0.2">
      <c r="A662">
        <v>660</v>
      </c>
      <c r="B662" t="s">
        <v>2843</v>
      </c>
      <c r="C662" t="s">
        <v>2842</v>
      </c>
      <c r="F662" t="s">
        <v>2841</v>
      </c>
      <c r="G662" t="s">
        <v>9</v>
      </c>
      <c r="H662" t="s">
        <v>8</v>
      </c>
      <c r="I662" t="s">
        <v>871</v>
      </c>
      <c r="J662">
        <v>60025534</v>
      </c>
      <c r="K662" t="s">
        <v>2840</v>
      </c>
      <c r="L662" t="s">
        <v>2839</v>
      </c>
      <c r="M662" t="s">
        <v>5</v>
      </c>
      <c r="N662">
        <v>3</v>
      </c>
      <c r="O662" t="s">
        <v>2838</v>
      </c>
      <c r="P662" t="s">
        <v>2837</v>
      </c>
      <c r="Q662" t="s">
        <v>2836</v>
      </c>
      <c r="R662" s="7">
        <v>36766</v>
      </c>
      <c r="S662" s="8">
        <f t="shared" si="80"/>
        <v>2000</v>
      </c>
      <c r="T662" s="8">
        <v>2000</v>
      </c>
      <c r="U662" s="8">
        <f t="shared" si="81"/>
        <v>22</v>
      </c>
      <c r="V662" s="7">
        <v>36766</v>
      </c>
      <c r="W662" t="s">
        <v>803</v>
      </c>
      <c r="X662" s="2">
        <v>1.1819999999999999</v>
      </c>
      <c r="Y662" s="6">
        <f t="shared" si="82"/>
        <v>3.1552814927524625E-2</v>
      </c>
      <c r="AA662">
        <v>36951</v>
      </c>
      <c r="AB662">
        <v>27030</v>
      </c>
      <c r="AD662" t="s">
        <v>3</v>
      </c>
      <c r="AE662">
        <v>77</v>
      </c>
      <c r="AF662">
        <v>9</v>
      </c>
      <c r="AH662" t="s">
        <v>2835</v>
      </c>
      <c r="AI662" t="s">
        <v>2834</v>
      </c>
      <c r="AK662" t="s">
        <v>2833</v>
      </c>
      <c r="AL662">
        <v>118</v>
      </c>
      <c r="AM662" s="5">
        <f t="shared" si="83"/>
        <v>5.3636363636363633</v>
      </c>
      <c r="AN662" s="4">
        <f t="shared" si="84"/>
        <v>8.1236446249698807E-3</v>
      </c>
      <c r="AO662" s="3"/>
      <c r="AP662">
        <v>0</v>
      </c>
      <c r="AR662" t="s">
        <v>1</v>
      </c>
      <c r="AT662" s="2">
        <v>3.7909999999999999</v>
      </c>
      <c r="AU662" s="1">
        <f t="shared" si="85"/>
        <v>2.4524063836758199</v>
      </c>
      <c r="AV662" s="1">
        <f t="shared" si="86"/>
        <v>1.9838229776247254</v>
      </c>
      <c r="AW662" s="1">
        <f t="shared" si="87"/>
        <v>1.5152395715736304</v>
      </c>
    </row>
    <row r="663" spans="1:49" x14ac:dyDescent="0.2">
      <c r="A663">
        <v>661</v>
      </c>
      <c r="B663" t="s">
        <v>2832</v>
      </c>
      <c r="C663" t="s">
        <v>2831</v>
      </c>
      <c r="F663" t="s">
        <v>2830</v>
      </c>
      <c r="G663" t="s">
        <v>9</v>
      </c>
      <c r="H663" t="s">
        <v>8</v>
      </c>
      <c r="I663" t="s">
        <v>2829</v>
      </c>
      <c r="J663" t="s">
        <v>2828</v>
      </c>
      <c r="K663" t="s">
        <v>2827</v>
      </c>
      <c r="L663" t="s">
        <v>2826</v>
      </c>
      <c r="M663" t="s">
        <v>2825</v>
      </c>
      <c r="N663">
        <v>11</v>
      </c>
      <c r="O663" t="s">
        <v>2824</v>
      </c>
      <c r="P663" t="s">
        <v>2823</v>
      </c>
      <c r="Q663" t="s">
        <v>2822</v>
      </c>
      <c r="R663" s="7">
        <v>36766</v>
      </c>
      <c r="S663" s="8">
        <f t="shared" si="80"/>
        <v>2000</v>
      </c>
      <c r="T663" s="8">
        <v>2000</v>
      </c>
      <c r="U663" s="8">
        <f t="shared" si="81"/>
        <v>22</v>
      </c>
      <c r="V663" s="7">
        <v>36766</v>
      </c>
      <c r="W663" t="s">
        <v>803</v>
      </c>
      <c r="X663" s="2">
        <v>1.1819999999999999</v>
      </c>
      <c r="Y663" s="6">
        <f t="shared" si="82"/>
        <v>3.1552814927524625E-2</v>
      </c>
      <c r="AA663">
        <v>36951</v>
      </c>
      <c r="AB663">
        <v>27030</v>
      </c>
      <c r="AD663" t="s">
        <v>3</v>
      </c>
      <c r="AE663">
        <v>77</v>
      </c>
      <c r="AF663">
        <v>9</v>
      </c>
      <c r="AH663" t="s">
        <v>2821</v>
      </c>
      <c r="AI663" t="s">
        <v>2820</v>
      </c>
      <c r="AK663" t="s">
        <v>2819</v>
      </c>
      <c r="AL663">
        <v>44</v>
      </c>
      <c r="AM663" s="5">
        <f t="shared" si="83"/>
        <v>2</v>
      </c>
      <c r="AN663" s="4">
        <f t="shared" si="84"/>
        <v>3.0291556228701248E-3</v>
      </c>
      <c r="AO663" s="3"/>
      <c r="AP663">
        <v>0</v>
      </c>
      <c r="AR663" t="s">
        <v>1</v>
      </c>
      <c r="AT663" s="2">
        <v>3.7909999999999999</v>
      </c>
      <c r="AU663" s="1">
        <f t="shared" si="85"/>
        <v>2.2995717136128273</v>
      </c>
      <c r="AV663" s="1">
        <f t="shared" si="86"/>
        <v>1.7290985275197372</v>
      </c>
      <c r="AW663" s="1">
        <f t="shared" si="87"/>
        <v>1.1586253414266474</v>
      </c>
    </row>
    <row r="664" spans="1:49" x14ac:dyDescent="0.2">
      <c r="A664">
        <v>662</v>
      </c>
      <c r="B664" t="s">
        <v>2818</v>
      </c>
      <c r="C664" t="s">
        <v>2817</v>
      </c>
      <c r="D664" t="s">
        <v>2816</v>
      </c>
      <c r="E664">
        <v>10958200</v>
      </c>
      <c r="F664" t="s">
        <v>2815</v>
      </c>
      <c r="G664" t="s">
        <v>9</v>
      </c>
      <c r="H664" t="s">
        <v>8</v>
      </c>
      <c r="I664" t="s">
        <v>2814</v>
      </c>
      <c r="J664">
        <v>60007151</v>
      </c>
      <c r="K664" t="s">
        <v>2813</v>
      </c>
      <c r="L664" t="s">
        <v>2812</v>
      </c>
      <c r="M664" t="s">
        <v>87</v>
      </c>
      <c r="N664">
        <v>1</v>
      </c>
      <c r="O664" t="s">
        <v>2811</v>
      </c>
      <c r="P664">
        <v>7101721682</v>
      </c>
      <c r="Q664">
        <v>60007151</v>
      </c>
      <c r="R664" s="7">
        <v>36764</v>
      </c>
      <c r="S664" s="8">
        <f t="shared" si="80"/>
        <v>2000</v>
      </c>
      <c r="T664" s="8">
        <v>2000</v>
      </c>
      <c r="U664" s="8">
        <f t="shared" si="81"/>
        <v>22</v>
      </c>
      <c r="V664" s="7">
        <v>2000</v>
      </c>
      <c r="W664" t="s">
        <v>2810</v>
      </c>
      <c r="X664" s="2">
        <v>1.3120000000000001</v>
      </c>
      <c r="Y664" s="6">
        <f t="shared" si="82"/>
        <v>3.502309068097488E-2</v>
      </c>
      <c r="AA664">
        <v>319155</v>
      </c>
      <c r="AB664">
        <v>29203</v>
      </c>
      <c r="AD664" t="s">
        <v>3</v>
      </c>
      <c r="AE664">
        <v>45</v>
      </c>
      <c r="AF664">
        <v>8</v>
      </c>
      <c r="AH664" t="s">
        <v>2809</v>
      </c>
      <c r="AI664" t="s">
        <v>2808</v>
      </c>
      <c r="AK664" t="s">
        <v>2807</v>
      </c>
      <c r="AL664">
        <v>96</v>
      </c>
      <c r="AM664" s="5">
        <f t="shared" si="83"/>
        <v>4.3636363636363633</v>
      </c>
      <c r="AN664" s="4">
        <f t="shared" si="84"/>
        <v>6.6090668135348179E-3</v>
      </c>
      <c r="AO664" s="3"/>
      <c r="AP664">
        <v>0</v>
      </c>
      <c r="AR664" t="s">
        <v>1</v>
      </c>
      <c r="AT664" s="2">
        <v>3.609</v>
      </c>
      <c r="AU664" s="1">
        <f t="shared" si="85"/>
        <v>2.6498883520742864</v>
      </c>
      <c r="AV664" s="1">
        <f t="shared" si="86"/>
        <v>2.0816078747254849</v>
      </c>
      <c r="AW664" s="1">
        <f t="shared" si="87"/>
        <v>1.5133273973766836</v>
      </c>
    </row>
    <row r="665" spans="1:49" x14ac:dyDescent="0.2">
      <c r="A665">
        <v>663</v>
      </c>
      <c r="B665" t="s">
        <v>2806</v>
      </c>
      <c r="C665" t="s">
        <v>2805</v>
      </c>
      <c r="E665">
        <v>10903509</v>
      </c>
      <c r="F665" t="s">
        <v>2804</v>
      </c>
      <c r="G665" t="s">
        <v>9</v>
      </c>
      <c r="H665" t="s">
        <v>8</v>
      </c>
      <c r="I665" t="s">
        <v>2803</v>
      </c>
      <c r="J665" t="s">
        <v>2802</v>
      </c>
      <c r="K665" t="s">
        <v>2801</v>
      </c>
      <c r="L665" t="s">
        <v>2800</v>
      </c>
      <c r="M665" t="s">
        <v>2799</v>
      </c>
      <c r="N665">
        <v>10</v>
      </c>
      <c r="O665" t="s">
        <v>2798</v>
      </c>
      <c r="P665" t="s">
        <v>2797</v>
      </c>
      <c r="Q665" t="s">
        <v>2796</v>
      </c>
      <c r="R665" s="7">
        <v>36762</v>
      </c>
      <c r="S665" s="8">
        <f t="shared" si="80"/>
        <v>2000</v>
      </c>
      <c r="T665" s="8">
        <v>2000</v>
      </c>
      <c r="U665" s="8">
        <f t="shared" si="81"/>
        <v>22</v>
      </c>
      <c r="V665" s="7">
        <v>2000</v>
      </c>
      <c r="W665" t="s">
        <v>442</v>
      </c>
      <c r="X665" s="2">
        <v>1.9810000000000001</v>
      </c>
      <c r="Y665" s="6">
        <f t="shared" si="82"/>
        <v>5.2881663596807349E-2</v>
      </c>
      <c r="AA665">
        <v>142956</v>
      </c>
      <c r="AB665">
        <v>39034</v>
      </c>
      <c r="AD665" t="s">
        <v>3</v>
      </c>
      <c r="AE665">
        <v>267</v>
      </c>
      <c r="AF665">
        <v>15</v>
      </c>
      <c r="AH665" t="s">
        <v>2795</v>
      </c>
      <c r="AI665" t="s">
        <v>2794</v>
      </c>
      <c r="AJ665" t="s">
        <v>2793</v>
      </c>
      <c r="AK665" t="s">
        <v>2792</v>
      </c>
      <c r="AL665">
        <v>50</v>
      </c>
      <c r="AM665" s="5">
        <f t="shared" si="83"/>
        <v>2.2727272727272729</v>
      </c>
      <c r="AN665" s="4">
        <f t="shared" si="84"/>
        <v>3.4422222987160515E-3</v>
      </c>
      <c r="AO665" s="3"/>
      <c r="AP665">
        <v>1</v>
      </c>
      <c r="AR665" t="s">
        <v>1</v>
      </c>
      <c r="AT665" s="2" t="s">
        <v>0</v>
      </c>
      <c r="AU665" s="1">
        <f t="shared" si="85"/>
        <v>3.804983120737996</v>
      </c>
      <c r="AV665" s="1">
        <f t="shared" si="86"/>
        <v>2.81619429477617</v>
      </c>
      <c r="AW665" s="1">
        <f t="shared" si="87"/>
        <v>1.827405468814344</v>
      </c>
    </row>
    <row r="666" spans="1:49" x14ac:dyDescent="0.2">
      <c r="A666">
        <v>664</v>
      </c>
      <c r="B666" t="s">
        <v>2791</v>
      </c>
      <c r="C666" t="s">
        <v>2790</v>
      </c>
      <c r="F666" t="s">
        <v>2789</v>
      </c>
      <c r="G666" t="s">
        <v>9</v>
      </c>
      <c r="H666" t="s">
        <v>8</v>
      </c>
      <c r="I666" t="s">
        <v>2788</v>
      </c>
      <c r="J666" t="s">
        <v>2787</v>
      </c>
      <c r="K666" t="s">
        <v>2786</v>
      </c>
      <c r="L666" t="s">
        <v>2785</v>
      </c>
      <c r="M666" t="s">
        <v>2784</v>
      </c>
      <c r="N666">
        <v>5</v>
      </c>
      <c r="O666" t="s">
        <v>2783</v>
      </c>
      <c r="P666" t="s">
        <v>2782</v>
      </c>
      <c r="Q666" t="s">
        <v>2781</v>
      </c>
      <c r="R666" s="7">
        <v>36761</v>
      </c>
      <c r="S666" s="8">
        <f t="shared" si="80"/>
        <v>2000</v>
      </c>
      <c r="T666" s="8">
        <v>2000</v>
      </c>
      <c r="U666" s="8">
        <f t="shared" si="81"/>
        <v>22</v>
      </c>
      <c r="V666" s="7">
        <v>36761</v>
      </c>
      <c r="W666" t="s">
        <v>616</v>
      </c>
      <c r="X666" s="2">
        <v>0.192</v>
      </c>
      <c r="Y666" s="6">
        <f t="shared" si="82"/>
        <v>5.1253303435572998E-3</v>
      </c>
      <c r="AA666" t="s">
        <v>589</v>
      </c>
      <c r="AB666">
        <v>40067</v>
      </c>
      <c r="AD666" t="s">
        <v>3</v>
      </c>
      <c r="AE666">
        <v>4182</v>
      </c>
      <c r="AF666">
        <v>1</v>
      </c>
      <c r="AH666" t="s">
        <v>2780</v>
      </c>
      <c r="AI666" t="s">
        <v>2779</v>
      </c>
      <c r="AJ666" t="s">
        <v>2778</v>
      </c>
      <c r="AK666" t="s">
        <v>2777</v>
      </c>
      <c r="AL666">
        <v>1</v>
      </c>
      <c r="AM666" s="5">
        <f t="shared" si="83"/>
        <v>4.5454545454545456E-2</v>
      </c>
      <c r="AN666" s="4">
        <f t="shared" si="84"/>
        <v>6.8844445974321024E-5</v>
      </c>
      <c r="AO666" s="3"/>
      <c r="AP666">
        <v>0</v>
      </c>
      <c r="AR666" t="s">
        <v>1</v>
      </c>
      <c r="AT666" s="2" t="s">
        <v>0</v>
      </c>
      <c r="AU666" s="1">
        <f t="shared" si="85"/>
        <v>0.36083845742824056</v>
      </c>
      <c r="AV666" s="1">
        <f t="shared" si="86"/>
        <v>0.25970873947658102</v>
      </c>
      <c r="AW666" s="1">
        <f t="shared" si="87"/>
        <v>0.15857902152492145</v>
      </c>
    </row>
    <row r="667" spans="1:49" x14ac:dyDescent="0.2">
      <c r="A667">
        <v>665</v>
      </c>
      <c r="B667" t="s">
        <v>2776</v>
      </c>
      <c r="C667" t="s">
        <v>2775</v>
      </c>
      <c r="F667" t="s">
        <v>2774</v>
      </c>
      <c r="G667" t="s">
        <v>9</v>
      </c>
      <c r="H667" t="s">
        <v>8</v>
      </c>
      <c r="I667" t="s">
        <v>2773</v>
      </c>
      <c r="J667" t="s">
        <v>2760</v>
      </c>
      <c r="K667" t="s">
        <v>2759</v>
      </c>
      <c r="L667" t="s">
        <v>2758</v>
      </c>
      <c r="M667" t="s">
        <v>2757</v>
      </c>
      <c r="N667">
        <v>20</v>
      </c>
      <c r="O667" t="s">
        <v>2772</v>
      </c>
      <c r="P667" t="s">
        <v>2771</v>
      </c>
      <c r="Q667" t="s">
        <v>2770</v>
      </c>
      <c r="R667" s="7">
        <v>36758</v>
      </c>
      <c r="S667" s="8">
        <f t="shared" si="80"/>
        <v>2000</v>
      </c>
      <c r="T667" s="8">
        <v>2000</v>
      </c>
      <c r="U667" s="8">
        <f t="shared" si="81"/>
        <v>22</v>
      </c>
      <c r="V667" s="7">
        <v>36758</v>
      </c>
      <c r="W667" t="s">
        <v>555</v>
      </c>
      <c r="X667" s="2">
        <v>2.3759999999999999</v>
      </c>
      <c r="Y667" s="6">
        <f t="shared" si="82"/>
        <v>6.3425963001521576E-2</v>
      </c>
      <c r="AA667" t="s">
        <v>554</v>
      </c>
      <c r="AB667">
        <v>26765</v>
      </c>
      <c r="AC667">
        <v>15384357</v>
      </c>
      <c r="AD667" t="s">
        <v>3</v>
      </c>
      <c r="AE667">
        <v>539</v>
      </c>
      <c r="AF667" t="s">
        <v>2753</v>
      </c>
      <c r="AI667" t="s">
        <v>2769</v>
      </c>
      <c r="AJ667" t="s">
        <v>2768</v>
      </c>
      <c r="AK667" t="s">
        <v>2767</v>
      </c>
      <c r="AL667">
        <v>38</v>
      </c>
      <c r="AM667" s="5">
        <f t="shared" si="83"/>
        <v>1.7272727272727273</v>
      </c>
      <c r="AN667" s="4">
        <f t="shared" si="84"/>
        <v>2.616088947024199E-3</v>
      </c>
      <c r="AO667" s="3"/>
      <c r="AP667">
        <v>0</v>
      </c>
      <c r="AQ667" t="s">
        <v>2766</v>
      </c>
      <c r="AR667" t="s">
        <v>2749</v>
      </c>
      <c r="AS667" t="s">
        <v>2765</v>
      </c>
      <c r="AT667" s="2">
        <v>5.8739999999999997</v>
      </c>
      <c r="AU667" s="1">
        <f t="shared" si="85"/>
        <v>4.5183000785172363</v>
      </c>
      <c r="AV667" s="1">
        <f t="shared" si="86"/>
        <v>3.3021025974272886</v>
      </c>
      <c r="AW667" s="1">
        <f t="shared" si="87"/>
        <v>2.085905116337341</v>
      </c>
    </row>
    <row r="668" spans="1:49" x14ac:dyDescent="0.2">
      <c r="A668">
        <v>666</v>
      </c>
      <c r="B668" t="s">
        <v>2764</v>
      </c>
      <c r="C668" t="s">
        <v>2763</v>
      </c>
      <c r="F668" t="s">
        <v>2762</v>
      </c>
      <c r="G668" t="s">
        <v>9</v>
      </c>
      <c r="H668" t="s">
        <v>8</v>
      </c>
      <c r="I668" t="s">
        <v>2761</v>
      </c>
      <c r="J668" t="s">
        <v>2760</v>
      </c>
      <c r="K668" t="s">
        <v>2759</v>
      </c>
      <c r="L668" t="s">
        <v>2758</v>
      </c>
      <c r="M668" t="s">
        <v>2757</v>
      </c>
      <c r="N668">
        <v>20</v>
      </c>
      <c r="O668" t="s">
        <v>2756</v>
      </c>
      <c r="P668" t="s">
        <v>2755</v>
      </c>
      <c r="Q668" t="s">
        <v>2754</v>
      </c>
      <c r="R668" s="7">
        <v>36758</v>
      </c>
      <c r="S668" s="8">
        <f t="shared" si="80"/>
        <v>2000</v>
      </c>
      <c r="T668" s="8">
        <v>2000</v>
      </c>
      <c r="U668" s="8">
        <f t="shared" si="81"/>
        <v>22</v>
      </c>
      <c r="V668" s="7">
        <v>36758</v>
      </c>
      <c r="W668" t="s">
        <v>555</v>
      </c>
      <c r="X668" s="2">
        <v>2.3759999999999999</v>
      </c>
      <c r="Y668" s="6">
        <f t="shared" si="82"/>
        <v>6.3425963001521576E-2</v>
      </c>
      <c r="AA668" t="s">
        <v>554</v>
      </c>
      <c r="AB668">
        <v>26765</v>
      </c>
      <c r="AC668">
        <v>15384357</v>
      </c>
      <c r="AD668" t="s">
        <v>3</v>
      </c>
      <c r="AE668">
        <v>539</v>
      </c>
      <c r="AF668" t="s">
        <v>2753</v>
      </c>
      <c r="AI668" t="s">
        <v>2752</v>
      </c>
      <c r="AJ668" t="s">
        <v>2751</v>
      </c>
      <c r="AK668" t="s">
        <v>2750</v>
      </c>
      <c r="AL668">
        <v>145</v>
      </c>
      <c r="AM668" s="5">
        <f t="shared" si="83"/>
        <v>6.5909090909090908</v>
      </c>
      <c r="AN668" s="4">
        <f t="shared" si="84"/>
        <v>9.9824446662765479E-3</v>
      </c>
      <c r="AO668" s="3"/>
      <c r="AP668">
        <v>0</v>
      </c>
      <c r="AR668" t="s">
        <v>2749</v>
      </c>
      <c r="AS668" t="s">
        <v>310</v>
      </c>
      <c r="AT668" s="2">
        <v>5.8739999999999997</v>
      </c>
      <c r="AU668" s="1">
        <f t="shared" si="85"/>
        <v>4.7392907500948063</v>
      </c>
      <c r="AV668" s="1">
        <f t="shared" si="86"/>
        <v>3.6704203833899065</v>
      </c>
      <c r="AW668" s="1">
        <f t="shared" si="87"/>
        <v>2.6015500166850059</v>
      </c>
    </row>
    <row r="669" spans="1:49" x14ac:dyDescent="0.2">
      <c r="A669">
        <v>667</v>
      </c>
      <c r="B669" t="s">
        <v>2748</v>
      </c>
      <c r="C669" t="s">
        <v>2747</v>
      </c>
      <c r="F669" t="s">
        <v>2746</v>
      </c>
      <c r="G669" t="s">
        <v>9</v>
      </c>
      <c r="H669" t="s">
        <v>8</v>
      </c>
      <c r="I669" t="s">
        <v>320</v>
      </c>
      <c r="J669">
        <v>60000874</v>
      </c>
      <c r="K669" t="s">
        <v>319</v>
      </c>
      <c r="L669" t="s">
        <v>318</v>
      </c>
      <c r="M669" t="s">
        <v>317</v>
      </c>
      <c r="N669">
        <v>3</v>
      </c>
      <c r="O669" t="s">
        <v>2745</v>
      </c>
      <c r="P669" t="s">
        <v>2744</v>
      </c>
      <c r="Q669" t="s">
        <v>2743</v>
      </c>
      <c r="R669" s="7">
        <v>36755</v>
      </c>
      <c r="S669" s="8">
        <f t="shared" si="80"/>
        <v>2000</v>
      </c>
      <c r="T669" s="8">
        <v>2000</v>
      </c>
      <c r="U669" s="8">
        <f t="shared" si="81"/>
        <v>22</v>
      </c>
      <c r="V669" s="7">
        <v>36755</v>
      </c>
      <c r="W669" t="s">
        <v>718</v>
      </c>
      <c r="X669" s="2">
        <v>0.375</v>
      </c>
      <c r="Y669" s="6">
        <f t="shared" si="82"/>
        <v>1.0010410827260351E-2</v>
      </c>
      <c r="AA669">
        <v>135194</v>
      </c>
      <c r="AB669">
        <v>24918</v>
      </c>
      <c r="AD669" t="s">
        <v>3</v>
      </c>
      <c r="AE669">
        <v>36</v>
      </c>
      <c r="AF669">
        <v>17</v>
      </c>
      <c r="AH669" t="s">
        <v>2742</v>
      </c>
      <c r="AI669" t="s">
        <v>2741</v>
      </c>
      <c r="AK669" t="s">
        <v>2740</v>
      </c>
      <c r="AL669">
        <v>12</v>
      </c>
      <c r="AM669" s="5">
        <f t="shared" si="83"/>
        <v>0.54545454545454541</v>
      </c>
      <c r="AN669" s="4">
        <f t="shared" si="84"/>
        <v>8.2613335169185224E-4</v>
      </c>
      <c r="AO669" s="3"/>
      <c r="AP669">
        <v>0</v>
      </c>
      <c r="AR669" t="s">
        <v>1</v>
      </c>
      <c r="AT669" s="2">
        <v>1.3140000000000001</v>
      </c>
      <c r="AU669" s="1">
        <f t="shared" si="85"/>
        <v>0.72551275845898011</v>
      </c>
      <c r="AV669" s="1">
        <f t="shared" si="86"/>
        <v>0.54182720894761016</v>
      </c>
      <c r="AW669" s="1">
        <f t="shared" si="87"/>
        <v>0.35814165943624016</v>
      </c>
    </row>
    <row r="670" spans="1:49" x14ac:dyDescent="0.2">
      <c r="A670">
        <v>668</v>
      </c>
      <c r="B670" t="s">
        <v>2739</v>
      </c>
      <c r="C670" t="s">
        <v>2738</v>
      </c>
      <c r="F670" t="s">
        <v>2737</v>
      </c>
      <c r="G670" t="s">
        <v>9</v>
      </c>
      <c r="H670" t="s">
        <v>8</v>
      </c>
      <c r="I670" t="s">
        <v>2736</v>
      </c>
      <c r="J670" t="s">
        <v>2735</v>
      </c>
      <c r="K670" t="s">
        <v>2734</v>
      </c>
      <c r="L670" t="s">
        <v>2733</v>
      </c>
      <c r="M670" t="s">
        <v>2732</v>
      </c>
      <c r="N670">
        <v>4</v>
      </c>
      <c r="O670" t="s">
        <v>2731</v>
      </c>
      <c r="P670" t="s">
        <v>2730</v>
      </c>
      <c r="Q670" t="s">
        <v>2729</v>
      </c>
      <c r="R670" s="7">
        <v>36753</v>
      </c>
      <c r="S670" s="8">
        <f t="shared" si="80"/>
        <v>2000</v>
      </c>
      <c r="T670" s="8">
        <v>2000</v>
      </c>
      <c r="U670" s="8">
        <f t="shared" si="81"/>
        <v>22</v>
      </c>
      <c r="V670" s="7">
        <v>36753</v>
      </c>
      <c r="W670" t="s">
        <v>2707</v>
      </c>
      <c r="X670" s="2">
        <v>1.887</v>
      </c>
      <c r="Y670" s="6">
        <f t="shared" si="82"/>
        <v>5.0372387282774087E-2</v>
      </c>
      <c r="AA670">
        <v>5562821</v>
      </c>
      <c r="AB670">
        <v>29459</v>
      </c>
      <c r="AD670" t="s">
        <v>3</v>
      </c>
      <c r="AE670">
        <v>62</v>
      </c>
      <c r="AF670">
        <v>4</v>
      </c>
      <c r="AG670">
        <v>44019</v>
      </c>
      <c r="AH670" s="10">
        <v>44378</v>
      </c>
      <c r="AI670" t="s">
        <v>2728</v>
      </c>
      <c r="AK670" t="s">
        <v>2727</v>
      </c>
      <c r="AL670">
        <v>6</v>
      </c>
      <c r="AM670" s="5">
        <f t="shared" si="83"/>
        <v>0.27272727272727271</v>
      </c>
      <c r="AN670" s="4">
        <f t="shared" si="84"/>
        <v>4.1306667584592612E-4</v>
      </c>
      <c r="AO670" s="3"/>
      <c r="AP670">
        <v>0</v>
      </c>
      <c r="AR670" t="s">
        <v>1</v>
      </c>
      <c r="AT670" s="2" t="s">
        <v>0</v>
      </c>
      <c r="AU670" s="1">
        <f t="shared" si="85"/>
        <v>3.5384591100695633</v>
      </c>
      <c r="AV670" s="1">
        <f t="shared" si="86"/>
        <v>2.5392726979310005</v>
      </c>
      <c r="AW670" s="1">
        <f t="shared" si="87"/>
        <v>1.5400862857924373</v>
      </c>
    </row>
    <row r="671" spans="1:49" x14ac:dyDescent="0.2">
      <c r="A671">
        <v>669</v>
      </c>
      <c r="B671" t="s">
        <v>2726</v>
      </c>
      <c r="C671" t="s">
        <v>2725</v>
      </c>
      <c r="F671" t="s">
        <v>2724</v>
      </c>
      <c r="G671" t="s">
        <v>9</v>
      </c>
      <c r="H671" t="s">
        <v>8</v>
      </c>
      <c r="I671" t="s">
        <v>2723</v>
      </c>
      <c r="J671" t="s">
        <v>2722</v>
      </c>
      <c r="K671" t="s">
        <v>2721</v>
      </c>
      <c r="L671" t="s">
        <v>2720</v>
      </c>
      <c r="M671" t="s">
        <v>484</v>
      </c>
      <c r="N671">
        <v>4</v>
      </c>
      <c r="O671" t="s">
        <v>2719</v>
      </c>
      <c r="P671" t="s">
        <v>2718</v>
      </c>
      <c r="Q671" t="s">
        <v>2717</v>
      </c>
      <c r="R671" s="7">
        <v>36753</v>
      </c>
      <c r="S671" s="8">
        <f t="shared" si="80"/>
        <v>2000</v>
      </c>
      <c r="T671" s="8">
        <v>2000</v>
      </c>
      <c r="U671" s="8">
        <f t="shared" si="81"/>
        <v>22</v>
      </c>
      <c r="V671" s="7">
        <v>36753</v>
      </c>
      <c r="W671" t="s">
        <v>64</v>
      </c>
      <c r="X671" s="2">
        <v>2.0070000000000001</v>
      </c>
      <c r="Y671" s="6">
        <f t="shared" si="82"/>
        <v>5.3575718747497406E-2</v>
      </c>
      <c r="AA671">
        <v>948276</v>
      </c>
      <c r="AB671">
        <v>27962</v>
      </c>
      <c r="AD671" t="s">
        <v>3</v>
      </c>
      <c r="AE671">
        <v>27</v>
      </c>
      <c r="AF671">
        <v>16</v>
      </c>
      <c r="AH671" t="s">
        <v>2716</v>
      </c>
      <c r="AI671" t="s">
        <v>2715</v>
      </c>
      <c r="AK671" t="s">
        <v>2714</v>
      </c>
      <c r="AL671">
        <v>4</v>
      </c>
      <c r="AM671" s="5">
        <f t="shared" si="83"/>
        <v>0.18181818181818182</v>
      </c>
      <c r="AN671" s="4">
        <f t="shared" si="84"/>
        <v>2.753777838972841E-4</v>
      </c>
      <c r="AO671" s="3"/>
      <c r="AP671">
        <v>0</v>
      </c>
      <c r="AR671" t="s">
        <v>1</v>
      </c>
      <c r="AT671" s="2">
        <v>4.72</v>
      </c>
      <c r="AU671" s="1">
        <f t="shared" si="85"/>
        <v>3.7585616458417368</v>
      </c>
      <c r="AV671" s="1">
        <f t="shared" si="86"/>
        <v>2.6925548265697343</v>
      </c>
      <c r="AW671" s="1">
        <f t="shared" si="87"/>
        <v>1.6265480072977319</v>
      </c>
    </row>
    <row r="672" spans="1:49" x14ac:dyDescent="0.2">
      <c r="A672">
        <v>670</v>
      </c>
      <c r="B672" t="s">
        <v>2713</v>
      </c>
      <c r="C672" t="s">
        <v>2712</v>
      </c>
      <c r="F672" t="s">
        <v>2711</v>
      </c>
      <c r="G672" t="s">
        <v>9</v>
      </c>
      <c r="H672" t="s">
        <v>8</v>
      </c>
      <c r="I672" t="s">
        <v>2710</v>
      </c>
      <c r="J672">
        <v>60009037</v>
      </c>
      <c r="K672" t="s">
        <v>313</v>
      </c>
      <c r="L672" t="s">
        <v>312</v>
      </c>
      <c r="M672" t="s">
        <v>5</v>
      </c>
      <c r="N672">
        <v>3</v>
      </c>
      <c r="O672" t="s">
        <v>2709</v>
      </c>
      <c r="P672" t="s">
        <v>2708</v>
      </c>
      <c r="Q672" t="s">
        <v>560</v>
      </c>
      <c r="R672" s="7">
        <v>36753</v>
      </c>
      <c r="S672" s="8">
        <f t="shared" si="80"/>
        <v>2000</v>
      </c>
      <c r="T672" s="8">
        <v>2000</v>
      </c>
      <c r="U672" s="8">
        <f t="shared" si="81"/>
        <v>22</v>
      </c>
      <c r="V672" s="7">
        <v>36753</v>
      </c>
      <c r="W672" t="s">
        <v>2707</v>
      </c>
      <c r="X672" s="2">
        <v>1.887</v>
      </c>
      <c r="Y672" s="6">
        <f t="shared" si="82"/>
        <v>5.0372387282774087E-2</v>
      </c>
      <c r="AA672">
        <v>5562821</v>
      </c>
      <c r="AB672">
        <v>29459</v>
      </c>
      <c r="AD672" t="s">
        <v>3</v>
      </c>
      <c r="AE672">
        <v>62</v>
      </c>
      <c r="AF672">
        <v>4</v>
      </c>
      <c r="AG672">
        <v>42002</v>
      </c>
      <c r="AH672" s="10">
        <v>44409</v>
      </c>
      <c r="AI672" t="s">
        <v>2706</v>
      </c>
      <c r="AK672" t="s">
        <v>2705</v>
      </c>
      <c r="AL672">
        <v>100</v>
      </c>
      <c r="AM672" s="5">
        <f t="shared" si="83"/>
        <v>4.5454545454545459</v>
      </c>
      <c r="AN672" s="4">
        <f t="shared" si="84"/>
        <v>6.8844445974321029E-3</v>
      </c>
      <c r="AO672" s="3"/>
      <c r="AP672">
        <v>0</v>
      </c>
      <c r="AR672" t="s">
        <v>1</v>
      </c>
      <c r="AT672" s="2" t="s">
        <v>0</v>
      </c>
      <c r="AU672" s="1">
        <f t="shared" si="85"/>
        <v>3.7326004477171484</v>
      </c>
      <c r="AV672" s="1">
        <f t="shared" si="86"/>
        <v>2.8628415940103094</v>
      </c>
      <c r="AW672" s="1">
        <f t="shared" si="87"/>
        <v>1.9930827403034697</v>
      </c>
    </row>
    <row r="673" spans="1:49" x14ac:dyDescent="0.2">
      <c r="A673">
        <v>671</v>
      </c>
      <c r="B673" t="s">
        <v>2704</v>
      </c>
      <c r="C673" t="s">
        <v>2703</v>
      </c>
      <c r="E673">
        <v>10818090</v>
      </c>
      <c r="F673" t="s">
        <v>2702</v>
      </c>
      <c r="G673" t="s">
        <v>9</v>
      </c>
      <c r="H673" t="s">
        <v>8</v>
      </c>
      <c r="I673" t="s">
        <v>2701</v>
      </c>
      <c r="J673">
        <v>60007971</v>
      </c>
      <c r="K673" t="s">
        <v>2700</v>
      </c>
      <c r="L673" t="s">
        <v>2699</v>
      </c>
      <c r="M673" t="s">
        <v>615</v>
      </c>
      <c r="N673">
        <v>4</v>
      </c>
      <c r="O673" t="s">
        <v>2698</v>
      </c>
      <c r="P673" t="s">
        <v>2697</v>
      </c>
      <c r="Q673" t="s">
        <v>2696</v>
      </c>
      <c r="R673" s="7">
        <v>36749</v>
      </c>
      <c r="S673" s="8">
        <f t="shared" si="80"/>
        <v>2000</v>
      </c>
      <c r="T673" s="8">
        <v>2000</v>
      </c>
      <c r="U673" s="8">
        <f t="shared" si="81"/>
        <v>22</v>
      </c>
      <c r="V673" s="7">
        <v>36749</v>
      </c>
      <c r="W673" t="s">
        <v>773</v>
      </c>
      <c r="X673" s="2">
        <v>2.3610000000000002</v>
      </c>
      <c r="Y673" s="6">
        <f t="shared" si="82"/>
        <v>6.3025546568431179E-2</v>
      </c>
      <c r="AA673">
        <v>219258</v>
      </c>
      <c r="AB673">
        <v>17592</v>
      </c>
      <c r="AD673" t="s">
        <v>3</v>
      </c>
      <c r="AE673">
        <v>275</v>
      </c>
      <c r="AF673">
        <v>32</v>
      </c>
      <c r="AH673" t="s">
        <v>2695</v>
      </c>
      <c r="AI673" t="s">
        <v>2694</v>
      </c>
      <c r="AK673" t="s">
        <v>2693</v>
      </c>
      <c r="AL673">
        <v>116</v>
      </c>
      <c r="AM673" s="5">
        <f t="shared" si="83"/>
        <v>5.2727272727272725</v>
      </c>
      <c r="AN673" s="4">
        <f t="shared" si="84"/>
        <v>7.9859557330212386E-3</v>
      </c>
      <c r="AO673" s="3"/>
      <c r="AP673">
        <v>1</v>
      </c>
      <c r="AR673" t="s">
        <v>1</v>
      </c>
      <c r="AT673" s="2">
        <v>5.157</v>
      </c>
      <c r="AU673" s="1">
        <f t="shared" si="85"/>
        <v>4.6513669317808199</v>
      </c>
      <c r="AV673" s="1">
        <f t="shared" si="86"/>
        <v>3.550575115072621</v>
      </c>
      <c r="AW673" s="1">
        <f t="shared" si="87"/>
        <v>2.4497832983644221</v>
      </c>
    </row>
    <row r="674" spans="1:49" x14ac:dyDescent="0.2">
      <c r="A674">
        <v>672</v>
      </c>
      <c r="B674" t="s">
        <v>2692</v>
      </c>
      <c r="C674" t="s">
        <v>2691</v>
      </c>
      <c r="F674" t="s">
        <v>2690</v>
      </c>
      <c r="G674" t="s">
        <v>9</v>
      </c>
      <c r="H674" t="s">
        <v>8</v>
      </c>
      <c r="I674" t="s">
        <v>2689</v>
      </c>
      <c r="J674">
        <v>60022144</v>
      </c>
      <c r="K674" t="s">
        <v>525</v>
      </c>
      <c r="L674" t="s">
        <v>524</v>
      </c>
      <c r="M674" t="s">
        <v>5</v>
      </c>
      <c r="N674">
        <v>2</v>
      </c>
      <c r="O674" t="s">
        <v>2688</v>
      </c>
      <c r="P674" t="s">
        <v>2687</v>
      </c>
      <c r="Q674" t="s">
        <v>770</v>
      </c>
      <c r="R674" s="7">
        <v>36748</v>
      </c>
      <c r="S674" s="8">
        <f t="shared" si="80"/>
        <v>2000</v>
      </c>
      <c r="T674" s="8">
        <v>2000</v>
      </c>
      <c r="U674" s="8">
        <f t="shared" si="81"/>
        <v>22</v>
      </c>
      <c r="V674" s="7">
        <v>36748</v>
      </c>
      <c r="W674" t="s">
        <v>722</v>
      </c>
      <c r="X674" s="2">
        <v>0.66800000000000004</v>
      </c>
      <c r="Y674" s="6">
        <f t="shared" si="82"/>
        <v>1.7831878486959774E-2</v>
      </c>
      <c r="AA674" t="s">
        <v>721</v>
      </c>
      <c r="AB674">
        <v>29593</v>
      </c>
      <c r="AC674">
        <v>21553165</v>
      </c>
      <c r="AD674" t="s">
        <v>3</v>
      </c>
      <c r="AE674">
        <v>39</v>
      </c>
      <c r="AF674">
        <v>23</v>
      </c>
      <c r="AH674" t="s">
        <v>2686</v>
      </c>
      <c r="AI674" t="s">
        <v>2685</v>
      </c>
      <c r="AK674" t="s">
        <v>2684</v>
      </c>
      <c r="AL674">
        <v>40</v>
      </c>
      <c r="AM674" s="5">
        <f t="shared" si="83"/>
        <v>1.8181818181818181</v>
      </c>
      <c r="AN674" s="4">
        <f t="shared" si="84"/>
        <v>2.7537778389728406E-3</v>
      </c>
      <c r="AO674" s="3"/>
      <c r="AP674">
        <v>0</v>
      </c>
      <c r="AR674" t="s">
        <v>1</v>
      </c>
      <c r="AT674" s="2">
        <v>1.98</v>
      </c>
      <c r="AU674" s="1">
        <f t="shared" si="85"/>
        <v>1.3308448292563693</v>
      </c>
      <c r="AV674" s="1">
        <f t="shared" si="86"/>
        <v>1.0292828162966308</v>
      </c>
      <c r="AW674" s="1">
        <f t="shared" si="87"/>
        <v>0.72772080333689204</v>
      </c>
    </row>
    <row r="675" spans="1:49" x14ac:dyDescent="0.2">
      <c r="A675">
        <v>673</v>
      </c>
      <c r="B675" t="s">
        <v>2683</v>
      </c>
      <c r="C675" t="s">
        <v>2682</v>
      </c>
      <c r="D675" t="s">
        <v>2681</v>
      </c>
      <c r="F675" t="s">
        <v>2680</v>
      </c>
      <c r="G675" t="s">
        <v>9</v>
      </c>
      <c r="H675" t="s">
        <v>8</v>
      </c>
      <c r="I675" t="s">
        <v>2679</v>
      </c>
      <c r="J675">
        <v>60031482</v>
      </c>
      <c r="K675" t="s">
        <v>2678</v>
      </c>
      <c r="L675" t="s">
        <v>2677</v>
      </c>
      <c r="M675" t="s">
        <v>246</v>
      </c>
      <c r="N675">
        <v>6</v>
      </c>
      <c r="O675" t="s">
        <v>2676</v>
      </c>
      <c r="P675" t="s">
        <v>2675</v>
      </c>
      <c r="Q675" t="s">
        <v>2674</v>
      </c>
      <c r="R675" s="7">
        <v>36742</v>
      </c>
      <c r="S675" s="8">
        <f t="shared" si="80"/>
        <v>2000</v>
      </c>
      <c r="T675" s="8">
        <v>2000</v>
      </c>
      <c r="U675" s="8">
        <f t="shared" si="81"/>
        <v>22</v>
      </c>
      <c r="V675" s="7">
        <v>36742</v>
      </c>
      <c r="W675" t="s">
        <v>2673</v>
      </c>
      <c r="X675" s="2" t="s">
        <v>0</v>
      </c>
      <c r="Y675" s="6" t="e">
        <f t="shared" si="82"/>
        <v>#VALUE!</v>
      </c>
      <c r="AA675">
        <v>1661280</v>
      </c>
      <c r="AB675">
        <v>24643</v>
      </c>
      <c r="AD675" t="s">
        <v>3</v>
      </c>
      <c r="AE675">
        <v>527</v>
      </c>
      <c r="AF675" s="10">
        <v>44256</v>
      </c>
      <c r="AH675" t="s">
        <v>2672</v>
      </c>
      <c r="AI675" t="s">
        <v>2671</v>
      </c>
      <c r="AJ675" t="s">
        <v>2670</v>
      </c>
      <c r="AK675" t="s">
        <v>2669</v>
      </c>
      <c r="AL675">
        <v>30</v>
      </c>
      <c r="AM675" s="5">
        <f t="shared" si="83"/>
        <v>1.3636363636363635</v>
      </c>
      <c r="AN675" s="4">
        <f t="shared" si="84"/>
        <v>2.0653333792296307E-3</v>
      </c>
      <c r="AO675" s="3"/>
      <c r="AP675">
        <v>0</v>
      </c>
      <c r="AQ675" t="s">
        <v>2668</v>
      </c>
      <c r="AR675" t="s">
        <v>1</v>
      </c>
      <c r="AS675" t="s">
        <v>2667</v>
      </c>
      <c r="AT675" s="2" t="s">
        <v>0</v>
      </c>
      <c r="AU675" s="1" t="e">
        <f t="shared" si="85"/>
        <v>#VALUE!</v>
      </c>
      <c r="AV675" s="1" t="e">
        <f t="shared" si="86"/>
        <v>#VALUE!</v>
      </c>
      <c r="AW675" s="1" t="e">
        <f t="shared" si="87"/>
        <v>#VALUE!</v>
      </c>
    </row>
    <row r="676" spans="1:49" x14ac:dyDescent="0.2">
      <c r="A676">
        <v>674</v>
      </c>
      <c r="B676" t="s">
        <v>2666</v>
      </c>
      <c r="C676" t="s">
        <v>2665</v>
      </c>
      <c r="F676" t="s">
        <v>2664</v>
      </c>
      <c r="G676" t="s">
        <v>9</v>
      </c>
      <c r="H676" t="s">
        <v>8</v>
      </c>
      <c r="I676" t="s">
        <v>2663</v>
      </c>
      <c r="J676">
        <v>60005465</v>
      </c>
      <c r="K676" t="s">
        <v>2662</v>
      </c>
      <c r="L676" t="s">
        <v>2661</v>
      </c>
      <c r="M676" t="s">
        <v>191</v>
      </c>
      <c r="N676">
        <v>1</v>
      </c>
      <c r="O676" t="s">
        <v>2660</v>
      </c>
      <c r="P676">
        <v>55276453500</v>
      </c>
      <c r="Q676">
        <v>60005465</v>
      </c>
      <c r="R676" s="7">
        <v>36741</v>
      </c>
      <c r="S676" s="8">
        <f t="shared" si="80"/>
        <v>2000</v>
      </c>
      <c r="T676" s="8">
        <v>2000</v>
      </c>
      <c r="U676" s="8">
        <f t="shared" si="81"/>
        <v>22</v>
      </c>
      <c r="V676" s="7">
        <v>36741</v>
      </c>
      <c r="W676" t="s">
        <v>718</v>
      </c>
      <c r="X676" s="2">
        <v>0.375</v>
      </c>
      <c r="Y676" s="6">
        <f t="shared" si="82"/>
        <v>1.0010410827260351E-2</v>
      </c>
      <c r="AA676">
        <v>135194</v>
      </c>
      <c r="AB676">
        <v>24918</v>
      </c>
      <c r="AD676" t="s">
        <v>3</v>
      </c>
      <c r="AE676">
        <v>36</v>
      </c>
      <c r="AF676">
        <v>16</v>
      </c>
      <c r="AH676" t="s">
        <v>2659</v>
      </c>
      <c r="AI676" t="s">
        <v>2658</v>
      </c>
      <c r="AK676" t="s">
        <v>2657</v>
      </c>
      <c r="AL676">
        <v>0</v>
      </c>
      <c r="AM676" s="5">
        <f t="shared" si="83"/>
        <v>0</v>
      </c>
      <c r="AN676" s="4">
        <f t="shared" si="84"/>
        <v>0</v>
      </c>
      <c r="AO676" s="3"/>
      <c r="AP676">
        <v>0</v>
      </c>
      <c r="AR676" t="s">
        <v>1</v>
      </c>
      <c r="AT676" s="2">
        <v>1.3140000000000001</v>
      </c>
      <c r="AU676" s="1">
        <f t="shared" si="85"/>
        <v>0.70072875790822453</v>
      </c>
      <c r="AV676" s="1">
        <f t="shared" si="86"/>
        <v>0.5005205413630176</v>
      </c>
      <c r="AW676" s="1">
        <f t="shared" si="87"/>
        <v>0.30031232481781051</v>
      </c>
    </row>
    <row r="677" spans="1:49" x14ac:dyDescent="0.2">
      <c r="A677">
        <v>675</v>
      </c>
      <c r="B677" t="s">
        <v>2656</v>
      </c>
      <c r="C677" t="s">
        <v>2655</v>
      </c>
      <c r="F677" t="s">
        <v>2654</v>
      </c>
      <c r="G677" t="s">
        <v>9</v>
      </c>
      <c r="H677" t="s">
        <v>8</v>
      </c>
      <c r="I677" t="s">
        <v>2653</v>
      </c>
      <c r="J677">
        <v>60024322</v>
      </c>
      <c r="K677" t="s">
        <v>60</v>
      </c>
      <c r="L677" t="s">
        <v>59</v>
      </c>
      <c r="M677" t="s">
        <v>43</v>
      </c>
      <c r="N677">
        <v>3</v>
      </c>
      <c r="O677" t="s">
        <v>2652</v>
      </c>
      <c r="P677" t="s">
        <v>2651</v>
      </c>
      <c r="Q677" t="s">
        <v>603</v>
      </c>
      <c r="R677" s="7">
        <v>36741</v>
      </c>
      <c r="S677" s="8">
        <f t="shared" si="80"/>
        <v>2000</v>
      </c>
      <c r="T677" s="8">
        <v>2000</v>
      </c>
      <c r="U677" s="8">
        <f t="shared" si="81"/>
        <v>22</v>
      </c>
      <c r="V677" s="7">
        <v>36741</v>
      </c>
      <c r="W677" t="s">
        <v>718</v>
      </c>
      <c r="X677" s="2">
        <v>0.375</v>
      </c>
      <c r="Y677" s="6">
        <f t="shared" si="82"/>
        <v>1.0010410827260351E-2</v>
      </c>
      <c r="AA677">
        <v>135194</v>
      </c>
      <c r="AB677">
        <v>24918</v>
      </c>
      <c r="AD677" t="s">
        <v>3</v>
      </c>
      <c r="AE677">
        <v>36</v>
      </c>
      <c r="AF677">
        <v>16</v>
      </c>
      <c r="AH677" t="s">
        <v>2650</v>
      </c>
      <c r="AI677" t="s">
        <v>2649</v>
      </c>
      <c r="AK677" t="s">
        <v>2648</v>
      </c>
      <c r="AL677">
        <v>0</v>
      </c>
      <c r="AM677" s="5">
        <f t="shared" si="83"/>
        <v>0</v>
      </c>
      <c r="AN677" s="4">
        <f t="shared" si="84"/>
        <v>0</v>
      </c>
      <c r="AO677" s="3"/>
      <c r="AP677">
        <v>0</v>
      </c>
      <c r="AR677" t="s">
        <v>1</v>
      </c>
      <c r="AT677" s="2">
        <v>1.3140000000000001</v>
      </c>
      <c r="AU677" s="1">
        <f t="shared" si="85"/>
        <v>0.70072875790822453</v>
      </c>
      <c r="AV677" s="1">
        <f t="shared" si="86"/>
        <v>0.5005205413630176</v>
      </c>
      <c r="AW677" s="1">
        <f t="shared" si="87"/>
        <v>0.30031232481781051</v>
      </c>
    </row>
    <row r="678" spans="1:49" x14ac:dyDescent="0.2">
      <c r="A678">
        <v>676</v>
      </c>
      <c r="B678" t="s">
        <v>2647</v>
      </c>
      <c r="C678" t="s">
        <v>2646</v>
      </c>
      <c r="F678" t="s">
        <v>2645</v>
      </c>
      <c r="G678" t="s">
        <v>9</v>
      </c>
      <c r="H678" t="s">
        <v>8</v>
      </c>
      <c r="I678" t="s">
        <v>2644</v>
      </c>
      <c r="J678">
        <v>60021859</v>
      </c>
      <c r="K678" t="s">
        <v>493</v>
      </c>
      <c r="L678" t="s">
        <v>492</v>
      </c>
      <c r="M678" t="s">
        <v>53</v>
      </c>
      <c r="N678">
        <v>3</v>
      </c>
      <c r="O678" t="s">
        <v>2643</v>
      </c>
      <c r="P678" t="s">
        <v>2642</v>
      </c>
      <c r="Q678" t="s">
        <v>491</v>
      </c>
      <c r="R678" s="7">
        <v>36741</v>
      </c>
      <c r="S678" s="8">
        <f t="shared" si="80"/>
        <v>2000</v>
      </c>
      <c r="T678" s="8">
        <v>2000</v>
      </c>
      <c r="U678" s="8">
        <f t="shared" si="81"/>
        <v>22</v>
      </c>
      <c r="V678" s="7">
        <v>36741</v>
      </c>
      <c r="W678" t="s">
        <v>718</v>
      </c>
      <c r="X678" s="2">
        <v>0.375</v>
      </c>
      <c r="Y678" s="6">
        <f t="shared" si="82"/>
        <v>1.0010410827260351E-2</v>
      </c>
      <c r="AA678">
        <v>135194</v>
      </c>
      <c r="AB678">
        <v>24918</v>
      </c>
      <c r="AD678" t="s">
        <v>3</v>
      </c>
      <c r="AE678">
        <v>36</v>
      </c>
      <c r="AF678">
        <v>16</v>
      </c>
      <c r="AH678" t="s">
        <v>2641</v>
      </c>
      <c r="AI678" t="s">
        <v>2640</v>
      </c>
      <c r="AK678" t="s">
        <v>2639</v>
      </c>
      <c r="AL678">
        <v>10</v>
      </c>
      <c r="AM678" s="5">
        <f t="shared" si="83"/>
        <v>0.45454545454545453</v>
      </c>
      <c r="AN678" s="4">
        <f t="shared" si="84"/>
        <v>6.8844445974321016E-4</v>
      </c>
      <c r="AO678" s="3"/>
      <c r="AP678">
        <v>0</v>
      </c>
      <c r="AR678" t="s">
        <v>1</v>
      </c>
      <c r="AT678" s="2">
        <v>1.3140000000000001</v>
      </c>
      <c r="AU678" s="1">
        <f t="shared" si="85"/>
        <v>0.72138209170052092</v>
      </c>
      <c r="AV678" s="1">
        <f t="shared" si="86"/>
        <v>0.53494276435017807</v>
      </c>
      <c r="AW678" s="1">
        <f t="shared" si="87"/>
        <v>0.34850343699983521</v>
      </c>
    </row>
    <row r="679" spans="1:49" x14ac:dyDescent="0.2">
      <c r="A679">
        <v>677</v>
      </c>
      <c r="B679" t="s">
        <v>2638</v>
      </c>
      <c r="C679" t="s">
        <v>2637</v>
      </c>
      <c r="F679" t="s">
        <v>2636</v>
      </c>
      <c r="G679" t="s">
        <v>9</v>
      </c>
      <c r="H679" t="s">
        <v>8</v>
      </c>
      <c r="I679" t="s">
        <v>2635</v>
      </c>
      <c r="J679" t="s">
        <v>2634</v>
      </c>
      <c r="K679" t="s">
        <v>2633</v>
      </c>
      <c r="L679" t="s">
        <v>2632</v>
      </c>
      <c r="M679" t="s">
        <v>28</v>
      </c>
      <c r="N679">
        <v>4</v>
      </c>
      <c r="O679" t="s">
        <v>2631</v>
      </c>
      <c r="P679" t="s">
        <v>2630</v>
      </c>
      <c r="Q679" t="s">
        <v>2629</v>
      </c>
      <c r="R679" s="7">
        <v>36741</v>
      </c>
      <c r="S679" s="8">
        <f t="shared" si="80"/>
        <v>2000</v>
      </c>
      <c r="T679" s="8">
        <v>2000</v>
      </c>
      <c r="U679" s="8">
        <f t="shared" si="81"/>
        <v>22</v>
      </c>
      <c r="V679" s="7">
        <v>36741</v>
      </c>
      <c r="W679" t="s">
        <v>718</v>
      </c>
      <c r="X679" s="2">
        <v>0.375</v>
      </c>
      <c r="Y679" s="6">
        <f t="shared" si="82"/>
        <v>1.0010410827260351E-2</v>
      </c>
      <c r="AA679">
        <v>135194</v>
      </c>
      <c r="AB679">
        <v>24918</v>
      </c>
      <c r="AD679" t="s">
        <v>3</v>
      </c>
      <c r="AE679">
        <v>36</v>
      </c>
      <c r="AF679">
        <v>16</v>
      </c>
      <c r="AH679" t="s">
        <v>2628</v>
      </c>
      <c r="AI679" t="s">
        <v>2627</v>
      </c>
      <c r="AK679" t="s">
        <v>2626</v>
      </c>
      <c r="AL679">
        <v>59</v>
      </c>
      <c r="AM679" s="5">
        <f t="shared" si="83"/>
        <v>2.6818181818181817</v>
      </c>
      <c r="AN679" s="4">
        <f t="shared" si="84"/>
        <v>4.0618223124849404E-3</v>
      </c>
      <c r="AO679" s="3"/>
      <c r="AP679">
        <v>0</v>
      </c>
      <c r="AR679" t="s">
        <v>1</v>
      </c>
      <c r="AT679" s="2">
        <v>1.3140000000000001</v>
      </c>
      <c r="AU679" s="1">
        <f t="shared" si="85"/>
        <v>0.82258342728277267</v>
      </c>
      <c r="AV679" s="1">
        <f t="shared" si="86"/>
        <v>0.70361165698726458</v>
      </c>
      <c r="AW679" s="1">
        <f t="shared" si="87"/>
        <v>0.58463988669175626</v>
      </c>
    </row>
    <row r="680" spans="1:49" x14ac:dyDescent="0.2">
      <c r="A680">
        <v>678</v>
      </c>
      <c r="B680" t="s">
        <v>2625</v>
      </c>
      <c r="C680" t="s">
        <v>2624</v>
      </c>
      <c r="F680" t="s">
        <v>2623</v>
      </c>
      <c r="G680" t="s">
        <v>9</v>
      </c>
      <c r="H680" t="s">
        <v>8</v>
      </c>
      <c r="I680" t="s">
        <v>2622</v>
      </c>
      <c r="J680">
        <v>60032987</v>
      </c>
      <c r="K680" t="s">
        <v>2621</v>
      </c>
      <c r="L680" t="s">
        <v>937</v>
      </c>
      <c r="M680" t="s">
        <v>86</v>
      </c>
      <c r="N680">
        <v>4</v>
      </c>
      <c r="O680" t="s">
        <v>2620</v>
      </c>
      <c r="P680" t="s">
        <v>2619</v>
      </c>
      <c r="Q680" t="s">
        <v>2618</v>
      </c>
      <c r="R680" s="7">
        <v>36741</v>
      </c>
      <c r="S680" s="8">
        <f t="shared" si="80"/>
        <v>2000</v>
      </c>
      <c r="T680" s="8">
        <v>2000</v>
      </c>
      <c r="U680" s="8">
        <f t="shared" si="81"/>
        <v>22</v>
      </c>
      <c r="V680" s="7">
        <v>36741</v>
      </c>
      <c r="W680" t="s">
        <v>718</v>
      </c>
      <c r="X680" s="2">
        <v>0.375</v>
      </c>
      <c r="Y680" s="6">
        <f t="shared" si="82"/>
        <v>1.0010410827260351E-2</v>
      </c>
      <c r="AA680">
        <v>135194</v>
      </c>
      <c r="AB680">
        <v>24918</v>
      </c>
      <c r="AD680" t="s">
        <v>3</v>
      </c>
      <c r="AE680">
        <v>36</v>
      </c>
      <c r="AF680">
        <v>16</v>
      </c>
      <c r="AH680" t="s">
        <v>2617</v>
      </c>
      <c r="AI680" t="s">
        <v>2616</v>
      </c>
      <c r="AK680" t="s">
        <v>2615</v>
      </c>
      <c r="AL680">
        <v>34</v>
      </c>
      <c r="AM680" s="5">
        <f t="shared" si="83"/>
        <v>1.5454545454545454</v>
      </c>
      <c r="AN680" s="4">
        <f t="shared" si="84"/>
        <v>2.3407111631269148E-3</v>
      </c>
      <c r="AO680" s="3"/>
      <c r="AP680">
        <v>0</v>
      </c>
      <c r="AR680" t="s">
        <v>1</v>
      </c>
      <c r="AT680" s="2">
        <v>1.3140000000000001</v>
      </c>
      <c r="AU680" s="1">
        <f t="shared" si="85"/>
        <v>0.77095009280203208</v>
      </c>
      <c r="AV680" s="1">
        <f t="shared" si="86"/>
        <v>0.6175560995193633</v>
      </c>
      <c r="AW680" s="1">
        <f t="shared" si="87"/>
        <v>0.46416210623669452</v>
      </c>
    </row>
    <row r="681" spans="1:49" x14ac:dyDescent="0.2">
      <c r="A681">
        <v>679</v>
      </c>
      <c r="B681" t="s">
        <v>2614</v>
      </c>
      <c r="C681" t="s">
        <v>2613</v>
      </c>
      <c r="F681" t="s">
        <v>2612</v>
      </c>
      <c r="G681" t="s">
        <v>9</v>
      </c>
      <c r="H681" t="s">
        <v>8</v>
      </c>
      <c r="I681" t="s">
        <v>2611</v>
      </c>
      <c r="N681">
        <v>2</v>
      </c>
      <c r="O681" t="s">
        <v>2610</v>
      </c>
      <c r="P681" t="s">
        <v>2609</v>
      </c>
      <c r="Q681" t="s">
        <v>367</v>
      </c>
      <c r="R681" s="7">
        <v>36741</v>
      </c>
      <c r="S681" s="8">
        <f t="shared" si="80"/>
        <v>2000</v>
      </c>
      <c r="T681" s="8">
        <v>2000</v>
      </c>
      <c r="U681" s="8">
        <f t="shared" si="81"/>
        <v>22</v>
      </c>
      <c r="V681" s="7">
        <v>36741</v>
      </c>
      <c r="W681" t="s">
        <v>718</v>
      </c>
      <c r="X681" s="2">
        <v>0.375</v>
      </c>
      <c r="Y681" s="6">
        <f t="shared" si="82"/>
        <v>1.0010410827260351E-2</v>
      </c>
      <c r="AA681">
        <v>135194</v>
      </c>
      <c r="AB681">
        <v>24918</v>
      </c>
      <c r="AD681" t="s">
        <v>3</v>
      </c>
      <c r="AE681">
        <v>36</v>
      </c>
      <c r="AF681">
        <v>16</v>
      </c>
      <c r="AH681" t="s">
        <v>2608</v>
      </c>
      <c r="AI681" t="s">
        <v>2607</v>
      </c>
      <c r="AK681" t="s">
        <v>2606</v>
      </c>
      <c r="AL681">
        <v>0</v>
      </c>
      <c r="AM681" s="5">
        <f t="shared" si="83"/>
        <v>0</v>
      </c>
      <c r="AN681" s="4">
        <f t="shared" si="84"/>
        <v>0</v>
      </c>
      <c r="AO681" s="3"/>
      <c r="AP681">
        <v>0</v>
      </c>
      <c r="AR681" t="s">
        <v>1</v>
      </c>
      <c r="AT681" s="2">
        <v>1.3140000000000001</v>
      </c>
      <c r="AU681" s="1">
        <f t="shared" si="85"/>
        <v>0.70072875790822453</v>
      </c>
      <c r="AV681" s="1">
        <f t="shared" si="86"/>
        <v>0.5005205413630176</v>
      </c>
      <c r="AW681" s="1">
        <f t="shared" si="87"/>
        <v>0.30031232481781051</v>
      </c>
    </row>
    <row r="682" spans="1:49" x14ac:dyDescent="0.2">
      <c r="A682">
        <v>680</v>
      </c>
      <c r="B682" t="s">
        <v>2605</v>
      </c>
      <c r="C682" t="s">
        <v>2604</v>
      </c>
      <c r="F682" t="s">
        <v>2603</v>
      </c>
      <c r="G682" t="s">
        <v>9</v>
      </c>
      <c r="H682" t="s">
        <v>8</v>
      </c>
      <c r="I682" t="s">
        <v>2602</v>
      </c>
      <c r="J682">
        <v>60028419</v>
      </c>
      <c r="K682" t="s">
        <v>227</v>
      </c>
      <c r="L682" t="s">
        <v>226</v>
      </c>
      <c r="M682" t="s">
        <v>109</v>
      </c>
      <c r="N682">
        <v>3</v>
      </c>
      <c r="O682" t="s">
        <v>2601</v>
      </c>
      <c r="P682" t="s">
        <v>2600</v>
      </c>
      <c r="Q682" t="s">
        <v>1686</v>
      </c>
      <c r="R682" s="7">
        <v>36741</v>
      </c>
      <c r="S682" s="8">
        <f t="shared" si="80"/>
        <v>2000</v>
      </c>
      <c r="T682" s="8">
        <v>2000</v>
      </c>
      <c r="U682" s="8">
        <f t="shared" si="81"/>
        <v>22</v>
      </c>
      <c r="V682" s="7">
        <v>36741</v>
      </c>
      <c r="W682" t="s">
        <v>718</v>
      </c>
      <c r="X682" s="2">
        <v>0.375</v>
      </c>
      <c r="Y682" s="6">
        <f t="shared" si="82"/>
        <v>1.0010410827260351E-2</v>
      </c>
      <c r="AA682">
        <v>135194</v>
      </c>
      <c r="AB682">
        <v>24918</v>
      </c>
      <c r="AD682" t="s">
        <v>3</v>
      </c>
      <c r="AE682">
        <v>36</v>
      </c>
      <c r="AF682">
        <v>16</v>
      </c>
      <c r="AH682" t="s">
        <v>2599</v>
      </c>
      <c r="AI682" t="s">
        <v>2598</v>
      </c>
      <c r="AK682" t="s">
        <v>2597</v>
      </c>
      <c r="AL682">
        <v>82</v>
      </c>
      <c r="AM682" s="5">
        <f t="shared" si="83"/>
        <v>3.7272727272727271</v>
      </c>
      <c r="AN682" s="4">
        <f t="shared" si="84"/>
        <v>5.6452445698943234E-3</v>
      </c>
      <c r="AO682" s="3"/>
      <c r="AP682">
        <v>0</v>
      </c>
      <c r="AR682" t="s">
        <v>1</v>
      </c>
      <c r="AT682" s="2">
        <v>1.3140000000000001</v>
      </c>
      <c r="AU682" s="1">
        <f t="shared" si="85"/>
        <v>0.87008609500505429</v>
      </c>
      <c r="AV682" s="1">
        <f t="shared" si="86"/>
        <v>0.78278276985773376</v>
      </c>
      <c r="AW682" s="1">
        <f t="shared" si="87"/>
        <v>0.69547944471041312</v>
      </c>
    </row>
    <row r="683" spans="1:49" x14ac:dyDescent="0.2">
      <c r="A683">
        <v>681</v>
      </c>
      <c r="B683" t="s">
        <v>2596</v>
      </c>
      <c r="C683" t="s">
        <v>2595</v>
      </c>
      <c r="F683" t="s">
        <v>2594</v>
      </c>
      <c r="G683" t="s">
        <v>9</v>
      </c>
      <c r="H683" t="s">
        <v>8</v>
      </c>
      <c r="I683" t="s">
        <v>2593</v>
      </c>
      <c r="J683">
        <v>60021939</v>
      </c>
      <c r="K683" t="s">
        <v>2592</v>
      </c>
      <c r="L683" t="s">
        <v>2591</v>
      </c>
      <c r="M683" t="s">
        <v>5</v>
      </c>
      <c r="N683">
        <v>6</v>
      </c>
      <c r="O683" t="s">
        <v>2590</v>
      </c>
      <c r="P683" t="s">
        <v>2589</v>
      </c>
      <c r="Q683" t="s">
        <v>2588</v>
      </c>
      <c r="R683" s="7">
        <v>36741</v>
      </c>
      <c r="S683" s="8">
        <f t="shared" si="80"/>
        <v>2000</v>
      </c>
      <c r="T683" s="8">
        <v>2000</v>
      </c>
      <c r="U683" s="8">
        <f t="shared" si="81"/>
        <v>22</v>
      </c>
      <c r="V683" s="7">
        <v>36741</v>
      </c>
      <c r="W683" t="s">
        <v>718</v>
      </c>
      <c r="X683" s="2">
        <v>0.375</v>
      </c>
      <c r="Y683" s="6">
        <f t="shared" si="82"/>
        <v>1.0010410827260351E-2</v>
      </c>
      <c r="AA683">
        <v>135194</v>
      </c>
      <c r="AB683">
        <v>24918</v>
      </c>
      <c r="AD683" t="s">
        <v>3</v>
      </c>
      <c r="AE683">
        <v>36</v>
      </c>
      <c r="AF683">
        <v>16</v>
      </c>
      <c r="AH683" t="s">
        <v>2587</v>
      </c>
      <c r="AI683" t="s">
        <v>2586</v>
      </c>
      <c r="AK683" t="s">
        <v>2585</v>
      </c>
      <c r="AL683">
        <v>27</v>
      </c>
      <c r="AM683" s="5">
        <f t="shared" si="83"/>
        <v>1.2272727272727273</v>
      </c>
      <c r="AN683" s="4">
        <f t="shared" si="84"/>
        <v>1.8588000413066676E-3</v>
      </c>
      <c r="AO683" s="3"/>
      <c r="AP683">
        <v>0</v>
      </c>
      <c r="AR683" t="s">
        <v>1</v>
      </c>
      <c r="AT683" s="2">
        <v>1.3140000000000001</v>
      </c>
      <c r="AU683" s="1">
        <f t="shared" si="85"/>
        <v>0.75649275914742464</v>
      </c>
      <c r="AV683" s="1">
        <f t="shared" si="86"/>
        <v>0.59346054342835097</v>
      </c>
      <c r="AW683" s="1">
        <f t="shared" si="87"/>
        <v>0.43042832770927725</v>
      </c>
    </row>
    <row r="684" spans="1:49" x14ac:dyDescent="0.2">
      <c r="A684">
        <v>682</v>
      </c>
      <c r="B684" t="s">
        <v>2584</v>
      </c>
      <c r="C684" t="s">
        <v>2583</v>
      </c>
      <c r="F684" t="s">
        <v>2582</v>
      </c>
      <c r="G684" t="s">
        <v>9</v>
      </c>
      <c r="H684" t="s">
        <v>8</v>
      </c>
      <c r="I684" t="s">
        <v>2581</v>
      </c>
      <c r="J684">
        <v>120999632</v>
      </c>
      <c r="K684" t="s">
        <v>2580</v>
      </c>
      <c r="L684" t="s">
        <v>749</v>
      </c>
      <c r="M684" t="s">
        <v>42</v>
      </c>
      <c r="N684">
        <v>3</v>
      </c>
      <c r="O684" t="s">
        <v>2579</v>
      </c>
      <c r="P684" t="s">
        <v>2578</v>
      </c>
      <c r="Q684" t="s">
        <v>2577</v>
      </c>
      <c r="R684" s="7">
        <v>36739</v>
      </c>
      <c r="S684" s="8">
        <f t="shared" si="80"/>
        <v>2000</v>
      </c>
      <c r="T684" s="8">
        <v>2000</v>
      </c>
      <c r="U684" s="8">
        <f t="shared" si="81"/>
        <v>22</v>
      </c>
      <c r="V684" s="7">
        <v>36739</v>
      </c>
      <c r="W684" t="s">
        <v>686</v>
      </c>
      <c r="X684" s="2">
        <v>0.318</v>
      </c>
      <c r="Y684" s="6">
        <f t="shared" si="82"/>
        <v>8.4888283815167786E-3</v>
      </c>
      <c r="AA684">
        <v>338443</v>
      </c>
      <c r="AB684">
        <v>27160</v>
      </c>
      <c r="AC684">
        <v>15739120</v>
      </c>
      <c r="AD684" t="s">
        <v>3</v>
      </c>
      <c r="AE684">
        <v>43</v>
      </c>
      <c r="AF684">
        <v>8</v>
      </c>
      <c r="AH684" t="s">
        <v>2576</v>
      </c>
      <c r="AI684" t="s">
        <v>2575</v>
      </c>
      <c r="AK684" t="s">
        <v>2574</v>
      </c>
      <c r="AL684">
        <v>0</v>
      </c>
      <c r="AM684" s="5">
        <f t="shared" si="83"/>
        <v>0</v>
      </c>
      <c r="AN684" s="4">
        <f t="shared" si="84"/>
        <v>0</v>
      </c>
      <c r="AO684" s="3"/>
      <c r="AP684">
        <v>0</v>
      </c>
      <c r="AR684" t="s">
        <v>1</v>
      </c>
      <c r="AT684" s="2">
        <v>0.77</v>
      </c>
      <c r="AU684" s="1">
        <f t="shared" si="85"/>
        <v>0.59421798670617454</v>
      </c>
      <c r="AV684" s="1">
        <f t="shared" si="86"/>
        <v>0.42444141907583893</v>
      </c>
      <c r="AW684" s="1">
        <f t="shared" si="87"/>
        <v>0.25466485144550338</v>
      </c>
    </row>
    <row r="685" spans="1:49" x14ac:dyDescent="0.2">
      <c r="A685">
        <v>683</v>
      </c>
      <c r="B685" t="s">
        <v>2573</v>
      </c>
      <c r="C685" t="s">
        <v>2572</v>
      </c>
      <c r="F685" t="s">
        <v>2571</v>
      </c>
      <c r="G685" t="s">
        <v>9</v>
      </c>
      <c r="H685" t="s">
        <v>8</v>
      </c>
      <c r="I685" t="s">
        <v>2570</v>
      </c>
      <c r="J685">
        <v>60069258</v>
      </c>
      <c r="K685" t="s">
        <v>545</v>
      </c>
      <c r="L685" t="s">
        <v>544</v>
      </c>
      <c r="M685" t="s">
        <v>42</v>
      </c>
      <c r="N685">
        <v>3</v>
      </c>
      <c r="O685" t="s">
        <v>2569</v>
      </c>
      <c r="P685" t="s">
        <v>2568</v>
      </c>
      <c r="Q685" t="s">
        <v>2567</v>
      </c>
      <c r="R685" s="7">
        <v>36739</v>
      </c>
      <c r="S685" s="8">
        <f t="shared" si="80"/>
        <v>2000</v>
      </c>
      <c r="T685" s="8">
        <v>2000</v>
      </c>
      <c r="U685" s="8">
        <f t="shared" si="81"/>
        <v>22</v>
      </c>
      <c r="V685" s="7">
        <v>36739</v>
      </c>
      <c r="W685" t="s">
        <v>686</v>
      </c>
      <c r="X685" s="2">
        <v>0.318</v>
      </c>
      <c r="Y685" s="6">
        <f t="shared" si="82"/>
        <v>8.4888283815167786E-3</v>
      </c>
      <c r="AA685">
        <v>338443</v>
      </c>
      <c r="AB685">
        <v>27160</v>
      </c>
      <c r="AC685">
        <v>15739120</v>
      </c>
      <c r="AD685" t="s">
        <v>3</v>
      </c>
      <c r="AE685">
        <v>43</v>
      </c>
      <c r="AF685">
        <v>8</v>
      </c>
      <c r="AH685" t="s">
        <v>2566</v>
      </c>
      <c r="AI685" t="s">
        <v>2565</v>
      </c>
      <c r="AK685" t="s">
        <v>2564</v>
      </c>
      <c r="AL685">
        <v>4</v>
      </c>
      <c r="AM685" s="5">
        <f t="shared" si="83"/>
        <v>0.18181818181818182</v>
      </c>
      <c r="AN685" s="4">
        <f t="shared" si="84"/>
        <v>2.753777838972841E-4</v>
      </c>
      <c r="AO685" s="3"/>
      <c r="AP685">
        <v>0</v>
      </c>
      <c r="AR685" t="s">
        <v>1</v>
      </c>
      <c r="AT685" s="2">
        <v>0.77</v>
      </c>
      <c r="AU685" s="1">
        <f t="shared" si="85"/>
        <v>0.60247932022309303</v>
      </c>
      <c r="AV685" s="1">
        <f t="shared" si="86"/>
        <v>0.43821030827070312</v>
      </c>
      <c r="AW685" s="1">
        <f t="shared" si="87"/>
        <v>0.27394129631831321</v>
      </c>
    </row>
    <row r="686" spans="1:49" x14ac:dyDescent="0.2">
      <c r="A686">
        <v>684</v>
      </c>
      <c r="B686" t="s">
        <v>2563</v>
      </c>
      <c r="C686" t="s">
        <v>2562</v>
      </c>
      <c r="F686" t="s">
        <v>2561</v>
      </c>
      <c r="G686" t="s">
        <v>9</v>
      </c>
      <c r="H686" t="s">
        <v>8</v>
      </c>
      <c r="I686" t="s">
        <v>2560</v>
      </c>
      <c r="J686">
        <v>60027550</v>
      </c>
      <c r="K686" t="s">
        <v>38</v>
      </c>
      <c r="L686" t="s">
        <v>37</v>
      </c>
      <c r="M686" t="s">
        <v>5</v>
      </c>
      <c r="N686">
        <v>2</v>
      </c>
      <c r="O686" t="s">
        <v>2559</v>
      </c>
      <c r="P686" t="s">
        <v>2558</v>
      </c>
      <c r="Q686" t="s">
        <v>170</v>
      </c>
      <c r="R686" s="7">
        <v>36739</v>
      </c>
      <c r="S686" s="8">
        <f t="shared" si="80"/>
        <v>2000</v>
      </c>
      <c r="T686" s="8">
        <v>2000</v>
      </c>
      <c r="U686" s="8">
        <f t="shared" si="81"/>
        <v>22</v>
      </c>
      <c r="V686" s="7">
        <v>36739</v>
      </c>
      <c r="W686" t="s">
        <v>743</v>
      </c>
      <c r="X686" s="2">
        <v>0.81</v>
      </c>
      <c r="Y686" s="6">
        <f t="shared" si="82"/>
        <v>2.1622487386882359E-2</v>
      </c>
      <c r="AA686">
        <v>10411135</v>
      </c>
      <c r="AB686">
        <v>12116</v>
      </c>
      <c r="AD686" t="s">
        <v>3</v>
      </c>
      <c r="AE686">
        <v>12</v>
      </c>
      <c r="AF686">
        <v>8</v>
      </c>
      <c r="AH686" t="s">
        <v>2557</v>
      </c>
      <c r="AI686" t="s">
        <v>2556</v>
      </c>
      <c r="AK686" t="s">
        <v>2555</v>
      </c>
      <c r="AL686">
        <v>11</v>
      </c>
      <c r="AM686" s="5">
        <f t="shared" si="83"/>
        <v>0.5</v>
      </c>
      <c r="AN686" s="4">
        <f t="shared" si="84"/>
        <v>7.572889057175312E-4</v>
      </c>
      <c r="AO686" s="3"/>
      <c r="AP686">
        <v>0</v>
      </c>
      <c r="AR686" t="s">
        <v>1</v>
      </c>
      <c r="AT686" s="2">
        <v>2.468</v>
      </c>
      <c r="AU686" s="1">
        <f t="shared" si="85"/>
        <v>1.5362927842532907</v>
      </c>
      <c r="AV686" s="1">
        <f t="shared" si="86"/>
        <v>1.1189888146299944</v>
      </c>
      <c r="AW686" s="1">
        <f t="shared" si="87"/>
        <v>0.70168484500669792</v>
      </c>
    </row>
    <row r="687" spans="1:49" x14ac:dyDescent="0.2">
      <c r="A687">
        <v>685</v>
      </c>
      <c r="B687" t="s">
        <v>2554</v>
      </c>
      <c r="C687" t="s">
        <v>2553</v>
      </c>
      <c r="F687" t="s">
        <v>2552</v>
      </c>
      <c r="G687" t="s">
        <v>9</v>
      </c>
      <c r="H687" t="s">
        <v>8</v>
      </c>
      <c r="I687" t="s">
        <v>2551</v>
      </c>
      <c r="J687" t="s">
        <v>2550</v>
      </c>
      <c r="K687" t="s">
        <v>2549</v>
      </c>
      <c r="L687" t="s">
        <v>2548</v>
      </c>
      <c r="M687" t="s">
        <v>902</v>
      </c>
      <c r="N687">
        <v>3</v>
      </c>
      <c r="O687" t="s">
        <v>2547</v>
      </c>
      <c r="P687" t="s">
        <v>2546</v>
      </c>
      <c r="Q687" t="s">
        <v>2545</v>
      </c>
      <c r="R687" s="7">
        <v>36739</v>
      </c>
      <c r="S687" s="8">
        <f t="shared" si="80"/>
        <v>2000</v>
      </c>
      <c r="T687" s="8">
        <v>2000</v>
      </c>
      <c r="U687" s="8">
        <f t="shared" si="81"/>
        <v>22</v>
      </c>
      <c r="V687" s="7">
        <v>36739</v>
      </c>
      <c r="W687" t="s">
        <v>2544</v>
      </c>
      <c r="X687" s="2">
        <v>0.28299999999999997</v>
      </c>
      <c r="Y687" s="6">
        <f t="shared" si="82"/>
        <v>7.5545233709724781E-3</v>
      </c>
      <c r="AA687" t="s">
        <v>2543</v>
      </c>
      <c r="AB687">
        <v>12351</v>
      </c>
      <c r="AD687" t="s">
        <v>3</v>
      </c>
      <c r="AE687">
        <v>89</v>
      </c>
      <c r="AF687">
        <v>2</v>
      </c>
      <c r="AH687" t="s">
        <v>2542</v>
      </c>
      <c r="AI687" t="s">
        <v>2541</v>
      </c>
      <c r="AK687" t="s">
        <v>2540</v>
      </c>
      <c r="AL687">
        <v>1</v>
      </c>
      <c r="AM687" s="5">
        <f t="shared" si="83"/>
        <v>4.5454545454545456E-2</v>
      </c>
      <c r="AN687" s="4">
        <f t="shared" si="84"/>
        <v>6.8844445974321024E-5</v>
      </c>
      <c r="AO687" s="3"/>
      <c r="AP687">
        <v>0</v>
      </c>
      <c r="AR687" t="s">
        <v>1</v>
      </c>
      <c r="AT687" s="2" t="s">
        <v>0</v>
      </c>
      <c r="AU687" s="1">
        <f t="shared" si="85"/>
        <v>0.53088196934730314</v>
      </c>
      <c r="AV687" s="1">
        <f t="shared" si="86"/>
        <v>0.38116839084733994</v>
      </c>
      <c r="AW687" s="1">
        <f t="shared" si="87"/>
        <v>0.2314548123473768</v>
      </c>
    </row>
    <row r="688" spans="1:49" x14ac:dyDescent="0.2">
      <c r="A688">
        <v>686</v>
      </c>
      <c r="B688" t="s">
        <v>2539</v>
      </c>
      <c r="C688" t="s">
        <v>2538</v>
      </c>
      <c r="F688" t="s">
        <v>2537</v>
      </c>
      <c r="G688" t="s">
        <v>9</v>
      </c>
      <c r="H688" t="s">
        <v>8</v>
      </c>
      <c r="I688" t="s">
        <v>2536</v>
      </c>
      <c r="J688">
        <v>60020484</v>
      </c>
      <c r="K688" t="s">
        <v>68</v>
      </c>
      <c r="L688" t="s">
        <v>67</v>
      </c>
      <c r="M688" t="s">
        <v>66</v>
      </c>
      <c r="N688">
        <v>2</v>
      </c>
      <c r="O688" t="s">
        <v>2535</v>
      </c>
      <c r="P688" t="s">
        <v>2534</v>
      </c>
      <c r="Q688" t="s">
        <v>65</v>
      </c>
      <c r="R688" s="7">
        <v>36739</v>
      </c>
      <c r="S688" s="8">
        <f t="shared" si="80"/>
        <v>2000</v>
      </c>
      <c r="T688" s="8">
        <v>2000</v>
      </c>
      <c r="U688" s="8">
        <f t="shared" si="81"/>
        <v>22</v>
      </c>
      <c r="V688" s="7">
        <v>36739</v>
      </c>
      <c r="W688" t="s">
        <v>463</v>
      </c>
      <c r="X688" s="2">
        <v>0.251</v>
      </c>
      <c r="Y688" s="6">
        <f t="shared" si="82"/>
        <v>6.7003016470462617E-3</v>
      </c>
      <c r="AA688">
        <v>207217</v>
      </c>
      <c r="AB688">
        <v>26145</v>
      </c>
      <c r="AD688" t="s">
        <v>3</v>
      </c>
      <c r="AE688">
        <v>87</v>
      </c>
      <c r="AF688">
        <v>8</v>
      </c>
      <c r="AH688" t="s">
        <v>2533</v>
      </c>
      <c r="AI688" t="s">
        <v>2532</v>
      </c>
      <c r="AK688" t="s">
        <v>2531</v>
      </c>
      <c r="AL688">
        <v>15</v>
      </c>
      <c r="AM688" s="5">
        <f t="shared" si="83"/>
        <v>0.68181818181818177</v>
      </c>
      <c r="AN688" s="4">
        <f t="shared" si="84"/>
        <v>1.0326666896148153E-3</v>
      </c>
      <c r="AO688" s="3"/>
      <c r="AP688">
        <v>0</v>
      </c>
      <c r="AR688" t="s">
        <v>1</v>
      </c>
      <c r="AT688" s="2">
        <v>1.3360000000000001</v>
      </c>
      <c r="AU688" s="1">
        <f t="shared" si="85"/>
        <v>0.50000111598168273</v>
      </c>
      <c r="AV688" s="1">
        <f t="shared" si="86"/>
        <v>0.38664841683305384</v>
      </c>
      <c r="AW688" s="1">
        <f t="shared" si="87"/>
        <v>0.27329571768442484</v>
      </c>
    </row>
    <row r="689" spans="1:49" x14ac:dyDescent="0.2">
      <c r="A689">
        <v>687</v>
      </c>
      <c r="B689" t="s">
        <v>2530</v>
      </c>
      <c r="C689" t="s">
        <v>2529</v>
      </c>
      <c r="F689" t="s">
        <v>2528</v>
      </c>
      <c r="G689" t="s">
        <v>9</v>
      </c>
      <c r="H689" t="s">
        <v>8</v>
      </c>
      <c r="I689" t="s">
        <v>2527</v>
      </c>
      <c r="J689">
        <v>60019106</v>
      </c>
      <c r="K689" t="s">
        <v>796</v>
      </c>
      <c r="L689" t="s">
        <v>795</v>
      </c>
      <c r="M689" t="s">
        <v>251</v>
      </c>
      <c r="N689">
        <v>2</v>
      </c>
      <c r="O689" t="s">
        <v>2526</v>
      </c>
      <c r="P689" t="s">
        <v>2525</v>
      </c>
      <c r="Q689" t="s">
        <v>794</v>
      </c>
      <c r="R689" s="7">
        <v>36739</v>
      </c>
      <c r="S689" s="8">
        <f t="shared" si="80"/>
        <v>2000</v>
      </c>
      <c r="T689" s="8">
        <v>2000</v>
      </c>
      <c r="U689" s="8">
        <f t="shared" si="81"/>
        <v>22</v>
      </c>
      <c r="V689" s="7">
        <v>36739</v>
      </c>
      <c r="W689" t="s">
        <v>463</v>
      </c>
      <c r="X689" s="2">
        <v>0.251</v>
      </c>
      <c r="Y689" s="6">
        <f t="shared" si="82"/>
        <v>6.7003016470462617E-3</v>
      </c>
      <c r="AA689">
        <v>207217</v>
      </c>
      <c r="AB689">
        <v>26145</v>
      </c>
      <c r="AD689" t="s">
        <v>3</v>
      </c>
      <c r="AE689">
        <v>87</v>
      </c>
      <c r="AF689">
        <v>8</v>
      </c>
      <c r="AH689" t="s">
        <v>2524</v>
      </c>
      <c r="AI689" t="s">
        <v>2523</v>
      </c>
      <c r="AK689" t="s">
        <v>2522</v>
      </c>
      <c r="AL689">
        <v>8</v>
      </c>
      <c r="AM689" s="5">
        <f t="shared" si="83"/>
        <v>0.36363636363636365</v>
      </c>
      <c r="AN689" s="4">
        <f t="shared" si="84"/>
        <v>5.5075556779456819E-4</v>
      </c>
      <c r="AO689" s="3"/>
      <c r="AP689">
        <v>0</v>
      </c>
      <c r="AR689" t="s">
        <v>1</v>
      </c>
      <c r="AT689" s="2">
        <v>1.3360000000000001</v>
      </c>
      <c r="AU689" s="1">
        <f t="shared" si="85"/>
        <v>0.48554378232707535</v>
      </c>
      <c r="AV689" s="1">
        <f t="shared" si="86"/>
        <v>0.36255286074204152</v>
      </c>
      <c r="AW689" s="1">
        <f t="shared" si="87"/>
        <v>0.2395619391570076</v>
      </c>
    </row>
    <row r="690" spans="1:49" x14ac:dyDescent="0.2">
      <c r="A690">
        <v>688</v>
      </c>
      <c r="B690" t="s">
        <v>2521</v>
      </c>
      <c r="C690" t="s">
        <v>2520</v>
      </c>
      <c r="E690">
        <v>10913308</v>
      </c>
      <c r="F690" t="s">
        <v>2519</v>
      </c>
      <c r="G690" t="s">
        <v>9</v>
      </c>
      <c r="H690" t="s">
        <v>8</v>
      </c>
      <c r="I690" t="s">
        <v>2518</v>
      </c>
      <c r="J690" t="s">
        <v>2517</v>
      </c>
      <c r="K690" t="s">
        <v>2516</v>
      </c>
      <c r="L690" t="s">
        <v>2515</v>
      </c>
      <c r="M690" t="s">
        <v>2514</v>
      </c>
      <c r="N690">
        <v>4</v>
      </c>
      <c r="O690" t="s">
        <v>2513</v>
      </c>
      <c r="P690" t="s">
        <v>2512</v>
      </c>
      <c r="Q690" t="s">
        <v>2511</v>
      </c>
      <c r="R690" s="7">
        <v>36739</v>
      </c>
      <c r="S690" s="8">
        <f t="shared" si="80"/>
        <v>2000</v>
      </c>
      <c r="T690" s="8">
        <v>2000</v>
      </c>
      <c r="U690" s="8">
        <f t="shared" si="81"/>
        <v>22</v>
      </c>
      <c r="V690" s="7">
        <v>36739</v>
      </c>
      <c r="W690" t="s">
        <v>758</v>
      </c>
      <c r="X690" s="2">
        <v>1.43</v>
      </c>
      <c r="Y690" s="6">
        <f t="shared" si="82"/>
        <v>3.8173033287952803E-2</v>
      </c>
      <c r="AA690">
        <v>62960</v>
      </c>
      <c r="AB690">
        <v>16867</v>
      </c>
      <c r="AD690" t="s">
        <v>3</v>
      </c>
      <c r="AE690">
        <v>39</v>
      </c>
      <c r="AF690">
        <v>30</v>
      </c>
      <c r="AH690" t="s">
        <v>2510</v>
      </c>
      <c r="AI690" t="s">
        <v>2509</v>
      </c>
      <c r="AK690" t="s">
        <v>2508</v>
      </c>
      <c r="AL690">
        <v>159</v>
      </c>
      <c r="AM690" s="5">
        <f t="shared" si="83"/>
        <v>7.2272727272727275</v>
      </c>
      <c r="AN690" s="4">
        <f t="shared" si="84"/>
        <v>1.0946266909917042E-2</v>
      </c>
      <c r="AO690" s="3"/>
      <c r="AP690">
        <v>0</v>
      </c>
      <c r="AR690" t="s">
        <v>1</v>
      </c>
      <c r="AT690" s="2">
        <v>3.1619999999999999</v>
      </c>
      <c r="AU690" s="1">
        <f t="shared" si="85"/>
        <v>3.0005003374542074</v>
      </c>
      <c r="AV690" s="1">
        <f t="shared" si="86"/>
        <v>2.4559650098934922</v>
      </c>
      <c r="AW690" s="1">
        <f t="shared" si="87"/>
        <v>1.911429682332777</v>
      </c>
    </row>
    <row r="691" spans="1:49" x14ac:dyDescent="0.2">
      <c r="A691">
        <v>689</v>
      </c>
      <c r="B691" t="s">
        <v>2507</v>
      </c>
      <c r="C691" t="s">
        <v>2506</v>
      </c>
      <c r="F691" t="s">
        <v>2505</v>
      </c>
      <c r="G691" t="s">
        <v>9</v>
      </c>
      <c r="H691" t="s">
        <v>8</v>
      </c>
      <c r="I691" t="s">
        <v>400</v>
      </c>
      <c r="J691">
        <v>60001558</v>
      </c>
      <c r="K691" t="s">
        <v>399</v>
      </c>
      <c r="L691" t="s">
        <v>194</v>
      </c>
      <c r="M691" t="s">
        <v>10</v>
      </c>
      <c r="N691">
        <v>2</v>
      </c>
      <c r="O691" t="s">
        <v>596</v>
      </c>
      <c r="P691" t="s">
        <v>595</v>
      </c>
      <c r="Q691" t="s">
        <v>2504</v>
      </c>
      <c r="R691" s="7">
        <v>36739</v>
      </c>
      <c r="S691" s="8">
        <f t="shared" si="80"/>
        <v>2000</v>
      </c>
      <c r="T691" s="8">
        <v>2000</v>
      </c>
      <c r="U691" s="8">
        <f t="shared" si="81"/>
        <v>22</v>
      </c>
      <c r="V691" s="7">
        <v>36739</v>
      </c>
      <c r="W691" t="s">
        <v>365</v>
      </c>
      <c r="X691" s="2">
        <v>1.468</v>
      </c>
      <c r="Y691" s="6">
        <f t="shared" si="82"/>
        <v>3.9187421585115186E-2</v>
      </c>
      <c r="AA691">
        <v>906778</v>
      </c>
      <c r="AB691">
        <v>18931</v>
      </c>
      <c r="AD691" t="s">
        <v>3</v>
      </c>
      <c r="AE691">
        <v>48</v>
      </c>
      <c r="AF691">
        <v>8</v>
      </c>
      <c r="AH691" t="s">
        <v>2503</v>
      </c>
      <c r="AI691" t="s">
        <v>2502</v>
      </c>
      <c r="AK691" t="s">
        <v>2501</v>
      </c>
      <c r="AL691">
        <v>67</v>
      </c>
      <c r="AM691" s="5">
        <f t="shared" si="83"/>
        <v>3.0454545454545454</v>
      </c>
      <c r="AN691" s="4">
        <f t="shared" si="84"/>
        <v>4.6125778802795087E-3</v>
      </c>
      <c r="AO691" s="3"/>
      <c r="AP691">
        <v>0</v>
      </c>
      <c r="AR691" t="s">
        <v>1</v>
      </c>
      <c r="AT691" s="2">
        <v>5.0830000000000002</v>
      </c>
      <c r="AU691" s="1">
        <f t="shared" si="85"/>
        <v>2.881496847366448</v>
      </c>
      <c r="AV691" s="1">
        <f t="shared" si="86"/>
        <v>2.1899999732697348</v>
      </c>
      <c r="AW691" s="1">
        <f t="shared" si="87"/>
        <v>1.4985030991730213</v>
      </c>
    </row>
    <row r="692" spans="1:49" x14ac:dyDescent="0.2">
      <c r="A692">
        <v>690</v>
      </c>
      <c r="B692" t="s">
        <v>2500</v>
      </c>
      <c r="C692" t="s">
        <v>2499</v>
      </c>
      <c r="F692" t="s">
        <v>2498</v>
      </c>
      <c r="G692" t="s">
        <v>9</v>
      </c>
      <c r="H692" t="s">
        <v>8</v>
      </c>
      <c r="I692" t="s">
        <v>719</v>
      </c>
      <c r="J692" t="s">
        <v>768</v>
      </c>
      <c r="K692" t="s">
        <v>767</v>
      </c>
      <c r="L692" t="s">
        <v>766</v>
      </c>
      <c r="M692" t="s">
        <v>765</v>
      </c>
      <c r="N692">
        <v>3</v>
      </c>
      <c r="O692" t="s">
        <v>2497</v>
      </c>
      <c r="P692" t="s">
        <v>2496</v>
      </c>
      <c r="Q692" t="s">
        <v>764</v>
      </c>
      <c r="R692" s="7">
        <v>36739</v>
      </c>
      <c r="S692" s="8">
        <f t="shared" si="80"/>
        <v>2000</v>
      </c>
      <c r="T692" s="8">
        <v>2000</v>
      </c>
      <c r="U692" s="8">
        <f t="shared" si="81"/>
        <v>22</v>
      </c>
      <c r="V692" s="7">
        <v>36739</v>
      </c>
      <c r="W692" s="11" t="s">
        <v>253</v>
      </c>
      <c r="X692" s="2">
        <v>2.383</v>
      </c>
      <c r="Y692" s="6">
        <f t="shared" si="82"/>
        <v>6.3612824003630442E-2</v>
      </c>
      <c r="AA692">
        <v>13502417</v>
      </c>
      <c r="AB692">
        <v>17416</v>
      </c>
      <c r="AD692" t="s">
        <v>3</v>
      </c>
      <c r="AE692">
        <v>147</v>
      </c>
      <c r="AF692">
        <v>4</v>
      </c>
      <c r="AH692" t="s">
        <v>2495</v>
      </c>
      <c r="AI692" t="s">
        <v>2494</v>
      </c>
      <c r="AK692" t="s">
        <v>2493</v>
      </c>
      <c r="AL692">
        <v>21</v>
      </c>
      <c r="AM692" s="5">
        <f t="shared" si="83"/>
        <v>0.95454545454545459</v>
      </c>
      <c r="AN692" s="4">
        <f t="shared" si="84"/>
        <v>1.4457333654607416E-3</v>
      </c>
      <c r="AO692" s="3"/>
      <c r="AP692">
        <v>0</v>
      </c>
      <c r="AR692" t="s">
        <v>1</v>
      </c>
      <c r="AT692" s="2" t="s">
        <v>0</v>
      </c>
      <c r="AU692" s="1">
        <f t="shared" si="85"/>
        <v>4.496269681217953</v>
      </c>
      <c r="AV692" s="1">
        <f t="shared" si="86"/>
        <v>3.2529278684545591</v>
      </c>
      <c r="AW692" s="1">
        <f t="shared" si="87"/>
        <v>2.0095860556911651</v>
      </c>
    </row>
    <row r="693" spans="1:49" x14ac:dyDescent="0.2">
      <c r="A693">
        <v>691</v>
      </c>
      <c r="B693" t="s">
        <v>2492</v>
      </c>
      <c r="C693" t="s">
        <v>2491</v>
      </c>
      <c r="F693" t="s">
        <v>2490</v>
      </c>
      <c r="G693" t="s">
        <v>9</v>
      </c>
      <c r="H693" t="s">
        <v>8</v>
      </c>
      <c r="I693" t="s">
        <v>2489</v>
      </c>
      <c r="J693">
        <v>60005510</v>
      </c>
      <c r="K693" t="s">
        <v>359</v>
      </c>
      <c r="L693" t="s">
        <v>74</v>
      </c>
      <c r="M693" t="s">
        <v>73</v>
      </c>
      <c r="N693">
        <v>2</v>
      </c>
      <c r="O693" t="s">
        <v>2488</v>
      </c>
      <c r="P693" t="s">
        <v>2487</v>
      </c>
      <c r="Q693" t="s">
        <v>2486</v>
      </c>
      <c r="R693" s="7">
        <v>36739</v>
      </c>
      <c r="S693" s="8">
        <f t="shared" si="80"/>
        <v>2000</v>
      </c>
      <c r="T693" s="8">
        <v>2000</v>
      </c>
      <c r="U693" s="8">
        <f t="shared" si="81"/>
        <v>22</v>
      </c>
      <c r="V693" s="7">
        <v>36739</v>
      </c>
      <c r="W693" t="s">
        <v>150</v>
      </c>
      <c r="X693" s="2">
        <v>0.30399999999999999</v>
      </c>
      <c r="Y693" s="6">
        <f t="shared" si="82"/>
        <v>8.115106377299057E-3</v>
      </c>
      <c r="AA693">
        <v>8952477</v>
      </c>
      <c r="AB693">
        <v>12250</v>
      </c>
      <c r="AD693" t="s">
        <v>3</v>
      </c>
      <c r="AE693">
        <v>26</v>
      </c>
      <c r="AF693">
        <v>4</v>
      </c>
      <c r="AH693" t="s">
        <v>2485</v>
      </c>
      <c r="AI693" t="s">
        <v>2484</v>
      </c>
      <c r="AK693" t="s">
        <v>2483</v>
      </c>
      <c r="AL693">
        <v>3</v>
      </c>
      <c r="AM693" s="5">
        <f t="shared" si="83"/>
        <v>0.13636363636363635</v>
      </c>
      <c r="AN693" s="4">
        <f t="shared" si="84"/>
        <v>2.0653333792296306E-4</v>
      </c>
      <c r="AO693" s="3"/>
      <c r="AP693">
        <v>0</v>
      </c>
      <c r="AR693" t="s">
        <v>1</v>
      </c>
      <c r="AT693" s="2" t="s">
        <v>0</v>
      </c>
      <c r="AU693" s="1">
        <f t="shared" si="85"/>
        <v>0.57425344654862287</v>
      </c>
      <c r="AV693" s="1">
        <f t="shared" si="86"/>
        <v>0.41608198576110095</v>
      </c>
      <c r="AW693" s="1">
        <f t="shared" si="87"/>
        <v>0.25791052497357914</v>
      </c>
    </row>
    <row r="694" spans="1:49" x14ac:dyDescent="0.2">
      <c r="A694">
        <v>692</v>
      </c>
      <c r="B694" t="s">
        <v>2482</v>
      </c>
      <c r="C694" t="s">
        <v>2481</v>
      </c>
      <c r="F694" t="s">
        <v>2480</v>
      </c>
      <c r="G694" t="s">
        <v>9</v>
      </c>
      <c r="H694" t="s">
        <v>8</v>
      </c>
      <c r="I694" t="s">
        <v>1320</v>
      </c>
      <c r="J694">
        <v>100358783</v>
      </c>
      <c r="K694" t="s">
        <v>2479</v>
      </c>
      <c r="L694" t="s">
        <v>2478</v>
      </c>
      <c r="M694" t="s">
        <v>5</v>
      </c>
      <c r="N694">
        <v>1</v>
      </c>
      <c r="O694" t="s">
        <v>2477</v>
      </c>
      <c r="P694">
        <v>7006783653</v>
      </c>
      <c r="Q694">
        <v>100358783</v>
      </c>
      <c r="R694" s="7">
        <v>36739</v>
      </c>
      <c r="S694" s="8">
        <f t="shared" si="80"/>
        <v>2000</v>
      </c>
      <c r="T694" s="8">
        <v>2000</v>
      </c>
      <c r="U694" s="8">
        <f t="shared" si="81"/>
        <v>22</v>
      </c>
      <c r="V694" s="7">
        <v>36739</v>
      </c>
      <c r="W694" t="s">
        <v>365</v>
      </c>
      <c r="X694" s="2">
        <v>1.468</v>
      </c>
      <c r="Y694" s="6">
        <f t="shared" si="82"/>
        <v>3.9187421585115186E-2</v>
      </c>
      <c r="AA694">
        <v>906778</v>
      </c>
      <c r="AB694">
        <v>18931</v>
      </c>
      <c r="AD694" t="s">
        <v>3</v>
      </c>
      <c r="AE694">
        <v>48</v>
      </c>
      <c r="AF694">
        <v>8</v>
      </c>
      <c r="AH694" t="s">
        <v>2476</v>
      </c>
      <c r="AI694" t="s">
        <v>2475</v>
      </c>
      <c r="AK694" t="s">
        <v>2474</v>
      </c>
      <c r="AL694">
        <v>197</v>
      </c>
      <c r="AM694" s="5">
        <f t="shared" si="83"/>
        <v>8.954545454545455</v>
      </c>
      <c r="AN694" s="4">
        <f t="shared" si="84"/>
        <v>1.3562355856941242E-2</v>
      </c>
      <c r="AO694" s="3"/>
      <c r="AP694">
        <v>0</v>
      </c>
      <c r="AR694" t="s">
        <v>1</v>
      </c>
      <c r="AT694" s="2">
        <v>5.0830000000000002</v>
      </c>
      <c r="AU694" s="1">
        <f t="shared" si="85"/>
        <v>3.1499901866663</v>
      </c>
      <c r="AV694" s="1">
        <f t="shared" si="86"/>
        <v>2.6374888721028213</v>
      </c>
      <c r="AW694" s="1">
        <f t="shared" si="87"/>
        <v>2.1249875575393427</v>
      </c>
    </row>
    <row r="695" spans="1:49" x14ac:dyDescent="0.2">
      <c r="A695">
        <v>693</v>
      </c>
      <c r="B695" t="s">
        <v>2473</v>
      </c>
      <c r="C695" t="s">
        <v>2472</v>
      </c>
      <c r="F695" t="s">
        <v>2471</v>
      </c>
      <c r="G695" t="s">
        <v>9</v>
      </c>
      <c r="H695" t="s">
        <v>8</v>
      </c>
      <c r="I695" t="s">
        <v>946</v>
      </c>
      <c r="J695">
        <v>60110693</v>
      </c>
      <c r="K695" t="s">
        <v>190</v>
      </c>
      <c r="L695" t="s">
        <v>189</v>
      </c>
      <c r="M695" t="s">
        <v>105</v>
      </c>
      <c r="N695">
        <v>2</v>
      </c>
      <c r="O695" t="s">
        <v>945</v>
      </c>
      <c r="P695" t="s">
        <v>944</v>
      </c>
      <c r="Q695" t="s">
        <v>683</v>
      </c>
      <c r="R695" s="7">
        <v>36739</v>
      </c>
      <c r="S695" s="8">
        <f t="shared" si="80"/>
        <v>2000</v>
      </c>
      <c r="T695" s="8">
        <v>2000</v>
      </c>
      <c r="U695" s="8">
        <f t="shared" si="81"/>
        <v>22</v>
      </c>
      <c r="V695" s="7">
        <v>36739</v>
      </c>
      <c r="W695" t="s">
        <v>150</v>
      </c>
      <c r="X695" s="2">
        <v>0.30399999999999999</v>
      </c>
      <c r="Y695" s="6">
        <f t="shared" si="82"/>
        <v>8.115106377299057E-3</v>
      </c>
      <c r="AA695">
        <v>8952477</v>
      </c>
      <c r="AB695">
        <v>12250</v>
      </c>
      <c r="AD695" t="s">
        <v>3</v>
      </c>
      <c r="AE695">
        <v>26</v>
      </c>
      <c r="AF695">
        <v>4</v>
      </c>
      <c r="AH695" t="s">
        <v>2470</v>
      </c>
      <c r="AI695" t="s">
        <v>2469</v>
      </c>
      <c r="AK695" t="s">
        <v>2468</v>
      </c>
      <c r="AL695">
        <v>2</v>
      </c>
      <c r="AM695" s="5">
        <f t="shared" si="83"/>
        <v>9.0909090909090912E-2</v>
      </c>
      <c r="AN695" s="4">
        <f t="shared" si="84"/>
        <v>1.3768889194864205E-4</v>
      </c>
      <c r="AO695" s="3"/>
      <c r="AP695">
        <v>0</v>
      </c>
      <c r="AR695" t="s">
        <v>1</v>
      </c>
      <c r="AT695" s="2" t="s">
        <v>0</v>
      </c>
      <c r="AU695" s="1">
        <f t="shared" si="85"/>
        <v>0.57218811316939311</v>
      </c>
      <c r="AV695" s="1">
        <f t="shared" si="86"/>
        <v>0.41263976346238496</v>
      </c>
      <c r="AW695" s="1">
        <f t="shared" si="87"/>
        <v>0.25309141375537664</v>
      </c>
    </row>
    <row r="696" spans="1:49" x14ac:dyDescent="0.2">
      <c r="A696">
        <v>694</v>
      </c>
      <c r="B696" t="s">
        <v>2467</v>
      </c>
      <c r="C696" t="s">
        <v>2466</v>
      </c>
      <c r="F696" t="s">
        <v>2465</v>
      </c>
      <c r="G696" t="s">
        <v>9</v>
      </c>
      <c r="H696" t="s">
        <v>8</v>
      </c>
      <c r="I696" t="s">
        <v>2464</v>
      </c>
      <c r="J696">
        <v>60002014</v>
      </c>
      <c r="K696" t="s">
        <v>127</v>
      </c>
      <c r="L696" t="s">
        <v>126</v>
      </c>
      <c r="M696" t="s">
        <v>32</v>
      </c>
      <c r="N696">
        <v>2</v>
      </c>
      <c r="O696" t="s">
        <v>2463</v>
      </c>
      <c r="P696" t="s">
        <v>2462</v>
      </c>
      <c r="Q696" t="s">
        <v>125</v>
      </c>
      <c r="R696" s="7">
        <v>36739</v>
      </c>
      <c r="S696" s="8">
        <f t="shared" si="80"/>
        <v>2000</v>
      </c>
      <c r="T696" s="8">
        <v>2000</v>
      </c>
      <c r="U696" s="8">
        <f t="shared" si="81"/>
        <v>22</v>
      </c>
      <c r="V696" s="7">
        <v>36739</v>
      </c>
      <c r="W696" t="s">
        <v>322</v>
      </c>
      <c r="X696" s="2">
        <v>1.6379999999999999</v>
      </c>
      <c r="Y696" s="6">
        <f t="shared" si="82"/>
        <v>4.3725474493473214E-2</v>
      </c>
      <c r="AA696" t="s">
        <v>321</v>
      </c>
      <c r="AB696">
        <v>17391</v>
      </c>
      <c r="AD696" t="s">
        <v>3</v>
      </c>
      <c r="AE696">
        <v>48</v>
      </c>
      <c r="AF696">
        <v>8</v>
      </c>
      <c r="AH696" t="s">
        <v>2461</v>
      </c>
      <c r="AI696" t="s">
        <v>2460</v>
      </c>
      <c r="AK696" t="s">
        <v>2459</v>
      </c>
      <c r="AL696">
        <v>136</v>
      </c>
      <c r="AM696" s="5">
        <f t="shared" si="83"/>
        <v>6.1818181818181817</v>
      </c>
      <c r="AN696" s="4">
        <f t="shared" si="84"/>
        <v>9.3628446525076594E-3</v>
      </c>
      <c r="AO696" s="3"/>
      <c r="AP696">
        <v>0</v>
      </c>
      <c r="AR696" t="s">
        <v>1</v>
      </c>
      <c r="AT696" s="2">
        <v>4.931</v>
      </c>
      <c r="AU696" s="1">
        <f t="shared" si="85"/>
        <v>3.3416685541183542</v>
      </c>
      <c r="AV696" s="1">
        <f t="shared" si="86"/>
        <v>2.6544159572990438</v>
      </c>
      <c r="AW696" s="1">
        <f t="shared" si="87"/>
        <v>1.9671633604797325</v>
      </c>
    </row>
    <row r="697" spans="1:49" x14ac:dyDescent="0.2">
      <c r="A697">
        <v>695</v>
      </c>
      <c r="B697" t="s">
        <v>2458</v>
      </c>
      <c r="F697" t="s">
        <v>2457</v>
      </c>
      <c r="G697" t="s">
        <v>9</v>
      </c>
      <c r="H697" t="s">
        <v>8</v>
      </c>
      <c r="I697" t="s">
        <v>2456</v>
      </c>
      <c r="J697">
        <v>60091379</v>
      </c>
      <c r="K697" t="s">
        <v>2455</v>
      </c>
      <c r="L697" t="s">
        <v>2454</v>
      </c>
      <c r="M697" t="s">
        <v>5</v>
      </c>
      <c r="N697">
        <v>1</v>
      </c>
      <c r="O697" t="s">
        <v>2453</v>
      </c>
      <c r="P697">
        <v>6602430830</v>
      </c>
      <c r="Q697">
        <v>60091379</v>
      </c>
      <c r="R697" s="7">
        <v>36739</v>
      </c>
      <c r="S697" s="8">
        <f t="shared" si="80"/>
        <v>2000</v>
      </c>
      <c r="T697" s="8">
        <v>2000</v>
      </c>
      <c r="U697" s="8">
        <f t="shared" si="81"/>
        <v>22</v>
      </c>
      <c r="V697" s="7">
        <v>36739</v>
      </c>
      <c r="W697" t="s">
        <v>2452</v>
      </c>
      <c r="X697" s="2" t="s">
        <v>0</v>
      </c>
      <c r="Y697" s="6" t="e">
        <f t="shared" si="82"/>
        <v>#VALUE!</v>
      </c>
      <c r="AA697">
        <v>87551985</v>
      </c>
      <c r="AB697">
        <v>12727</v>
      </c>
      <c r="AD697" t="s">
        <v>3</v>
      </c>
      <c r="AE697">
        <v>17</v>
      </c>
      <c r="AF697">
        <v>8</v>
      </c>
      <c r="AI697" t="s">
        <v>2451</v>
      </c>
      <c r="AK697" t="s">
        <v>2450</v>
      </c>
      <c r="AL697">
        <v>0</v>
      </c>
      <c r="AM697" s="5">
        <f t="shared" si="83"/>
        <v>0</v>
      </c>
      <c r="AN697" s="4">
        <f t="shared" si="84"/>
        <v>0</v>
      </c>
      <c r="AO697" s="3"/>
      <c r="AP697">
        <v>0</v>
      </c>
      <c r="AR697" t="s">
        <v>1</v>
      </c>
      <c r="AT697" s="2" t="s">
        <v>0</v>
      </c>
      <c r="AU697" s="1" t="e">
        <f t="shared" si="85"/>
        <v>#VALUE!</v>
      </c>
      <c r="AV697" s="1" t="e">
        <f t="shared" si="86"/>
        <v>#VALUE!</v>
      </c>
      <c r="AW697" s="1" t="e">
        <f t="shared" si="87"/>
        <v>#VALUE!</v>
      </c>
    </row>
    <row r="698" spans="1:49" x14ac:dyDescent="0.2">
      <c r="A698">
        <v>696</v>
      </c>
      <c r="B698" t="s">
        <v>2449</v>
      </c>
      <c r="C698" t="s">
        <v>2448</v>
      </c>
      <c r="F698" t="s">
        <v>2447</v>
      </c>
      <c r="G698" t="s">
        <v>9</v>
      </c>
      <c r="H698" t="s">
        <v>8</v>
      </c>
      <c r="I698" t="s">
        <v>2446</v>
      </c>
      <c r="J698">
        <v>60031155</v>
      </c>
      <c r="K698" t="s">
        <v>2445</v>
      </c>
      <c r="L698" t="s">
        <v>2444</v>
      </c>
      <c r="M698" t="s">
        <v>357</v>
      </c>
      <c r="N698">
        <v>3</v>
      </c>
      <c r="O698" t="s">
        <v>2443</v>
      </c>
      <c r="P698" t="s">
        <v>2442</v>
      </c>
      <c r="Q698" t="s">
        <v>2441</v>
      </c>
      <c r="R698" s="7">
        <v>36739</v>
      </c>
      <c r="S698" s="8">
        <f t="shared" si="80"/>
        <v>2000</v>
      </c>
      <c r="T698" s="8">
        <v>2000</v>
      </c>
      <c r="U698" s="8">
        <f t="shared" si="81"/>
        <v>22</v>
      </c>
      <c r="V698" s="7">
        <v>36739</v>
      </c>
      <c r="W698" t="s">
        <v>2440</v>
      </c>
      <c r="X698" s="2">
        <v>0.76700000000000002</v>
      </c>
      <c r="Y698" s="6">
        <f t="shared" si="82"/>
        <v>2.0474626945356504E-2</v>
      </c>
      <c r="AA698">
        <v>983063</v>
      </c>
      <c r="AB698">
        <v>26048</v>
      </c>
      <c r="AD698" t="s">
        <v>3</v>
      </c>
      <c r="AE698">
        <v>46</v>
      </c>
      <c r="AF698">
        <v>3</v>
      </c>
      <c r="AH698" t="s">
        <v>2439</v>
      </c>
      <c r="AI698" t="s">
        <v>2438</v>
      </c>
      <c r="AK698" t="s">
        <v>2437</v>
      </c>
      <c r="AL698">
        <v>10</v>
      </c>
      <c r="AM698" s="5">
        <f t="shared" si="83"/>
        <v>0.45454545454545453</v>
      </c>
      <c r="AN698" s="4">
        <f t="shared" si="84"/>
        <v>6.8844445974321016E-4</v>
      </c>
      <c r="AO698" s="3"/>
      <c r="AP698">
        <v>0</v>
      </c>
      <c r="AR698" t="s">
        <v>1</v>
      </c>
      <c r="AT698" s="2" t="s">
        <v>0</v>
      </c>
      <c r="AU698" s="1">
        <f t="shared" si="85"/>
        <v>1.4538772199672514</v>
      </c>
      <c r="AV698" s="1">
        <f t="shared" si="86"/>
        <v>1.0581535702549856</v>
      </c>
      <c r="AW698" s="1">
        <f t="shared" si="87"/>
        <v>0.66242992054271976</v>
      </c>
    </row>
    <row r="699" spans="1:49" x14ac:dyDescent="0.2">
      <c r="A699">
        <v>697</v>
      </c>
      <c r="B699" t="s">
        <v>2436</v>
      </c>
      <c r="C699" t="s">
        <v>2435</v>
      </c>
      <c r="F699" t="s">
        <v>2434</v>
      </c>
      <c r="G699" t="s">
        <v>9</v>
      </c>
      <c r="H699" t="s">
        <v>8</v>
      </c>
      <c r="I699" t="s">
        <v>2433</v>
      </c>
      <c r="J699" t="s">
        <v>2432</v>
      </c>
      <c r="K699" t="s">
        <v>2431</v>
      </c>
      <c r="L699" t="s">
        <v>2430</v>
      </c>
      <c r="M699" t="s">
        <v>1791</v>
      </c>
      <c r="N699">
        <v>13</v>
      </c>
      <c r="O699" t="s">
        <v>2429</v>
      </c>
      <c r="P699" t="s">
        <v>2428</v>
      </c>
      <c r="Q699" t="s">
        <v>2427</v>
      </c>
      <c r="R699" s="7">
        <v>36739</v>
      </c>
      <c r="S699" s="8">
        <f t="shared" si="80"/>
        <v>2000</v>
      </c>
      <c r="T699" s="8">
        <v>2000</v>
      </c>
      <c r="U699" s="8">
        <f t="shared" si="81"/>
        <v>22</v>
      </c>
      <c r="V699" s="7">
        <v>36739</v>
      </c>
      <c r="W699" t="s">
        <v>297</v>
      </c>
      <c r="X699" s="2">
        <v>1.3720000000000001</v>
      </c>
      <c r="Y699" s="6">
        <f t="shared" si="82"/>
        <v>3.662475641333654E-2</v>
      </c>
      <c r="AA699">
        <v>189480</v>
      </c>
      <c r="AB699">
        <v>17366</v>
      </c>
      <c r="AD699" t="s">
        <v>3</v>
      </c>
      <c r="AE699">
        <v>48</v>
      </c>
      <c r="AF699">
        <v>8</v>
      </c>
      <c r="AH699" t="s">
        <v>2426</v>
      </c>
      <c r="AI699" t="s">
        <v>2425</v>
      </c>
      <c r="AK699" t="s">
        <v>2424</v>
      </c>
      <c r="AL699">
        <v>84</v>
      </c>
      <c r="AM699" s="5">
        <f t="shared" si="83"/>
        <v>3.8181818181818183</v>
      </c>
      <c r="AN699" s="4">
        <f t="shared" si="84"/>
        <v>5.7829334618429663E-3</v>
      </c>
      <c r="AO699" s="3"/>
      <c r="AP699">
        <v>0</v>
      </c>
      <c r="AQ699" t="s">
        <v>207</v>
      </c>
      <c r="AR699" t="s">
        <v>1</v>
      </c>
      <c r="AS699" t="s">
        <v>206</v>
      </c>
      <c r="AT699" s="2" t="s">
        <v>0</v>
      </c>
      <c r="AU699" s="1">
        <f t="shared" si="85"/>
        <v>2.7372209527888467</v>
      </c>
      <c r="AV699" s="1">
        <f t="shared" si="86"/>
        <v>2.1203844937589751</v>
      </c>
      <c r="AW699" s="1">
        <f t="shared" si="87"/>
        <v>1.5035480347291039</v>
      </c>
    </row>
    <row r="700" spans="1:49" x14ac:dyDescent="0.2">
      <c r="A700">
        <v>698</v>
      </c>
      <c r="B700" t="s">
        <v>2423</v>
      </c>
      <c r="C700" t="s">
        <v>2422</v>
      </c>
      <c r="F700" t="s">
        <v>2421</v>
      </c>
      <c r="G700" t="s">
        <v>9</v>
      </c>
      <c r="H700" t="s">
        <v>8</v>
      </c>
      <c r="I700" t="s">
        <v>2420</v>
      </c>
      <c r="J700">
        <v>60004835</v>
      </c>
      <c r="K700" t="s">
        <v>2419</v>
      </c>
      <c r="L700" t="s">
        <v>61</v>
      </c>
      <c r="M700" t="s">
        <v>5</v>
      </c>
      <c r="N700">
        <v>1</v>
      </c>
      <c r="O700" t="s">
        <v>2418</v>
      </c>
      <c r="P700">
        <v>6506656074</v>
      </c>
      <c r="Q700">
        <v>60004835</v>
      </c>
      <c r="R700" s="7">
        <v>36739</v>
      </c>
      <c r="S700" s="8">
        <f t="shared" si="80"/>
        <v>2000</v>
      </c>
      <c r="T700" s="8">
        <v>2000</v>
      </c>
      <c r="U700" s="8">
        <f t="shared" si="81"/>
        <v>22</v>
      </c>
      <c r="V700" s="7">
        <v>36739</v>
      </c>
      <c r="W700" t="s">
        <v>473</v>
      </c>
      <c r="X700" s="2">
        <v>0.88100000000000001</v>
      </c>
      <c r="Y700" s="6">
        <f t="shared" si="82"/>
        <v>2.3517791836843653E-2</v>
      </c>
      <c r="AA700">
        <v>10459243</v>
      </c>
      <c r="AB700">
        <v>17248</v>
      </c>
      <c r="AD700" t="s">
        <v>3</v>
      </c>
      <c r="AE700">
        <v>42</v>
      </c>
      <c r="AF700">
        <v>4</v>
      </c>
      <c r="AH700" s="9">
        <v>12663</v>
      </c>
      <c r="AI700" t="s">
        <v>2417</v>
      </c>
      <c r="AK700" t="s">
        <v>2416</v>
      </c>
      <c r="AL700">
        <v>33</v>
      </c>
      <c r="AM700" s="5">
        <f t="shared" si="83"/>
        <v>1.5</v>
      </c>
      <c r="AN700" s="4">
        <f t="shared" si="84"/>
        <v>2.2718667171525938E-3</v>
      </c>
      <c r="AO700" s="3"/>
      <c r="AP700">
        <v>0</v>
      </c>
      <c r="AR700" t="s">
        <v>1</v>
      </c>
      <c r="AT700" s="2" t="s">
        <v>0</v>
      </c>
      <c r="AU700" s="1">
        <f t="shared" si="85"/>
        <v>1.7144014300936334</v>
      </c>
      <c r="AV700" s="1">
        <f t="shared" si="86"/>
        <v>1.2894829276998123</v>
      </c>
      <c r="AW700" s="1">
        <f t="shared" si="87"/>
        <v>0.86456442530599109</v>
      </c>
    </row>
    <row r="701" spans="1:49" x14ac:dyDescent="0.2">
      <c r="A701">
        <v>699</v>
      </c>
      <c r="B701" t="s">
        <v>2415</v>
      </c>
      <c r="C701" t="s">
        <v>2414</v>
      </c>
      <c r="F701" t="s">
        <v>2413</v>
      </c>
      <c r="G701" t="s">
        <v>9</v>
      </c>
      <c r="H701" t="s">
        <v>8</v>
      </c>
      <c r="I701" t="s">
        <v>2412</v>
      </c>
      <c r="J701" t="s">
        <v>2411</v>
      </c>
      <c r="K701" t="s">
        <v>2410</v>
      </c>
      <c r="L701" t="s">
        <v>2409</v>
      </c>
      <c r="M701" t="s">
        <v>274</v>
      </c>
      <c r="N701">
        <v>2</v>
      </c>
      <c r="O701" t="s">
        <v>2408</v>
      </c>
      <c r="P701" t="s">
        <v>2407</v>
      </c>
      <c r="Q701" t="s">
        <v>2406</v>
      </c>
      <c r="R701" s="7">
        <v>36739</v>
      </c>
      <c r="S701" s="8">
        <f t="shared" si="80"/>
        <v>2000</v>
      </c>
      <c r="T701" s="8">
        <v>2000</v>
      </c>
      <c r="U701" s="8">
        <f t="shared" si="81"/>
        <v>22</v>
      </c>
      <c r="V701" s="7">
        <v>36739</v>
      </c>
      <c r="W701" t="s">
        <v>297</v>
      </c>
      <c r="X701" s="2">
        <v>1.3720000000000001</v>
      </c>
      <c r="Y701" s="6">
        <f t="shared" si="82"/>
        <v>3.662475641333654E-2</v>
      </c>
      <c r="AA701">
        <v>189480</v>
      </c>
      <c r="AB701">
        <v>17366</v>
      </c>
      <c r="AD701" t="s">
        <v>3</v>
      </c>
      <c r="AE701">
        <v>48</v>
      </c>
      <c r="AF701">
        <v>8</v>
      </c>
      <c r="AH701" t="s">
        <v>2405</v>
      </c>
      <c r="AI701" t="s">
        <v>2404</v>
      </c>
      <c r="AK701" t="s">
        <v>2403</v>
      </c>
      <c r="AL701">
        <v>7</v>
      </c>
      <c r="AM701" s="5">
        <f t="shared" si="83"/>
        <v>0.31818181818181818</v>
      </c>
      <c r="AN701" s="4">
        <f t="shared" si="84"/>
        <v>4.8191112182024716E-4</v>
      </c>
      <c r="AO701" s="3"/>
      <c r="AP701">
        <v>0</v>
      </c>
      <c r="AR701" t="s">
        <v>2402</v>
      </c>
      <c r="AT701" s="2" t="s">
        <v>0</v>
      </c>
      <c r="AU701" s="1">
        <f t="shared" si="85"/>
        <v>2.5781902825881651</v>
      </c>
      <c r="AV701" s="1">
        <f t="shared" si="86"/>
        <v>1.8553333767578395</v>
      </c>
      <c r="AW701" s="1">
        <f t="shared" si="87"/>
        <v>1.1324764709275137</v>
      </c>
    </row>
    <row r="702" spans="1:49" x14ac:dyDescent="0.2">
      <c r="A702">
        <v>700</v>
      </c>
      <c r="B702" t="s">
        <v>2401</v>
      </c>
      <c r="C702" t="s">
        <v>2400</v>
      </c>
      <c r="F702" t="s">
        <v>2399</v>
      </c>
      <c r="G702" t="s">
        <v>9</v>
      </c>
      <c r="H702" t="s">
        <v>8</v>
      </c>
      <c r="I702" t="s">
        <v>2398</v>
      </c>
      <c r="J702" t="s">
        <v>2397</v>
      </c>
      <c r="K702" t="s">
        <v>2396</v>
      </c>
      <c r="L702" t="s">
        <v>2395</v>
      </c>
      <c r="M702" t="s">
        <v>633</v>
      </c>
      <c r="N702">
        <v>3</v>
      </c>
      <c r="O702" t="s">
        <v>2394</v>
      </c>
      <c r="P702" t="s">
        <v>2393</v>
      </c>
      <c r="Q702" t="s">
        <v>2392</v>
      </c>
      <c r="R702" s="7">
        <v>36739</v>
      </c>
      <c r="S702" s="8">
        <f t="shared" si="80"/>
        <v>2000</v>
      </c>
      <c r="T702" s="8">
        <v>2000</v>
      </c>
      <c r="U702" s="8">
        <f t="shared" si="81"/>
        <v>22</v>
      </c>
      <c r="V702" s="7">
        <v>36739</v>
      </c>
      <c r="W702" t="s">
        <v>473</v>
      </c>
      <c r="X702" s="2">
        <v>0.88100000000000001</v>
      </c>
      <c r="Y702" s="6">
        <f t="shared" si="82"/>
        <v>2.3517791836843653E-2</v>
      </c>
      <c r="AA702">
        <v>10459243</v>
      </c>
      <c r="AB702">
        <v>17248</v>
      </c>
      <c r="AD702" t="s">
        <v>3</v>
      </c>
      <c r="AE702">
        <v>42</v>
      </c>
      <c r="AF702">
        <v>4</v>
      </c>
      <c r="AH702" t="s">
        <v>896</v>
      </c>
      <c r="AI702" t="s">
        <v>2391</v>
      </c>
      <c r="AK702" t="s">
        <v>2390</v>
      </c>
      <c r="AL702">
        <v>28</v>
      </c>
      <c r="AM702" s="5">
        <f t="shared" si="83"/>
        <v>1.2727272727272727</v>
      </c>
      <c r="AN702" s="4">
        <f t="shared" si="84"/>
        <v>1.9276444872809886E-3</v>
      </c>
      <c r="AO702" s="3"/>
      <c r="AP702">
        <v>0</v>
      </c>
      <c r="AQ702" t="s">
        <v>2389</v>
      </c>
      <c r="AR702" t="s">
        <v>1</v>
      </c>
      <c r="AS702" t="s">
        <v>2388</v>
      </c>
      <c r="AT702" s="2" t="s">
        <v>0</v>
      </c>
      <c r="AU702" s="1">
        <f t="shared" si="85"/>
        <v>1.7040747631974853</v>
      </c>
      <c r="AV702" s="1">
        <f t="shared" si="86"/>
        <v>1.2722718162062321</v>
      </c>
      <c r="AW702" s="1">
        <f t="shared" si="87"/>
        <v>0.84046886921497876</v>
      </c>
    </row>
    <row r="703" spans="1:49" x14ac:dyDescent="0.2">
      <c r="A703">
        <v>701</v>
      </c>
      <c r="B703" t="s">
        <v>2387</v>
      </c>
      <c r="C703" t="s">
        <v>2386</v>
      </c>
      <c r="F703" t="s">
        <v>2385</v>
      </c>
      <c r="G703" t="s">
        <v>9</v>
      </c>
      <c r="H703" t="s">
        <v>8</v>
      </c>
      <c r="I703" t="s">
        <v>2384</v>
      </c>
      <c r="J703">
        <v>60021097</v>
      </c>
      <c r="K703" t="s">
        <v>2383</v>
      </c>
      <c r="L703" t="s">
        <v>2382</v>
      </c>
      <c r="M703" t="s">
        <v>87</v>
      </c>
      <c r="N703">
        <v>4</v>
      </c>
      <c r="O703" t="s">
        <v>2381</v>
      </c>
      <c r="P703" t="s">
        <v>2380</v>
      </c>
      <c r="Q703" t="s">
        <v>2379</v>
      </c>
      <c r="R703" s="7">
        <v>36739</v>
      </c>
      <c r="S703" s="8">
        <f t="shared" si="80"/>
        <v>2000</v>
      </c>
      <c r="T703" s="8">
        <v>2000</v>
      </c>
      <c r="U703" s="8">
        <f t="shared" si="81"/>
        <v>22</v>
      </c>
      <c r="V703" s="7">
        <v>36739</v>
      </c>
      <c r="W703" s="11" t="s">
        <v>253</v>
      </c>
      <c r="X703" s="2">
        <v>2.383</v>
      </c>
      <c r="Y703" s="6">
        <f t="shared" si="82"/>
        <v>6.3612824003630442E-2</v>
      </c>
      <c r="AA703">
        <v>13502417</v>
      </c>
      <c r="AB703">
        <v>17416</v>
      </c>
      <c r="AD703" t="s">
        <v>3</v>
      </c>
      <c r="AE703">
        <v>147</v>
      </c>
      <c r="AF703">
        <v>4</v>
      </c>
      <c r="AH703" t="s">
        <v>439</v>
      </c>
      <c r="AI703" t="s">
        <v>2378</v>
      </c>
      <c r="AK703" t="s">
        <v>2377</v>
      </c>
      <c r="AL703">
        <v>6</v>
      </c>
      <c r="AM703" s="5">
        <f t="shared" si="83"/>
        <v>0.27272727272727271</v>
      </c>
      <c r="AN703" s="4">
        <f t="shared" si="84"/>
        <v>4.1306667584592612E-4</v>
      </c>
      <c r="AO703" s="3"/>
      <c r="AP703">
        <v>0</v>
      </c>
      <c r="AR703" t="s">
        <v>1</v>
      </c>
      <c r="AT703" s="2" t="s">
        <v>0</v>
      </c>
      <c r="AU703" s="1">
        <f t="shared" si="85"/>
        <v>4.4652896805295086</v>
      </c>
      <c r="AV703" s="1">
        <f t="shared" si="86"/>
        <v>3.2012945339738184</v>
      </c>
      <c r="AW703" s="1">
        <f t="shared" si="87"/>
        <v>1.9372993874181281</v>
      </c>
    </row>
    <row r="704" spans="1:49" x14ac:dyDescent="0.2">
      <c r="A704">
        <v>702</v>
      </c>
      <c r="B704" t="s">
        <v>2376</v>
      </c>
      <c r="C704" t="s">
        <v>2375</v>
      </c>
      <c r="F704" t="s">
        <v>2374</v>
      </c>
      <c r="G704" t="s">
        <v>9</v>
      </c>
      <c r="H704" t="s">
        <v>8</v>
      </c>
      <c r="I704" t="s">
        <v>901</v>
      </c>
      <c r="J704">
        <v>60011357</v>
      </c>
      <c r="K704" t="s">
        <v>216</v>
      </c>
      <c r="L704" t="s">
        <v>215</v>
      </c>
      <c r="M704" t="s">
        <v>214</v>
      </c>
      <c r="N704">
        <v>3</v>
      </c>
      <c r="O704" t="s">
        <v>2373</v>
      </c>
      <c r="P704" t="s">
        <v>2372</v>
      </c>
      <c r="Q704" t="s">
        <v>268</v>
      </c>
      <c r="R704" s="7">
        <v>36739</v>
      </c>
      <c r="S704" s="8">
        <f t="shared" si="80"/>
        <v>2000</v>
      </c>
      <c r="T704" s="8">
        <v>2000</v>
      </c>
      <c r="U704" s="8">
        <f t="shared" si="81"/>
        <v>22</v>
      </c>
      <c r="V704" s="7">
        <v>36739</v>
      </c>
      <c r="W704" t="s">
        <v>150</v>
      </c>
      <c r="X704" s="2">
        <v>0.30399999999999999</v>
      </c>
      <c r="Y704" s="6">
        <f t="shared" si="82"/>
        <v>8.115106377299057E-3</v>
      </c>
      <c r="AA704">
        <v>8952477</v>
      </c>
      <c r="AB704">
        <v>12250</v>
      </c>
      <c r="AD704" t="s">
        <v>3</v>
      </c>
      <c r="AE704">
        <v>26</v>
      </c>
      <c r="AF704">
        <v>4</v>
      </c>
      <c r="AH704" t="s">
        <v>2371</v>
      </c>
      <c r="AI704" t="s">
        <v>2370</v>
      </c>
      <c r="AK704" t="s">
        <v>2369</v>
      </c>
      <c r="AL704">
        <v>14</v>
      </c>
      <c r="AM704" s="5">
        <f t="shared" si="83"/>
        <v>0.63636363636363635</v>
      </c>
      <c r="AN704" s="4">
        <f t="shared" si="84"/>
        <v>9.6382224364049431E-4</v>
      </c>
      <c r="AO704" s="3"/>
      <c r="AP704">
        <v>0</v>
      </c>
      <c r="AR704" t="s">
        <v>1</v>
      </c>
      <c r="AT704" s="2" t="s">
        <v>0</v>
      </c>
      <c r="AU704" s="1">
        <f t="shared" si="85"/>
        <v>0.5969721137201488</v>
      </c>
      <c r="AV704" s="1">
        <f t="shared" si="86"/>
        <v>0.45394643104697757</v>
      </c>
      <c r="AW704" s="1">
        <f t="shared" si="87"/>
        <v>0.31092074837380634</v>
      </c>
    </row>
    <row r="705" spans="1:49" x14ac:dyDescent="0.2">
      <c r="A705">
        <v>703</v>
      </c>
      <c r="B705" t="s">
        <v>2368</v>
      </c>
      <c r="C705" t="s">
        <v>2367</v>
      </c>
      <c r="F705" t="s">
        <v>2366</v>
      </c>
      <c r="G705" t="s">
        <v>9</v>
      </c>
      <c r="H705" t="s">
        <v>8</v>
      </c>
      <c r="I705" t="s">
        <v>2365</v>
      </c>
      <c r="J705">
        <v>60009254</v>
      </c>
      <c r="K705" t="s">
        <v>136</v>
      </c>
      <c r="L705" t="s">
        <v>135</v>
      </c>
      <c r="M705" t="s">
        <v>5</v>
      </c>
      <c r="N705">
        <v>2</v>
      </c>
      <c r="O705" t="s">
        <v>2364</v>
      </c>
      <c r="P705" t="s">
        <v>2363</v>
      </c>
      <c r="Q705" t="s">
        <v>509</v>
      </c>
      <c r="R705" s="7">
        <v>36739</v>
      </c>
      <c r="S705" s="8">
        <f t="shared" si="80"/>
        <v>2000</v>
      </c>
      <c r="T705" s="8">
        <v>2000</v>
      </c>
      <c r="U705" s="8">
        <f t="shared" si="81"/>
        <v>22</v>
      </c>
      <c r="V705" s="7">
        <v>36739</v>
      </c>
      <c r="W705" t="s">
        <v>403</v>
      </c>
      <c r="X705" s="2">
        <v>2.9860000000000002</v>
      </c>
      <c r="Y705" s="6">
        <f t="shared" si="82"/>
        <v>7.9709564613865094E-2</v>
      </c>
      <c r="AA705">
        <v>7338716</v>
      </c>
      <c r="AB705">
        <v>18902</v>
      </c>
      <c r="AD705" t="s">
        <v>3</v>
      </c>
      <c r="AE705">
        <v>18</v>
      </c>
      <c r="AF705">
        <v>8</v>
      </c>
      <c r="AH705" t="s">
        <v>2362</v>
      </c>
      <c r="AI705" t="s">
        <v>2361</v>
      </c>
      <c r="AK705" t="s">
        <v>2360</v>
      </c>
      <c r="AL705">
        <v>9</v>
      </c>
      <c r="AM705" s="5">
        <f t="shared" si="83"/>
        <v>0.40909090909090912</v>
      </c>
      <c r="AN705" s="4">
        <f t="shared" si="84"/>
        <v>6.1960001376888923E-4</v>
      </c>
      <c r="AO705" s="3"/>
      <c r="AP705">
        <v>0</v>
      </c>
      <c r="AQ705" t="s">
        <v>571</v>
      </c>
      <c r="AR705" t="s">
        <v>2359</v>
      </c>
      <c r="AS705" t="s">
        <v>570</v>
      </c>
      <c r="AT705" s="2" t="s">
        <v>0</v>
      </c>
      <c r="AU705" s="1">
        <f t="shared" si="85"/>
        <v>5.5982575233836229</v>
      </c>
      <c r="AV705" s="1">
        <f t="shared" si="86"/>
        <v>4.0164582313816988</v>
      </c>
      <c r="AW705" s="1">
        <f t="shared" si="87"/>
        <v>2.4346589393797751</v>
      </c>
    </row>
    <row r="706" spans="1:49" x14ac:dyDescent="0.2">
      <c r="A706">
        <v>704</v>
      </c>
      <c r="B706" t="s">
        <v>2358</v>
      </c>
      <c r="C706" t="s">
        <v>2357</v>
      </c>
      <c r="F706" t="s">
        <v>2356</v>
      </c>
      <c r="G706" t="s">
        <v>9</v>
      </c>
      <c r="H706" t="s">
        <v>8</v>
      </c>
      <c r="I706" t="s">
        <v>2355</v>
      </c>
      <c r="J706">
        <v>60022476</v>
      </c>
      <c r="K706" t="s">
        <v>2354</v>
      </c>
      <c r="L706" t="s">
        <v>61</v>
      </c>
      <c r="M706" t="s">
        <v>5</v>
      </c>
      <c r="N706">
        <v>1</v>
      </c>
      <c r="O706" t="s">
        <v>2353</v>
      </c>
      <c r="P706">
        <v>7006956510</v>
      </c>
      <c r="Q706">
        <v>60022476</v>
      </c>
      <c r="R706" s="7">
        <v>36739</v>
      </c>
      <c r="S706" s="8">
        <f t="shared" ref="S706:S769" si="88">YEAR(R706)</f>
        <v>2000</v>
      </c>
      <c r="T706" s="8">
        <v>2000</v>
      </c>
      <c r="U706" s="8">
        <f t="shared" ref="U706:U769" si="89">2022-T706</f>
        <v>22</v>
      </c>
      <c r="V706" s="7">
        <v>36739</v>
      </c>
      <c r="W706" t="s">
        <v>452</v>
      </c>
      <c r="X706" s="2">
        <v>2.823</v>
      </c>
      <c r="Y706" s="6">
        <f t="shared" ref="Y706:Y769" si="90">(X706-$Z$3)/($Z$2-$Z$3)</f>
        <v>7.5358372707615917E-2</v>
      </c>
      <c r="AA706">
        <v>1636804</v>
      </c>
      <c r="AB706">
        <v>17249</v>
      </c>
      <c r="AD706" t="s">
        <v>3</v>
      </c>
      <c r="AE706">
        <v>38</v>
      </c>
      <c r="AF706">
        <v>8</v>
      </c>
      <c r="AH706" t="s">
        <v>2352</v>
      </c>
      <c r="AI706" t="s">
        <v>2351</v>
      </c>
      <c r="AK706" t="s">
        <v>2350</v>
      </c>
      <c r="AL706">
        <v>15</v>
      </c>
      <c r="AM706" s="5">
        <f t="shared" ref="AM706:AM769" si="91">AL706/U706</f>
        <v>0.68181818181818177</v>
      </c>
      <c r="AN706" s="4">
        <f t="shared" ref="AN706:AN769" si="92">(AM706-$AO$3)/($AO$2-$AO$3)</f>
        <v>1.0326666896148153E-3</v>
      </c>
      <c r="AO706" s="3"/>
      <c r="AP706">
        <v>0</v>
      </c>
      <c r="AR706" t="s">
        <v>1</v>
      </c>
      <c r="AT706" s="2">
        <v>9.6189999999999998</v>
      </c>
      <c r="AU706" s="1">
        <f t="shared" ref="AU706:AU769" si="93">(Y706*0.7+AN706*0.3)*100</f>
        <v>5.3060660902215586</v>
      </c>
      <c r="AV706" s="1">
        <f t="shared" ref="AV706:AV769" si="94">(Y706*0.5+AN706*0.5)*100</f>
        <v>3.8195519698615366</v>
      </c>
      <c r="AW706" s="1">
        <f t="shared" ref="AW706:AW769" si="95">(Y706*0.3+AN706*0.7)*100</f>
        <v>2.3330378495015145</v>
      </c>
    </row>
    <row r="707" spans="1:49" x14ac:dyDescent="0.2">
      <c r="A707">
        <v>705</v>
      </c>
      <c r="B707" t="s">
        <v>2349</v>
      </c>
      <c r="C707" t="s">
        <v>2348</v>
      </c>
      <c r="F707" t="s">
        <v>2347</v>
      </c>
      <c r="G707" t="s">
        <v>9</v>
      </c>
      <c r="H707" t="s">
        <v>8</v>
      </c>
      <c r="I707" t="s">
        <v>2346</v>
      </c>
      <c r="J707" t="s">
        <v>2345</v>
      </c>
      <c r="K707" t="s">
        <v>2344</v>
      </c>
      <c r="L707" t="s">
        <v>2343</v>
      </c>
      <c r="M707" t="s">
        <v>181</v>
      </c>
      <c r="N707">
        <v>2</v>
      </c>
      <c r="O707" t="s">
        <v>2342</v>
      </c>
      <c r="P707" t="s">
        <v>2341</v>
      </c>
      <c r="Q707" t="s">
        <v>2340</v>
      </c>
      <c r="R707" s="7">
        <v>36739</v>
      </c>
      <c r="S707" s="8">
        <f t="shared" si="88"/>
        <v>2000</v>
      </c>
      <c r="T707" s="8">
        <v>2000</v>
      </c>
      <c r="U707" s="8">
        <f t="shared" si="89"/>
        <v>22</v>
      </c>
      <c r="V707" s="7">
        <v>36739</v>
      </c>
      <c r="W707" s="11" t="s">
        <v>253</v>
      </c>
      <c r="X707" s="2">
        <v>2.383</v>
      </c>
      <c r="Y707" s="6">
        <f t="shared" si="90"/>
        <v>6.3612824003630442E-2</v>
      </c>
      <c r="AA707">
        <v>13502417</v>
      </c>
      <c r="AB707">
        <v>17416</v>
      </c>
      <c r="AD707" t="s">
        <v>3</v>
      </c>
      <c r="AE707">
        <v>147</v>
      </c>
      <c r="AF707">
        <v>4</v>
      </c>
      <c r="AH707" t="s">
        <v>2339</v>
      </c>
      <c r="AI707" t="s">
        <v>2338</v>
      </c>
      <c r="AK707" t="s">
        <v>2337</v>
      </c>
      <c r="AL707">
        <v>20</v>
      </c>
      <c r="AM707" s="5">
        <f t="shared" si="91"/>
        <v>0.90909090909090906</v>
      </c>
      <c r="AN707" s="4">
        <f t="shared" si="92"/>
        <v>1.3768889194864203E-3</v>
      </c>
      <c r="AO707" s="3"/>
      <c r="AP707">
        <v>0</v>
      </c>
      <c r="AR707" t="s">
        <v>1</v>
      </c>
      <c r="AT707" s="2" t="s">
        <v>0</v>
      </c>
      <c r="AU707" s="1">
        <f t="shared" si="93"/>
        <v>4.494204347838723</v>
      </c>
      <c r="AV707" s="1">
        <f t="shared" si="94"/>
        <v>3.2494856461558435</v>
      </c>
      <c r="AW707" s="1">
        <f t="shared" si="95"/>
        <v>2.0047669444729626</v>
      </c>
    </row>
    <row r="708" spans="1:49" x14ac:dyDescent="0.2">
      <c r="A708">
        <v>706</v>
      </c>
      <c r="B708" t="s">
        <v>2336</v>
      </c>
      <c r="C708" t="s">
        <v>2335</v>
      </c>
      <c r="F708" t="s">
        <v>2334</v>
      </c>
      <c r="G708" t="s">
        <v>9</v>
      </c>
      <c r="H708" t="s">
        <v>8</v>
      </c>
      <c r="I708" t="s">
        <v>2333</v>
      </c>
      <c r="J708">
        <v>60030824</v>
      </c>
      <c r="K708" t="s">
        <v>2332</v>
      </c>
      <c r="L708" t="s">
        <v>2331</v>
      </c>
      <c r="M708" t="s">
        <v>5</v>
      </c>
      <c r="N708">
        <v>5</v>
      </c>
      <c r="O708" t="s">
        <v>2330</v>
      </c>
      <c r="P708" t="s">
        <v>2329</v>
      </c>
      <c r="Q708" t="s">
        <v>2328</v>
      </c>
      <c r="R708" s="7">
        <v>36739</v>
      </c>
      <c r="S708" s="8">
        <f t="shared" si="88"/>
        <v>2000</v>
      </c>
      <c r="T708" s="8">
        <v>2000</v>
      </c>
      <c r="U708" s="8">
        <f t="shared" si="89"/>
        <v>22</v>
      </c>
      <c r="V708" s="7">
        <v>36739</v>
      </c>
      <c r="W708" t="s">
        <v>297</v>
      </c>
      <c r="X708" s="2">
        <v>1.3720000000000001</v>
      </c>
      <c r="Y708" s="6">
        <f t="shared" si="90"/>
        <v>3.662475641333654E-2</v>
      </c>
      <c r="AA708">
        <v>189480</v>
      </c>
      <c r="AB708">
        <v>17366</v>
      </c>
      <c r="AD708" t="s">
        <v>3</v>
      </c>
      <c r="AE708">
        <v>48</v>
      </c>
      <c r="AF708">
        <v>8</v>
      </c>
      <c r="AH708" t="s">
        <v>2327</v>
      </c>
      <c r="AI708" t="s">
        <v>2326</v>
      </c>
      <c r="AK708" t="s">
        <v>2325</v>
      </c>
      <c r="AL708">
        <v>59</v>
      </c>
      <c r="AM708" s="5">
        <f t="shared" si="91"/>
        <v>2.6818181818181817</v>
      </c>
      <c r="AN708" s="4">
        <f t="shared" si="92"/>
        <v>4.0618223124849404E-3</v>
      </c>
      <c r="AO708" s="3"/>
      <c r="AP708">
        <v>0</v>
      </c>
      <c r="AR708" t="s">
        <v>1</v>
      </c>
      <c r="AT708" s="2" t="s">
        <v>0</v>
      </c>
      <c r="AU708" s="1">
        <f t="shared" si="93"/>
        <v>2.685587618308106</v>
      </c>
      <c r="AV708" s="1">
        <f t="shared" si="94"/>
        <v>2.0343289362910739</v>
      </c>
      <c r="AW708" s="1">
        <f t="shared" si="95"/>
        <v>1.3830702542740421</v>
      </c>
    </row>
    <row r="709" spans="1:49" x14ac:dyDescent="0.2">
      <c r="A709">
        <v>707</v>
      </c>
      <c r="B709" t="s">
        <v>2324</v>
      </c>
      <c r="C709" t="s">
        <v>2323</v>
      </c>
      <c r="F709" t="s">
        <v>2322</v>
      </c>
      <c r="G709" t="s">
        <v>9</v>
      </c>
      <c r="H709" t="s">
        <v>8</v>
      </c>
      <c r="I709" t="s">
        <v>2321</v>
      </c>
      <c r="J709" t="s">
        <v>532</v>
      </c>
      <c r="K709" t="s">
        <v>531</v>
      </c>
      <c r="L709" t="s">
        <v>530</v>
      </c>
      <c r="M709" t="s">
        <v>94</v>
      </c>
      <c r="N709">
        <v>5</v>
      </c>
      <c r="O709" t="s">
        <v>2320</v>
      </c>
      <c r="P709" t="s">
        <v>2319</v>
      </c>
      <c r="Q709" t="s">
        <v>2318</v>
      </c>
      <c r="R709" s="7">
        <v>36739</v>
      </c>
      <c r="S709" s="8">
        <f t="shared" si="88"/>
        <v>2000</v>
      </c>
      <c r="T709" s="8">
        <v>2000</v>
      </c>
      <c r="U709" s="8">
        <f t="shared" si="89"/>
        <v>22</v>
      </c>
      <c r="V709" s="7">
        <v>36739</v>
      </c>
      <c r="W709" t="s">
        <v>403</v>
      </c>
      <c r="X709" s="2">
        <v>2.9860000000000002</v>
      </c>
      <c r="Y709" s="6">
        <f t="shared" si="90"/>
        <v>7.9709564613865094E-2</v>
      </c>
      <c r="AA709">
        <v>7338716</v>
      </c>
      <c r="AB709">
        <v>18902</v>
      </c>
      <c r="AD709" t="s">
        <v>3</v>
      </c>
      <c r="AE709">
        <v>18</v>
      </c>
      <c r="AF709">
        <v>8</v>
      </c>
      <c r="AH709" t="s">
        <v>2317</v>
      </c>
      <c r="AI709" t="s">
        <v>2316</v>
      </c>
      <c r="AK709" t="s">
        <v>2315</v>
      </c>
      <c r="AL709">
        <v>42</v>
      </c>
      <c r="AM709" s="5">
        <f t="shared" si="91"/>
        <v>1.9090909090909092</v>
      </c>
      <c r="AN709" s="4">
        <f t="shared" si="92"/>
        <v>2.8914667309214831E-3</v>
      </c>
      <c r="AO709" s="3"/>
      <c r="AP709">
        <v>0</v>
      </c>
      <c r="AR709" t="s">
        <v>1</v>
      </c>
      <c r="AT709" s="2" t="s">
        <v>0</v>
      </c>
      <c r="AU709" s="1">
        <f t="shared" si="93"/>
        <v>5.6664135248982008</v>
      </c>
      <c r="AV709" s="1">
        <f t="shared" si="94"/>
        <v>4.1300515672393292</v>
      </c>
      <c r="AW709" s="1">
        <f t="shared" si="95"/>
        <v>2.5936896095804567</v>
      </c>
    </row>
    <row r="710" spans="1:49" x14ac:dyDescent="0.2">
      <c r="A710">
        <v>708</v>
      </c>
      <c r="B710" t="s">
        <v>2314</v>
      </c>
      <c r="C710" t="s">
        <v>2313</v>
      </c>
      <c r="F710" t="s">
        <v>2312</v>
      </c>
      <c r="G710" t="s">
        <v>9</v>
      </c>
      <c r="H710" t="s">
        <v>8</v>
      </c>
      <c r="I710" t="s">
        <v>2311</v>
      </c>
      <c r="J710" t="s">
        <v>2310</v>
      </c>
      <c r="K710" t="s">
        <v>2309</v>
      </c>
      <c r="L710" t="s">
        <v>2308</v>
      </c>
      <c r="M710" t="s">
        <v>2307</v>
      </c>
      <c r="N710">
        <v>5</v>
      </c>
      <c r="O710" t="s">
        <v>2306</v>
      </c>
      <c r="P710" t="s">
        <v>2305</v>
      </c>
      <c r="Q710" t="s">
        <v>2304</v>
      </c>
      <c r="R710" s="7">
        <v>36739</v>
      </c>
      <c r="S710" s="8">
        <f t="shared" si="88"/>
        <v>2000</v>
      </c>
      <c r="T710" s="8">
        <v>2000</v>
      </c>
      <c r="U710" s="8">
        <f t="shared" si="89"/>
        <v>22</v>
      </c>
      <c r="V710" s="7">
        <v>36739</v>
      </c>
      <c r="W710" s="11" t="s">
        <v>253</v>
      </c>
      <c r="X710" s="2">
        <v>2.383</v>
      </c>
      <c r="Y710" s="6">
        <f t="shared" si="90"/>
        <v>6.3612824003630442E-2</v>
      </c>
      <c r="AA710">
        <v>13502417</v>
      </c>
      <c r="AB710">
        <v>17416</v>
      </c>
      <c r="AD710" t="s">
        <v>3</v>
      </c>
      <c r="AE710">
        <v>147</v>
      </c>
      <c r="AF710">
        <v>4</v>
      </c>
      <c r="AH710" t="s">
        <v>903</v>
      </c>
      <c r="AI710" t="s">
        <v>2303</v>
      </c>
      <c r="AK710" t="s">
        <v>2302</v>
      </c>
      <c r="AL710">
        <v>9</v>
      </c>
      <c r="AM710" s="5">
        <f t="shared" si="91"/>
        <v>0.40909090909090912</v>
      </c>
      <c r="AN710" s="4">
        <f t="shared" si="92"/>
        <v>6.1960001376888923E-4</v>
      </c>
      <c r="AO710" s="3"/>
      <c r="AP710">
        <v>0</v>
      </c>
      <c r="AR710" t="s">
        <v>1</v>
      </c>
      <c r="AT710" s="2" t="s">
        <v>0</v>
      </c>
      <c r="AU710" s="1">
        <f t="shared" si="93"/>
        <v>4.4714856806671976</v>
      </c>
      <c r="AV710" s="1">
        <f t="shared" si="94"/>
        <v>3.2116212008699665</v>
      </c>
      <c r="AW710" s="1">
        <f t="shared" si="95"/>
        <v>1.9517567210727356</v>
      </c>
    </row>
    <row r="711" spans="1:49" x14ac:dyDescent="0.2">
      <c r="A711">
        <v>709</v>
      </c>
      <c r="B711" t="s">
        <v>2301</v>
      </c>
      <c r="C711" t="s">
        <v>2300</v>
      </c>
      <c r="F711" t="s">
        <v>2299</v>
      </c>
      <c r="G711" t="s">
        <v>9</v>
      </c>
      <c r="H711" t="s">
        <v>8</v>
      </c>
      <c r="I711" t="s">
        <v>786</v>
      </c>
      <c r="J711" t="s">
        <v>91</v>
      </c>
      <c r="K711" t="s">
        <v>90</v>
      </c>
      <c r="L711" t="s">
        <v>89</v>
      </c>
      <c r="M711" t="s">
        <v>88</v>
      </c>
      <c r="N711">
        <v>5</v>
      </c>
      <c r="O711" t="s">
        <v>785</v>
      </c>
      <c r="P711" t="s">
        <v>784</v>
      </c>
      <c r="Q711" t="s">
        <v>2298</v>
      </c>
      <c r="R711" s="7">
        <v>36739</v>
      </c>
      <c r="S711" s="8">
        <f t="shared" si="88"/>
        <v>2000</v>
      </c>
      <c r="T711" s="8">
        <v>2000</v>
      </c>
      <c r="U711" s="8">
        <f t="shared" si="89"/>
        <v>22</v>
      </c>
      <c r="V711" s="7">
        <v>36739</v>
      </c>
      <c r="W711" t="s">
        <v>297</v>
      </c>
      <c r="X711" s="2">
        <v>1.3720000000000001</v>
      </c>
      <c r="Y711" s="6">
        <f t="shared" si="90"/>
        <v>3.662475641333654E-2</v>
      </c>
      <c r="AA711">
        <v>189480</v>
      </c>
      <c r="AB711">
        <v>17366</v>
      </c>
      <c r="AD711" t="s">
        <v>3</v>
      </c>
      <c r="AE711">
        <v>48</v>
      </c>
      <c r="AF711">
        <v>8</v>
      </c>
      <c r="AH711" t="s">
        <v>2297</v>
      </c>
      <c r="AI711" t="s">
        <v>2296</v>
      </c>
      <c r="AK711" t="s">
        <v>2295</v>
      </c>
      <c r="AL711">
        <v>98</v>
      </c>
      <c r="AM711" s="5">
        <f t="shared" si="91"/>
        <v>4.4545454545454541</v>
      </c>
      <c r="AN711" s="4">
        <f t="shared" si="92"/>
        <v>6.7467557054834591E-3</v>
      </c>
      <c r="AO711" s="3"/>
      <c r="AP711">
        <v>0</v>
      </c>
      <c r="AQ711" t="s">
        <v>2294</v>
      </c>
      <c r="AR711" t="s">
        <v>782</v>
      </c>
      <c r="AS711" t="s">
        <v>2293</v>
      </c>
      <c r="AT711" s="2" t="s">
        <v>0</v>
      </c>
      <c r="AU711" s="1">
        <f t="shared" si="93"/>
        <v>2.7661356200980611</v>
      </c>
      <c r="AV711" s="1">
        <f t="shared" si="94"/>
        <v>2.1685756059409997</v>
      </c>
      <c r="AW711" s="1">
        <f t="shared" si="95"/>
        <v>1.5710155917839383</v>
      </c>
    </row>
    <row r="712" spans="1:49" x14ac:dyDescent="0.2">
      <c r="A712">
        <v>710</v>
      </c>
      <c r="B712" t="s">
        <v>2292</v>
      </c>
      <c r="C712" t="s">
        <v>2291</v>
      </c>
      <c r="F712" t="s">
        <v>2290</v>
      </c>
      <c r="G712" t="s">
        <v>9</v>
      </c>
      <c r="H712" t="s">
        <v>8</v>
      </c>
      <c r="I712" t="s">
        <v>343</v>
      </c>
      <c r="J712" t="s">
        <v>2289</v>
      </c>
      <c r="K712" t="s">
        <v>2288</v>
      </c>
      <c r="L712" t="s">
        <v>2287</v>
      </c>
      <c r="M712" t="s">
        <v>2286</v>
      </c>
      <c r="N712">
        <v>2</v>
      </c>
      <c r="O712" t="s">
        <v>2285</v>
      </c>
      <c r="P712" t="s">
        <v>2284</v>
      </c>
      <c r="Q712" t="s">
        <v>2283</v>
      </c>
      <c r="R712" s="7">
        <v>36739</v>
      </c>
      <c r="S712" s="8">
        <f t="shared" si="88"/>
        <v>2000</v>
      </c>
      <c r="T712" s="8">
        <v>2000</v>
      </c>
      <c r="U712" s="8">
        <f t="shared" si="89"/>
        <v>22</v>
      </c>
      <c r="V712" s="7">
        <v>36739</v>
      </c>
      <c r="W712" t="s">
        <v>339</v>
      </c>
      <c r="X712" s="2">
        <v>1.3280000000000001</v>
      </c>
      <c r="Y712" s="6">
        <f t="shared" si="90"/>
        <v>3.5450201542937994E-2</v>
      </c>
      <c r="AA712">
        <v>7413335</v>
      </c>
      <c r="AB712">
        <v>29251</v>
      </c>
      <c r="AD712" t="s">
        <v>3</v>
      </c>
      <c r="AE712">
        <v>42</v>
      </c>
      <c r="AF712">
        <v>8</v>
      </c>
      <c r="AH712" t="s">
        <v>2282</v>
      </c>
      <c r="AI712" t="s">
        <v>2281</v>
      </c>
      <c r="AK712" t="s">
        <v>2280</v>
      </c>
      <c r="AL712">
        <v>24</v>
      </c>
      <c r="AM712" s="5">
        <f t="shared" si="91"/>
        <v>1.0909090909090908</v>
      </c>
      <c r="AN712" s="4">
        <f t="shared" si="92"/>
        <v>1.6522667033837045E-3</v>
      </c>
      <c r="AO712" s="3"/>
      <c r="AP712">
        <v>0</v>
      </c>
      <c r="AR712" t="s">
        <v>1</v>
      </c>
      <c r="AT712" s="2">
        <v>2.4580000000000002</v>
      </c>
      <c r="AU712" s="1">
        <f t="shared" si="93"/>
        <v>2.5310821091071705</v>
      </c>
      <c r="AV712" s="1">
        <f t="shared" si="94"/>
        <v>1.8551234123160849</v>
      </c>
      <c r="AW712" s="1">
        <f t="shared" si="95"/>
        <v>1.1791647155249991</v>
      </c>
    </row>
    <row r="713" spans="1:49" x14ac:dyDescent="0.2">
      <c r="A713">
        <v>711</v>
      </c>
      <c r="B713" t="s">
        <v>2279</v>
      </c>
      <c r="C713" t="s">
        <v>2278</v>
      </c>
      <c r="F713" t="s">
        <v>2277</v>
      </c>
      <c r="G713" t="s">
        <v>9</v>
      </c>
      <c r="H713" t="s">
        <v>8</v>
      </c>
      <c r="I713" t="s">
        <v>711</v>
      </c>
      <c r="J713">
        <v>60015941</v>
      </c>
      <c r="K713" t="s">
        <v>435</v>
      </c>
      <c r="L713" t="s">
        <v>434</v>
      </c>
      <c r="M713" t="s">
        <v>5</v>
      </c>
      <c r="N713">
        <v>2</v>
      </c>
      <c r="O713" t="s">
        <v>710</v>
      </c>
      <c r="P713" t="s">
        <v>709</v>
      </c>
      <c r="Q713" t="s">
        <v>708</v>
      </c>
      <c r="R713" s="7">
        <v>36739</v>
      </c>
      <c r="S713" s="8">
        <f t="shared" si="88"/>
        <v>2000</v>
      </c>
      <c r="T713" s="8">
        <v>2000</v>
      </c>
      <c r="U713" s="8">
        <f t="shared" si="89"/>
        <v>22</v>
      </c>
      <c r="V713" s="7">
        <v>36739</v>
      </c>
      <c r="W713" t="s">
        <v>2243</v>
      </c>
      <c r="X713" s="2">
        <v>0.89800000000000002</v>
      </c>
      <c r="Y713" s="6">
        <f t="shared" si="90"/>
        <v>2.3971597127679455E-2</v>
      </c>
      <c r="AA713">
        <v>9641726</v>
      </c>
      <c r="AB713">
        <v>29859</v>
      </c>
      <c r="AD713" t="s">
        <v>3</v>
      </c>
      <c r="AE713">
        <v>9</v>
      </c>
      <c r="AF713">
        <v>4</v>
      </c>
      <c r="AH713" t="s">
        <v>2276</v>
      </c>
      <c r="AI713" t="s">
        <v>2275</v>
      </c>
      <c r="AK713" t="s">
        <v>2274</v>
      </c>
      <c r="AL713">
        <v>76</v>
      </c>
      <c r="AM713" s="5">
        <f t="shared" si="91"/>
        <v>3.4545454545454546</v>
      </c>
      <c r="AN713" s="4">
        <f t="shared" si="92"/>
        <v>5.232177894048398E-3</v>
      </c>
      <c r="AO713" s="3"/>
      <c r="AP713">
        <v>0</v>
      </c>
      <c r="AR713" t="s">
        <v>1</v>
      </c>
      <c r="AT713" s="2">
        <v>3.585</v>
      </c>
      <c r="AU713" s="1">
        <f t="shared" si="93"/>
        <v>1.8349771357590134</v>
      </c>
      <c r="AV713" s="1">
        <f t="shared" si="94"/>
        <v>1.4601887510863927</v>
      </c>
      <c r="AW713" s="1">
        <f t="shared" si="95"/>
        <v>1.0854003664137715</v>
      </c>
    </row>
    <row r="714" spans="1:49" x14ac:dyDescent="0.2">
      <c r="A714">
        <v>712</v>
      </c>
      <c r="B714" t="s">
        <v>2273</v>
      </c>
      <c r="C714" t="s">
        <v>2272</v>
      </c>
      <c r="F714" t="s">
        <v>2271</v>
      </c>
      <c r="G714" t="s">
        <v>9</v>
      </c>
      <c r="H714" t="s">
        <v>8</v>
      </c>
      <c r="I714" t="s">
        <v>2270</v>
      </c>
      <c r="J714">
        <v>60001565</v>
      </c>
      <c r="K714" t="s">
        <v>2269</v>
      </c>
      <c r="L714" t="s">
        <v>2268</v>
      </c>
      <c r="M714" t="s">
        <v>474</v>
      </c>
      <c r="N714">
        <v>2</v>
      </c>
      <c r="O714" t="s">
        <v>2267</v>
      </c>
      <c r="P714" t="s">
        <v>2266</v>
      </c>
      <c r="Q714" t="s">
        <v>2265</v>
      </c>
      <c r="R714" s="7">
        <v>36739</v>
      </c>
      <c r="S714" s="8">
        <f t="shared" si="88"/>
        <v>2000</v>
      </c>
      <c r="T714" s="8">
        <v>2000</v>
      </c>
      <c r="U714" s="8">
        <f t="shared" si="89"/>
        <v>22</v>
      </c>
      <c r="V714" s="7">
        <v>36739</v>
      </c>
      <c r="W714" t="s">
        <v>2264</v>
      </c>
      <c r="X714" s="2">
        <v>0.82</v>
      </c>
      <c r="Y714" s="6">
        <f t="shared" si="90"/>
        <v>2.1889431675609299E-2</v>
      </c>
      <c r="AA714">
        <v>189456</v>
      </c>
      <c r="AB714">
        <v>15361</v>
      </c>
      <c r="AD714" t="s">
        <v>3</v>
      </c>
      <c r="AE714">
        <v>49</v>
      </c>
      <c r="AF714">
        <v>4</v>
      </c>
      <c r="AH714" t="s">
        <v>2263</v>
      </c>
      <c r="AI714" t="s">
        <v>2262</v>
      </c>
      <c r="AK714" t="s">
        <v>2261</v>
      </c>
      <c r="AL714">
        <v>2</v>
      </c>
      <c r="AM714" s="5">
        <f t="shared" si="91"/>
        <v>9.0909090909090912E-2</v>
      </c>
      <c r="AN714" s="4">
        <f t="shared" si="92"/>
        <v>1.3768889194864205E-4</v>
      </c>
      <c r="AO714" s="3"/>
      <c r="AP714">
        <v>0</v>
      </c>
      <c r="AR714" t="s">
        <v>1</v>
      </c>
      <c r="AT714" s="2" t="s">
        <v>0</v>
      </c>
      <c r="AU714" s="1">
        <f t="shared" si="93"/>
        <v>1.53639088405111</v>
      </c>
      <c r="AV714" s="1">
        <f t="shared" si="94"/>
        <v>1.1013560283778969</v>
      </c>
      <c r="AW714" s="1">
        <f t="shared" si="95"/>
        <v>0.66632117270468394</v>
      </c>
    </row>
    <row r="715" spans="1:49" x14ac:dyDescent="0.2">
      <c r="A715">
        <v>713</v>
      </c>
      <c r="B715" t="s">
        <v>2260</v>
      </c>
      <c r="C715" t="s">
        <v>2259</v>
      </c>
      <c r="F715" t="s">
        <v>2258</v>
      </c>
      <c r="G715" t="s">
        <v>9</v>
      </c>
      <c r="H715" t="s">
        <v>8</v>
      </c>
      <c r="I715" t="s">
        <v>2257</v>
      </c>
      <c r="J715">
        <v>60121655</v>
      </c>
      <c r="K715" t="s">
        <v>2256</v>
      </c>
      <c r="L715" t="s">
        <v>273</v>
      </c>
      <c r="M715" t="s">
        <v>5</v>
      </c>
      <c r="N715">
        <v>1</v>
      </c>
      <c r="O715" t="s">
        <v>2255</v>
      </c>
      <c r="P715">
        <v>7102877674</v>
      </c>
      <c r="Q715">
        <v>60121655</v>
      </c>
      <c r="R715" s="7">
        <v>36739</v>
      </c>
      <c r="S715" s="8">
        <f t="shared" si="88"/>
        <v>2000</v>
      </c>
      <c r="T715" s="8">
        <v>2000</v>
      </c>
      <c r="U715" s="8">
        <f t="shared" si="89"/>
        <v>22</v>
      </c>
      <c r="V715" s="7">
        <v>36739</v>
      </c>
      <c r="W715" t="s">
        <v>403</v>
      </c>
      <c r="X715" s="2">
        <v>2.9860000000000002</v>
      </c>
      <c r="Y715" s="6">
        <f t="shared" si="90"/>
        <v>7.9709564613865094E-2</v>
      </c>
      <c r="AA715">
        <v>7338716</v>
      </c>
      <c r="AB715">
        <v>18902</v>
      </c>
      <c r="AD715" t="s">
        <v>3</v>
      </c>
      <c r="AE715">
        <v>18</v>
      </c>
      <c r="AF715">
        <v>8</v>
      </c>
      <c r="AH715" t="s">
        <v>2254</v>
      </c>
      <c r="AI715" t="s">
        <v>2253</v>
      </c>
      <c r="AK715" t="s">
        <v>2252</v>
      </c>
      <c r="AL715">
        <v>76</v>
      </c>
      <c r="AM715" s="5">
        <f t="shared" si="91"/>
        <v>3.4545454545454546</v>
      </c>
      <c r="AN715" s="4">
        <f t="shared" si="92"/>
        <v>5.232177894048398E-3</v>
      </c>
      <c r="AO715" s="3"/>
      <c r="AP715">
        <v>0</v>
      </c>
      <c r="AQ715" t="s">
        <v>476</v>
      </c>
      <c r="AR715" t="s">
        <v>2251</v>
      </c>
      <c r="AS715" t="s">
        <v>475</v>
      </c>
      <c r="AT715" s="2" t="s">
        <v>0</v>
      </c>
      <c r="AU715" s="1">
        <f t="shared" si="93"/>
        <v>5.7366348597920078</v>
      </c>
      <c r="AV715" s="1">
        <f t="shared" si="94"/>
        <v>4.2470871253956748</v>
      </c>
      <c r="AW715" s="1">
        <f t="shared" si="95"/>
        <v>2.7575393909993404</v>
      </c>
    </row>
    <row r="716" spans="1:49" x14ac:dyDescent="0.2">
      <c r="A716">
        <v>714</v>
      </c>
      <c r="B716" t="s">
        <v>2250</v>
      </c>
      <c r="C716" t="s">
        <v>2249</v>
      </c>
      <c r="F716" t="s">
        <v>2248</v>
      </c>
      <c r="G716" t="s">
        <v>9</v>
      </c>
      <c r="H716" t="s">
        <v>8</v>
      </c>
      <c r="I716" t="s">
        <v>2247</v>
      </c>
      <c r="J716">
        <v>60001439</v>
      </c>
      <c r="K716" t="s">
        <v>120</v>
      </c>
      <c r="L716" t="s">
        <v>119</v>
      </c>
      <c r="M716" t="s">
        <v>5</v>
      </c>
      <c r="N716">
        <v>4</v>
      </c>
      <c r="O716" t="s">
        <v>2246</v>
      </c>
      <c r="P716" t="s">
        <v>2245</v>
      </c>
      <c r="Q716" t="s">
        <v>2244</v>
      </c>
      <c r="R716" s="7">
        <v>36739</v>
      </c>
      <c r="S716" s="8">
        <f t="shared" si="88"/>
        <v>2000</v>
      </c>
      <c r="T716" s="8">
        <v>2000</v>
      </c>
      <c r="U716" s="8">
        <f t="shared" si="89"/>
        <v>22</v>
      </c>
      <c r="V716" s="7">
        <v>36739</v>
      </c>
      <c r="W716" t="s">
        <v>2243</v>
      </c>
      <c r="X716" s="2">
        <v>0.89800000000000002</v>
      </c>
      <c r="Y716" s="6">
        <f t="shared" si="90"/>
        <v>2.3971597127679455E-2</v>
      </c>
      <c r="AA716">
        <v>9641726</v>
      </c>
      <c r="AB716">
        <v>29859</v>
      </c>
      <c r="AD716" t="s">
        <v>3</v>
      </c>
      <c r="AE716">
        <v>9</v>
      </c>
      <c r="AF716">
        <v>4</v>
      </c>
      <c r="AH716" t="s">
        <v>2242</v>
      </c>
      <c r="AI716" t="s">
        <v>2241</v>
      </c>
      <c r="AK716" t="s">
        <v>2240</v>
      </c>
      <c r="AL716">
        <v>23</v>
      </c>
      <c r="AM716" s="5">
        <f t="shared" si="91"/>
        <v>1.0454545454545454</v>
      </c>
      <c r="AN716" s="4">
        <f t="shared" si="92"/>
        <v>1.5834222574093834E-3</v>
      </c>
      <c r="AO716" s="3"/>
      <c r="AP716">
        <v>0</v>
      </c>
      <c r="AR716" t="s">
        <v>1</v>
      </c>
      <c r="AT716" s="2">
        <v>3.585</v>
      </c>
      <c r="AU716" s="1">
        <f t="shared" si="93"/>
        <v>1.7255144666598432</v>
      </c>
      <c r="AV716" s="1">
        <f t="shared" si="94"/>
        <v>1.277750969254442</v>
      </c>
      <c r="AW716" s="1">
        <f t="shared" si="95"/>
        <v>0.82998747184904054</v>
      </c>
    </row>
    <row r="717" spans="1:49" x14ac:dyDescent="0.2">
      <c r="A717">
        <v>715</v>
      </c>
      <c r="B717" t="s">
        <v>2239</v>
      </c>
      <c r="C717" t="s">
        <v>2238</v>
      </c>
      <c r="F717" t="s">
        <v>2237</v>
      </c>
      <c r="G717" t="s">
        <v>9</v>
      </c>
      <c r="H717" t="s">
        <v>8</v>
      </c>
      <c r="I717" t="s">
        <v>2236</v>
      </c>
      <c r="J717">
        <v>60010818</v>
      </c>
      <c r="K717" t="s">
        <v>812</v>
      </c>
      <c r="L717" t="s">
        <v>811</v>
      </c>
      <c r="M717" t="s">
        <v>87</v>
      </c>
      <c r="N717">
        <v>2</v>
      </c>
      <c r="O717" t="s">
        <v>2235</v>
      </c>
      <c r="P717" t="s">
        <v>2234</v>
      </c>
      <c r="Q717" t="s">
        <v>810</v>
      </c>
      <c r="R717" s="7">
        <v>36739</v>
      </c>
      <c r="S717" s="8">
        <f t="shared" si="88"/>
        <v>2000</v>
      </c>
      <c r="T717" s="8">
        <v>2000</v>
      </c>
      <c r="U717" s="8">
        <f t="shared" si="89"/>
        <v>22</v>
      </c>
      <c r="V717" s="7">
        <v>36739</v>
      </c>
      <c r="W717" s="11" t="s">
        <v>253</v>
      </c>
      <c r="X717" s="2">
        <v>2.383</v>
      </c>
      <c r="Y717" s="6">
        <f t="shared" si="90"/>
        <v>6.3612824003630442E-2</v>
      </c>
      <c r="AA717">
        <v>13502417</v>
      </c>
      <c r="AB717">
        <v>17416</v>
      </c>
      <c r="AD717" t="s">
        <v>3</v>
      </c>
      <c r="AE717">
        <v>147</v>
      </c>
      <c r="AF717">
        <v>4</v>
      </c>
      <c r="AH717" t="s">
        <v>2233</v>
      </c>
      <c r="AI717" t="s">
        <v>2232</v>
      </c>
      <c r="AK717" t="s">
        <v>2231</v>
      </c>
      <c r="AL717">
        <v>1</v>
      </c>
      <c r="AM717" s="5">
        <f t="shared" si="91"/>
        <v>4.5454545454545456E-2</v>
      </c>
      <c r="AN717" s="4">
        <f t="shared" si="92"/>
        <v>6.8844445974321024E-5</v>
      </c>
      <c r="AO717" s="3"/>
      <c r="AP717">
        <v>0</v>
      </c>
      <c r="AR717" t="s">
        <v>1</v>
      </c>
      <c r="AT717" s="2" t="s">
        <v>0</v>
      </c>
      <c r="AU717" s="1">
        <f t="shared" si="93"/>
        <v>4.4549630136333604</v>
      </c>
      <c r="AV717" s="1">
        <f t="shared" si="94"/>
        <v>3.1840834224802386</v>
      </c>
      <c r="AW717" s="1">
        <f t="shared" si="95"/>
        <v>1.9132038313271156</v>
      </c>
    </row>
    <row r="718" spans="1:49" x14ac:dyDescent="0.2">
      <c r="A718">
        <v>716</v>
      </c>
      <c r="B718" t="s">
        <v>2230</v>
      </c>
      <c r="F718" t="s">
        <v>2229</v>
      </c>
      <c r="G718" t="s">
        <v>9</v>
      </c>
      <c r="H718" t="s">
        <v>8</v>
      </c>
      <c r="I718" t="s">
        <v>2228</v>
      </c>
      <c r="J718">
        <v>60025555</v>
      </c>
      <c r="K718" t="s">
        <v>252</v>
      </c>
      <c r="L718" t="s">
        <v>163</v>
      </c>
      <c r="M718" t="s">
        <v>43</v>
      </c>
      <c r="N718">
        <v>4</v>
      </c>
      <c r="O718" t="s">
        <v>2227</v>
      </c>
      <c r="P718" t="s">
        <v>2226</v>
      </c>
      <c r="Q718" t="s">
        <v>505</v>
      </c>
      <c r="R718" s="7">
        <v>36739</v>
      </c>
      <c r="S718" s="8">
        <f t="shared" si="88"/>
        <v>2000</v>
      </c>
      <c r="T718" s="8">
        <v>2000</v>
      </c>
      <c r="U718" s="8">
        <f t="shared" si="89"/>
        <v>22</v>
      </c>
      <c r="V718" s="7">
        <v>36739</v>
      </c>
      <c r="W718" t="s">
        <v>345</v>
      </c>
      <c r="X718" s="2">
        <v>0.21099999999999999</v>
      </c>
      <c r="Y718" s="6">
        <f t="shared" si="90"/>
        <v>5.6325244921384904E-3</v>
      </c>
      <c r="AA718">
        <v>9168516</v>
      </c>
      <c r="AB718">
        <v>18936</v>
      </c>
      <c r="AD718" t="s">
        <v>3</v>
      </c>
      <c r="AE718" t="s">
        <v>344</v>
      </c>
      <c r="AF718">
        <v>8</v>
      </c>
      <c r="AH718" t="s">
        <v>2225</v>
      </c>
      <c r="AI718" t="s">
        <v>2224</v>
      </c>
      <c r="AK718" t="s">
        <v>675</v>
      </c>
      <c r="AL718">
        <v>9</v>
      </c>
      <c r="AM718" s="5">
        <f t="shared" si="91"/>
        <v>0.40909090909090912</v>
      </c>
      <c r="AN718" s="4">
        <f t="shared" si="92"/>
        <v>6.1960001376888923E-4</v>
      </c>
      <c r="AO718" s="3"/>
      <c r="AP718">
        <v>0</v>
      </c>
      <c r="AR718" t="s">
        <v>1</v>
      </c>
      <c r="AT718" s="2">
        <v>0.52500000000000002</v>
      </c>
      <c r="AU718" s="1">
        <f t="shared" si="93"/>
        <v>0.41286471486276094</v>
      </c>
      <c r="AV718" s="1">
        <f t="shared" si="94"/>
        <v>0.31260622529536897</v>
      </c>
      <c r="AW718" s="1">
        <f t="shared" si="95"/>
        <v>0.21234773572797694</v>
      </c>
    </row>
    <row r="719" spans="1:49" x14ac:dyDescent="0.2">
      <c r="A719">
        <v>717</v>
      </c>
      <c r="B719" t="s">
        <v>2223</v>
      </c>
      <c r="C719" t="s">
        <v>2222</v>
      </c>
      <c r="F719" t="s">
        <v>2221</v>
      </c>
      <c r="G719" t="s">
        <v>9</v>
      </c>
      <c r="H719" t="s">
        <v>8</v>
      </c>
      <c r="I719" t="s">
        <v>2220</v>
      </c>
      <c r="J719">
        <v>60025555</v>
      </c>
      <c r="K719" t="s">
        <v>252</v>
      </c>
      <c r="L719" t="s">
        <v>163</v>
      </c>
      <c r="M719" t="s">
        <v>43</v>
      </c>
      <c r="N719">
        <v>4</v>
      </c>
      <c r="O719" t="s">
        <v>2219</v>
      </c>
      <c r="P719" t="s">
        <v>2218</v>
      </c>
      <c r="Q719" t="s">
        <v>505</v>
      </c>
      <c r="R719" s="7">
        <v>36739</v>
      </c>
      <c r="S719" s="8">
        <f t="shared" si="88"/>
        <v>2000</v>
      </c>
      <c r="T719" s="8">
        <v>2000</v>
      </c>
      <c r="U719" s="8">
        <f t="shared" si="89"/>
        <v>22</v>
      </c>
      <c r="V719" s="7">
        <v>36739</v>
      </c>
      <c r="W719" t="s">
        <v>403</v>
      </c>
      <c r="X719" s="2">
        <v>2.9860000000000002</v>
      </c>
      <c r="Y719" s="6">
        <f t="shared" si="90"/>
        <v>7.9709564613865094E-2</v>
      </c>
      <c r="AA719">
        <v>7338716</v>
      </c>
      <c r="AB719">
        <v>18902</v>
      </c>
      <c r="AD719" t="s">
        <v>3</v>
      </c>
      <c r="AE719">
        <v>18</v>
      </c>
      <c r="AF719">
        <v>8</v>
      </c>
      <c r="AH719" t="s">
        <v>2217</v>
      </c>
      <c r="AI719" t="s">
        <v>2216</v>
      </c>
      <c r="AK719" t="s">
        <v>2215</v>
      </c>
      <c r="AL719">
        <v>64</v>
      </c>
      <c r="AM719" s="5">
        <f t="shared" si="91"/>
        <v>2.9090909090909092</v>
      </c>
      <c r="AN719" s="4">
        <f t="shared" si="92"/>
        <v>4.4060445423565455E-3</v>
      </c>
      <c r="AO719" s="3"/>
      <c r="AP719">
        <v>0</v>
      </c>
      <c r="AR719" t="s">
        <v>1</v>
      </c>
      <c r="AT719" s="2" t="s">
        <v>0</v>
      </c>
      <c r="AU719" s="1">
        <f t="shared" si="93"/>
        <v>5.7118508592412525</v>
      </c>
      <c r="AV719" s="1">
        <f t="shared" si="94"/>
        <v>4.2057804578110822</v>
      </c>
      <c r="AW719" s="1">
        <f t="shared" si="95"/>
        <v>2.6997100563809111</v>
      </c>
    </row>
    <row r="720" spans="1:49" x14ac:dyDescent="0.2">
      <c r="A720">
        <v>718</v>
      </c>
      <c r="B720" t="s">
        <v>2214</v>
      </c>
      <c r="C720" t="s">
        <v>2213</v>
      </c>
      <c r="F720" t="s">
        <v>2212</v>
      </c>
      <c r="G720" t="s">
        <v>9</v>
      </c>
      <c r="H720" t="s">
        <v>8</v>
      </c>
      <c r="I720" t="s">
        <v>2204</v>
      </c>
      <c r="J720" t="s">
        <v>2198</v>
      </c>
      <c r="K720" t="s">
        <v>2203</v>
      </c>
      <c r="L720" t="s">
        <v>2202</v>
      </c>
      <c r="M720" t="s">
        <v>2201</v>
      </c>
      <c r="N720">
        <v>2</v>
      </c>
      <c r="O720" t="s">
        <v>2200</v>
      </c>
      <c r="P720" t="s">
        <v>2199</v>
      </c>
      <c r="Q720" t="s">
        <v>2198</v>
      </c>
      <c r="R720" s="7">
        <v>36739</v>
      </c>
      <c r="S720" s="8">
        <f t="shared" si="88"/>
        <v>2000</v>
      </c>
      <c r="T720" s="8">
        <v>2000</v>
      </c>
      <c r="U720" s="8">
        <f t="shared" si="89"/>
        <v>22</v>
      </c>
      <c r="V720" s="7">
        <v>36739</v>
      </c>
      <c r="W720" t="s">
        <v>322</v>
      </c>
      <c r="X720" s="2">
        <v>1.6379999999999999</v>
      </c>
      <c r="Y720" s="6">
        <f t="shared" si="90"/>
        <v>4.3725474493473214E-2</v>
      </c>
      <c r="AA720" t="s">
        <v>321</v>
      </c>
      <c r="AB720">
        <v>17391</v>
      </c>
      <c r="AD720" t="s">
        <v>3</v>
      </c>
      <c r="AE720">
        <v>48</v>
      </c>
      <c r="AF720">
        <v>8</v>
      </c>
      <c r="AH720" t="s">
        <v>2211</v>
      </c>
      <c r="AI720" t="s">
        <v>2210</v>
      </c>
      <c r="AK720" t="s">
        <v>2209</v>
      </c>
      <c r="AL720">
        <v>211</v>
      </c>
      <c r="AM720" s="5">
        <f t="shared" si="91"/>
        <v>9.5909090909090917</v>
      </c>
      <c r="AN720" s="4">
        <f t="shared" si="92"/>
        <v>1.4526178100581736E-2</v>
      </c>
      <c r="AO720" s="3"/>
      <c r="AP720">
        <v>0</v>
      </c>
      <c r="AQ720" t="s">
        <v>306</v>
      </c>
      <c r="AR720" t="s">
        <v>2208</v>
      </c>
      <c r="AS720" t="s">
        <v>305</v>
      </c>
      <c r="AT720" s="2">
        <v>4.931</v>
      </c>
      <c r="AU720" s="1">
        <f t="shared" si="93"/>
        <v>3.4965685575605767</v>
      </c>
      <c r="AV720" s="1">
        <f t="shared" si="94"/>
        <v>2.9125826297027477</v>
      </c>
      <c r="AW720" s="1">
        <f t="shared" si="95"/>
        <v>2.3285967018449178</v>
      </c>
    </row>
    <row r="721" spans="1:49" x14ac:dyDescent="0.2">
      <c r="A721">
        <v>719</v>
      </c>
      <c r="B721" t="s">
        <v>2207</v>
      </c>
      <c r="C721" t="s">
        <v>2206</v>
      </c>
      <c r="F721" t="s">
        <v>2205</v>
      </c>
      <c r="G721" t="s">
        <v>9</v>
      </c>
      <c r="H721" t="s">
        <v>8</v>
      </c>
      <c r="I721" t="s">
        <v>2204</v>
      </c>
      <c r="J721" t="s">
        <v>2198</v>
      </c>
      <c r="K721" t="s">
        <v>2203</v>
      </c>
      <c r="L721" t="s">
        <v>2202</v>
      </c>
      <c r="M721" t="s">
        <v>2201</v>
      </c>
      <c r="N721">
        <v>2</v>
      </c>
      <c r="O721" t="s">
        <v>2200</v>
      </c>
      <c r="P721" t="s">
        <v>2199</v>
      </c>
      <c r="Q721" t="s">
        <v>2198</v>
      </c>
      <c r="R721" s="7">
        <v>36739</v>
      </c>
      <c r="S721" s="8">
        <f t="shared" si="88"/>
        <v>2000</v>
      </c>
      <c r="T721" s="8">
        <v>2000</v>
      </c>
      <c r="U721" s="8">
        <f t="shared" si="89"/>
        <v>22</v>
      </c>
      <c r="V721" s="7">
        <v>36739</v>
      </c>
      <c r="W721" t="s">
        <v>322</v>
      </c>
      <c r="X721" s="2">
        <v>1.6379999999999999</v>
      </c>
      <c r="Y721" s="6">
        <f t="shared" si="90"/>
        <v>4.3725474493473214E-2</v>
      </c>
      <c r="AA721" t="s">
        <v>321</v>
      </c>
      <c r="AB721">
        <v>17391</v>
      </c>
      <c r="AD721" t="s">
        <v>3</v>
      </c>
      <c r="AE721">
        <v>48</v>
      </c>
      <c r="AF721">
        <v>8</v>
      </c>
      <c r="AH721" t="s">
        <v>2197</v>
      </c>
      <c r="AI721" t="s">
        <v>2196</v>
      </c>
      <c r="AK721" t="s">
        <v>2195</v>
      </c>
      <c r="AL721">
        <v>189</v>
      </c>
      <c r="AM721" s="5">
        <f t="shared" si="91"/>
        <v>8.5909090909090917</v>
      </c>
      <c r="AN721" s="4">
        <f t="shared" si="92"/>
        <v>1.3011600289146674E-2</v>
      </c>
      <c r="AO721" s="3"/>
      <c r="AP721">
        <v>0</v>
      </c>
      <c r="AQ721" t="s">
        <v>210</v>
      </c>
      <c r="AR721" t="s">
        <v>401</v>
      </c>
      <c r="AS721" t="s">
        <v>209</v>
      </c>
      <c r="AT721" s="2">
        <v>4.931</v>
      </c>
      <c r="AU721" s="1">
        <f t="shared" si="93"/>
        <v>3.4511312232175255</v>
      </c>
      <c r="AV721" s="1">
        <f t="shared" si="94"/>
        <v>2.8368537391309943</v>
      </c>
      <c r="AW721" s="1">
        <f t="shared" si="95"/>
        <v>2.2225762550444634</v>
      </c>
    </row>
    <row r="722" spans="1:49" x14ac:dyDescent="0.2">
      <c r="A722">
        <v>720</v>
      </c>
      <c r="B722" t="s">
        <v>2194</v>
      </c>
      <c r="F722" t="s">
        <v>2193</v>
      </c>
      <c r="G722" t="s">
        <v>9</v>
      </c>
      <c r="H722" t="s">
        <v>8</v>
      </c>
      <c r="I722" t="s">
        <v>2192</v>
      </c>
      <c r="N722">
        <v>3</v>
      </c>
      <c r="O722" t="s">
        <v>2191</v>
      </c>
      <c r="P722" t="s">
        <v>2190</v>
      </c>
      <c r="Q722" t="s">
        <v>198</v>
      </c>
      <c r="R722" s="7">
        <v>36739</v>
      </c>
      <c r="S722" s="8">
        <f t="shared" si="88"/>
        <v>2000</v>
      </c>
      <c r="T722" s="8">
        <v>2000</v>
      </c>
      <c r="U722" s="8">
        <f t="shared" si="89"/>
        <v>22</v>
      </c>
      <c r="V722" s="7">
        <v>36739</v>
      </c>
      <c r="W722" t="s">
        <v>176</v>
      </c>
      <c r="X722" s="2" t="s">
        <v>0</v>
      </c>
      <c r="Y722" s="6" t="e">
        <f t="shared" si="90"/>
        <v>#VALUE!</v>
      </c>
      <c r="AA722" t="s">
        <v>175</v>
      </c>
      <c r="AB722">
        <v>26720</v>
      </c>
      <c r="AD722" t="s">
        <v>3</v>
      </c>
      <c r="AF722" t="s">
        <v>2189</v>
      </c>
      <c r="AH722" t="s">
        <v>2188</v>
      </c>
      <c r="AI722" t="s">
        <v>2187</v>
      </c>
      <c r="AK722" t="s">
        <v>2186</v>
      </c>
      <c r="AL722">
        <v>0</v>
      </c>
      <c r="AM722" s="5">
        <f t="shared" si="91"/>
        <v>0</v>
      </c>
      <c r="AN722" s="4">
        <f t="shared" si="92"/>
        <v>0</v>
      </c>
      <c r="AO722" s="3"/>
      <c r="AP722">
        <v>0</v>
      </c>
      <c r="AR722" t="s">
        <v>1</v>
      </c>
      <c r="AT722" s="2" t="s">
        <v>0</v>
      </c>
      <c r="AU722" s="1" t="e">
        <f t="shared" si="93"/>
        <v>#VALUE!</v>
      </c>
      <c r="AV722" s="1" t="e">
        <f t="shared" si="94"/>
        <v>#VALUE!</v>
      </c>
      <c r="AW722" s="1" t="e">
        <f t="shared" si="95"/>
        <v>#VALUE!</v>
      </c>
    </row>
    <row r="723" spans="1:49" x14ac:dyDescent="0.2">
      <c r="A723">
        <v>721</v>
      </c>
      <c r="B723" t="s">
        <v>2185</v>
      </c>
      <c r="C723" t="s">
        <v>2184</v>
      </c>
      <c r="F723" t="s">
        <v>2183</v>
      </c>
      <c r="G723" t="s">
        <v>9</v>
      </c>
      <c r="H723" t="s">
        <v>8</v>
      </c>
      <c r="I723" t="s">
        <v>2182</v>
      </c>
      <c r="J723" t="s">
        <v>2181</v>
      </c>
      <c r="K723" t="s">
        <v>2180</v>
      </c>
      <c r="L723" t="s">
        <v>2179</v>
      </c>
      <c r="M723" t="s">
        <v>19</v>
      </c>
      <c r="N723">
        <v>2</v>
      </c>
      <c r="O723" t="s">
        <v>2178</v>
      </c>
      <c r="P723" t="s">
        <v>2177</v>
      </c>
      <c r="Q723" t="s">
        <v>2176</v>
      </c>
      <c r="R723" s="7">
        <v>36739</v>
      </c>
      <c r="S723" s="8">
        <f t="shared" si="88"/>
        <v>2000</v>
      </c>
      <c r="T723" s="8">
        <v>2000</v>
      </c>
      <c r="U723" s="8">
        <f t="shared" si="89"/>
        <v>22</v>
      </c>
      <c r="V723" s="7">
        <v>36739</v>
      </c>
      <c r="W723" t="s">
        <v>289</v>
      </c>
      <c r="X723" s="2">
        <v>0.65500000000000003</v>
      </c>
      <c r="Y723" s="6">
        <f t="shared" si="90"/>
        <v>1.7484850911614749E-2</v>
      </c>
      <c r="AA723">
        <v>189375</v>
      </c>
      <c r="AB723">
        <v>26051</v>
      </c>
      <c r="AD723" t="s">
        <v>3</v>
      </c>
      <c r="AE723">
        <v>42</v>
      </c>
      <c r="AF723">
        <v>3</v>
      </c>
      <c r="AH723" t="s">
        <v>287</v>
      </c>
      <c r="AI723" t="s">
        <v>2175</v>
      </c>
      <c r="AK723" t="s">
        <v>2174</v>
      </c>
      <c r="AL723">
        <v>17</v>
      </c>
      <c r="AM723" s="5">
        <f t="shared" si="91"/>
        <v>0.77272727272727271</v>
      </c>
      <c r="AN723" s="4">
        <f t="shared" si="92"/>
        <v>1.1703555815634574E-3</v>
      </c>
      <c r="AO723" s="3"/>
      <c r="AP723">
        <v>0</v>
      </c>
      <c r="AQ723" t="s">
        <v>364</v>
      </c>
      <c r="AR723" t="s">
        <v>2173</v>
      </c>
      <c r="AS723" t="s">
        <v>363</v>
      </c>
      <c r="AT723" s="2" t="s">
        <v>0</v>
      </c>
      <c r="AU723" s="1">
        <f t="shared" si="93"/>
        <v>1.2590502312599359</v>
      </c>
      <c r="AV723" s="1">
        <f t="shared" si="94"/>
        <v>0.93276032465891034</v>
      </c>
      <c r="AW723" s="1">
        <f t="shared" si="95"/>
        <v>0.60647041805788449</v>
      </c>
    </row>
    <row r="724" spans="1:49" x14ac:dyDescent="0.2">
      <c r="A724">
        <v>722</v>
      </c>
      <c r="B724" t="s">
        <v>2172</v>
      </c>
      <c r="C724" t="s">
        <v>2171</v>
      </c>
      <c r="F724" t="s">
        <v>2170</v>
      </c>
      <c r="G724" t="s">
        <v>9</v>
      </c>
      <c r="H724" t="s">
        <v>8</v>
      </c>
      <c r="I724" t="s">
        <v>2169</v>
      </c>
      <c r="J724" t="s">
        <v>1306</v>
      </c>
      <c r="K724" t="s">
        <v>1305</v>
      </c>
      <c r="L724" t="s">
        <v>1304</v>
      </c>
      <c r="M724" t="s">
        <v>765</v>
      </c>
      <c r="N724">
        <v>2</v>
      </c>
      <c r="O724" t="s">
        <v>2168</v>
      </c>
      <c r="P724" t="s">
        <v>2167</v>
      </c>
      <c r="Q724" t="s">
        <v>2166</v>
      </c>
      <c r="R724" s="7">
        <v>36739</v>
      </c>
      <c r="S724" s="8">
        <f t="shared" si="88"/>
        <v>2000</v>
      </c>
      <c r="T724" s="8">
        <v>2000</v>
      </c>
      <c r="U724" s="8">
        <f t="shared" si="89"/>
        <v>22</v>
      </c>
      <c r="V724" s="7">
        <v>36739</v>
      </c>
      <c r="W724" t="s">
        <v>289</v>
      </c>
      <c r="X724" s="2">
        <v>0.65500000000000003</v>
      </c>
      <c r="Y724" s="6">
        <f t="shared" si="90"/>
        <v>1.7484850911614749E-2</v>
      </c>
      <c r="AA724">
        <v>189375</v>
      </c>
      <c r="AB724">
        <v>26051</v>
      </c>
      <c r="AD724" t="s">
        <v>3</v>
      </c>
      <c r="AE724">
        <v>42</v>
      </c>
      <c r="AF724">
        <v>3</v>
      </c>
      <c r="AH724" t="s">
        <v>2165</v>
      </c>
      <c r="AI724" t="s">
        <v>2164</v>
      </c>
      <c r="AK724" t="s">
        <v>2163</v>
      </c>
      <c r="AL724">
        <v>19</v>
      </c>
      <c r="AM724" s="5">
        <f t="shared" si="91"/>
        <v>0.86363636363636365</v>
      </c>
      <c r="AN724" s="4">
        <f t="shared" si="92"/>
        <v>1.3080444735120995E-3</v>
      </c>
      <c r="AO724" s="3"/>
      <c r="AP724">
        <v>0</v>
      </c>
      <c r="AR724" t="s">
        <v>1</v>
      </c>
      <c r="AT724" s="2" t="s">
        <v>0</v>
      </c>
      <c r="AU724" s="1">
        <f t="shared" si="93"/>
        <v>1.2631808980183952</v>
      </c>
      <c r="AV724" s="1">
        <f t="shared" si="94"/>
        <v>0.93964476925634233</v>
      </c>
      <c r="AW724" s="1">
        <f t="shared" si="95"/>
        <v>0.61610864049428948</v>
      </c>
    </row>
    <row r="725" spans="1:49" x14ac:dyDescent="0.2">
      <c r="A725">
        <v>723</v>
      </c>
      <c r="B725" t="s">
        <v>2162</v>
      </c>
      <c r="C725" t="s">
        <v>2161</v>
      </c>
      <c r="F725" t="s">
        <v>2160</v>
      </c>
      <c r="G725" t="s">
        <v>9</v>
      </c>
      <c r="H725" t="s">
        <v>8</v>
      </c>
      <c r="I725" t="s">
        <v>2159</v>
      </c>
      <c r="J725" t="s">
        <v>2158</v>
      </c>
      <c r="K725" t="s">
        <v>2157</v>
      </c>
      <c r="L725" t="s">
        <v>2156</v>
      </c>
      <c r="M725" t="s">
        <v>19</v>
      </c>
      <c r="N725">
        <v>2</v>
      </c>
      <c r="O725" t="s">
        <v>2155</v>
      </c>
      <c r="P725" t="s">
        <v>2154</v>
      </c>
      <c r="Q725" t="s">
        <v>2153</v>
      </c>
      <c r="R725" s="7">
        <v>36739</v>
      </c>
      <c r="S725" s="8">
        <f t="shared" si="88"/>
        <v>2000</v>
      </c>
      <c r="T725" s="8">
        <v>2000</v>
      </c>
      <c r="U725" s="8">
        <f t="shared" si="89"/>
        <v>22</v>
      </c>
      <c r="V725" s="7">
        <v>36739</v>
      </c>
      <c r="W725" t="s">
        <v>289</v>
      </c>
      <c r="X725" s="2">
        <v>0.65500000000000003</v>
      </c>
      <c r="Y725" s="6">
        <f t="shared" si="90"/>
        <v>1.7484850911614749E-2</v>
      </c>
      <c r="AA725">
        <v>189375</v>
      </c>
      <c r="AB725">
        <v>26051</v>
      </c>
      <c r="AD725" t="s">
        <v>3</v>
      </c>
      <c r="AE725">
        <v>42</v>
      </c>
      <c r="AF725">
        <v>3</v>
      </c>
      <c r="AH725" t="s">
        <v>2152</v>
      </c>
      <c r="AI725" t="s">
        <v>2151</v>
      </c>
      <c r="AK725" t="s">
        <v>2150</v>
      </c>
      <c r="AL725">
        <v>7</v>
      </c>
      <c r="AM725" s="5">
        <f t="shared" si="91"/>
        <v>0.31818181818181818</v>
      </c>
      <c r="AN725" s="4">
        <f t="shared" si="92"/>
        <v>4.8191112182024716E-4</v>
      </c>
      <c r="AO725" s="3"/>
      <c r="AP725">
        <v>0</v>
      </c>
      <c r="AR725" t="s">
        <v>2149</v>
      </c>
      <c r="AT725" s="2" t="s">
        <v>0</v>
      </c>
      <c r="AU725" s="1">
        <f t="shared" si="93"/>
        <v>1.2383968974676398</v>
      </c>
      <c r="AV725" s="1">
        <f t="shared" si="94"/>
        <v>0.89833810167174977</v>
      </c>
      <c r="AW725" s="1">
        <f t="shared" si="95"/>
        <v>0.55827930587585972</v>
      </c>
    </row>
    <row r="726" spans="1:49" x14ac:dyDescent="0.2">
      <c r="A726">
        <v>724</v>
      </c>
      <c r="B726" t="s">
        <v>2148</v>
      </c>
      <c r="F726" t="s">
        <v>2147</v>
      </c>
      <c r="G726" t="s">
        <v>9</v>
      </c>
      <c r="H726" t="s">
        <v>8</v>
      </c>
      <c r="I726" t="s">
        <v>2146</v>
      </c>
      <c r="J726" t="s">
        <v>2145</v>
      </c>
      <c r="K726" t="s">
        <v>2144</v>
      </c>
      <c r="L726" t="s">
        <v>2143</v>
      </c>
      <c r="M726" t="s">
        <v>288</v>
      </c>
      <c r="N726">
        <v>3</v>
      </c>
      <c r="O726" t="s">
        <v>2142</v>
      </c>
      <c r="P726" t="s">
        <v>2141</v>
      </c>
      <c r="Q726" t="s">
        <v>2140</v>
      </c>
      <c r="R726" s="7">
        <v>36739</v>
      </c>
      <c r="S726" s="8">
        <f t="shared" si="88"/>
        <v>2000</v>
      </c>
      <c r="T726" s="8">
        <v>2000</v>
      </c>
      <c r="U726" s="8">
        <f t="shared" si="89"/>
        <v>22</v>
      </c>
      <c r="V726" s="7">
        <v>36739</v>
      </c>
      <c r="W726" t="s">
        <v>2139</v>
      </c>
      <c r="X726" s="2">
        <v>0.24199999999999999</v>
      </c>
      <c r="Y726" s="6">
        <f t="shared" si="90"/>
        <v>6.4600517871920135E-3</v>
      </c>
      <c r="AA726">
        <v>9323902</v>
      </c>
      <c r="AB726">
        <v>12582</v>
      </c>
      <c r="AD726" t="s">
        <v>3</v>
      </c>
      <c r="AE726">
        <v>65</v>
      </c>
      <c r="AF726">
        <v>4</v>
      </c>
      <c r="AH726" t="s">
        <v>2138</v>
      </c>
      <c r="AI726" t="s">
        <v>2137</v>
      </c>
      <c r="AK726" t="s">
        <v>2136</v>
      </c>
      <c r="AL726">
        <v>1</v>
      </c>
      <c r="AM726" s="5">
        <f t="shared" si="91"/>
        <v>4.5454545454545456E-2</v>
      </c>
      <c r="AN726" s="4">
        <f t="shared" si="92"/>
        <v>6.8844445974321024E-5</v>
      </c>
      <c r="AO726" s="3"/>
      <c r="AP726">
        <v>0</v>
      </c>
      <c r="AR726" t="s">
        <v>1</v>
      </c>
      <c r="AT726" s="2">
        <v>0.29299999999999998</v>
      </c>
      <c r="AU726" s="1">
        <f t="shared" si="93"/>
        <v>0.45426895848267063</v>
      </c>
      <c r="AV726" s="1">
        <f t="shared" si="94"/>
        <v>0.32644481165831674</v>
      </c>
      <c r="AW726" s="1">
        <f t="shared" si="95"/>
        <v>0.19862066483396287</v>
      </c>
    </row>
    <row r="727" spans="1:49" x14ac:dyDescent="0.2">
      <c r="A727">
        <v>725</v>
      </c>
      <c r="B727" t="s">
        <v>2135</v>
      </c>
      <c r="C727" t="s">
        <v>2134</v>
      </c>
      <c r="D727" t="s">
        <v>2133</v>
      </c>
      <c r="F727" t="s">
        <v>2132</v>
      </c>
      <c r="G727" t="s">
        <v>9</v>
      </c>
      <c r="H727" t="s">
        <v>8</v>
      </c>
      <c r="I727" t="s">
        <v>2131</v>
      </c>
      <c r="J727" t="s">
        <v>2125</v>
      </c>
      <c r="K727" t="s">
        <v>2130</v>
      </c>
      <c r="L727" t="s">
        <v>2129</v>
      </c>
      <c r="M727" t="s">
        <v>2128</v>
      </c>
      <c r="N727">
        <v>2</v>
      </c>
      <c r="O727" t="s">
        <v>2127</v>
      </c>
      <c r="P727" t="s">
        <v>2126</v>
      </c>
      <c r="Q727" t="s">
        <v>2125</v>
      </c>
      <c r="R727" s="7">
        <v>36739</v>
      </c>
      <c r="S727" s="8">
        <f t="shared" si="88"/>
        <v>2000</v>
      </c>
      <c r="T727" s="8">
        <v>2000</v>
      </c>
      <c r="U727" s="8">
        <f t="shared" si="89"/>
        <v>22</v>
      </c>
      <c r="V727" s="7">
        <v>36739</v>
      </c>
      <c r="W727" t="s">
        <v>448</v>
      </c>
      <c r="X727" s="2">
        <v>0.89900000000000002</v>
      </c>
      <c r="Y727" s="6">
        <f t="shared" si="90"/>
        <v>2.399829155655215E-2</v>
      </c>
      <c r="AA727">
        <v>221910</v>
      </c>
      <c r="AB727">
        <v>20487</v>
      </c>
      <c r="AD727" t="s">
        <v>3</v>
      </c>
      <c r="AE727">
        <v>46</v>
      </c>
      <c r="AF727">
        <v>8</v>
      </c>
      <c r="AH727" t="s">
        <v>2124</v>
      </c>
      <c r="AI727" t="s">
        <v>2123</v>
      </c>
      <c r="AJ727" t="s">
        <v>2122</v>
      </c>
      <c r="AK727" t="s">
        <v>2121</v>
      </c>
      <c r="AL727">
        <v>55</v>
      </c>
      <c r="AM727" s="5">
        <f t="shared" si="91"/>
        <v>2.5</v>
      </c>
      <c r="AN727" s="4">
        <f t="shared" si="92"/>
        <v>3.7864445285876562E-3</v>
      </c>
      <c r="AO727" s="3"/>
      <c r="AP727">
        <v>0</v>
      </c>
      <c r="AQ727" t="s">
        <v>2120</v>
      </c>
      <c r="AR727" t="s">
        <v>1</v>
      </c>
      <c r="AS727" t="s">
        <v>2119</v>
      </c>
      <c r="AT727" s="2">
        <v>2.3540000000000001</v>
      </c>
      <c r="AU727" s="1">
        <f t="shared" si="93"/>
        <v>1.7934737448162799</v>
      </c>
      <c r="AV727" s="1">
        <f t="shared" si="94"/>
        <v>1.3892368042569903</v>
      </c>
      <c r="AW727" s="1">
        <f t="shared" si="95"/>
        <v>0.98499986369770032</v>
      </c>
    </row>
    <row r="728" spans="1:49" x14ac:dyDescent="0.2">
      <c r="A728">
        <v>726</v>
      </c>
      <c r="B728" t="s">
        <v>2118</v>
      </c>
      <c r="C728" t="s">
        <v>2117</v>
      </c>
      <c r="F728" t="s">
        <v>2116</v>
      </c>
      <c r="G728" t="s">
        <v>9</v>
      </c>
      <c r="H728" t="s">
        <v>8</v>
      </c>
      <c r="I728" t="s">
        <v>2115</v>
      </c>
      <c r="J728">
        <v>60008435</v>
      </c>
      <c r="K728" t="s">
        <v>266</v>
      </c>
      <c r="L728" t="s">
        <v>265</v>
      </c>
      <c r="M728" t="s">
        <v>43</v>
      </c>
      <c r="N728">
        <v>3</v>
      </c>
      <c r="O728" t="s">
        <v>2114</v>
      </c>
      <c r="P728" t="s">
        <v>2113</v>
      </c>
      <c r="Q728" t="s">
        <v>262</v>
      </c>
      <c r="R728" s="7">
        <v>36739</v>
      </c>
      <c r="S728" s="8">
        <f t="shared" si="88"/>
        <v>2000</v>
      </c>
      <c r="T728" s="8">
        <v>2000</v>
      </c>
      <c r="U728" s="8">
        <f t="shared" si="89"/>
        <v>22</v>
      </c>
      <c r="V728" s="7">
        <v>36739</v>
      </c>
      <c r="W728" t="s">
        <v>2112</v>
      </c>
      <c r="X728" s="2">
        <v>1.145</v>
      </c>
      <c r="Y728" s="6">
        <f t="shared" si="90"/>
        <v>3.0565121059234941E-2</v>
      </c>
      <c r="AA728">
        <v>92673</v>
      </c>
      <c r="AB728">
        <v>23345</v>
      </c>
      <c r="AD728" t="s">
        <v>3</v>
      </c>
      <c r="AE728">
        <v>73</v>
      </c>
      <c r="AF728">
        <v>8</v>
      </c>
      <c r="AH728" t="s">
        <v>2111</v>
      </c>
      <c r="AI728" t="s">
        <v>2110</v>
      </c>
      <c r="AK728" t="s">
        <v>2109</v>
      </c>
      <c r="AL728">
        <v>8</v>
      </c>
      <c r="AM728" s="5">
        <f t="shared" si="91"/>
        <v>0.36363636363636365</v>
      </c>
      <c r="AN728" s="4">
        <f t="shared" si="92"/>
        <v>5.5075556779456819E-4</v>
      </c>
      <c r="AO728" s="3"/>
      <c r="AP728">
        <v>0</v>
      </c>
      <c r="AR728" t="s">
        <v>1</v>
      </c>
      <c r="AT728" s="2" t="s">
        <v>0</v>
      </c>
      <c r="AU728" s="1">
        <f t="shared" si="93"/>
        <v>2.1560811411802829</v>
      </c>
      <c r="AV728" s="1">
        <f t="shared" si="94"/>
        <v>1.5557938313514754</v>
      </c>
      <c r="AW728" s="1">
        <f t="shared" si="95"/>
        <v>0.95550652152266802</v>
      </c>
    </row>
    <row r="729" spans="1:49" x14ac:dyDescent="0.2">
      <c r="A729">
        <v>727</v>
      </c>
      <c r="B729" t="s">
        <v>2108</v>
      </c>
      <c r="C729" t="s">
        <v>2107</v>
      </c>
      <c r="F729" t="s">
        <v>2106</v>
      </c>
      <c r="G729" t="s">
        <v>9</v>
      </c>
      <c r="H729" t="s">
        <v>8</v>
      </c>
      <c r="I729" t="s">
        <v>2105</v>
      </c>
      <c r="J729" t="s">
        <v>2104</v>
      </c>
      <c r="K729" t="s">
        <v>2103</v>
      </c>
      <c r="L729" t="s">
        <v>1554</v>
      </c>
      <c r="M729" t="s">
        <v>94</v>
      </c>
      <c r="N729">
        <v>8</v>
      </c>
      <c r="O729" t="s">
        <v>2102</v>
      </c>
      <c r="P729" t="s">
        <v>2101</v>
      </c>
      <c r="Q729" t="s">
        <v>2100</v>
      </c>
      <c r="R729" s="7">
        <v>36737</v>
      </c>
      <c r="S729" s="8">
        <f t="shared" si="88"/>
        <v>2000</v>
      </c>
      <c r="T729" s="8">
        <v>2000</v>
      </c>
      <c r="U729" s="8">
        <f t="shared" si="89"/>
        <v>22</v>
      </c>
      <c r="V729" s="7">
        <v>36737</v>
      </c>
      <c r="W729" t="s">
        <v>46</v>
      </c>
      <c r="X729" s="2">
        <v>0.13600000000000001</v>
      </c>
      <c r="Y729" s="6">
        <f t="shared" si="90"/>
        <v>3.6304423266864208E-3</v>
      </c>
      <c r="AA729">
        <v>4247760</v>
      </c>
      <c r="AB729">
        <v>16066</v>
      </c>
      <c r="AD729" t="s">
        <v>3</v>
      </c>
      <c r="AE729">
        <v>132</v>
      </c>
      <c r="AF729">
        <v>2</v>
      </c>
      <c r="AH729" t="s">
        <v>2093</v>
      </c>
      <c r="AI729" t="s">
        <v>2092</v>
      </c>
      <c r="AK729" t="s">
        <v>2091</v>
      </c>
      <c r="AL729">
        <v>0</v>
      </c>
      <c r="AM729" s="5">
        <f t="shared" si="91"/>
        <v>0</v>
      </c>
      <c r="AN729" s="4">
        <f t="shared" si="92"/>
        <v>0</v>
      </c>
      <c r="AO729" s="3"/>
      <c r="AP729">
        <v>0</v>
      </c>
      <c r="AR729" t="s">
        <v>1</v>
      </c>
      <c r="AT729" s="2" t="s">
        <v>0</v>
      </c>
      <c r="AU729" s="1">
        <f t="shared" si="93"/>
        <v>0.25413096286804943</v>
      </c>
      <c r="AV729" s="1">
        <f t="shared" si="94"/>
        <v>0.18152211633432103</v>
      </c>
      <c r="AW729" s="1">
        <f t="shared" si="95"/>
        <v>0.10891326980059261</v>
      </c>
    </row>
    <row r="730" spans="1:49" x14ac:dyDescent="0.2">
      <c r="A730">
        <v>728</v>
      </c>
      <c r="B730" t="s">
        <v>2099</v>
      </c>
      <c r="C730" t="s">
        <v>2098</v>
      </c>
      <c r="F730" t="s">
        <v>2097</v>
      </c>
      <c r="G730" t="s">
        <v>9</v>
      </c>
      <c r="H730" t="s">
        <v>8</v>
      </c>
      <c r="I730" t="s">
        <v>2096</v>
      </c>
      <c r="N730">
        <v>4</v>
      </c>
      <c r="O730" t="s">
        <v>2095</v>
      </c>
      <c r="P730" t="s">
        <v>2094</v>
      </c>
      <c r="Q730" t="s">
        <v>314</v>
      </c>
      <c r="R730" s="7">
        <v>36737</v>
      </c>
      <c r="S730" s="8">
        <f t="shared" si="88"/>
        <v>2000</v>
      </c>
      <c r="T730" s="8">
        <v>2000</v>
      </c>
      <c r="U730" s="8">
        <f t="shared" si="89"/>
        <v>22</v>
      </c>
      <c r="V730" s="7">
        <v>36737</v>
      </c>
      <c r="W730" t="s">
        <v>46</v>
      </c>
      <c r="X730" s="2">
        <v>0.13600000000000001</v>
      </c>
      <c r="Y730" s="6">
        <f t="shared" si="90"/>
        <v>3.6304423266864208E-3</v>
      </c>
      <c r="AA730">
        <v>4247760</v>
      </c>
      <c r="AB730">
        <v>16066</v>
      </c>
      <c r="AD730" t="s">
        <v>3</v>
      </c>
      <c r="AE730">
        <v>132</v>
      </c>
      <c r="AF730">
        <v>2</v>
      </c>
      <c r="AH730" t="s">
        <v>2093</v>
      </c>
      <c r="AI730" t="s">
        <v>2092</v>
      </c>
      <c r="AK730" t="s">
        <v>2091</v>
      </c>
      <c r="AL730">
        <v>8</v>
      </c>
      <c r="AM730" s="5">
        <f t="shared" si="91"/>
        <v>0.36363636363636365</v>
      </c>
      <c r="AN730" s="4">
        <f t="shared" si="92"/>
        <v>5.5075556779456819E-4</v>
      </c>
      <c r="AO730" s="3"/>
      <c r="AP730">
        <v>0</v>
      </c>
      <c r="AR730" t="s">
        <v>1</v>
      </c>
      <c r="AT730" s="2" t="s">
        <v>0</v>
      </c>
      <c r="AU730" s="1">
        <f t="shared" si="93"/>
        <v>0.27065362990188646</v>
      </c>
      <c r="AV730" s="1">
        <f t="shared" si="94"/>
        <v>0.20905989472404943</v>
      </c>
      <c r="AW730" s="1">
        <f t="shared" si="95"/>
        <v>0.14746615954621237</v>
      </c>
    </row>
    <row r="731" spans="1:49" x14ac:dyDescent="0.2">
      <c r="A731">
        <v>729</v>
      </c>
      <c r="B731" t="s">
        <v>2090</v>
      </c>
      <c r="C731" t="s">
        <v>2089</v>
      </c>
      <c r="D731" t="s">
        <v>2088</v>
      </c>
      <c r="F731" t="s">
        <v>2087</v>
      </c>
      <c r="G731" t="s">
        <v>9</v>
      </c>
      <c r="H731" t="s">
        <v>8</v>
      </c>
      <c r="I731" t="s">
        <v>2086</v>
      </c>
      <c r="J731" t="s">
        <v>2085</v>
      </c>
      <c r="K731" t="s">
        <v>2084</v>
      </c>
      <c r="L731" t="s">
        <v>2083</v>
      </c>
      <c r="M731" t="s">
        <v>2082</v>
      </c>
      <c r="N731">
        <v>5</v>
      </c>
      <c r="O731" t="s">
        <v>2081</v>
      </c>
      <c r="P731" t="s">
        <v>2080</v>
      </c>
      <c r="Q731" t="s">
        <v>2079</v>
      </c>
      <c r="R731" s="7">
        <v>36737</v>
      </c>
      <c r="S731" s="8">
        <f t="shared" si="88"/>
        <v>2000</v>
      </c>
      <c r="T731" s="8">
        <v>2000</v>
      </c>
      <c r="U731" s="8">
        <f t="shared" si="89"/>
        <v>22</v>
      </c>
      <c r="V731" s="7">
        <v>36737</v>
      </c>
      <c r="W731" t="s">
        <v>2078</v>
      </c>
      <c r="X731" s="2">
        <v>0.28899999999999998</v>
      </c>
      <c r="Y731" s="6">
        <f t="shared" si="90"/>
        <v>7.7146899442086438E-3</v>
      </c>
      <c r="AA731">
        <v>262692</v>
      </c>
      <c r="AB731">
        <v>9500153939</v>
      </c>
      <c r="AD731" t="s">
        <v>3</v>
      </c>
      <c r="AE731">
        <v>31</v>
      </c>
      <c r="AF731">
        <v>7</v>
      </c>
      <c r="AH731" t="s">
        <v>2077</v>
      </c>
      <c r="AI731" t="s">
        <v>2076</v>
      </c>
      <c r="AJ731" t="s">
        <v>2075</v>
      </c>
      <c r="AK731" t="s">
        <v>2074</v>
      </c>
      <c r="AL731">
        <v>75</v>
      </c>
      <c r="AM731" s="5">
        <f t="shared" si="91"/>
        <v>3.4090909090909092</v>
      </c>
      <c r="AN731" s="4">
        <f t="shared" si="92"/>
        <v>5.163333448074077E-3</v>
      </c>
      <c r="AO731" s="3"/>
      <c r="AP731">
        <v>0</v>
      </c>
      <c r="AR731" t="s">
        <v>1</v>
      </c>
      <c r="AT731" s="2">
        <v>1.605</v>
      </c>
      <c r="AU731" s="1">
        <f t="shared" si="93"/>
        <v>0.69492829953682733</v>
      </c>
      <c r="AV731" s="1">
        <f t="shared" si="94"/>
        <v>0.64390116961413602</v>
      </c>
      <c r="AW731" s="1">
        <f t="shared" si="95"/>
        <v>0.5928740396914447</v>
      </c>
    </row>
    <row r="732" spans="1:49" x14ac:dyDescent="0.2">
      <c r="A732">
        <v>730</v>
      </c>
      <c r="B732" t="s">
        <v>2073</v>
      </c>
      <c r="C732" t="s">
        <v>2072</v>
      </c>
      <c r="D732" t="s">
        <v>2071</v>
      </c>
      <c r="E732">
        <v>10913832</v>
      </c>
      <c r="F732" t="s">
        <v>2070</v>
      </c>
      <c r="G732" t="s">
        <v>9</v>
      </c>
      <c r="H732" t="s">
        <v>8</v>
      </c>
      <c r="I732" t="s">
        <v>2069</v>
      </c>
      <c r="J732" t="s">
        <v>2068</v>
      </c>
      <c r="K732" t="s">
        <v>2067</v>
      </c>
      <c r="L732" t="s">
        <v>2066</v>
      </c>
      <c r="M732" t="s">
        <v>2065</v>
      </c>
      <c r="N732">
        <v>5</v>
      </c>
      <c r="O732" t="s">
        <v>2064</v>
      </c>
      <c r="P732" t="s">
        <v>2063</v>
      </c>
      <c r="Q732" t="s">
        <v>2062</v>
      </c>
      <c r="R732" s="7">
        <v>36733</v>
      </c>
      <c r="S732" s="8">
        <f t="shared" si="88"/>
        <v>2000</v>
      </c>
      <c r="T732" s="8">
        <v>2000</v>
      </c>
      <c r="U732" s="8">
        <f t="shared" si="89"/>
        <v>22</v>
      </c>
      <c r="V732" s="7">
        <v>36733</v>
      </c>
      <c r="W732" t="s">
        <v>2061</v>
      </c>
      <c r="X732" s="2">
        <v>1.204</v>
      </c>
      <c r="Y732" s="6">
        <f t="shared" si="90"/>
        <v>3.2140092362723902E-2</v>
      </c>
      <c r="AA732">
        <v>3044165</v>
      </c>
      <c r="AB732">
        <v>16829</v>
      </c>
      <c r="AD732" t="s">
        <v>3</v>
      </c>
      <c r="AE732">
        <v>1475</v>
      </c>
      <c r="AF732">
        <v>3</v>
      </c>
      <c r="AH732" t="s">
        <v>2060</v>
      </c>
      <c r="AI732" t="s">
        <v>2059</v>
      </c>
      <c r="AJ732" t="s">
        <v>2058</v>
      </c>
      <c r="AK732" t="s">
        <v>2057</v>
      </c>
      <c r="AL732">
        <v>11</v>
      </c>
      <c r="AM732" s="5">
        <f t="shared" si="91"/>
        <v>0.5</v>
      </c>
      <c r="AN732" s="4">
        <f t="shared" si="92"/>
        <v>7.572889057175312E-4</v>
      </c>
      <c r="AO732" s="3"/>
      <c r="AP732">
        <v>0</v>
      </c>
      <c r="AQ732" t="s">
        <v>551</v>
      </c>
      <c r="AR732">
        <v>8576</v>
      </c>
      <c r="AS732" t="s">
        <v>2056</v>
      </c>
      <c r="AT732" s="2" t="s">
        <v>0</v>
      </c>
      <c r="AU732" s="1">
        <f t="shared" si="93"/>
        <v>2.2725251325621989</v>
      </c>
      <c r="AV732" s="1">
        <f t="shared" si="94"/>
        <v>1.6448690634220715</v>
      </c>
      <c r="AW732" s="1">
        <f t="shared" si="95"/>
        <v>1.0172129942819443</v>
      </c>
    </row>
    <row r="733" spans="1:49" x14ac:dyDescent="0.2">
      <c r="A733">
        <v>731</v>
      </c>
      <c r="B733" t="s">
        <v>2055</v>
      </c>
      <c r="C733" t="s">
        <v>2054</v>
      </c>
      <c r="E733">
        <v>10913270</v>
      </c>
      <c r="F733" t="s">
        <v>2053</v>
      </c>
      <c r="G733" t="s">
        <v>9</v>
      </c>
      <c r="H733" t="s">
        <v>8</v>
      </c>
      <c r="I733" t="s">
        <v>2052</v>
      </c>
      <c r="J733" t="s">
        <v>2051</v>
      </c>
      <c r="K733" t="s">
        <v>2050</v>
      </c>
      <c r="L733" t="s">
        <v>2049</v>
      </c>
      <c r="M733" t="s">
        <v>2048</v>
      </c>
      <c r="N733">
        <v>9</v>
      </c>
      <c r="O733" t="s">
        <v>2047</v>
      </c>
      <c r="P733" t="s">
        <v>2046</v>
      </c>
      <c r="Q733" t="s">
        <v>2045</v>
      </c>
      <c r="R733" s="7">
        <v>36732</v>
      </c>
      <c r="S733" s="8">
        <f t="shared" si="88"/>
        <v>2000</v>
      </c>
      <c r="T733" s="8">
        <v>2000</v>
      </c>
      <c r="U733" s="8">
        <f t="shared" si="89"/>
        <v>22</v>
      </c>
      <c r="V733" s="7">
        <v>36732</v>
      </c>
      <c r="W733" t="s">
        <v>758</v>
      </c>
      <c r="X733" s="2">
        <v>1.43</v>
      </c>
      <c r="Y733" s="6">
        <f t="shared" si="90"/>
        <v>3.8173033287952803E-2</v>
      </c>
      <c r="AA733">
        <v>62960</v>
      </c>
      <c r="AB733">
        <v>16867</v>
      </c>
      <c r="AD733" t="s">
        <v>3</v>
      </c>
      <c r="AE733">
        <v>39</v>
      </c>
      <c r="AF733">
        <v>29</v>
      </c>
      <c r="AH733" t="s">
        <v>2044</v>
      </c>
      <c r="AI733" t="s">
        <v>2043</v>
      </c>
      <c r="AK733" t="s">
        <v>2042</v>
      </c>
      <c r="AL733">
        <v>61</v>
      </c>
      <c r="AM733" s="5">
        <f t="shared" si="91"/>
        <v>2.7727272727272729</v>
      </c>
      <c r="AN733" s="4">
        <f t="shared" si="92"/>
        <v>4.1995112044335824E-3</v>
      </c>
      <c r="AO733" s="3"/>
      <c r="AP733">
        <v>0</v>
      </c>
      <c r="AR733" t="s">
        <v>1</v>
      </c>
      <c r="AT733" s="2">
        <v>3.1619999999999999</v>
      </c>
      <c r="AU733" s="1">
        <f t="shared" si="93"/>
        <v>2.7980976662897037</v>
      </c>
      <c r="AV733" s="1">
        <f t="shared" si="94"/>
        <v>2.1186272246193192</v>
      </c>
      <c r="AW733" s="1">
        <f t="shared" si="95"/>
        <v>1.4391567829489349</v>
      </c>
    </row>
    <row r="734" spans="1:49" x14ac:dyDescent="0.2">
      <c r="A734">
        <v>732</v>
      </c>
      <c r="B734" t="s">
        <v>2041</v>
      </c>
      <c r="C734" t="s">
        <v>2040</v>
      </c>
      <c r="F734" t="s">
        <v>2039</v>
      </c>
      <c r="G734" t="s">
        <v>9</v>
      </c>
      <c r="H734" t="s">
        <v>8</v>
      </c>
      <c r="I734" t="s">
        <v>2038</v>
      </c>
      <c r="J734">
        <v>60029740</v>
      </c>
      <c r="K734" t="s">
        <v>2037</v>
      </c>
      <c r="L734" t="s">
        <v>2036</v>
      </c>
      <c r="M734" t="s">
        <v>214</v>
      </c>
      <c r="N734">
        <v>6</v>
      </c>
      <c r="O734" t="s">
        <v>2035</v>
      </c>
      <c r="P734" t="s">
        <v>2034</v>
      </c>
      <c r="Q734" t="s">
        <v>2033</v>
      </c>
      <c r="R734" s="7">
        <v>36732</v>
      </c>
      <c r="S734" s="8">
        <f t="shared" si="88"/>
        <v>2000</v>
      </c>
      <c r="T734" s="8">
        <v>2000</v>
      </c>
      <c r="U734" s="8">
        <f t="shared" si="89"/>
        <v>22</v>
      </c>
      <c r="V734" s="7">
        <v>36732</v>
      </c>
      <c r="W734" t="s">
        <v>2032</v>
      </c>
      <c r="X734" s="2">
        <v>1.994</v>
      </c>
      <c r="Y734" s="6">
        <f t="shared" si="90"/>
        <v>5.322869117215237E-2</v>
      </c>
      <c r="AA734">
        <v>249297</v>
      </c>
      <c r="AB734">
        <v>21100779404</v>
      </c>
      <c r="AD734" t="s">
        <v>3</v>
      </c>
      <c r="AE734">
        <v>33</v>
      </c>
      <c r="AF734">
        <v>15</v>
      </c>
      <c r="AH734" t="s">
        <v>2031</v>
      </c>
      <c r="AI734" t="s">
        <v>2030</v>
      </c>
      <c r="AK734" t="s">
        <v>2029</v>
      </c>
      <c r="AL734">
        <v>36</v>
      </c>
      <c r="AM734" s="5">
        <f t="shared" si="91"/>
        <v>1.6363636363636365</v>
      </c>
      <c r="AN734" s="4">
        <f t="shared" si="92"/>
        <v>2.4784000550755569E-3</v>
      </c>
      <c r="AO734" s="3"/>
      <c r="AP734">
        <v>0</v>
      </c>
      <c r="AR734" t="s">
        <v>1</v>
      </c>
      <c r="AT734" s="2">
        <v>5.9850000000000003</v>
      </c>
      <c r="AU734" s="1">
        <f t="shared" si="93"/>
        <v>3.8003603837029325</v>
      </c>
      <c r="AV734" s="1">
        <f t="shared" si="94"/>
        <v>2.7853545613613964</v>
      </c>
      <c r="AW734" s="1">
        <f t="shared" si="95"/>
        <v>1.7703487390198602</v>
      </c>
    </row>
    <row r="735" spans="1:49" x14ac:dyDescent="0.2">
      <c r="A735">
        <v>733</v>
      </c>
      <c r="B735" t="s">
        <v>2028</v>
      </c>
      <c r="C735" t="s">
        <v>2027</v>
      </c>
      <c r="F735" t="s">
        <v>2026</v>
      </c>
      <c r="G735" t="s">
        <v>9</v>
      </c>
      <c r="H735" t="s">
        <v>8</v>
      </c>
      <c r="I735" t="s">
        <v>2025</v>
      </c>
      <c r="J735" t="s">
        <v>2024</v>
      </c>
      <c r="K735" t="s">
        <v>2023</v>
      </c>
      <c r="L735" t="s">
        <v>2022</v>
      </c>
      <c r="M735" t="s">
        <v>63</v>
      </c>
      <c r="N735">
        <v>4</v>
      </c>
      <c r="O735" t="s">
        <v>2021</v>
      </c>
      <c r="P735" t="s">
        <v>2020</v>
      </c>
      <c r="Q735" t="s">
        <v>2019</v>
      </c>
      <c r="R735" s="7">
        <v>36731</v>
      </c>
      <c r="S735" s="8">
        <f t="shared" si="88"/>
        <v>2000</v>
      </c>
      <c r="T735" s="8">
        <v>2000</v>
      </c>
      <c r="U735" s="8">
        <f t="shared" si="89"/>
        <v>22</v>
      </c>
      <c r="V735" s="7">
        <v>36731</v>
      </c>
      <c r="W735" t="s">
        <v>803</v>
      </c>
      <c r="X735" s="2">
        <v>1.1819999999999999</v>
      </c>
      <c r="Y735" s="6">
        <f t="shared" si="90"/>
        <v>3.1552814927524625E-2</v>
      </c>
      <c r="AA735">
        <v>36951</v>
      </c>
      <c r="AB735">
        <v>27030</v>
      </c>
      <c r="AD735" t="s">
        <v>3</v>
      </c>
      <c r="AE735">
        <v>77</v>
      </c>
      <c r="AF735">
        <v>4</v>
      </c>
      <c r="AH735" t="s">
        <v>2018</v>
      </c>
      <c r="AI735" t="s">
        <v>2017</v>
      </c>
      <c r="AK735" t="s">
        <v>2016</v>
      </c>
      <c r="AL735">
        <v>41</v>
      </c>
      <c r="AM735" s="5">
        <f t="shared" si="91"/>
        <v>1.8636363636363635</v>
      </c>
      <c r="AN735" s="4">
        <f t="shared" si="92"/>
        <v>2.8226222849471617E-3</v>
      </c>
      <c r="AO735" s="3"/>
      <c r="AP735">
        <v>0</v>
      </c>
      <c r="AR735" t="s">
        <v>1</v>
      </c>
      <c r="AT735" s="2">
        <v>3.7909999999999999</v>
      </c>
      <c r="AU735" s="1">
        <f t="shared" si="93"/>
        <v>2.2933757134751382</v>
      </c>
      <c r="AV735" s="1">
        <f t="shared" si="94"/>
        <v>1.7187718606235893</v>
      </c>
      <c r="AW735" s="1">
        <f t="shared" si="95"/>
        <v>1.14416800777204</v>
      </c>
    </row>
    <row r="736" spans="1:49" x14ac:dyDescent="0.2">
      <c r="A736">
        <v>734</v>
      </c>
      <c r="B736" t="s">
        <v>2015</v>
      </c>
      <c r="C736" t="s">
        <v>2014</v>
      </c>
      <c r="D736" t="s">
        <v>2013</v>
      </c>
      <c r="F736" t="s">
        <v>2012</v>
      </c>
      <c r="G736" t="s">
        <v>9</v>
      </c>
      <c r="H736" t="s">
        <v>8</v>
      </c>
      <c r="I736" t="s">
        <v>2011</v>
      </c>
      <c r="J736">
        <v>60007457</v>
      </c>
      <c r="K736" t="s">
        <v>656</v>
      </c>
      <c r="L736" t="s">
        <v>280</v>
      </c>
      <c r="M736" t="s">
        <v>42</v>
      </c>
      <c r="N736">
        <v>2</v>
      </c>
      <c r="O736" t="s">
        <v>2010</v>
      </c>
      <c r="P736" t="s">
        <v>2009</v>
      </c>
      <c r="Q736" t="s">
        <v>2008</v>
      </c>
      <c r="R736" s="7">
        <v>36731</v>
      </c>
      <c r="S736" s="8">
        <f t="shared" si="88"/>
        <v>2000</v>
      </c>
      <c r="T736" s="8">
        <v>2000</v>
      </c>
      <c r="U736" s="8">
        <f t="shared" si="89"/>
        <v>22</v>
      </c>
      <c r="V736" s="7">
        <v>36731</v>
      </c>
      <c r="W736" t="s">
        <v>706</v>
      </c>
      <c r="X736" s="2">
        <v>0.499</v>
      </c>
      <c r="Y736" s="6">
        <f t="shared" si="90"/>
        <v>1.332052000747444E-2</v>
      </c>
      <c r="AA736">
        <v>3759601</v>
      </c>
      <c r="AB736">
        <v>29464</v>
      </c>
      <c r="AD736" t="s">
        <v>3</v>
      </c>
      <c r="AE736">
        <v>272</v>
      </c>
      <c r="AF736">
        <v>3</v>
      </c>
      <c r="AH736" t="s">
        <v>2007</v>
      </c>
      <c r="AI736" t="s">
        <v>2006</v>
      </c>
      <c r="AJ736" t="s">
        <v>2005</v>
      </c>
      <c r="AK736" t="s">
        <v>2004</v>
      </c>
      <c r="AL736">
        <v>1</v>
      </c>
      <c r="AM736" s="5">
        <f t="shared" si="91"/>
        <v>4.5454545454545456E-2</v>
      </c>
      <c r="AN736" s="4">
        <f t="shared" si="92"/>
        <v>6.8844445974321024E-5</v>
      </c>
      <c r="AO736" s="3"/>
      <c r="AP736">
        <v>0</v>
      </c>
      <c r="AQ736" t="s">
        <v>210</v>
      </c>
      <c r="AR736" t="s">
        <v>2003</v>
      </c>
      <c r="AS736" t="s">
        <v>209</v>
      </c>
      <c r="AT736" s="2" t="s">
        <v>0</v>
      </c>
      <c r="AU736" s="1">
        <f t="shared" si="93"/>
        <v>0.93450173390244051</v>
      </c>
      <c r="AV736" s="1">
        <f t="shared" si="94"/>
        <v>0.669468222672438</v>
      </c>
      <c r="AW736" s="1">
        <f t="shared" si="95"/>
        <v>0.40443471144243565</v>
      </c>
    </row>
    <row r="737" spans="1:49" x14ac:dyDescent="0.2">
      <c r="A737">
        <v>735</v>
      </c>
      <c r="B737" t="s">
        <v>2002</v>
      </c>
      <c r="C737" t="s">
        <v>2001</v>
      </c>
      <c r="E737">
        <v>10929293</v>
      </c>
      <c r="F737" t="s">
        <v>2000</v>
      </c>
      <c r="G737" t="s">
        <v>9</v>
      </c>
      <c r="H737" t="s">
        <v>8</v>
      </c>
      <c r="I737" t="s">
        <v>1999</v>
      </c>
      <c r="J737" t="s">
        <v>1998</v>
      </c>
      <c r="K737" t="s">
        <v>1997</v>
      </c>
      <c r="L737" t="s">
        <v>1996</v>
      </c>
      <c r="M737" t="s">
        <v>168</v>
      </c>
      <c r="N737">
        <v>4</v>
      </c>
      <c r="O737" t="s">
        <v>1995</v>
      </c>
      <c r="P737" t="s">
        <v>1994</v>
      </c>
      <c r="Q737" t="s">
        <v>1993</v>
      </c>
      <c r="R737" s="7">
        <v>36731</v>
      </c>
      <c r="S737" s="8">
        <f t="shared" si="88"/>
        <v>2000</v>
      </c>
      <c r="T737" s="8">
        <v>2000</v>
      </c>
      <c r="U737" s="8">
        <f t="shared" si="89"/>
        <v>22</v>
      </c>
      <c r="V737" s="7">
        <v>2000</v>
      </c>
      <c r="W737" t="s">
        <v>1992</v>
      </c>
      <c r="X737" s="2">
        <v>0.78300000000000003</v>
      </c>
      <c r="Y737" s="6">
        <f t="shared" si="90"/>
        <v>2.0901737807319614E-2</v>
      </c>
      <c r="AA737">
        <v>281042</v>
      </c>
      <c r="AB737">
        <v>21662</v>
      </c>
      <c r="AD737" t="s">
        <v>3</v>
      </c>
      <c r="AE737">
        <v>87</v>
      </c>
      <c r="AF737">
        <v>6</v>
      </c>
      <c r="AH737" t="s">
        <v>1991</v>
      </c>
      <c r="AI737" t="s">
        <v>1990</v>
      </c>
      <c r="AK737" t="s">
        <v>1989</v>
      </c>
      <c r="AL737">
        <v>63</v>
      </c>
      <c r="AM737" s="5">
        <f t="shared" si="91"/>
        <v>2.8636363636363638</v>
      </c>
      <c r="AN737" s="4">
        <f t="shared" si="92"/>
        <v>4.3372000963822245E-3</v>
      </c>
      <c r="AO737" s="3"/>
      <c r="AP737">
        <v>0</v>
      </c>
      <c r="AQ737" t="s">
        <v>107</v>
      </c>
      <c r="AR737" t="s">
        <v>1</v>
      </c>
      <c r="AS737" t="s">
        <v>106</v>
      </c>
      <c r="AT737" s="2" t="s">
        <v>0</v>
      </c>
      <c r="AU737" s="1">
        <f t="shared" si="93"/>
        <v>1.5932376494038396</v>
      </c>
      <c r="AV737" s="1">
        <f t="shared" si="94"/>
        <v>1.2619468951850918</v>
      </c>
      <c r="AW737" s="1">
        <f t="shared" si="95"/>
        <v>0.93065614096634397</v>
      </c>
    </row>
    <row r="738" spans="1:49" x14ac:dyDescent="0.2">
      <c r="A738">
        <v>736</v>
      </c>
      <c r="B738" t="s">
        <v>1988</v>
      </c>
      <c r="C738" t="s">
        <v>1987</v>
      </c>
      <c r="F738" t="s">
        <v>1986</v>
      </c>
      <c r="G738" t="s">
        <v>9</v>
      </c>
      <c r="H738" t="s">
        <v>8</v>
      </c>
      <c r="I738" t="s">
        <v>1985</v>
      </c>
      <c r="J738" t="s">
        <v>471</v>
      </c>
      <c r="K738" t="s">
        <v>470</v>
      </c>
      <c r="L738" t="s">
        <v>469</v>
      </c>
      <c r="M738" t="s">
        <v>19</v>
      </c>
      <c r="N738">
        <v>7</v>
      </c>
      <c r="O738" t="s">
        <v>1984</v>
      </c>
      <c r="P738" t="s">
        <v>1983</v>
      </c>
      <c r="Q738" t="s">
        <v>1982</v>
      </c>
      <c r="R738" s="7">
        <v>36731</v>
      </c>
      <c r="S738" s="8">
        <f t="shared" si="88"/>
        <v>2000</v>
      </c>
      <c r="T738" s="8">
        <v>2000</v>
      </c>
      <c r="U738" s="8">
        <f t="shared" si="89"/>
        <v>22</v>
      </c>
      <c r="V738" s="7">
        <v>36731</v>
      </c>
      <c r="W738" t="s">
        <v>803</v>
      </c>
      <c r="X738" s="2">
        <v>1.1819999999999999</v>
      </c>
      <c r="Y738" s="6">
        <f t="shared" si="90"/>
        <v>3.1552814927524625E-2</v>
      </c>
      <c r="AA738">
        <v>36951</v>
      </c>
      <c r="AB738">
        <v>27030</v>
      </c>
      <c r="AD738" t="s">
        <v>3</v>
      </c>
      <c r="AE738">
        <v>77</v>
      </c>
      <c r="AF738">
        <v>4</v>
      </c>
      <c r="AH738" t="s">
        <v>1981</v>
      </c>
      <c r="AI738" t="s">
        <v>1980</v>
      </c>
      <c r="AK738" t="s">
        <v>1979</v>
      </c>
      <c r="AL738">
        <v>46</v>
      </c>
      <c r="AM738" s="5">
        <f t="shared" si="91"/>
        <v>2.0909090909090908</v>
      </c>
      <c r="AN738" s="4">
        <f t="shared" si="92"/>
        <v>3.1668445148187669E-3</v>
      </c>
      <c r="AO738" s="3"/>
      <c r="AP738">
        <v>0</v>
      </c>
      <c r="AR738" t="s">
        <v>1</v>
      </c>
      <c r="AT738" s="2">
        <v>3.7909999999999999</v>
      </c>
      <c r="AU738" s="1">
        <f t="shared" si="93"/>
        <v>2.3037023803712864</v>
      </c>
      <c r="AV738" s="1">
        <f t="shared" si="94"/>
        <v>1.7359829721171696</v>
      </c>
      <c r="AW738" s="1">
        <f t="shared" si="95"/>
        <v>1.1682635638630523</v>
      </c>
    </row>
    <row r="739" spans="1:49" x14ac:dyDescent="0.2">
      <c r="A739">
        <v>737</v>
      </c>
      <c r="B739" t="s">
        <v>1978</v>
      </c>
      <c r="C739" t="s">
        <v>1977</v>
      </c>
      <c r="F739" t="s">
        <v>1976</v>
      </c>
      <c r="G739" t="s">
        <v>9</v>
      </c>
      <c r="H739" t="s">
        <v>8</v>
      </c>
      <c r="I739" t="s">
        <v>102</v>
      </c>
      <c r="J739">
        <v>60025778</v>
      </c>
      <c r="K739" t="s">
        <v>299</v>
      </c>
      <c r="L739" t="s">
        <v>298</v>
      </c>
      <c r="M739" t="s">
        <v>5</v>
      </c>
      <c r="N739">
        <v>3</v>
      </c>
      <c r="O739" t="s">
        <v>1975</v>
      </c>
      <c r="P739" t="s">
        <v>1974</v>
      </c>
      <c r="Q739" t="s">
        <v>460</v>
      </c>
      <c r="R739" s="7">
        <v>36731</v>
      </c>
      <c r="S739" s="8">
        <f t="shared" si="88"/>
        <v>2000</v>
      </c>
      <c r="T739" s="8">
        <v>2000</v>
      </c>
      <c r="U739" s="8">
        <f t="shared" si="89"/>
        <v>22</v>
      </c>
      <c r="V739" s="7">
        <v>36731</v>
      </c>
      <c r="W739" t="s">
        <v>803</v>
      </c>
      <c r="X739" s="2">
        <v>1.1819999999999999</v>
      </c>
      <c r="Y739" s="6">
        <f t="shared" si="90"/>
        <v>3.1552814927524625E-2</v>
      </c>
      <c r="AA739">
        <v>36951</v>
      </c>
      <c r="AB739">
        <v>27030</v>
      </c>
      <c r="AD739" t="s">
        <v>3</v>
      </c>
      <c r="AE739">
        <v>77</v>
      </c>
      <c r="AF739">
        <v>4</v>
      </c>
      <c r="AH739" t="s">
        <v>1973</v>
      </c>
      <c r="AI739" t="s">
        <v>1972</v>
      </c>
      <c r="AK739" t="s">
        <v>1971</v>
      </c>
      <c r="AL739">
        <v>51</v>
      </c>
      <c r="AM739" s="5">
        <f t="shared" si="91"/>
        <v>2.3181818181818183</v>
      </c>
      <c r="AN739" s="4">
        <f t="shared" si="92"/>
        <v>3.5110667446903725E-3</v>
      </c>
      <c r="AO739" s="3"/>
      <c r="AP739">
        <v>0</v>
      </c>
      <c r="AR739" t="s">
        <v>1</v>
      </c>
      <c r="AT739" s="2">
        <v>3.7909999999999999</v>
      </c>
      <c r="AU739" s="1">
        <f t="shared" si="93"/>
        <v>2.314029047267435</v>
      </c>
      <c r="AV739" s="1">
        <f t="shared" si="94"/>
        <v>1.7531940836107498</v>
      </c>
      <c r="AW739" s="1">
        <f t="shared" si="95"/>
        <v>1.1923591199540648</v>
      </c>
    </row>
    <row r="740" spans="1:49" x14ac:dyDescent="0.2">
      <c r="A740">
        <v>738</v>
      </c>
      <c r="B740" t="s">
        <v>1970</v>
      </c>
      <c r="C740" t="s">
        <v>1969</v>
      </c>
      <c r="D740" t="s">
        <v>1968</v>
      </c>
      <c r="E740">
        <v>10950271</v>
      </c>
      <c r="F740" t="s">
        <v>1967</v>
      </c>
      <c r="G740" t="s">
        <v>9</v>
      </c>
      <c r="H740" t="s">
        <v>8</v>
      </c>
      <c r="I740" t="s">
        <v>1966</v>
      </c>
      <c r="J740">
        <v>60000221</v>
      </c>
      <c r="K740" t="s">
        <v>831</v>
      </c>
      <c r="L740" t="s">
        <v>61</v>
      </c>
      <c r="M740" t="s">
        <v>5</v>
      </c>
      <c r="N740">
        <v>2</v>
      </c>
      <c r="O740" t="s">
        <v>1965</v>
      </c>
      <c r="P740" t="s">
        <v>1964</v>
      </c>
      <c r="Q740" t="s">
        <v>830</v>
      </c>
      <c r="R740" s="7">
        <v>36728</v>
      </c>
      <c r="S740" s="8">
        <f t="shared" si="88"/>
        <v>2000</v>
      </c>
      <c r="T740" s="8">
        <v>2000</v>
      </c>
      <c r="U740" s="8">
        <f t="shared" si="89"/>
        <v>22</v>
      </c>
      <c r="V740" s="7">
        <v>36728</v>
      </c>
      <c r="W740" t="s">
        <v>1948</v>
      </c>
      <c r="X740" s="2">
        <v>1.0109999999999999</v>
      </c>
      <c r="Y740" s="6">
        <f t="shared" si="90"/>
        <v>2.6988067590293905E-2</v>
      </c>
      <c r="AA740">
        <v>219673</v>
      </c>
      <c r="AB740">
        <v>130000</v>
      </c>
      <c r="AD740" t="s">
        <v>3</v>
      </c>
      <c r="AE740">
        <v>886</v>
      </c>
      <c r="AF740" s="10">
        <v>44228</v>
      </c>
      <c r="AH740" s="9">
        <v>43344</v>
      </c>
      <c r="AI740" t="s">
        <v>1963</v>
      </c>
      <c r="AJ740" t="s">
        <v>1962</v>
      </c>
      <c r="AK740" t="s">
        <v>1961</v>
      </c>
      <c r="AL740">
        <v>3</v>
      </c>
      <c r="AM740" s="5">
        <f t="shared" si="91"/>
        <v>0.13636363636363635</v>
      </c>
      <c r="AN740" s="4">
        <f t="shared" si="92"/>
        <v>2.0653333792296306E-4</v>
      </c>
      <c r="AO740" s="3"/>
      <c r="AP740">
        <v>0</v>
      </c>
      <c r="AQ740" t="s">
        <v>210</v>
      </c>
      <c r="AR740" t="s">
        <v>1</v>
      </c>
      <c r="AS740" t="s">
        <v>209</v>
      </c>
      <c r="AT740" s="2">
        <v>4.7590000000000003</v>
      </c>
      <c r="AU740" s="1">
        <f t="shared" si="93"/>
        <v>1.8953607314582621</v>
      </c>
      <c r="AV740" s="1">
        <f t="shared" si="94"/>
        <v>1.3597300464108433</v>
      </c>
      <c r="AW740" s="1">
        <f t="shared" si="95"/>
        <v>0.82409936136342465</v>
      </c>
    </row>
    <row r="741" spans="1:49" x14ac:dyDescent="0.2">
      <c r="A741">
        <v>739</v>
      </c>
      <c r="B741" t="s">
        <v>1960</v>
      </c>
      <c r="C741" t="s">
        <v>1959</v>
      </c>
      <c r="D741" t="s">
        <v>1958</v>
      </c>
      <c r="E741">
        <v>10950281</v>
      </c>
      <c r="F741" t="s">
        <v>1957</v>
      </c>
      <c r="G741" t="s">
        <v>9</v>
      </c>
      <c r="H741" t="s">
        <v>8</v>
      </c>
      <c r="I741" t="s">
        <v>1956</v>
      </c>
      <c r="J741" t="s">
        <v>1955</v>
      </c>
      <c r="K741" t="s">
        <v>1954</v>
      </c>
      <c r="L741" t="s">
        <v>1953</v>
      </c>
      <c r="M741" t="s">
        <v>1952</v>
      </c>
      <c r="N741">
        <v>4</v>
      </c>
      <c r="O741" t="s">
        <v>1951</v>
      </c>
      <c r="P741" t="s">
        <v>1950</v>
      </c>
      <c r="Q741" t="s">
        <v>1949</v>
      </c>
      <c r="R741" s="7">
        <v>36728</v>
      </c>
      <c r="S741" s="8">
        <f t="shared" si="88"/>
        <v>2000</v>
      </c>
      <c r="T741" s="8">
        <v>2000</v>
      </c>
      <c r="U741" s="8">
        <f t="shared" si="89"/>
        <v>22</v>
      </c>
      <c r="V741" s="7">
        <v>36728</v>
      </c>
      <c r="W741" t="s">
        <v>1948</v>
      </c>
      <c r="X741" s="2">
        <v>1.0109999999999999</v>
      </c>
      <c r="Y741" s="6">
        <f t="shared" si="90"/>
        <v>2.6988067590293905E-2</v>
      </c>
      <c r="AA741">
        <v>219673</v>
      </c>
      <c r="AB741">
        <v>130000</v>
      </c>
      <c r="AD741" t="s">
        <v>3</v>
      </c>
      <c r="AE741">
        <v>886</v>
      </c>
      <c r="AF741" s="10">
        <v>44228</v>
      </c>
      <c r="AH741" t="s">
        <v>1947</v>
      </c>
      <c r="AI741" t="s">
        <v>1946</v>
      </c>
      <c r="AJ741" t="s">
        <v>1945</v>
      </c>
      <c r="AK741" t="s">
        <v>1944</v>
      </c>
      <c r="AL741">
        <v>44</v>
      </c>
      <c r="AM741" s="5">
        <f t="shared" si="91"/>
        <v>2</v>
      </c>
      <c r="AN741" s="4">
        <f t="shared" si="92"/>
        <v>3.0291556228701248E-3</v>
      </c>
      <c r="AO741" s="3"/>
      <c r="AP741">
        <v>0</v>
      </c>
      <c r="AR741" t="s">
        <v>1</v>
      </c>
      <c r="AT741" s="2">
        <v>4.7590000000000003</v>
      </c>
      <c r="AU741" s="1">
        <f t="shared" si="93"/>
        <v>1.9800394000066772</v>
      </c>
      <c r="AV741" s="1">
        <f t="shared" si="94"/>
        <v>1.5008611606582016</v>
      </c>
      <c r="AW741" s="1">
        <f t="shared" si="95"/>
        <v>1.0216829213097258</v>
      </c>
    </row>
    <row r="742" spans="1:49" x14ac:dyDescent="0.2">
      <c r="A742">
        <v>740</v>
      </c>
      <c r="B742" t="s">
        <v>1943</v>
      </c>
      <c r="C742" t="s">
        <v>1942</v>
      </c>
      <c r="D742" t="s">
        <v>1941</v>
      </c>
      <c r="E742">
        <v>10908717</v>
      </c>
      <c r="F742" t="s">
        <v>1940</v>
      </c>
      <c r="G742" t="s">
        <v>9</v>
      </c>
      <c r="H742" t="s">
        <v>8</v>
      </c>
      <c r="I742" t="s">
        <v>1939</v>
      </c>
      <c r="J742" t="s">
        <v>1938</v>
      </c>
      <c r="K742" t="s">
        <v>1937</v>
      </c>
      <c r="L742" t="s">
        <v>1936</v>
      </c>
      <c r="M742" t="s">
        <v>1935</v>
      </c>
      <c r="N742">
        <v>3</v>
      </c>
      <c r="O742" t="s">
        <v>1934</v>
      </c>
      <c r="P742" t="s">
        <v>1933</v>
      </c>
      <c r="Q742" t="s">
        <v>1932</v>
      </c>
      <c r="R742" s="7">
        <v>36728</v>
      </c>
      <c r="S742" s="8">
        <f t="shared" si="88"/>
        <v>2000</v>
      </c>
      <c r="T742" s="8">
        <v>2000</v>
      </c>
      <c r="U742" s="8">
        <f t="shared" si="89"/>
        <v>22</v>
      </c>
      <c r="V742" s="7">
        <v>36728</v>
      </c>
      <c r="W742" t="s">
        <v>855</v>
      </c>
      <c r="X742" s="2">
        <v>1.593</v>
      </c>
      <c r="Y742" s="6">
        <f t="shared" si="90"/>
        <v>4.2524225194201973E-2</v>
      </c>
      <c r="AA742">
        <v>145793</v>
      </c>
      <c r="AB742">
        <v>17481</v>
      </c>
      <c r="AD742" t="s">
        <v>3</v>
      </c>
      <c r="AE742">
        <v>477</v>
      </c>
      <c r="AF742">
        <v>3</v>
      </c>
      <c r="AH742" t="s">
        <v>277</v>
      </c>
      <c r="AI742" t="s">
        <v>1931</v>
      </c>
      <c r="AK742" t="s">
        <v>1930</v>
      </c>
      <c r="AL742">
        <v>93</v>
      </c>
      <c r="AM742" s="5">
        <f t="shared" si="91"/>
        <v>4.2272727272727275</v>
      </c>
      <c r="AN742" s="4">
        <f t="shared" si="92"/>
        <v>6.4025334756118556E-3</v>
      </c>
      <c r="AO742" s="3"/>
      <c r="AP742">
        <v>1</v>
      </c>
      <c r="AQ742" t="s">
        <v>1929</v>
      </c>
      <c r="AR742" t="s">
        <v>1928</v>
      </c>
      <c r="AS742" t="s">
        <v>1927</v>
      </c>
      <c r="AT742" s="2">
        <v>4.1239999999999997</v>
      </c>
      <c r="AU742" s="1">
        <f t="shared" si="93"/>
        <v>3.168771767862494</v>
      </c>
      <c r="AV742" s="1">
        <f t="shared" si="94"/>
        <v>2.4463379334906916</v>
      </c>
      <c r="AW742" s="1">
        <f t="shared" si="95"/>
        <v>1.7239040991188892</v>
      </c>
    </row>
    <row r="743" spans="1:49" x14ac:dyDescent="0.2">
      <c r="A743">
        <v>741</v>
      </c>
      <c r="B743" t="s">
        <v>1926</v>
      </c>
      <c r="C743" t="s">
        <v>1925</v>
      </c>
      <c r="E743">
        <v>10806192</v>
      </c>
      <c r="F743" t="s">
        <v>1924</v>
      </c>
      <c r="G743" t="s">
        <v>9</v>
      </c>
      <c r="H743" t="s">
        <v>8</v>
      </c>
      <c r="I743" t="s">
        <v>1923</v>
      </c>
      <c r="J743" t="s">
        <v>1922</v>
      </c>
      <c r="K743" t="s">
        <v>1921</v>
      </c>
      <c r="L743" t="s">
        <v>1920</v>
      </c>
      <c r="M743" t="s">
        <v>1919</v>
      </c>
      <c r="N743">
        <v>6</v>
      </c>
      <c r="O743" t="s">
        <v>1918</v>
      </c>
      <c r="P743" t="s">
        <v>1917</v>
      </c>
      <c r="Q743" t="s">
        <v>1916</v>
      </c>
      <c r="R743" s="7">
        <v>36728</v>
      </c>
      <c r="S743" s="8">
        <f t="shared" si="88"/>
        <v>2000</v>
      </c>
      <c r="T743" s="8">
        <v>2000</v>
      </c>
      <c r="U743" s="8">
        <f t="shared" si="89"/>
        <v>22</v>
      </c>
      <c r="V743" s="7">
        <v>36728</v>
      </c>
      <c r="W743" t="s">
        <v>773</v>
      </c>
      <c r="X743" s="2">
        <v>2.3610000000000002</v>
      </c>
      <c r="Y743" s="6">
        <f t="shared" si="90"/>
        <v>6.3025546568431179E-2</v>
      </c>
      <c r="AA743">
        <v>219258</v>
      </c>
      <c r="AB743">
        <v>17592</v>
      </c>
      <c r="AD743" t="s">
        <v>3</v>
      </c>
      <c r="AE743">
        <v>275</v>
      </c>
      <c r="AF743">
        <v>29</v>
      </c>
      <c r="AH743" t="s">
        <v>1915</v>
      </c>
      <c r="AI743" t="s">
        <v>1914</v>
      </c>
      <c r="AK743" t="s">
        <v>1913</v>
      </c>
      <c r="AL743">
        <v>19</v>
      </c>
      <c r="AM743" s="5">
        <f t="shared" si="91"/>
        <v>0.86363636363636365</v>
      </c>
      <c r="AN743" s="4">
        <f t="shared" si="92"/>
        <v>1.3080444735120995E-3</v>
      </c>
      <c r="AO743" s="3"/>
      <c r="AP743">
        <v>1</v>
      </c>
      <c r="AR743" t="s">
        <v>1</v>
      </c>
      <c r="AT743" s="2">
        <v>5.157</v>
      </c>
      <c r="AU743" s="1">
        <f t="shared" si="93"/>
        <v>4.4510295939955453</v>
      </c>
      <c r="AV743" s="1">
        <f t="shared" si="94"/>
        <v>3.2166795520971641</v>
      </c>
      <c r="AW743" s="1">
        <f t="shared" si="95"/>
        <v>1.9823295101987821</v>
      </c>
    </row>
    <row r="744" spans="1:49" x14ac:dyDescent="0.2">
      <c r="A744">
        <v>742</v>
      </c>
      <c r="B744" t="s">
        <v>1912</v>
      </c>
      <c r="C744" t="s">
        <v>1911</v>
      </c>
      <c r="D744" t="s">
        <v>1910</v>
      </c>
      <c r="E744">
        <v>10943836</v>
      </c>
      <c r="F744" t="s">
        <v>1909</v>
      </c>
      <c r="G744" t="s">
        <v>9</v>
      </c>
      <c r="H744" t="s">
        <v>8</v>
      </c>
      <c r="I744" t="s">
        <v>1908</v>
      </c>
      <c r="J744">
        <v>60011605</v>
      </c>
      <c r="K744" t="s">
        <v>1907</v>
      </c>
      <c r="L744" t="s">
        <v>199</v>
      </c>
      <c r="M744" t="s">
        <v>5</v>
      </c>
      <c r="N744">
        <v>3</v>
      </c>
      <c r="O744" t="s">
        <v>1906</v>
      </c>
      <c r="P744" t="s">
        <v>1905</v>
      </c>
      <c r="Q744" t="s">
        <v>1904</v>
      </c>
      <c r="R744" s="7">
        <v>36728</v>
      </c>
      <c r="S744" s="8">
        <f t="shared" si="88"/>
        <v>2000</v>
      </c>
      <c r="T744" s="8">
        <v>2000</v>
      </c>
      <c r="U744" s="8">
        <f t="shared" si="89"/>
        <v>22</v>
      </c>
      <c r="V744" s="7">
        <v>36728</v>
      </c>
      <c r="W744" t="s">
        <v>956</v>
      </c>
      <c r="X744" s="2">
        <v>26.303999999999998</v>
      </c>
      <c r="Y744" s="6">
        <f t="shared" si="90"/>
        <v>0.70217025706735003</v>
      </c>
      <c r="AA744">
        <v>928674</v>
      </c>
      <c r="AB744">
        <v>18434</v>
      </c>
      <c r="AD744" t="s">
        <v>3</v>
      </c>
      <c r="AE744">
        <v>102</v>
      </c>
      <c r="AF744">
        <v>2</v>
      </c>
      <c r="AH744" t="s">
        <v>1903</v>
      </c>
      <c r="AI744" t="s">
        <v>1902</v>
      </c>
      <c r="AK744" t="s">
        <v>1901</v>
      </c>
      <c r="AL744">
        <v>760</v>
      </c>
      <c r="AM744" s="5">
        <f t="shared" si="91"/>
        <v>34.545454545454547</v>
      </c>
      <c r="AN744" s="4">
        <f t="shared" si="92"/>
        <v>5.2321778940483982E-2</v>
      </c>
      <c r="AO744" s="3"/>
      <c r="AP744">
        <v>1</v>
      </c>
      <c r="AQ744" t="s">
        <v>1900</v>
      </c>
      <c r="AR744" t="s">
        <v>1899</v>
      </c>
      <c r="AS744" t="s">
        <v>1898</v>
      </c>
      <c r="AT744" s="2">
        <v>41.582000000000001</v>
      </c>
      <c r="AU744" s="1">
        <f t="shared" si="93"/>
        <v>50.721571362929019</v>
      </c>
      <c r="AV744" s="1">
        <f t="shared" si="94"/>
        <v>37.724601800391696</v>
      </c>
      <c r="AW744" s="1">
        <f t="shared" si="95"/>
        <v>24.72763223785438</v>
      </c>
    </row>
    <row r="745" spans="1:49" x14ac:dyDescent="0.2">
      <c r="A745">
        <v>743</v>
      </c>
      <c r="B745" t="s">
        <v>1897</v>
      </c>
      <c r="C745" t="s">
        <v>1896</v>
      </c>
      <c r="F745" t="s">
        <v>1895</v>
      </c>
      <c r="G745" t="s">
        <v>9</v>
      </c>
      <c r="H745" t="s">
        <v>8</v>
      </c>
      <c r="I745" t="s">
        <v>1894</v>
      </c>
      <c r="J745">
        <v>60001576</v>
      </c>
      <c r="K745" t="s">
        <v>1893</v>
      </c>
      <c r="L745" t="s">
        <v>110</v>
      </c>
      <c r="M745" t="s">
        <v>109</v>
      </c>
      <c r="N745">
        <v>1</v>
      </c>
      <c r="O745" t="s">
        <v>1892</v>
      </c>
      <c r="P745">
        <v>35607588100</v>
      </c>
      <c r="Q745">
        <v>60001576</v>
      </c>
      <c r="R745" s="7">
        <v>36728</v>
      </c>
      <c r="S745" s="8">
        <f t="shared" si="88"/>
        <v>2000</v>
      </c>
      <c r="T745" s="8">
        <v>2000</v>
      </c>
      <c r="U745" s="8">
        <f t="shared" si="89"/>
        <v>22</v>
      </c>
      <c r="V745" s="7">
        <v>36728</v>
      </c>
      <c r="W745" t="s">
        <v>1891</v>
      </c>
      <c r="X745" s="2">
        <v>2.0579999999999998</v>
      </c>
      <c r="Y745" s="6">
        <f t="shared" si="90"/>
        <v>5.4937134620004803E-2</v>
      </c>
      <c r="AA745">
        <v>358711</v>
      </c>
      <c r="AB745">
        <v>28218</v>
      </c>
      <c r="AD745" t="s">
        <v>3</v>
      </c>
      <c r="AE745">
        <v>316</v>
      </c>
      <c r="AF745">
        <v>1</v>
      </c>
      <c r="AH745" t="s">
        <v>1890</v>
      </c>
      <c r="AI745" t="s">
        <v>1889</v>
      </c>
      <c r="AJ745" t="s">
        <v>1888</v>
      </c>
      <c r="AK745" t="s">
        <v>1887</v>
      </c>
      <c r="AL745">
        <v>23</v>
      </c>
      <c r="AM745" s="5">
        <f t="shared" si="91"/>
        <v>1.0454545454545454</v>
      </c>
      <c r="AN745" s="4">
        <f t="shared" si="92"/>
        <v>1.5834222574093834E-3</v>
      </c>
      <c r="AO745" s="3"/>
      <c r="AP745">
        <v>1</v>
      </c>
      <c r="AR745" t="s">
        <v>1</v>
      </c>
      <c r="AT745" s="2" t="s">
        <v>0</v>
      </c>
      <c r="AU745" s="1">
        <f t="shared" si="93"/>
        <v>3.8931020911226173</v>
      </c>
      <c r="AV745" s="1">
        <f t="shared" si="94"/>
        <v>2.8260278438707096</v>
      </c>
      <c r="AW745" s="1">
        <f t="shared" si="95"/>
        <v>1.7589535966188008</v>
      </c>
    </row>
    <row r="746" spans="1:49" x14ac:dyDescent="0.2">
      <c r="A746">
        <v>744</v>
      </c>
      <c r="B746" t="s">
        <v>1886</v>
      </c>
      <c r="C746" t="s">
        <v>1885</v>
      </c>
      <c r="F746" t="s">
        <v>1884</v>
      </c>
      <c r="G746" t="s">
        <v>9</v>
      </c>
      <c r="H746" t="s">
        <v>8</v>
      </c>
      <c r="I746" t="s">
        <v>720</v>
      </c>
      <c r="J746">
        <v>60110693</v>
      </c>
      <c r="K746" t="s">
        <v>190</v>
      </c>
      <c r="L746" t="s">
        <v>189</v>
      </c>
      <c r="M746" t="s">
        <v>105</v>
      </c>
      <c r="N746">
        <v>2</v>
      </c>
      <c r="O746" t="s">
        <v>1883</v>
      </c>
      <c r="P746" t="s">
        <v>1882</v>
      </c>
      <c r="Q746" t="s">
        <v>683</v>
      </c>
      <c r="R746" s="7">
        <v>36727</v>
      </c>
      <c r="S746" s="8">
        <f t="shared" si="88"/>
        <v>2000</v>
      </c>
      <c r="T746" s="8">
        <v>2000</v>
      </c>
      <c r="U746" s="8">
        <f t="shared" si="89"/>
        <v>22</v>
      </c>
      <c r="V746" s="7">
        <v>36727</v>
      </c>
      <c r="W746" t="s">
        <v>718</v>
      </c>
      <c r="X746" s="2">
        <v>0.375</v>
      </c>
      <c r="Y746" s="6">
        <f t="shared" si="90"/>
        <v>1.0010410827260351E-2</v>
      </c>
      <c r="AA746">
        <v>135194</v>
      </c>
      <c r="AB746">
        <v>24918</v>
      </c>
      <c r="AD746" t="s">
        <v>3</v>
      </c>
      <c r="AE746">
        <v>36</v>
      </c>
      <c r="AF746">
        <v>15</v>
      </c>
      <c r="AH746" t="s">
        <v>1881</v>
      </c>
      <c r="AI746" t="s">
        <v>1880</v>
      </c>
      <c r="AK746" t="s">
        <v>1879</v>
      </c>
      <c r="AL746">
        <v>31</v>
      </c>
      <c r="AM746" s="5">
        <f t="shared" si="91"/>
        <v>1.4090909090909092</v>
      </c>
      <c r="AN746" s="4">
        <f t="shared" si="92"/>
        <v>2.1341778252039517E-3</v>
      </c>
      <c r="AO746" s="3"/>
      <c r="AP746">
        <v>0</v>
      </c>
      <c r="AR746" t="s">
        <v>1</v>
      </c>
      <c r="AT746" s="2">
        <v>1.3140000000000001</v>
      </c>
      <c r="AU746" s="1">
        <f t="shared" si="93"/>
        <v>0.76475409266434313</v>
      </c>
      <c r="AV746" s="1">
        <f t="shared" si="94"/>
        <v>0.60722943262321516</v>
      </c>
      <c r="AW746" s="1">
        <f t="shared" si="95"/>
        <v>0.44970477258208708</v>
      </c>
    </row>
    <row r="747" spans="1:49" x14ac:dyDescent="0.2">
      <c r="A747">
        <v>745</v>
      </c>
      <c r="B747" t="s">
        <v>1878</v>
      </c>
      <c r="C747" t="s">
        <v>1877</v>
      </c>
      <c r="F747" t="s">
        <v>1876</v>
      </c>
      <c r="G747" t="s">
        <v>9</v>
      </c>
      <c r="H747" t="s">
        <v>8</v>
      </c>
      <c r="I747" t="s">
        <v>846</v>
      </c>
      <c r="J747">
        <v>60017606</v>
      </c>
      <c r="K747" t="s">
        <v>845</v>
      </c>
      <c r="L747" t="s">
        <v>844</v>
      </c>
      <c r="M747" t="s">
        <v>5</v>
      </c>
      <c r="N747">
        <v>2</v>
      </c>
      <c r="O747" t="s">
        <v>1875</v>
      </c>
      <c r="P747" t="s">
        <v>1874</v>
      </c>
      <c r="Q747" t="s">
        <v>841</v>
      </c>
      <c r="R747" s="7">
        <v>36727</v>
      </c>
      <c r="S747" s="8">
        <f t="shared" si="88"/>
        <v>2000</v>
      </c>
      <c r="T747" s="8">
        <v>2000</v>
      </c>
      <c r="U747" s="8">
        <f t="shared" si="89"/>
        <v>22</v>
      </c>
      <c r="V747" s="7">
        <v>36727</v>
      </c>
      <c r="W747" t="s">
        <v>718</v>
      </c>
      <c r="X747" s="2">
        <v>0.375</v>
      </c>
      <c r="Y747" s="6">
        <f t="shared" si="90"/>
        <v>1.0010410827260351E-2</v>
      </c>
      <c r="AA747">
        <v>135194</v>
      </c>
      <c r="AB747">
        <v>24918</v>
      </c>
      <c r="AD747" t="s">
        <v>3</v>
      </c>
      <c r="AE747">
        <v>36</v>
      </c>
      <c r="AF747">
        <v>15</v>
      </c>
      <c r="AH747" t="s">
        <v>1873</v>
      </c>
      <c r="AI747" t="s">
        <v>1872</v>
      </c>
      <c r="AK747" t="s">
        <v>1871</v>
      </c>
      <c r="AL747">
        <v>56</v>
      </c>
      <c r="AM747" s="5">
        <f t="shared" si="91"/>
        <v>2.5454545454545454</v>
      </c>
      <c r="AN747" s="4">
        <f t="shared" si="92"/>
        <v>3.8552889745619772E-3</v>
      </c>
      <c r="AO747" s="3"/>
      <c r="AP747">
        <v>0</v>
      </c>
      <c r="AR747" t="s">
        <v>1</v>
      </c>
      <c r="AT747" s="2">
        <v>1.3140000000000001</v>
      </c>
      <c r="AU747" s="1">
        <f t="shared" si="93"/>
        <v>0.81638742714508394</v>
      </c>
      <c r="AV747" s="1">
        <f t="shared" si="94"/>
        <v>0.69328499009111644</v>
      </c>
      <c r="AW747" s="1">
        <f t="shared" si="95"/>
        <v>0.57018255303714882</v>
      </c>
    </row>
    <row r="748" spans="1:49" x14ac:dyDescent="0.2">
      <c r="A748">
        <v>746</v>
      </c>
      <c r="B748" t="s">
        <v>1870</v>
      </c>
      <c r="C748" t="s">
        <v>1869</v>
      </c>
      <c r="F748" t="s">
        <v>1868</v>
      </c>
      <c r="G748" t="s">
        <v>9</v>
      </c>
      <c r="H748" t="s">
        <v>8</v>
      </c>
      <c r="I748" t="s">
        <v>380</v>
      </c>
      <c r="J748" t="s">
        <v>623</v>
      </c>
      <c r="K748" t="s">
        <v>622</v>
      </c>
      <c r="L748" t="s">
        <v>621</v>
      </c>
      <c r="M748" t="s">
        <v>620</v>
      </c>
      <c r="N748">
        <v>3</v>
      </c>
      <c r="O748" t="s">
        <v>1867</v>
      </c>
      <c r="P748" t="s">
        <v>1866</v>
      </c>
      <c r="Q748" t="s">
        <v>1865</v>
      </c>
      <c r="R748" s="7">
        <v>36727</v>
      </c>
      <c r="S748" s="8">
        <f t="shared" si="88"/>
        <v>2000</v>
      </c>
      <c r="T748" s="8">
        <v>2000</v>
      </c>
      <c r="U748" s="8">
        <f t="shared" si="89"/>
        <v>22</v>
      </c>
      <c r="V748" s="7">
        <v>36727</v>
      </c>
      <c r="W748" t="s">
        <v>150</v>
      </c>
      <c r="X748" s="2">
        <v>0.30399999999999999</v>
      </c>
      <c r="Y748" s="6">
        <f t="shared" si="90"/>
        <v>8.115106377299057E-3</v>
      </c>
      <c r="AA748">
        <v>8952477</v>
      </c>
      <c r="AB748">
        <v>12250</v>
      </c>
      <c r="AD748" t="s">
        <v>3</v>
      </c>
      <c r="AE748">
        <v>26</v>
      </c>
      <c r="AF748">
        <v>2</v>
      </c>
      <c r="AH748" t="s">
        <v>1864</v>
      </c>
      <c r="AI748" t="s">
        <v>1863</v>
      </c>
      <c r="AK748" t="s">
        <v>1862</v>
      </c>
      <c r="AL748">
        <v>10</v>
      </c>
      <c r="AM748" s="5">
        <f t="shared" si="91"/>
        <v>0.45454545454545453</v>
      </c>
      <c r="AN748" s="4">
        <f t="shared" si="92"/>
        <v>6.8844445974321016E-4</v>
      </c>
      <c r="AO748" s="3"/>
      <c r="AP748">
        <v>0</v>
      </c>
      <c r="AR748" t="s">
        <v>1</v>
      </c>
      <c r="AT748" s="2" t="s">
        <v>0</v>
      </c>
      <c r="AU748" s="1">
        <f t="shared" si="93"/>
        <v>0.5887107802032302</v>
      </c>
      <c r="AV748" s="1">
        <f t="shared" si="94"/>
        <v>0.44017754185211339</v>
      </c>
      <c r="AW748" s="1">
        <f t="shared" si="95"/>
        <v>0.29164430350099646</v>
      </c>
    </row>
    <row r="749" spans="1:49" x14ac:dyDescent="0.2">
      <c r="A749">
        <v>747</v>
      </c>
      <c r="B749" t="s">
        <v>1861</v>
      </c>
      <c r="C749" t="s">
        <v>1860</v>
      </c>
      <c r="F749" t="s">
        <v>1859</v>
      </c>
      <c r="G749" t="s">
        <v>9</v>
      </c>
      <c r="H749" t="s">
        <v>8</v>
      </c>
      <c r="I749" t="s">
        <v>1858</v>
      </c>
      <c r="J749" t="s">
        <v>1857</v>
      </c>
      <c r="K749" t="s">
        <v>1856</v>
      </c>
      <c r="L749" t="s">
        <v>1855</v>
      </c>
      <c r="M749" t="s">
        <v>19</v>
      </c>
      <c r="N749">
        <v>5</v>
      </c>
      <c r="O749" t="s">
        <v>1854</v>
      </c>
      <c r="P749" t="s">
        <v>1853</v>
      </c>
      <c r="Q749" t="s">
        <v>1852</v>
      </c>
      <c r="R749" s="7">
        <v>36727</v>
      </c>
      <c r="S749" s="8">
        <f t="shared" si="88"/>
        <v>2000</v>
      </c>
      <c r="T749" s="8">
        <v>2000</v>
      </c>
      <c r="U749" s="8">
        <f t="shared" si="89"/>
        <v>22</v>
      </c>
      <c r="V749" s="7">
        <v>36727</v>
      </c>
      <c r="W749" t="s">
        <v>150</v>
      </c>
      <c r="X749" s="2">
        <v>0.30399999999999999</v>
      </c>
      <c r="Y749" s="6">
        <f t="shared" si="90"/>
        <v>8.115106377299057E-3</v>
      </c>
      <c r="AA749">
        <v>8952477</v>
      </c>
      <c r="AB749">
        <v>12250</v>
      </c>
      <c r="AD749" t="s">
        <v>3</v>
      </c>
      <c r="AE749">
        <v>26</v>
      </c>
      <c r="AF749">
        <v>2</v>
      </c>
      <c r="AH749" t="s">
        <v>1851</v>
      </c>
      <c r="AI749" t="s">
        <v>1850</v>
      </c>
      <c r="AK749" t="s">
        <v>1849</v>
      </c>
      <c r="AL749">
        <v>27</v>
      </c>
      <c r="AM749" s="5">
        <f t="shared" si="91"/>
        <v>1.2272727272727273</v>
      </c>
      <c r="AN749" s="4">
        <f t="shared" si="92"/>
        <v>1.8588000413066676E-3</v>
      </c>
      <c r="AO749" s="3"/>
      <c r="AP749">
        <v>0</v>
      </c>
      <c r="AR749" t="s">
        <v>1</v>
      </c>
      <c r="AT749" s="2" t="s">
        <v>0</v>
      </c>
      <c r="AU749" s="1">
        <f t="shared" si="93"/>
        <v>0.62382144765013403</v>
      </c>
      <c r="AV749" s="1">
        <f t="shared" si="94"/>
        <v>0.49869532093028623</v>
      </c>
      <c r="AW749" s="1">
        <f t="shared" si="95"/>
        <v>0.37356919421043844</v>
      </c>
    </row>
    <row r="750" spans="1:49" x14ac:dyDescent="0.2">
      <c r="A750">
        <v>748</v>
      </c>
      <c r="B750" t="s">
        <v>1848</v>
      </c>
      <c r="C750" t="s">
        <v>1847</v>
      </c>
      <c r="F750" t="s">
        <v>1846</v>
      </c>
      <c r="G750" t="s">
        <v>9</v>
      </c>
      <c r="H750" t="s">
        <v>8</v>
      </c>
      <c r="I750" t="s">
        <v>1845</v>
      </c>
      <c r="J750" t="s">
        <v>1840</v>
      </c>
      <c r="K750" t="s">
        <v>1844</v>
      </c>
      <c r="L750" t="s">
        <v>1843</v>
      </c>
      <c r="M750" t="s">
        <v>274</v>
      </c>
      <c r="N750">
        <v>2</v>
      </c>
      <c r="O750" t="s">
        <v>1842</v>
      </c>
      <c r="P750" t="s">
        <v>1841</v>
      </c>
      <c r="Q750" t="s">
        <v>1840</v>
      </c>
      <c r="R750" s="7">
        <v>36727</v>
      </c>
      <c r="S750" s="8">
        <f t="shared" si="88"/>
        <v>2000</v>
      </c>
      <c r="T750" s="8">
        <v>2000</v>
      </c>
      <c r="U750" s="8">
        <f t="shared" si="89"/>
        <v>22</v>
      </c>
      <c r="V750" s="7">
        <v>36727</v>
      </c>
      <c r="W750" t="s">
        <v>150</v>
      </c>
      <c r="X750" s="2">
        <v>0.30399999999999999</v>
      </c>
      <c r="Y750" s="6">
        <f t="shared" si="90"/>
        <v>8.115106377299057E-3</v>
      </c>
      <c r="AA750">
        <v>8952477</v>
      </c>
      <c r="AB750">
        <v>12250</v>
      </c>
      <c r="AD750" t="s">
        <v>3</v>
      </c>
      <c r="AE750">
        <v>26</v>
      </c>
      <c r="AF750">
        <v>2</v>
      </c>
      <c r="AH750" t="s">
        <v>1839</v>
      </c>
      <c r="AI750" t="s">
        <v>1838</v>
      </c>
      <c r="AK750" t="s">
        <v>1837</v>
      </c>
      <c r="AL750">
        <v>2</v>
      </c>
      <c r="AM750" s="5">
        <f t="shared" si="91"/>
        <v>9.0909090909090912E-2</v>
      </c>
      <c r="AN750" s="4">
        <f t="shared" si="92"/>
        <v>1.3768889194864205E-4</v>
      </c>
      <c r="AO750" s="3"/>
      <c r="AP750">
        <v>0</v>
      </c>
      <c r="AR750" t="s">
        <v>1</v>
      </c>
      <c r="AT750" s="2" t="s">
        <v>0</v>
      </c>
      <c r="AU750" s="1">
        <f t="shared" si="93"/>
        <v>0.57218811316939311</v>
      </c>
      <c r="AV750" s="1">
        <f t="shared" si="94"/>
        <v>0.41263976346238496</v>
      </c>
      <c r="AW750" s="1">
        <f t="shared" si="95"/>
        <v>0.25309141375537664</v>
      </c>
    </row>
    <row r="751" spans="1:49" x14ac:dyDescent="0.2">
      <c r="A751">
        <v>749</v>
      </c>
      <c r="B751" t="s">
        <v>1836</v>
      </c>
      <c r="C751" t="s">
        <v>1835</v>
      </c>
      <c r="F751" t="s">
        <v>1834</v>
      </c>
      <c r="G751" t="s">
        <v>9</v>
      </c>
      <c r="H751" t="s">
        <v>8</v>
      </c>
      <c r="I751" t="s">
        <v>197</v>
      </c>
      <c r="J751" t="s">
        <v>1833</v>
      </c>
      <c r="K751" t="s">
        <v>1832</v>
      </c>
      <c r="L751" t="s">
        <v>1831</v>
      </c>
      <c r="M751" t="s">
        <v>1830</v>
      </c>
      <c r="N751">
        <v>3</v>
      </c>
      <c r="O751" t="s">
        <v>1829</v>
      </c>
      <c r="P751" t="s">
        <v>1828</v>
      </c>
      <c r="Q751" t="s">
        <v>1827</v>
      </c>
      <c r="R751" s="7">
        <v>36727</v>
      </c>
      <c r="S751" s="8">
        <f t="shared" si="88"/>
        <v>2000</v>
      </c>
      <c r="T751" s="8">
        <v>2000</v>
      </c>
      <c r="U751" s="8">
        <f t="shared" si="89"/>
        <v>22</v>
      </c>
      <c r="V751" s="7">
        <v>36727</v>
      </c>
      <c r="W751" t="s">
        <v>150</v>
      </c>
      <c r="X751" s="2">
        <v>0.30399999999999999</v>
      </c>
      <c r="Y751" s="6">
        <f t="shared" si="90"/>
        <v>8.115106377299057E-3</v>
      </c>
      <c r="AA751">
        <v>8952477</v>
      </c>
      <c r="AB751">
        <v>12250</v>
      </c>
      <c r="AD751" t="s">
        <v>3</v>
      </c>
      <c r="AE751">
        <v>26</v>
      </c>
      <c r="AF751">
        <v>2</v>
      </c>
      <c r="AH751" t="s">
        <v>362</v>
      </c>
      <c r="AI751" t="s">
        <v>1826</v>
      </c>
      <c r="AK751" t="s">
        <v>1825</v>
      </c>
      <c r="AL751">
        <v>1</v>
      </c>
      <c r="AM751" s="5">
        <f t="shared" si="91"/>
        <v>4.5454545454545456E-2</v>
      </c>
      <c r="AN751" s="4">
        <f t="shared" si="92"/>
        <v>6.8844445974321024E-5</v>
      </c>
      <c r="AO751" s="3"/>
      <c r="AP751">
        <v>0</v>
      </c>
      <c r="AR751" t="s">
        <v>1</v>
      </c>
      <c r="AT751" s="2" t="s">
        <v>0</v>
      </c>
      <c r="AU751" s="1">
        <f t="shared" si="93"/>
        <v>0.57012277979016357</v>
      </c>
      <c r="AV751" s="1">
        <f t="shared" si="94"/>
        <v>0.40919754116366885</v>
      </c>
      <c r="AW751" s="1">
        <f t="shared" si="95"/>
        <v>0.24827230253717419</v>
      </c>
    </row>
    <row r="752" spans="1:49" x14ac:dyDescent="0.2">
      <c r="A752">
        <v>750</v>
      </c>
      <c r="B752" t="s">
        <v>1824</v>
      </c>
      <c r="C752" t="s">
        <v>1823</v>
      </c>
      <c r="F752" t="s">
        <v>1822</v>
      </c>
      <c r="G752" t="s">
        <v>9</v>
      </c>
      <c r="H752" t="s">
        <v>8</v>
      </c>
      <c r="I752" t="s">
        <v>583</v>
      </c>
      <c r="J752" t="s">
        <v>1821</v>
      </c>
      <c r="K752" t="s">
        <v>1820</v>
      </c>
      <c r="L752" t="s">
        <v>1819</v>
      </c>
      <c r="M752" t="s">
        <v>1818</v>
      </c>
      <c r="N752">
        <v>3</v>
      </c>
      <c r="O752" t="s">
        <v>582</v>
      </c>
      <c r="P752" t="s">
        <v>581</v>
      </c>
      <c r="Q752" t="s">
        <v>1817</v>
      </c>
      <c r="R752" s="7">
        <v>36727</v>
      </c>
      <c r="S752" s="8">
        <f t="shared" si="88"/>
        <v>2000</v>
      </c>
      <c r="T752" s="8">
        <v>2000</v>
      </c>
      <c r="U752" s="8">
        <f t="shared" si="89"/>
        <v>22</v>
      </c>
      <c r="V752" s="7">
        <v>36727</v>
      </c>
      <c r="W752" t="s">
        <v>150</v>
      </c>
      <c r="X752" s="2">
        <v>0.30399999999999999</v>
      </c>
      <c r="Y752" s="6">
        <f t="shared" si="90"/>
        <v>8.115106377299057E-3</v>
      </c>
      <c r="AA752">
        <v>8952477</v>
      </c>
      <c r="AB752">
        <v>12250</v>
      </c>
      <c r="AD752" t="s">
        <v>3</v>
      </c>
      <c r="AE752">
        <v>26</v>
      </c>
      <c r="AF752">
        <v>2</v>
      </c>
      <c r="AH752" t="s">
        <v>410</v>
      </c>
      <c r="AI752" t="s">
        <v>1816</v>
      </c>
      <c r="AK752" t="s">
        <v>1815</v>
      </c>
      <c r="AL752">
        <v>26</v>
      </c>
      <c r="AM752" s="5">
        <f t="shared" si="91"/>
        <v>1.1818181818181819</v>
      </c>
      <c r="AN752" s="4">
        <f t="shared" si="92"/>
        <v>1.7899555953323468E-3</v>
      </c>
      <c r="AO752" s="3"/>
      <c r="AP752">
        <v>0</v>
      </c>
      <c r="AR752" t="s">
        <v>1</v>
      </c>
      <c r="AT752" s="2" t="s">
        <v>0</v>
      </c>
      <c r="AU752" s="1">
        <f t="shared" si="93"/>
        <v>0.62175611427090438</v>
      </c>
      <c r="AV752" s="1">
        <f t="shared" si="94"/>
        <v>0.49525309863157019</v>
      </c>
      <c r="AW752" s="1">
        <f t="shared" si="95"/>
        <v>0.36875008299223599</v>
      </c>
    </row>
    <row r="753" spans="1:49" x14ac:dyDescent="0.2">
      <c r="A753">
        <v>751</v>
      </c>
      <c r="B753" t="s">
        <v>1814</v>
      </c>
      <c r="C753" t="s">
        <v>1813</v>
      </c>
      <c r="F753" t="s">
        <v>1812</v>
      </c>
      <c r="G753" t="s">
        <v>9</v>
      </c>
      <c r="H753" t="s">
        <v>8</v>
      </c>
      <c r="I753" t="s">
        <v>669</v>
      </c>
      <c r="J753">
        <v>60011357</v>
      </c>
      <c r="K753" t="s">
        <v>216</v>
      </c>
      <c r="L753" t="s">
        <v>215</v>
      </c>
      <c r="M753" t="s">
        <v>214</v>
      </c>
      <c r="N753">
        <v>3</v>
      </c>
      <c r="O753" t="s">
        <v>1811</v>
      </c>
      <c r="P753" t="s">
        <v>1810</v>
      </c>
      <c r="Q753" t="s">
        <v>268</v>
      </c>
      <c r="R753" s="7">
        <v>36727</v>
      </c>
      <c r="S753" s="8">
        <f t="shared" si="88"/>
        <v>2000</v>
      </c>
      <c r="T753" s="8">
        <v>2000</v>
      </c>
      <c r="U753" s="8">
        <f t="shared" si="89"/>
        <v>22</v>
      </c>
      <c r="V753" s="7">
        <v>36727</v>
      </c>
      <c r="W753" t="s">
        <v>150</v>
      </c>
      <c r="X753" s="2">
        <v>0.30399999999999999</v>
      </c>
      <c r="Y753" s="6">
        <f t="shared" si="90"/>
        <v>8.115106377299057E-3</v>
      </c>
      <c r="AA753">
        <v>8952477</v>
      </c>
      <c r="AB753">
        <v>12250</v>
      </c>
      <c r="AD753" t="s">
        <v>3</v>
      </c>
      <c r="AE753">
        <v>26</v>
      </c>
      <c r="AF753">
        <v>2</v>
      </c>
      <c r="AH753" t="s">
        <v>1809</v>
      </c>
      <c r="AI753" t="s">
        <v>1808</v>
      </c>
      <c r="AK753" t="s">
        <v>1807</v>
      </c>
      <c r="AL753">
        <v>8</v>
      </c>
      <c r="AM753" s="5">
        <f t="shared" si="91"/>
        <v>0.36363636363636365</v>
      </c>
      <c r="AN753" s="4">
        <f t="shared" si="92"/>
        <v>5.5075556779456819E-4</v>
      </c>
      <c r="AO753" s="3"/>
      <c r="AP753">
        <v>0</v>
      </c>
      <c r="AR753" t="s">
        <v>1</v>
      </c>
      <c r="AT753" s="2" t="s">
        <v>0</v>
      </c>
      <c r="AU753" s="1">
        <f t="shared" si="93"/>
        <v>0.58458011344477101</v>
      </c>
      <c r="AV753" s="1">
        <f t="shared" si="94"/>
        <v>0.43329309725468124</v>
      </c>
      <c r="AW753" s="1">
        <f t="shared" si="95"/>
        <v>0.28200608106459152</v>
      </c>
    </row>
    <row r="754" spans="1:49" x14ac:dyDescent="0.2">
      <c r="A754">
        <v>752</v>
      </c>
      <c r="B754" t="s">
        <v>1806</v>
      </c>
      <c r="C754" t="s">
        <v>1805</v>
      </c>
      <c r="F754" t="s">
        <v>1804</v>
      </c>
      <c r="G754" t="s">
        <v>9</v>
      </c>
      <c r="H754" t="s">
        <v>8</v>
      </c>
      <c r="I754" t="s">
        <v>1803</v>
      </c>
      <c r="J754">
        <v>60013372</v>
      </c>
      <c r="K754" t="s">
        <v>818</v>
      </c>
      <c r="L754" t="s">
        <v>817</v>
      </c>
      <c r="M754" t="s">
        <v>5</v>
      </c>
      <c r="N754">
        <v>2</v>
      </c>
      <c r="O754" t="s">
        <v>1802</v>
      </c>
      <c r="P754" t="s">
        <v>1801</v>
      </c>
      <c r="Q754" t="s">
        <v>1800</v>
      </c>
      <c r="R754" s="7">
        <v>36727</v>
      </c>
      <c r="S754" s="8">
        <f t="shared" si="88"/>
        <v>2000</v>
      </c>
      <c r="T754" s="8">
        <v>2000</v>
      </c>
      <c r="U754" s="8">
        <f t="shared" si="89"/>
        <v>22</v>
      </c>
      <c r="V754" s="7">
        <v>36727</v>
      </c>
      <c r="W754" t="s">
        <v>150</v>
      </c>
      <c r="X754" s="2">
        <v>0.30399999999999999</v>
      </c>
      <c r="Y754" s="6">
        <f t="shared" si="90"/>
        <v>8.115106377299057E-3</v>
      </c>
      <c r="AA754">
        <v>8952477</v>
      </c>
      <c r="AB754">
        <v>12250</v>
      </c>
      <c r="AD754" t="s">
        <v>3</v>
      </c>
      <c r="AE754">
        <v>26</v>
      </c>
      <c r="AF754">
        <v>2</v>
      </c>
      <c r="AH754" t="s">
        <v>418</v>
      </c>
      <c r="AI754" t="s">
        <v>1799</v>
      </c>
      <c r="AK754" t="s">
        <v>1798</v>
      </c>
      <c r="AL754">
        <v>258</v>
      </c>
      <c r="AM754" s="5">
        <f t="shared" si="91"/>
        <v>11.727272727272727</v>
      </c>
      <c r="AN754" s="4">
        <f t="shared" si="92"/>
        <v>1.7761867061374823E-2</v>
      </c>
      <c r="AO754" s="3"/>
      <c r="AP754">
        <v>0</v>
      </c>
      <c r="AR754" t="s">
        <v>1</v>
      </c>
      <c r="AT754" s="2" t="s">
        <v>0</v>
      </c>
      <c r="AU754" s="1">
        <f t="shared" si="93"/>
        <v>1.1009134582521787</v>
      </c>
      <c r="AV754" s="1">
        <f t="shared" si="94"/>
        <v>1.2938486719336939</v>
      </c>
      <c r="AW754" s="1">
        <f t="shared" si="95"/>
        <v>1.4867838856152091</v>
      </c>
    </row>
    <row r="755" spans="1:49" x14ac:dyDescent="0.2">
      <c r="A755">
        <v>753</v>
      </c>
      <c r="B755" t="s">
        <v>1797</v>
      </c>
      <c r="C755" t="s">
        <v>1796</v>
      </c>
      <c r="F755" t="s">
        <v>1795</v>
      </c>
      <c r="G755" t="s">
        <v>9</v>
      </c>
      <c r="H755" t="s">
        <v>8</v>
      </c>
      <c r="I755" t="s">
        <v>752</v>
      </c>
      <c r="J755" t="s">
        <v>1794</v>
      </c>
      <c r="K755" t="s">
        <v>1793</v>
      </c>
      <c r="L755" t="s">
        <v>1792</v>
      </c>
      <c r="M755" t="s">
        <v>1791</v>
      </c>
      <c r="N755">
        <v>3</v>
      </c>
      <c r="O755" t="s">
        <v>1790</v>
      </c>
      <c r="P755" t="s">
        <v>751</v>
      </c>
      <c r="Q755" t="s">
        <v>1789</v>
      </c>
      <c r="R755" s="7">
        <v>36727</v>
      </c>
      <c r="S755" s="8">
        <f t="shared" si="88"/>
        <v>2000</v>
      </c>
      <c r="T755" s="8">
        <v>2000</v>
      </c>
      <c r="U755" s="8">
        <f t="shared" si="89"/>
        <v>22</v>
      </c>
      <c r="V755" s="7">
        <v>36727</v>
      </c>
      <c r="W755" t="s">
        <v>722</v>
      </c>
      <c r="X755" s="2">
        <v>0.66800000000000004</v>
      </c>
      <c r="Y755" s="6">
        <f t="shared" si="90"/>
        <v>1.7831878486959774E-2</v>
      </c>
      <c r="AA755" t="s">
        <v>721</v>
      </c>
      <c r="AB755">
        <v>29593</v>
      </c>
      <c r="AC755">
        <v>21553165</v>
      </c>
      <c r="AD755" t="s">
        <v>3</v>
      </c>
      <c r="AE755">
        <v>39</v>
      </c>
      <c r="AF755">
        <v>21</v>
      </c>
      <c r="AH755" t="s">
        <v>1788</v>
      </c>
      <c r="AI755" t="s">
        <v>1787</v>
      </c>
      <c r="AK755" t="s">
        <v>1786</v>
      </c>
      <c r="AL755">
        <v>4</v>
      </c>
      <c r="AM755" s="5">
        <f t="shared" si="91"/>
        <v>0.18181818181818182</v>
      </c>
      <c r="AN755" s="4">
        <f t="shared" si="92"/>
        <v>2.753777838972841E-4</v>
      </c>
      <c r="AO755" s="3"/>
      <c r="AP755">
        <v>0</v>
      </c>
      <c r="AR755" t="s">
        <v>1</v>
      </c>
      <c r="AT755" s="2">
        <v>1.98</v>
      </c>
      <c r="AU755" s="1">
        <f t="shared" si="93"/>
        <v>1.2564928276041025</v>
      </c>
      <c r="AV755" s="1">
        <f t="shared" si="94"/>
        <v>0.90536281354285286</v>
      </c>
      <c r="AW755" s="1">
        <f t="shared" si="95"/>
        <v>0.55423279948160309</v>
      </c>
    </row>
    <row r="756" spans="1:49" x14ac:dyDescent="0.2">
      <c r="A756">
        <v>754</v>
      </c>
      <c r="B756" t="s">
        <v>1785</v>
      </c>
      <c r="C756" t="s">
        <v>1784</v>
      </c>
      <c r="F756" t="s">
        <v>1783</v>
      </c>
      <c r="G756" t="s">
        <v>9</v>
      </c>
      <c r="H756" t="s">
        <v>8</v>
      </c>
      <c r="I756" t="s">
        <v>1782</v>
      </c>
      <c r="J756" t="s">
        <v>1781</v>
      </c>
      <c r="K756" t="s">
        <v>1780</v>
      </c>
      <c r="L756" t="s">
        <v>1779</v>
      </c>
      <c r="M756" t="s">
        <v>642</v>
      </c>
      <c r="N756">
        <v>5</v>
      </c>
      <c r="O756" t="s">
        <v>1778</v>
      </c>
      <c r="P756" t="s">
        <v>1777</v>
      </c>
      <c r="Q756" t="s">
        <v>1776</v>
      </c>
      <c r="R756" s="7">
        <v>36726</v>
      </c>
      <c r="S756" s="8">
        <f t="shared" si="88"/>
        <v>2000</v>
      </c>
      <c r="T756" s="8">
        <v>2000</v>
      </c>
      <c r="U756" s="8">
        <f t="shared" si="89"/>
        <v>22</v>
      </c>
      <c r="V756" s="7">
        <v>36726</v>
      </c>
      <c r="W756" t="s">
        <v>763</v>
      </c>
      <c r="X756" s="2">
        <v>7.1150000000000002</v>
      </c>
      <c r="Y756" s="6">
        <f t="shared" si="90"/>
        <v>0.18993086142921972</v>
      </c>
      <c r="AA756">
        <v>27863</v>
      </c>
      <c r="AB756">
        <v>22680</v>
      </c>
      <c r="AD756" t="s">
        <v>3</v>
      </c>
      <c r="AE756">
        <v>122</v>
      </c>
      <c r="AF756">
        <v>28</v>
      </c>
      <c r="AH756" t="s">
        <v>1775</v>
      </c>
      <c r="AI756" t="s">
        <v>1774</v>
      </c>
      <c r="AK756" t="s">
        <v>1773</v>
      </c>
      <c r="AL756">
        <v>357</v>
      </c>
      <c r="AM756" s="5">
        <f t="shared" si="91"/>
        <v>16.227272727272727</v>
      </c>
      <c r="AN756" s="4">
        <f t="shared" si="92"/>
        <v>2.4577467212832604E-2</v>
      </c>
      <c r="AO756" s="3"/>
      <c r="AP756">
        <v>0</v>
      </c>
      <c r="AR756" t="s">
        <v>1</v>
      </c>
      <c r="AT756" s="2" t="s">
        <v>0</v>
      </c>
      <c r="AU756" s="1">
        <f t="shared" si="93"/>
        <v>14.032484316430358</v>
      </c>
      <c r="AV756" s="1">
        <f t="shared" si="94"/>
        <v>10.725416432102616</v>
      </c>
      <c r="AW756" s="1">
        <f t="shared" si="95"/>
        <v>7.4183485477748734</v>
      </c>
    </row>
    <row r="757" spans="1:49" x14ac:dyDescent="0.2">
      <c r="A757">
        <v>755</v>
      </c>
      <c r="B757" t="s">
        <v>1772</v>
      </c>
      <c r="C757" t="s">
        <v>1771</v>
      </c>
      <c r="E757">
        <v>11256416</v>
      </c>
      <c r="F757" t="s">
        <v>1770</v>
      </c>
      <c r="G757" t="s">
        <v>9</v>
      </c>
      <c r="H757" t="s">
        <v>8</v>
      </c>
      <c r="I757" t="s">
        <v>934</v>
      </c>
      <c r="J757">
        <v>60000481</v>
      </c>
      <c r="K757" t="s">
        <v>406</v>
      </c>
      <c r="L757" t="s">
        <v>405</v>
      </c>
      <c r="M757" t="s">
        <v>53</v>
      </c>
      <c r="N757">
        <v>1</v>
      </c>
      <c r="O757" t="s">
        <v>1769</v>
      </c>
      <c r="P757">
        <v>7004539407</v>
      </c>
      <c r="Q757">
        <v>60000481</v>
      </c>
      <c r="R757" s="7">
        <v>36725</v>
      </c>
      <c r="S757" s="8">
        <f t="shared" si="88"/>
        <v>2000</v>
      </c>
      <c r="T757" s="8">
        <v>2000</v>
      </c>
      <c r="U757" s="8">
        <f t="shared" si="89"/>
        <v>22</v>
      </c>
      <c r="V757" s="7">
        <v>2000</v>
      </c>
      <c r="W757" t="s">
        <v>1768</v>
      </c>
      <c r="X757" s="2">
        <v>0.65100000000000002</v>
      </c>
      <c r="Y757" s="6">
        <f t="shared" si="90"/>
        <v>1.7378073196123969E-2</v>
      </c>
      <c r="AA757" t="s">
        <v>1767</v>
      </c>
      <c r="AB757">
        <v>14649</v>
      </c>
      <c r="AD757" t="s">
        <v>3</v>
      </c>
      <c r="AE757">
        <v>2</v>
      </c>
      <c r="AF757">
        <v>1</v>
      </c>
      <c r="AH757" t="s">
        <v>1766</v>
      </c>
      <c r="AI757" t="s">
        <v>1765</v>
      </c>
      <c r="AK757" t="s">
        <v>1764</v>
      </c>
      <c r="AL757">
        <v>36</v>
      </c>
      <c r="AM757" s="5">
        <f t="shared" si="91"/>
        <v>1.6363636363636365</v>
      </c>
      <c r="AN757" s="4">
        <f t="shared" si="92"/>
        <v>2.4784000550755569E-3</v>
      </c>
      <c r="AO757" s="3"/>
      <c r="AP757">
        <v>0</v>
      </c>
      <c r="AR757" t="s">
        <v>1</v>
      </c>
      <c r="AT757" s="2" t="s">
        <v>0</v>
      </c>
      <c r="AU757" s="1">
        <f t="shared" si="93"/>
        <v>1.2908171253809446</v>
      </c>
      <c r="AV757" s="1">
        <f t="shared" si="94"/>
        <v>0.99282366255997634</v>
      </c>
      <c r="AW757" s="1">
        <f t="shared" si="95"/>
        <v>0.69483019973900795</v>
      </c>
    </row>
    <row r="758" spans="1:49" x14ac:dyDescent="0.2">
      <c r="A758">
        <v>756</v>
      </c>
      <c r="B758" t="s">
        <v>1763</v>
      </c>
      <c r="C758" t="s">
        <v>1762</v>
      </c>
      <c r="F758" t="s">
        <v>1761</v>
      </c>
      <c r="G758" t="s">
        <v>9</v>
      </c>
      <c r="H758" t="s">
        <v>8</v>
      </c>
      <c r="I758" t="s">
        <v>1760</v>
      </c>
      <c r="J758">
        <v>60015150</v>
      </c>
      <c r="K758" t="s">
        <v>117</v>
      </c>
      <c r="L758" t="s">
        <v>116</v>
      </c>
      <c r="M758" t="s">
        <v>87</v>
      </c>
      <c r="N758">
        <v>2</v>
      </c>
      <c r="O758" t="s">
        <v>1759</v>
      </c>
      <c r="P758" t="s">
        <v>1758</v>
      </c>
      <c r="Q758" t="s">
        <v>115</v>
      </c>
      <c r="R758" s="7">
        <v>36724</v>
      </c>
      <c r="S758" s="8">
        <f t="shared" si="88"/>
        <v>2000</v>
      </c>
      <c r="T758" s="8">
        <v>2000</v>
      </c>
      <c r="U758" s="8">
        <f t="shared" si="89"/>
        <v>22</v>
      </c>
      <c r="V758" s="7">
        <v>36724</v>
      </c>
      <c r="W758" t="s">
        <v>803</v>
      </c>
      <c r="X758" s="2">
        <v>1.1819999999999999</v>
      </c>
      <c r="Y758" s="6">
        <f t="shared" si="90"/>
        <v>3.1552814927524625E-2</v>
      </c>
      <c r="AA758">
        <v>36951</v>
      </c>
      <c r="AB758">
        <v>27030</v>
      </c>
      <c r="AD758" t="s">
        <v>3</v>
      </c>
      <c r="AE758">
        <v>77</v>
      </c>
      <c r="AF758">
        <v>3</v>
      </c>
      <c r="AH758" t="s">
        <v>1757</v>
      </c>
      <c r="AI758" t="s">
        <v>1756</v>
      </c>
      <c r="AK758" t="s">
        <v>1755</v>
      </c>
      <c r="AL758">
        <v>3</v>
      </c>
      <c r="AM758" s="5">
        <f t="shared" si="91"/>
        <v>0.13636363636363635</v>
      </c>
      <c r="AN758" s="4">
        <f t="shared" si="92"/>
        <v>2.0653333792296306E-4</v>
      </c>
      <c r="AO758" s="3"/>
      <c r="AP758">
        <v>0</v>
      </c>
      <c r="AR758" t="s">
        <v>1</v>
      </c>
      <c r="AT758" s="2">
        <v>3.7909999999999999</v>
      </c>
      <c r="AU758" s="1">
        <f t="shared" si="93"/>
        <v>2.2148930450644122</v>
      </c>
      <c r="AV758" s="1">
        <f t="shared" si="94"/>
        <v>1.5879674132723793</v>
      </c>
      <c r="AW758" s="1">
        <f t="shared" si="95"/>
        <v>0.96104178148034625</v>
      </c>
    </row>
    <row r="759" spans="1:49" x14ac:dyDescent="0.2">
      <c r="A759">
        <v>757</v>
      </c>
      <c r="B759" t="s">
        <v>1754</v>
      </c>
      <c r="C759" t="s">
        <v>1753</v>
      </c>
      <c r="E759">
        <v>10891880</v>
      </c>
      <c r="F759" t="s">
        <v>1752</v>
      </c>
      <c r="G759" t="s">
        <v>9</v>
      </c>
      <c r="H759" t="s">
        <v>8</v>
      </c>
      <c r="I759" t="s">
        <v>1751</v>
      </c>
      <c r="J759">
        <v>60012954</v>
      </c>
      <c r="K759" t="s">
        <v>1750</v>
      </c>
      <c r="L759" t="s">
        <v>1522</v>
      </c>
      <c r="M759" t="s">
        <v>22</v>
      </c>
      <c r="N759">
        <v>2</v>
      </c>
      <c r="O759" t="s">
        <v>1749</v>
      </c>
      <c r="P759" t="s">
        <v>1748</v>
      </c>
      <c r="Q759" t="s">
        <v>1747</v>
      </c>
      <c r="R759" s="7">
        <v>36722</v>
      </c>
      <c r="S759" s="8">
        <f t="shared" si="88"/>
        <v>2000</v>
      </c>
      <c r="T759" s="8">
        <v>2000</v>
      </c>
      <c r="U759" s="8">
        <f t="shared" si="89"/>
        <v>22</v>
      </c>
      <c r="V759" s="7">
        <v>36722</v>
      </c>
      <c r="W759" t="s">
        <v>1746</v>
      </c>
      <c r="X759" s="2">
        <v>0.53600000000000003</v>
      </c>
      <c r="Y759" s="6">
        <f t="shared" si="90"/>
        <v>1.430821387576413E-2</v>
      </c>
      <c r="AA759" t="s">
        <v>1745</v>
      </c>
      <c r="AB759">
        <v>20920</v>
      </c>
      <c r="AD759" t="s">
        <v>3</v>
      </c>
      <c r="AE759">
        <v>50</v>
      </c>
      <c r="AF759">
        <v>2</v>
      </c>
      <c r="AH759" t="s">
        <v>1744</v>
      </c>
      <c r="AI759" t="s">
        <v>1743</v>
      </c>
      <c r="AJ759" t="s">
        <v>1742</v>
      </c>
      <c r="AK759" t="s">
        <v>1741</v>
      </c>
      <c r="AL759">
        <v>3</v>
      </c>
      <c r="AM759" s="5">
        <f t="shared" si="91"/>
        <v>0.13636363636363635</v>
      </c>
      <c r="AN759" s="4">
        <f t="shared" si="92"/>
        <v>2.0653333792296306E-4</v>
      </c>
      <c r="AO759" s="3"/>
      <c r="AP759">
        <v>0</v>
      </c>
      <c r="AR759" t="s">
        <v>1</v>
      </c>
      <c r="AT759" s="2">
        <v>2.7690000000000001</v>
      </c>
      <c r="AU759" s="1">
        <f t="shared" si="93"/>
        <v>1.007770971441178</v>
      </c>
      <c r="AV759" s="1">
        <f t="shared" si="94"/>
        <v>0.72573736068435457</v>
      </c>
      <c r="AW759" s="1">
        <f t="shared" si="95"/>
        <v>0.44370374992753137</v>
      </c>
    </row>
    <row r="760" spans="1:49" x14ac:dyDescent="0.2">
      <c r="A760">
        <v>758</v>
      </c>
      <c r="B760" t="s">
        <v>1740</v>
      </c>
      <c r="C760" t="s">
        <v>1739</v>
      </c>
      <c r="D760" t="s">
        <v>1738</v>
      </c>
      <c r="F760" t="s">
        <v>1737</v>
      </c>
      <c r="G760" t="s">
        <v>9</v>
      </c>
      <c r="H760" t="s">
        <v>8</v>
      </c>
      <c r="I760" t="s">
        <v>1736</v>
      </c>
      <c r="J760">
        <v>60007457</v>
      </c>
      <c r="K760" t="s">
        <v>656</v>
      </c>
      <c r="L760" t="s">
        <v>280</v>
      </c>
      <c r="M760" t="s">
        <v>42</v>
      </c>
      <c r="N760">
        <v>3</v>
      </c>
      <c r="O760" t="s">
        <v>1735</v>
      </c>
      <c r="P760" t="s">
        <v>1734</v>
      </c>
      <c r="Q760" t="s">
        <v>655</v>
      </c>
      <c r="R760" s="7">
        <v>36717</v>
      </c>
      <c r="S760" s="8">
        <f t="shared" si="88"/>
        <v>2000</v>
      </c>
      <c r="T760" s="8">
        <v>2000</v>
      </c>
      <c r="U760" s="8">
        <f t="shared" si="89"/>
        <v>22</v>
      </c>
      <c r="V760" s="7">
        <v>36717</v>
      </c>
      <c r="W760" t="s">
        <v>706</v>
      </c>
      <c r="X760" s="2">
        <v>0.499</v>
      </c>
      <c r="Y760" s="6">
        <f t="shared" si="90"/>
        <v>1.332052000747444E-2</v>
      </c>
      <c r="AA760">
        <v>3759601</v>
      </c>
      <c r="AB760">
        <v>29464</v>
      </c>
      <c r="AD760" t="s">
        <v>3</v>
      </c>
      <c r="AE760">
        <v>271</v>
      </c>
      <c r="AF760" s="10">
        <v>44352</v>
      </c>
      <c r="AH760" t="s">
        <v>1733</v>
      </c>
      <c r="AI760" t="s">
        <v>1732</v>
      </c>
      <c r="AK760" t="s">
        <v>1731</v>
      </c>
      <c r="AL760">
        <v>94</v>
      </c>
      <c r="AM760" s="5">
        <f t="shared" si="91"/>
        <v>4.2727272727272725</v>
      </c>
      <c r="AN760" s="4">
        <f t="shared" si="92"/>
        <v>6.4713779215861758E-3</v>
      </c>
      <c r="AO760" s="3"/>
      <c r="AP760">
        <v>0</v>
      </c>
      <c r="AQ760" t="s">
        <v>210</v>
      </c>
      <c r="AR760">
        <v>9800097</v>
      </c>
      <c r="AS760" t="s">
        <v>209</v>
      </c>
      <c r="AT760" s="2" t="s">
        <v>0</v>
      </c>
      <c r="AU760" s="1">
        <f t="shared" si="93"/>
        <v>1.1265777381707962</v>
      </c>
      <c r="AV760" s="1">
        <f t="shared" si="94"/>
        <v>0.98959489645303078</v>
      </c>
      <c r="AW760" s="1">
        <f t="shared" si="95"/>
        <v>0.85261205473526547</v>
      </c>
    </row>
    <row r="761" spans="1:49" x14ac:dyDescent="0.2">
      <c r="A761">
        <v>759</v>
      </c>
      <c r="B761" t="s">
        <v>1730</v>
      </c>
      <c r="C761" t="s">
        <v>1729</v>
      </c>
      <c r="D761" t="s">
        <v>1728</v>
      </c>
      <c r="F761" t="s">
        <v>1727</v>
      </c>
      <c r="G761" t="s">
        <v>9</v>
      </c>
      <c r="H761" t="s">
        <v>8</v>
      </c>
      <c r="I761" t="s">
        <v>1726</v>
      </c>
      <c r="J761" t="s">
        <v>1725</v>
      </c>
      <c r="K761" t="s">
        <v>1724</v>
      </c>
      <c r="L761" t="s">
        <v>1723</v>
      </c>
      <c r="M761" t="s">
        <v>1722</v>
      </c>
      <c r="N761">
        <v>4</v>
      </c>
      <c r="O761" t="s">
        <v>1721</v>
      </c>
      <c r="P761" t="s">
        <v>1720</v>
      </c>
      <c r="Q761" t="s">
        <v>1719</v>
      </c>
      <c r="R761" s="7">
        <v>36714</v>
      </c>
      <c r="S761" s="8">
        <f t="shared" si="88"/>
        <v>2000</v>
      </c>
      <c r="T761" s="8">
        <v>2000</v>
      </c>
      <c r="U761" s="8">
        <f t="shared" si="89"/>
        <v>22</v>
      </c>
      <c r="V761" s="7">
        <v>36714</v>
      </c>
      <c r="W761" t="s">
        <v>1718</v>
      </c>
      <c r="X761" s="2">
        <v>0.78700000000000003</v>
      </c>
      <c r="Y761" s="6">
        <f t="shared" si="90"/>
        <v>2.1008515522810391E-2</v>
      </c>
      <c r="AA761">
        <v>3054470</v>
      </c>
      <c r="AB761">
        <v>28550</v>
      </c>
      <c r="AD761" t="s">
        <v>3</v>
      </c>
      <c r="AE761">
        <v>33</v>
      </c>
      <c r="AF761">
        <v>26</v>
      </c>
      <c r="AH761" t="s">
        <v>1717</v>
      </c>
      <c r="AI761" t="s">
        <v>1716</v>
      </c>
      <c r="AK761" t="s">
        <v>1715</v>
      </c>
      <c r="AL761">
        <v>15</v>
      </c>
      <c r="AM761" s="5">
        <f t="shared" si="91"/>
        <v>0.68181818181818177</v>
      </c>
      <c r="AN761" s="4">
        <f t="shared" si="92"/>
        <v>1.0326666896148153E-3</v>
      </c>
      <c r="AO761" s="3"/>
      <c r="AP761">
        <v>0</v>
      </c>
      <c r="AR761" t="s">
        <v>1</v>
      </c>
      <c r="AT761" s="2" t="s">
        <v>0</v>
      </c>
      <c r="AU761" s="1">
        <f t="shared" si="93"/>
        <v>1.5015760872851718</v>
      </c>
      <c r="AV761" s="1">
        <f t="shared" si="94"/>
        <v>1.1020591106212603</v>
      </c>
      <c r="AW761" s="1">
        <f t="shared" si="95"/>
        <v>0.70254213395734877</v>
      </c>
    </row>
    <row r="762" spans="1:49" x14ac:dyDescent="0.2">
      <c r="A762">
        <v>760</v>
      </c>
      <c r="B762" t="s">
        <v>1714</v>
      </c>
      <c r="C762" t="s">
        <v>1713</v>
      </c>
      <c r="F762" t="s">
        <v>1712</v>
      </c>
      <c r="G762" t="s">
        <v>9</v>
      </c>
      <c r="H762" t="s">
        <v>8</v>
      </c>
      <c r="I762" t="s">
        <v>1711</v>
      </c>
      <c r="J762">
        <v>60015465</v>
      </c>
      <c r="K762" t="s">
        <v>563</v>
      </c>
      <c r="L762" t="s">
        <v>562</v>
      </c>
      <c r="M762" t="s">
        <v>251</v>
      </c>
      <c r="N762">
        <v>4</v>
      </c>
      <c r="O762" t="s">
        <v>1710</v>
      </c>
      <c r="P762" t="s">
        <v>1709</v>
      </c>
      <c r="Q762" t="s">
        <v>1708</v>
      </c>
      <c r="R762" s="7">
        <v>36713</v>
      </c>
      <c r="S762" s="8">
        <f t="shared" si="88"/>
        <v>2000</v>
      </c>
      <c r="T762" s="8">
        <v>2000</v>
      </c>
      <c r="U762" s="8">
        <f t="shared" si="89"/>
        <v>22</v>
      </c>
      <c r="V762" s="7">
        <v>36713</v>
      </c>
      <c r="W762" t="s">
        <v>718</v>
      </c>
      <c r="X762" s="2">
        <v>0.375</v>
      </c>
      <c r="Y762" s="6">
        <f t="shared" si="90"/>
        <v>1.0010410827260351E-2</v>
      </c>
      <c r="AA762">
        <v>135194</v>
      </c>
      <c r="AB762">
        <v>24918</v>
      </c>
      <c r="AD762" t="s">
        <v>3</v>
      </c>
      <c r="AE762">
        <v>36</v>
      </c>
      <c r="AF762">
        <v>14</v>
      </c>
      <c r="AH762" t="s">
        <v>1707</v>
      </c>
      <c r="AI762" t="s">
        <v>1706</v>
      </c>
      <c r="AK762" t="s">
        <v>1705</v>
      </c>
      <c r="AL762">
        <v>45</v>
      </c>
      <c r="AM762" s="5">
        <f t="shared" si="91"/>
        <v>2.0454545454545454</v>
      </c>
      <c r="AN762" s="4">
        <f t="shared" si="92"/>
        <v>3.0980000688444458E-3</v>
      </c>
      <c r="AO762" s="3"/>
      <c r="AP762">
        <v>0</v>
      </c>
      <c r="AR762" t="s">
        <v>1</v>
      </c>
      <c r="AT762" s="2">
        <v>1.3140000000000001</v>
      </c>
      <c r="AU762" s="1">
        <f t="shared" si="93"/>
        <v>0.79366875997355801</v>
      </c>
      <c r="AV762" s="1">
        <f t="shared" si="94"/>
        <v>0.65542054480523981</v>
      </c>
      <c r="AW762" s="1">
        <f t="shared" si="95"/>
        <v>0.51717232963692172</v>
      </c>
    </row>
    <row r="763" spans="1:49" x14ac:dyDescent="0.2">
      <c r="A763">
        <v>761</v>
      </c>
      <c r="B763" t="s">
        <v>1704</v>
      </c>
      <c r="C763" t="s">
        <v>1703</v>
      </c>
      <c r="F763" t="s">
        <v>1702</v>
      </c>
      <c r="G763" t="s">
        <v>9</v>
      </c>
      <c r="H763" t="s">
        <v>8</v>
      </c>
      <c r="I763" t="s">
        <v>1701</v>
      </c>
      <c r="J763">
        <v>100758660</v>
      </c>
      <c r="K763" t="s">
        <v>1700</v>
      </c>
      <c r="L763" t="s">
        <v>1699</v>
      </c>
      <c r="M763" t="s">
        <v>105</v>
      </c>
      <c r="N763">
        <v>2</v>
      </c>
      <c r="O763" t="s">
        <v>1698</v>
      </c>
      <c r="P763" t="s">
        <v>1697</v>
      </c>
      <c r="Q763" t="s">
        <v>1696</v>
      </c>
      <c r="R763" s="7">
        <v>36713</v>
      </c>
      <c r="S763" s="8">
        <f t="shared" si="88"/>
        <v>2000</v>
      </c>
      <c r="T763" s="8">
        <v>2000</v>
      </c>
      <c r="U763" s="8">
        <f t="shared" si="89"/>
        <v>22</v>
      </c>
      <c r="V763" s="7">
        <v>36713</v>
      </c>
      <c r="W763" t="s">
        <v>718</v>
      </c>
      <c r="X763" s="2">
        <v>0.375</v>
      </c>
      <c r="Y763" s="6">
        <f t="shared" si="90"/>
        <v>1.0010410827260351E-2</v>
      </c>
      <c r="AA763">
        <v>135194</v>
      </c>
      <c r="AB763">
        <v>24918</v>
      </c>
      <c r="AD763" t="s">
        <v>3</v>
      </c>
      <c r="AE763">
        <v>36</v>
      </c>
      <c r="AF763">
        <v>14</v>
      </c>
      <c r="AH763" t="s">
        <v>1695</v>
      </c>
      <c r="AI763" t="s">
        <v>1694</v>
      </c>
      <c r="AK763" t="s">
        <v>1693</v>
      </c>
      <c r="AL763">
        <v>5</v>
      </c>
      <c r="AM763" s="5">
        <f t="shared" si="91"/>
        <v>0.22727272727272727</v>
      </c>
      <c r="AN763" s="4">
        <f t="shared" si="92"/>
        <v>3.4422222987160508E-4</v>
      </c>
      <c r="AO763" s="3"/>
      <c r="AP763">
        <v>0</v>
      </c>
      <c r="AR763" t="s">
        <v>1</v>
      </c>
      <c r="AT763" s="2">
        <v>1.3140000000000001</v>
      </c>
      <c r="AU763" s="1">
        <f t="shared" si="93"/>
        <v>0.71105542480437267</v>
      </c>
      <c r="AV763" s="1">
        <f t="shared" si="94"/>
        <v>0.51773165285659783</v>
      </c>
      <c r="AW763" s="1">
        <f t="shared" si="95"/>
        <v>0.32440788090882289</v>
      </c>
    </row>
    <row r="764" spans="1:49" x14ac:dyDescent="0.2">
      <c r="A764">
        <v>762</v>
      </c>
      <c r="B764" t="s">
        <v>1692</v>
      </c>
      <c r="C764" t="s">
        <v>1691</v>
      </c>
      <c r="F764" t="s">
        <v>1690</v>
      </c>
      <c r="G764" t="s">
        <v>9</v>
      </c>
      <c r="H764" t="s">
        <v>8</v>
      </c>
      <c r="I764" t="s">
        <v>1689</v>
      </c>
      <c r="J764">
        <v>60028419</v>
      </c>
      <c r="K764" t="s">
        <v>227</v>
      </c>
      <c r="L764" t="s">
        <v>226</v>
      </c>
      <c r="M764" t="s">
        <v>109</v>
      </c>
      <c r="N764">
        <v>3</v>
      </c>
      <c r="O764" t="s">
        <v>1688</v>
      </c>
      <c r="P764" t="s">
        <v>1687</v>
      </c>
      <c r="Q764" t="s">
        <v>1686</v>
      </c>
      <c r="R764" s="7">
        <v>36713</v>
      </c>
      <c r="S764" s="8">
        <f t="shared" si="88"/>
        <v>2000</v>
      </c>
      <c r="T764" s="8">
        <v>2000</v>
      </c>
      <c r="U764" s="8">
        <f t="shared" si="89"/>
        <v>22</v>
      </c>
      <c r="V764" s="7">
        <v>36713</v>
      </c>
      <c r="W764" t="s">
        <v>718</v>
      </c>
      <c r="X764" s="2">
        <v>0.375</v>
      </c>
      <c r="Y764" s="6">
        <f t="shared" si="90"/>
        <v>1.0010410827260351E-2</v>
      </c>
      <c r="AA764">
        <v>135194</v>
      </c>
      <c r="AB764">
        <v>24918</v>
      </c>
      <c r="AD764" t="s">
        <v>3</v>
      </c>
      <c r="AE764">
        <v>36</v>
      </c>
      <c r="AF764">
        <v>14</v>
      </c>
      <c r="AH764" t="s">
        <v>1685</v>
      </c>
      <c r="AI764" t="s">
        <v>1684</v>
      </c>
      <c r="AK764" t="s">
        <v>1683</v>
      </c>
      <c r="AL764">
        <v>9</v>
      </c>
      <c r="AM764" s="5">
        <f t="shared" si="91"/>
        <v>0.40909090909090912</v>
      </c>
      <c r="AN764" s="4">
        <f t="shared" si="92"/>
        <v>6.1960001376888923E-4</v>
      </c>
      <c r="AO764" s="3"/>
      <c r="AP764">
        <v>0</v>
      </c>
      <c r="AR764" t="s">
        <v>1</v>
      </c>
      <c r="AT764" s="2">
        <v>1.3140000000000001</v>
      </c>
      <c r="AU764" s="1">
        <f t="shared" si="93"/>
        <v>0.71931675832129127</v>
      </c>
      <c r="AV764" s="1">
        <f t="shared" si="94"/>
        <v>0.53150054205146202</v>
      </c>
      <c r="AW764" s="1">
        <f t="shared" si="95"/>
        <v>0.34368432578163277</v>
      </c>
    </row>
    <row r="765" spans="1:49" x14ac:dyDescent="0.2">
      <c r="A765">
        <v>763</v>
      </c>
      <c r="B765" t="s">
        <v>1682</v>
      </c>
      <c r="C765" t="s">
        <v>1681</v>
      </c>
      <c r="F765" t="s">
        <v>1680</v>
      </c>
      <c r="G765" t="s">
        <v>9</v>
      </c>
      <c r="H765" t="s">
        <v>8</v>
      </c>
      <c r="I765" t="s">
        <v>829</v>
      </c>
      <c r="J765">
        <v>60020547</v>
      </c>
      <c r="K765" t="s">
        <v>7</v>
      </c>
      <c r="L765" t="s">
        <v>6</v>
      </c>
      <c r="M765" t="s">
        <v>5</v>
      </c>
      <c r="N765">
        <v>2</v>
      </c>
      <c r="O765" t="s">
        <v>1679</v>
      </c>
      <c r="P765" t="s">
        <v>1678</v>
      </c>
      <c r="Q765" t="s">
        <v>4</v>
      </c>
      <c r="R765" s="7">
        <v>36713</v>
      </c>
      <c r="S765" s="8">
        <f t="shared" si="88"/>
        <v>2000</v>
      </c>
      <c r="T765" s="8">
        <v>2000</v>
      </c>
      <c r="U765" s="8">
        <f t="shared" si="89"/>
        <v>22</v>
      </c>
      <c r="V765" s="7">
        <v>36713</v>
      </c>
      <c r="W765" t="s">
        <v>718</v>
      </c>
      <c r="X765" s="2">
        <v>0.375</v>
      </c>
      <c r="Y765" s="6">
        <f t="shared" si="90"/>
        <v>1.0010410827260351E-2</v>
      </c>
      <c r="AA765">
        <v>135194</v>
      </c>
      <c r="AB765">
        <v>24918</v>
      </c>
      <c r="AD765" t="s">
        <v>3</v>
      </c>
      <c r="AE765">
        <v>36</v>
      </c>
      <c r="AF765">
        <v>14</v>
      </c>
      <c r="AH765" t="s">
        <v>1677</v>
      </c>
      <c r="AI765" t="s">
        <v>1676</v>
      </c>
      <c r="AK765" t="s">
        <v>1675</v>
      </c>
      <c r="AL765">
        <v>107</v>
      </c>
      <c r="AM765" s="5">
        <f t="shared" si="91"/>
        <v>4.8636363636363633</v>
      </c>
      <c r="AN765" s="4">
        <f t="shared" si="92"/>
        <v>7.3663557192523484E-3</v>
      </c>
      <c r="AO765" s="3"/>
      <c r="AP765">
        <v>0</v>
      </c>
      <c r="AR765" t="s">
        <v>1</v>
      </c>
      <c r="AT765" s="2">
        <v>1.3140000000000001</v>
      </c>
      <c r="AU765" s="1">
        <f t="shared" si="93"/>
        <v>0.92171942948579499</v>
      </c>
      <c r="AV765" s="1">
        <f t="shared" si="94"/>
        <v>0.86883832732563493</v>
      </c>
      <c r="AW765" s="1">
        <f t="shared" si="95"/>
        <v>0.81595722516547498</v>
      </c>
    </row>
    <row r="766" spans="1:49" x14ac:dyDescent="0.2">
      <c r="A766">
        <v>764</v>
      </c>
      <c r="B766" t="s">
        <v>1674</v>
      </c>
      <c r="C766" t="s">
        <v>1673</v>
      </c>
      <c r="F766" t="s">
        <v>1672</v>
      </c>
      <c r="G766" t="s">
        <v>9</v>
      </c>
      <c r="H766" t="s">
        <v>8</v>
      </c>
      <c r="I766" t="s">
        <v>820</v>
      </c>
      <c r="J766">
        <v>60013983</v>
      </c>
      <c r="K766" t="s">
        <v>162</v>
      </c>
      <c r="L766" t="s">
        <v>161</v>
      </c>
      <c r="M766" t="s">
        <v>160</v>
      </c>
      <c r="N766">
        <v>3</v>
      </c>
      <c r="O766" t="s">
        <v>1671</v>
      </c>
      <c r="P766" t="s">
        <v>1670</v>
      </c>
      <c r="Q766" t="s">
        <v>542</v>
      </c>
      <c r="R766" s="7">
        <v>36713</v>
      </c>
      <c r="S766" s="8">
        <f t="shared" si="88"/>
        <v>2000</v>
      </c>
      <c r="T766" s="8">
        <v>2000</v>
      </c>
      <c r="U766" s="8">
        <f t="shared" si="89"/>
        <v>22</v>
      </c>
      <c r="V766" s="7">
        <v>36713</v>
      </c>
      <c r="W766" t="s">
        <v>718</v>
      </c>
      <c r="X766" s="2">
        <v>0.375</v>
      </c>
      <c r="Y766" s="6">
        <f t="shared" si="90"/>
        <v>1.0010410827260351E-2</v>
      </c>
      <c r="AA766">
        <v>135194</v>
      </c>
      <c r="AB766">
        <v>24918</v>
      </c>
      <c r="AD766" t="s">
        <v>3</v>
      </c>
      <c r="AE766">
        <v>36</v>
      </c>
      <c r="AF766">
        <v>14</v>
      </c>
      <c r="AH766" t="s">
        <v>1669</v>
      </c>
      <c r="AI766" t="s">
        <v>1668</v>
      </c>
      <c r="AK766" t="s">
        <v>1667</v>
      </c>
      <c r="AL766">
        <v>20</v>
      </c>
      <c r="AM766" s="5">
        <f t="shared" si="91"/>
        <v>0.90909090909090906</v>
      </c>
      <c r="AN766" s="4">
        <f t="shared" si="92"/>
        <v>1.3768889194864203E-3</v>
      </c>
      <c r="AO766" s="3"/>
      <c r="AP766">
        <v>0</v>
      </c>
      <c r="AR766" t="s">
        <v>1</v>
      </c>
      <c r="AT766" s="2">
        <v>1.3140000000000001</v>
      </c>
      <c r="AU766" s="1">
        <f t="shared" si="93"/>
        <v>0.7420354254928172</v>
      </c>
      <c r="AV766" s="1">
        <f t="shared" si="94"/>
        <v>0.56936498733733865</v>
      </c>
      <c r="AW766" s="1">
        <f t="shared" si="95"/>
        <v>0.39669454918185992</v>
      </c>
    </row>
    <row r="767" spans="1:49" x14ac:dyDescent="0.2">
      <c r="A767">
        <v>765</v>
      </c>
      <c r="B767" t="s">
        <v>1666</v>
      </c>
      <c r="C767" t="s">
        <v>1665</v>
      </c>
      <c r="F767" t="s">
        <v>1664</v>
      </c>
      <c r="G767" t="s">
        <v>9</v>
      </c>
      <c r="H767" t="s">
        <v>8</v>
      </c>
      <c r="I767" t="s">
        <v>1663</v>
      </c>
      <c r="J767" t="s">
        <v>1662</v>
      </c>
      <c r="K767" t="s">
        <v>1661</v>
      </c>
      <c r="L767" t="s">
        <v>1660</v>
      </c>
      <c r="M767" t="s">
        <v>19</v>
      </c>
      <c r="N767">
        <v>4</v>
      </c>
      <c r="O767" t="s">
        <v>1659</v>
      </c>
      <c r="P767" t="s">
        <v>1658</v>
      </c>
      <c r="Q767" t="s">
        <v>1657</v>
      </c>
      <c r="R767" s="7">
        <v>36712</v>
      </c>
      <c r="S767" s="8">
        <f t="shared" si="88"/>
        <v>2000</v>
      </c>
      <c r="T767" s="8">
        <v>2000</v>
      </c>
      <c r="U767" s="8">
        <f t="shared" si="89"/>
        <v>22</v>
      </c>
      <c r="V767" s="7">
        <v>36712</v>
      </c>
      <c r="W767" t="s">
        <v>762</v>
      </c>
      <c r="X767" s="2">
        <v>5.0110000000000001</v>
      </c>
      <c r="Y767" s="6">
        <f t="shared" si="90"/>
        <v>0.13376578308107098</v>
      </c>
      <c r="AA767">
        <v>278424</v>
      </c>
      <c r="AB767">
        <v>21121</v>
      </c>
      <c r="AD767" t="s">
        <v>3</v>
      </c>
      <c r="AE767">
        <v>97</v>
      </c>
      <c r="AF767">
        <v>14</v>
      </c>
      <c r="AH767" t="s">
        <v>1656</v>
      </c>
      <c r="AI767" t="s">
        <v>1655</v>
      </c>
      <c r="AK767" t="s">
        <v>1654</v>
      </c>
      <c r="AL767">
        <v>81</v>
      </c>
      <c r="AM767" s="5">
        <f t="shared" si="91"/>
        <v>3.6818181818181817</v>
      </c>
      <c r="AN767" s="4">
        <f t="shared" si="92"/>
        <v>5.5764001239200023E-3</v>
      </c>
      <c r="AO767" s="3"/>
      <c r="AP767">
        <v>1</v>
      </c>
      <c r="AR767" t="s">
        <v>1</v>
      </c>
      <c r="AT767" s="2" t="s">
        <v>0</v>
      </c>
      <c r="AU767" s="1">
        <f t="shared" si="93"/>
        <v>9.5308968193925683</v>
      </c>
      <c r="AV767" s="1">
        <f t="shared" si="94"/>
        <v>6.9671091602495485</v>
      </c>
      <c r="AW767" s="1">
        <f t="shared" si="95"/>
        <v>4.4033215011065296</v>
      </c>
    </row>
    <row r="768" spans="1:49" x14ac:dyDescent="0.2">
      <c r="A768">
        <v>766</v>
      </c>
      <c r="B768" t="s">
        <v>1653</v>
      </c>
      <c r="C768" t="s">
        <v>1652</v>
      </c>
      <c r="F768" t="s">
        <v>1651</v>
      </c>
      <c r="G768" t="s">
        <v>9</v>
      </c>
      <c r="H768" t="s">
        <v>8</v>
      </c>
      <c r="I768" t="s">
        <v>1650</v>
      </c>
      <c r="J768">
        <v>60015941</v>
      </c>
      <c r="K768" t="s">
        <v>435</v>
      </c>
      <c r="L768" t="s">
        <v>434</v>
      </c>
      <c r="M768" t="s">
        <v>5</v>
      </c>
      <c r="N768">
        <v>2</v>
      </c>
      <c r="O768" t="s">
        <v>1649</v>
      </c>
      <c r="P768" t="s">
        <v>1648</v>
      </c>
      <c r="Q768" t="s">
        <v>708</v>
      </c>
      <c r="R768" s="7">
        <v>36712</v>
      </c>
      <c r="S768" s="8">
        <f t="shared" si="88"/>
        <v>2000</v>
      </c>
      <c r="T768" s="8">
        <v>2000</v>
      </c>
      <c r="U768" s="8">
        <f t="shared" si="89"/>
        <v>22</v>
      </c>
      <c r="V768" s="7">
        <v>36712</v>
      </c>
      <c r="W768" t="s">
        <v>150</v>
      </c>
      <c r="X768" s="2">
        <v>0.30399999999999999</v>
      </c>
      <c r="Y768" s="6">
        <f t="shared" si="90"/>
        <v>8.115106377299057E-3</v>
      </c>
      <c r="AA768">
        <v>8952477</v>
      </c>
      <c r="AB768">
        <v>12250</v>
      </c>
      <c r="AD768" t="s">
        <v>3</v>
      </c>
      <c r="AE768">
        <v>26</v>
      </c>
      <c r="AF768">
        <v>1</v>
      </c>
      <c r="AH768" t="s">
        <v>1647</v>
      </c>
      <c r="AI768" t="s">
        <v>1646</v>
      </c>
      <c r="AJ768" t="s">
        <v>1645</v>
      </c>
      <c r="AK768" t="s">
        <v>1644</v>
      </c>
      <c r="AL768">
        <v>5</v>
      </c>
      <c r="AM768" s="5">
        <f t="shared" si="91"/>
        <v>0.22727272727272727</v>
      </c>
      <c r="AN768" s="4">
        <f t="shared" si="92"/>
        <v>3.4422222987160508E-4</v>
      </c>
      <c r="AO768" s="3"/>
      <c r="AP768">
        <v>0</v>
      </c>
      <c r="AR768" t="s">
        <v>1</v>
      </c>
      <c r="AT768" s="2" t="s">
        <v>0</v>
      </c>
      <c r="AU768" s="1">
        <f t="shared" si="93"/>
        <v>0.57838411330708206</v>
      </c>
      <c r="AV768" s="1">
        <f t="shared" si="94"/>
        <v>0.42296643035853304</v>
      </c>
      <c r="AW768" s="1">
        <f t="shared" si="95"/>
        <v>0.26754874740998408</v>
      </c>
    </row>
    <row r="769" spans="1:49" x14ac:dyDescent="0.2">
      <c r="A769">
        <v>767</v>
      </c>
      <c r="B769" t="s">
        <v>1643</v>
      </c>
      <c r="C769" t="s">
        <v>1642</v>
      </c>
      <c r="F769" t="s">
        <v>1641</v>
      </c>
      <c r="G769" t="s">
        <v>9</v>
      </c>
      <c r="H769" t="s">
        <v>8</v>
      </c>
      <c r="I769" t="s">
        <v>1640</v>
      </c>
      <c r="J769">
        <v>60011357</v>
      </c>
      <c r="K769" t="s">
        <v>216</v>
      </c>
      <c r="L769" t="s">
        <v>215</v>
      </c>
      <c r="M769" t="s">
        <v>214</v>
      </c>
      <c r="N769">
        <v>3</v>
      </c>
      <c r="O769" t="s">
        <v>1639</v>
      </c>
      <c r="P769" t="s">
        <v>1638</v>
      </c>
      <c r="Q769" t="s">
        <v>268</v>
      </c>
      <c r="R769" s="7">
        <v>36712</v>
      </c>
      <c r="S769" s="8">
        <f t="shared" si="88"/>
        <v>2000</v>
      </c>
      <c r="T769" s="8">
        <v>2000</v>
      </c>
      <c r="U769" s="8">
        <f t="shared" si="89"/>
        <v>22</v>
      </c>
      <c r="V769" s="7">
        <v>36712</v>
      </c>
      <c r="W769" t="s">
        <v>150</v>
      </c>
      <c r="X769" s="2">
        <v>0.30399999999999999</v>
      </c>
      <c r="Y769" s="6">
        <f t="shared" si="90"/>
        <v>8.115106377299057E-3</v>
      </c>
      <c r="AA769">
        <v>8952477</v>
      </c>
      <c r="AB769">
        <v>12250</v>
      </c>
      <c r="AD769" t="s">
        <v>3</v>
      </c>
      <c r="AE769">
        <v>26</v>
      </c>
      <c r="AF769">
        <v>1</v>
      </c>
      <c r="AH769" t="s">
        <v>1637</v>
      </c>
      <c r="AI769" t="s">
        <v>1636</v>
      </c>
      <c r="AJ769" t="s">
        <v>1635</v>
      </c>
      <c r="AK769" t="s">
        <v>1634</v>
      </c>
      <c r="AL769">
        <v>16</v>
      </c>
      <c r="AM769" s="5">
        <f t="shared" si="91"/>
        <v>0.72727272727272729</v>
      </c>
      <c r="AN769" s="4">
        <f t="shared" si="92"/>
        <v>1.1015111355891364E-3</v>
      </c>
      <c r="AO769" s="3"/>
      <c r="AP769">
        <v>0</v>
      </c>
      <c r="AR769" t="s">
        <v>1</v>
      </c>
      <c r="AT769" s="2" t="s">
        <v>0</v>
      </c>
      <c r="AU769" s="1">
        <f t="shared" si="93"/>
        <v>0.60110278047860799</v>
      </c>
      <c r="AV769" s="1">
        <f t="shared" si="94"/>
        <v>0.46083087564440967</v>
      </c>
      <c r="AW769" s="1">
        <f t="shared" si="95"/>
        <v>0.32055897081021123</v>
      </c>
    </row>
    <row r="770" spans="1:49" x14ac:dyDescent="0.2">
      <c r="A770">
        <v>768</v>
      </c>
      <c r="B770" t="s">
        <v>1633</v>
      </c>
      <c r="C770" t="s">
        <v>1632</v>
      </c>
      <c r="D770" t="s">
        <v>1631</v>
      </c>
      <c r="F770" t="s">
        <v>1630</v>
      </c>
      <c r="G770" t="s">
        <v>9</v>
      </c>
      <c r="H770" t="s">
        <v>8</v>
      </c>
      <c r="I770" t="s">
        <v>876</v>
      </c>
      <c r="J770">
        <v>60014982</v>
      </c>
      <c r="K770" t="s">
        <v>792</v>
      </c>
      <c r="L770" t="s">
        <v>791</v>
      </c>
      <c r="M770" t="s">
        <v>214</v>
      </c>
      <c r="N770">
        <v>4</v>
      </c>
      <c r="O770" t="s">
        <v>1629</v>
      </c>
      <c r="P770" t="s">
        <v>1628</v>
      </c>
      <c r="Q770" t="s">
        <v>1627</v>
      </c>
      <c r="R770" s="7">
        <v>36710</v>
      </c>
      <c r="S770" s="8">
        <f t="shared" ref="S770:S825" si="96">YEAR(R770)</f>
        <v>2000</v>
      </c>
      <c r="T770" s="8">
        <v>2000</v>
      </c>
      <c r="U770" s="8">
        <f t="shared" ref="U770:U825" si="97">2022-T770</f>
        <v>22</v>
      </c>
      <c r="V770" s="7">
        <v>36710</v>
      </c>
      <c r="W770" t="s">
        <v>853</v>
      </c>
      <c r="X770" s="2">
        <v>0.85</v>
      </c>
      <c r="Y770" s="6">
        <f t="shared" ref="Y770:Y825" si="98">(X770-$Z$3)/($Z$2-$Z$3)</f>
        <v>2.2690264541790128E-2</v>
      </c>
      <c r="AA770">
        <v>9215107</v>
      </c>
      <c r="AB770">
        <v>17812</v>
      </c>
      <c r="AD770" t="s">
        <v>3</v>
      </c>
      <c r="AE770">
        <v>76</v>
      </c>
      <c r="AF770">
        <v>2</v>
      </c>
      <c r="AH770" t="s">
        <v>868</v>
      </c>
      <c r="AI770" t="s">
        <v>1626</v>
      </c>
      <c r="AJ770" t="s">
        <v>1625</v>
      </c>
      <c r="AK770" t="s">
        <v>1624</v>
      </c>
      <c r="AL770">
        <v>28</v>
      </c>
      <c r="AM770" s="5">
        <f t="shared" ref="AM770:AM825" si="99">AL770/U770</f>
        <v>1.2727272727272727</v>
      </c>
      <c r="AN770" s="4">
        <f t="shared" ref="AN770:AN825" si="100">(AM770-$AO$3)/($AO$2-$AO$3)</f>
        <v>1.9276444872809886E-3</v>
      </c>
      <c r="AO770" s="3"/>
      <c r="AP770">
        <v>0</v>
      </c>
      <c r="AQ770" t="s">
        <v>332</v>
      </c>
      <c r="AR770" t="s">
        <v>1623</v>
      </c>
      <c r="AS770" t="s">
        <v>331</v>
      </c>
      <c r="AT770" s="2" t="s">
        <v>0</v>
      </c>
      <c r="AU770" s="1">
        <f t="shared" ref="AU770:AU825" si="101">(Y770*0.7+AN770*0.3)*100</f>
        <v>1.6461478525437385</v>
      </c>
      <c r="AV770" s="1">
        <f t="shared" ref="AV770:AV825" si="102">(Y770*0.5+AN770*0.5)*100</f>
        <v>1.2308954514535559</v>
      </c>
      <c r="AW770" s="1">
        <f t="shared" ref="AW770:AW825" si="103">(Y770*0.3+AN770*0.7)*100</f>
        <v>0.81564305036337315</v>
      </c>
    </row>
    <row r="771" spans="1:49" x14ac:dyDescent="0.2">
      <c r="A771">
        <v>769</v>
      </c>
      <c r="B771" t="s">
        <v>1622</v>
      </c>
      <c r="C771" t="s">
        <v>1621</v>
      </c>
      <c r="F771" t="s">
        <v>1620</v>
      </c>
      <c r="G771" t="s">
        <v>9</v>
      </c>
      <c r="H771" t="s">
        <v>8</v>
      </c>
      <c r="I771" t="s">
        <v>1619</v>
      </c>
      <c r="J771">
        <v>60007457</v>
      </c>
      <c r="K771" t="s">
        <v>656</v>
      </c>
      <c r="L771" t="s">
        <v>280</v>
      </c>
      <c r="M771" t="s">
        <v>42</v>
      </c>
      <c r="N771">
        <v>1</v>
      </c>
      <c r="O771" t="s">
        <v>1618</v>
      </c>
      <c r="P771">
        <v>6602235353</v>
      </c>
      <c r="Q771">
        <v>60007457</v>
      </c>
      <c r="R771" s="7">
        <v>36708</v>
      </c>
      <c r="S771" s="8">
        <f t="shared" si="96"/>
        <v>2000</v>
      </c>
      <c r="T771" s="8">
        <v>2000</v>
      </c>
      <c r="U771" s="8">
        <f t="shared" si="97"/>
        <v>22</v>
      </c>
      <c r="V771" s="7">
        <v>36708</v>
      </c>
      <c r="W771" t="s">
        <v>1617</v>
      </c>
      <c r="X771" s="2">
        <v>0.81200000000000006</v>
      </c>
      <c r="Y771" s="6">
        <f t="shared" si="98"/>
        <v>2.1675876244627749E-2</v>
      </c>
      <c r="AA771">
        <v>10637869</v>
      </c>
      <c r="AB771">
        <v>29244</v>
      </c>
      <c r="AD771" t="s">
        <v>3</v>
      </c>
      <c r="AE771">
        <v>43</v>
      </c>
      <c r="AF771">
        <v>7</v>
      </c>
      <c r="AH771" t="s">
        <v>1616</v>
      </c>
      <c r="AI771" t="s">
        <v>1615</v>
      </c>
      <c r="AK771" t="s">
        <v>1614</v>
      </c>
      <c r="AL771">
        <v>23</v>
      </c>
      <c r="AM771" s="5">
        <f t="shared" si="99"/>
        <v>1.0454545454545454</v>
      </c>
      <c r="AN771" s="4">
        <f t="shared" si="100"/>
        <v>1.5834222574093834E-3</v>
      </c>
      <c r="AO771" s="3"/>
      <c r="AP771">
        <v>0</v>
      </c>
      <c r="AR771" t="s">
        <v>1</v>
      </c>
      <c r="AT771" s="2">
        <v>3.3610000000000002</v>
      </c>
      <c r="AU771" s="1">
        <f t="shared" si="101"/>
        <v>1.564814004846224</v>
      </c>
      <c r="AV771" s="1">
        <f t="shared" si="102"/>
        <v>1.1629649251018566</v>
      </c>
      <c r="AW771" s="1">
        <f t="shared" si="103"/>
        <v>0.76111584535748933</v>
      </c>
    </row>
    <row r="772" spans="1:49" x14ac:dyDescent="0.2">
      <c r="A772">
        <v>770</v>
      </c>
      <c r="B772" t="s">
        <v>1613</v>
      </c>
      <c r="F772" t="s">
        <v>1612</v>
      </c>
      <c r="G772" t="s">
        <v>9</v>
      </c>
      <c r="H772" t="s">
        <v>8</v>
      </c>
      <c r="I772" t="s">
        <v>1611</v>
      </c>
      <c r="J772">
        <v>60028897</v>
      </c>
      <c r="K772" t="s">
        <v>895</v>
      </c>
      <c r="L772" t="s">
        <v>507</v>
      </c>
      <c r="M772" t="s">
        <v>16</v>
      </c>
      <c r="N772">
        <v>3</v>
      </c>
      <c r="O772" t="s">
        <v>1610</v>
      </c>
      <c r="P772" t="s">
        <v>1609</v>
      </c>
      <c r="Q772" t="s">
        <v>1608</v>
      </c>
      <c r="R772" s="7">
        <v>36708</v>
      </c>
      <c r="S772" s="8">
        <f t="shared" si="96"/>
        <v>2000</v>
      </c>
      <c r="T772" s="8">
        <v>2000</v>
      </c>
      <c r="U772" s="8">
        <f t="shared" si="97"/>
        <v>22</v>
      </c>
      <c r="V772" s="7">
        <v>36708</v>
      </c>
      <c r="W772" t="s">
        <v>847</v>
      </c>
      <c r="X772" s="2">
        <v>0.46400000000000002</v>
      </c>
      <c r="Y772" s="6">
        <f t="shared" si="98"/>
        <v>1.2386214996930142E-2</v>
      </c>
      <c r="AA772">
        <v>8408688</v>
      </c>
      <c r="AB772">
        <v>26200</v>
      </c>
      <c r="AD772" t="s">
        <v>3</v>
      </c>
      <c r="AE772">
        <v>25</v>
      </c>
      <c r="AF772">
        <v>3</v>
      </c>
      <c r="AH772" t="s">
        <v>1607</v>
      </c>
      <c r="AI772" t="s">
        <v>1606</v>
      </c>
      <c r="AK772" t="s">
        <v>1605</v>
      </c>
      <c r="AL772">
        <v>5</v>
      </c>
      <c r="AM772" s="5">
        <f t="shared" si="99"/>
        <v>0.22727272727272727</v>
      </c>
      <c r="AN772" s="4">
        <f t="shared" si="100"/>
        <v>3.4422222987160508E-4</v>
      </c>
      <c r="AO772" s="3"/>
      <c r="AP772">
        <v>0</v>
      </c>
      <c r="AR772" t="s">
        <v>1</v>
      </c>
      <c r="AT772" s="2" t="s">
        <v>0</v>
      </c>
      <c r="AU772" s="1">
        <f t="shared" si="101"/>
        <v>0.87736171668125806</v>
      </c>
      <c r="AV772" s="1">
        <f t="shared" si="102"/>
        <v>0.63652186134008737</v>
      </c>
      <c r="AW772" s="1">
        <f t="shared" si="103"/>
        <v>0.39568200599891662</v>
      </c>
    </row>
    <row r="773" spans="1:49" x14ac:dyDescent="0.2">
      <c r="A773">
        <v>771</v>
      </c>
      <c r="B773" t="s">
        <v>1604</v>
      </c>
      <c r="F773" t="s">
        <v>1603</v>
      </c>
      <c r="G773" t="s">
        <v>9</v>
      </c>
      <c r="H773" t="s">
        <v>8</v>
      </c>
      <c r="I773" t="s">
        <v>1602</v>
      </c>
      <c r="N773">
        <v>1</v>
      </c>
      <c r="O773" t="s">
        <v>1601</v>
      </c>
      <c r="P773">
        <v>6701398779</v>
      </c>
      <c r="R773" s="7">
        <v>36708</v>
      </c>
      <c r="S773" s="8">
        <f t="shared" si="96"/>
        <v>2000</v>
      </c>
      <c r="T773" s="8">
        <v>2000</v>
      </c>
      <c r="U773" s="8">
        <f t="shared" si="97"/>
        <v>22</v>
      </c>
      <c r="V773" s="7">
        <v>36708</v>
      </c>
      <c r="W773" t="s">
        <v>639</v>
      </c>
      <c r="X773" s="2">
        <v>0.29499999999999998</v>
      </c>
      <c r="Y773" s="6">
        <f t="shared" si="98"/>
        <v>7.8748565174448087E-3</v>
      </c>
      <c r="AA773">
        <v>10642269</v>
      </c>
      <c r="AB773">
        <v>19554</v>
      </c>
      <c r="AD773" t="s">
        <v>3</v>
      </c>
      <c r="AE773">
        <v>45</v>
      </c>
      <c r="AF773">
        <v>7</v>
      </c>
      <c r="AH773" t="s">
        <v>1600</v>
      </c>
      <c r="AI773" t="s">
        <v>1599</v>
      </c>
      <c r="AK773" t="s">
        <v>1598</v>
      </c>
      <c r="AL773">
        <v>0</v>
      </c>
      <c r="AM773" s="5">
        <f t="shared" si="99"/>
        <v>0</v>
      </c>
      <c r="AN773" s="4">
        <f t="shared" si="100"/>
        <v>0</v>
      </c>
      <c r="AO773" s="3"/>
      <c r="AP773">
        <v>0</v>
      </c>
      <c r="AR773" t="s">
        <v>1</v>
      </c>
      <c r="AT773" s="2" t="s">
        <v>0</v>
      </c>
      <c r="AU773" s="1">
        <f t="shared" si="101"/>
        <v>0.55123995622113653</v>
      </c>
      <c r="AV773" s="1">
        <f t="shared" si="102"/>
        <v>0.39374282587224041</v>
      </c>
      <c r="AW773" s="1">
        <f t="shared" si="103"/>
        <v>0.23624569552334423</v>
      </c>
    </row>
    <row r="774" spans="1:49" x14ac:dyDescent="0.2">
      <c r="A774">
        <v>772</v>
      </c>
      <c r="B774" t="s">
        <v>1597</v>
      </c>
      <c r="C774" t="s">
        <v>1596</v>
      </c>
      <c r="F774" t="s">
        <v>1595</v>
      </c>
      <c r="G774" t="s">
        <v>9</v>
      </c>
      <c r="H774" t="s">
        <v>8</v>
      </c>
      <c r="I774" t="s">
        <v>1594</v>
      </c>
      <c r="J774">
        <v>60025778</v>
      </c>
      <c r="K774" t="s">
        <v>299</v>
      </c>
      <c r="L774" t="s">
        <v>298</v>
      </c>
      <c r="M774" t="s">
        <v>5</v>
      </c>
      <c r="N774">
        <v>2</v>
      </c>
      <c r="O774" t="s">
        <v>1593</v>
      </c>
      <c r="P774" t="s">
        <v>1592</v>
      </c>
      <c r="Q774" t="s">
        <v>1591</v>
      </c>
      <c r="R774" s="7">
        <v>36708</v>
      </c>
      <c r="S774" s="8">
        <f t="shared" si="96"/>
        <v>2000</v>
      </c>
      <c r="T774" s="8">
        <v>2000</v>
      </c>
      <c r="U774" s="8">
        <f t="shared" si="97"/>
        <v>22</v>
      </c>
      <c r="V774" s="7">
        <v>36708</v>
      </c>
      <c r="W774" t="s">
        <v>426</v>
      </c>
      <c r="X774" s="2">
        <v>0.22500000000000001</v>
      </c>
      <c r="Y774" s="6">
        <f t="shared" si="98"/>
        <v>6.0062464963562111E-3</v>
      </c>
      <c r="AA774">
        <v>2726343</v>
      </c>
      <c r="AB774">
        <v>16128</v>
      </c>
      <c r="AD774" t="s">
        <v>3</v>
      </c>
      <c r="AE774">
        <v>20</v>
      </c>
      <c r="AF774">
        <v>4</v>
      </c>
      <c r="AH774" t="s">
        <v>1590</v>
      </c>
      <c r="AI774" t="s">
        <v>1589</v>
      </c>
      <c r="AK774" t="s">
        <v>1588</v>
      </c>
      <c r="AL774">
        <v>12</v>
      </c>
      <c r="AM774" s="5">
        <f t="shared" si="99"/>
        <v>0.54545454545454541</v>
      </c>
      <c r="AN774" s="4">
        <f t="shared" si="100"/>
        <v>8.2613335169185224E-4</v>
      </c>
      <c r="AO774" s="3"/>
      <c r="AP774">
        <v>0</v>
      </c>
      <c r="AR774" t="s">
        <v>1</v>
      </c>
      <c r="AT774" s="2">
        <v>1.099</v>
      </c>
      <c r="AU774" s="1">
        <f t="shared" si="101"/>
        <v>0.44522125529569029</v>
      </c>
      <c r="AV774" s="1">
        <f t="shared" si="102"/>
        <v>0.34161899240240318</v>
      </c>
      <c r="AW774" s="1">
        <f t="shared" si="103"/>
        <v>0.23801672950911598</v>
      </c>
    </row>
    <row r="775" spans="1:49" x14ac:dyDescent="0.2">
      <c r="A775">
        <v>773</v>
      </c>
      <c r="B775" t="s">
        <v>1587</v>
      </c>
      <c r="C775" t="s">
        <v>1586</v>
      </c>
      <c r="F775" t="s">
        <v>1585</v>
      </c>
      <c r="G775" t="s">
        <v>9</v>
      </c>
      <c r="H775" t="s">
        <v>8</v>
      </c>
      <c r="I775" t="s">
        <v>667</v>
      </c>
      <c r="J775">
        <v>60030526</v>
      </c>
      <c r="K775" t="s">
        <v>666</v>
      </c>
      <c r="L775" t="s">
        <v>163</v>
      </c>
      <c r="M775" t="s">
        <v>43</v>
      </c>
      <c r="N775">
        <v>2</v>
      </c>
      <c r="O775" t="s">
        <v>665</v>
      </c>
      <c r="P775" t="s">
        <v>664</v>
      </c>
      <c r="Q775" t="s">
        <v>663</v>
      </c>
      <c r="R775" s="7">
        <v>36708</v>
      </c>
      <c r="S775" s="8">
        <f t="shared" si="96"/>
        <v>2000</v>
      </c>
      <c r="T775" s="8">
        <v>2000</v>
      </c>
      <c r="U775" s="8">
        <f t="shared" si="97"/>
        <v>22</v>
      </c>
      <c r="V775" s="7">
        <v>36708</v>
      </c>
      <c r="W775" t="s">
        <v>426</v>
      </c>
      <c r="X775" s="2">
        <v>0.22500000000000001</v>
      </c>
      <c r="Y775" s="6">
        <f t="shared" si="98"/>
        <v>6.0062464963562111E-3</v>
      </c>
      <c r="AA775">
        <v>2726343</v>
      </c>
      <c r="AB775">
        <v>16128</v>
      </c>
      <c r="AD775" t="s">
        <v>3</v>
      </c>
      <c r="AE775">
        <v>20</v>
      </c>
      <c r="AF775">
        <v>4</v>
      </c>
      <c r="AH775" t="s">
        <v>1584</v>
      </c>
      <c r="AI775" t="s">
        <v>1583</v>
      </c>
      <c r="AK775" t="s">
        <v>1582</v>
      </c>
      <c r="AL775">
        <v>5</v>
      </c>
      <c r="AM775" s="5">
        <f t="shared" si="99"/>
        <v>0.22727272727272727</v>
      </c>
      <c r="AN775" s="4">
        <f t="shared" si="100"/>
        <v>3.4422222987160508E-4</v>
      </c>
      <c r="AO775" s="3"/>
      <c r="AP775">
        <v>0</v>
      </c>
      <c r="AR775" t="s">
        <v>1</v>
      </c>
      <c r="AT775" s="2">
        <v>1.099</v>
      </c>
      <c r="AU775" s="1">
        <f t="shared" si="101"/>
        <v>0.4307639216410829</v>
      </c>
      <c r="AV775" s="1">
        <f t="shared" si="102"/>
        <v>0.31752343631139079</v>
      </c>
      <c r="AW775" s="1">
        <f t="shared" si="103"/>
        <v>0.20428295098169869</v>
      </c>
    </row>
    <row r="776" spans="1:49" x14ac:dyDescent="0.2">
      <c r="A776">
        <v>774</v>
      </c>
      <c r="B776" t="s">
        <v>1581</v>
      </c>
      <c r="C776" t="s">
        <v>1580</v>
      </c>
      <c r="F776" t="s">
        <v>1579</v>
      </c>
      <c r="G776" t="s">
        <v>9</v>
      </c>
      <c r="H776" t="s">
        <v>8</v>
      </c>
      <c r="I776" t="s">
        <v>402</v>
      </c>
      <c r="J776">
        <v>60009697</v>
      </c>
      <c r="K776" t="s">
        <v>391</v>
      </c>
      <c r="L776" t="s">
        <v>390</v>
      </c>
      <c r="M776" t="s">
        <v>16</v>
      </c>
      <c r="N776">
        <v>1</v>
      </c>
      <c r="O776" t="s">
        <v>1578</v>
      </c>
      <c r="P776">
        <v>8092251400</v>
      </c>
      <c r="Q776">
        <v>60009697</v>
      </c>
      <c r="R776" s="7">
        <v>36708</v>
      </c>
      <c r="S776" s="8">
        <f t="shared" si="96"/>
        <v>2000</v>
      </c>
      <c r="T776" s="8">
        <v>2000</v>
      </c>
      <c r="U776" s="8">
        <f t="shared" si="97"/>
        <v>22</v>
      </c>
      <c r="V776" s="7">
        <v>36708</v>
      </c>
      <c r="W776" t="s">
        <v>426</v>
      </c>
      <c r="X776" s="2">
        <v>0.22500000000000001</v>
      </c>
      <c r="Y776" s="6">
        <f t="shared" si="98"/>
        <v>6.0062464963562111E-3</v>
      </c>
      <c r="AA776">
        <v>2726343</v>
      </c>
      <c r="AB776">
        <v>16128</v>
      </c>
      <c r="AD776" t="s">
        <v>3</v>
      </c>
      <c r="AE776">
        <v>20</v>
      </c>
      <c r="AF776">
        <v>4</v>
      </c>
      <c r="AH776" t="s">
        <v>1577</v>
      </c>
      <c r="AI776" t="s">
        <v>1576</v>
      </c>
      <c r="AK776" t="s">
        <v>1575</v>
      </c>
      <c r="AL776">
        <v>10</v>
      </c>
      <c r="AM776" s="5">
        <f t="shared" si="99"/>
        <v>0.45454545454545453</v>
      </c>
      <c r="AN776" s="4">
        <f t="shared" si="100"/>
        <v>6.8844445974321016E-4</v>
      </c>
      <c r="AO776" s="3"/>
      <c r="AP776">
        <v>0</v>
      </c>
      <c r="AR776" t="s">
        <v>1</v>
      </c>
      <c r="AT776" s="2">
        <v>1.099</v>
      </c>
      <c r="AU776" s="1">
        <f t="shared" si="101"/>
        <v>0.4410905885372311</v>
      </c>
      <c r="AV776" s="1">
        <f t="shared" si="102"/>
        <v>0.33473454780497108</v>
      </c>
      <c r="AW776" s="1">
        <f t="shared" si="103"/>
        <v>0.22837850707271104</v>
      </c>
    </row>
    <row r="777" spans="1:49" x14ac:dyDescent="0.2">
      <c r="A777">
        <v>775</v>
      </c>
      <c r="B777" t="s">
        <v>1574</v>
      </c>
      <c r="C777" t="s">
        <v>1573</v>
      </c>
      <c r="F777" t="s">
        <v>1572</v>
      </c>
      <c r="G777" t="s">
        <v>9</v>
      </c>
      <c r="H777" t="s">
        <v>8</v>
      </c>
      <c r="I777" t="s">
        <v>1571</v>
      </c>
      <c r="J777" t="s">
        <v>1570</v>
      </c>
      <c r="K777" t="s">
        <v>1569</v>
      </c>
      <c r="L777" t="s">
        <v>1568</v>
      </c>
      <c r="M777" t="s">
        <v>1567</v>
      </c>
      <c r="N777">
        <v>3</v>
      </c>
      <c r="O777" t="s">
        <v>1566</v>
      </c>
      <c r="P777" t="s">
        <v>1565</v>
      </c>
      <c r="Q777" t="s">
        <v>1564</v>
      </c>
      <c r="R777" s="7">
        <v>36708</v>
      </c>
      <c r="S777" s="8">
        <f t="shared" si="96"/>
        <v>2000</v>
      </c>
      <c r="T777" s="8">
        <v>2000</v>
      </c>
      <c r="U777" s="8">
        <f t="shared" si="97"/>
        <v>22</v>
      </c>
      <c r="V777" s="7">
        <v>36708</v>
      </c>
      <c r="W777" t="s">
        <v>426</v>
      </c>
      <c r="X777" s="2">
        <v>0.22500000000000001</v>
      </c>
      <c r="Y777" s="6">
        <f t="shared" si="98"/>
        <v>6.0062464963562111E-3</v>
      </c>
      <c r="AA777">
        <v>2726343</v>
      </c>
      <c r="AB777">
        <v>16128</v>
      </c>
      <c r="AD777" t="s">
        <v>3</v>
      </c>
      <c r="AE777">
        <v>20</v>
      </c>
      <c r="AF777">
        <v>4</v>
      </c>
      <c r="AH777" t="s">
        <v>1563</v>
      </c>
      <c r="AI777" t="s">
        <v>1562</v>
      </c>
      <c r="AK777" t="s">
        <v>1561</v>
      </c>
      <c r="AL777">
        <v>1</v>
      </c>
      <c r="AM777" s="5">
        <f t="shared" si="99"/>
        <v>4.5454545454545456E-2</v>
      </c>
      <c r="AN777" s="4">
        <f t="shared" si="100"/>
        <v>6.8844445974321024E-5</v>
      </c>
      <c r="AO777" s="3"/>
      <c r="AP777">
        <v>0</v>
      </c>
      <c r="AR777" t="s">
        <v>1</v>
      </c>
      <c r="AT777" s="2">
        <v>1.099</v>
      </c>
      <c r="AU777" s="1">
        <f t="shared" si="101"/>
        <v>0.42250258812416441</v>
      </c>
      <c r="AV777" s="1">
        <f t="shared" si="102"/>
        <v>0.30375454711652661</v>
      </c>
      <c r="AW777" s="1">
        <f t="shared" si="103"/>
        <v>0.1850065061088888</v>
      </c>
    </row>
    <row r="778" spans="1:49" x14ac:dyDescent="0.2">
      <c r="A778">
        <v>776</v>
      </c>
      <c r="B778" t="s">
        <v>1560</v>
      </c>
      <c r="C778" t="s">
        <v>1559</v>
      </c>
      <c r="F778" t="s">
        <v>1558</v>
      </c>
      <c r="G778" t="s">
        <v>9</v>
      </c>
      <c r="H778" t="s">
        <v>8</v>
      </c>
      <c r="I778" t="s">
        <v>1557</v>
      </c>
      <c r="J778" t="s">
        <v>1556</v>
      </c>
      <c r="K778" t="s">
        <v>1555</v>
      </c>
      <c r="L778" t="s">
        <v>1554</v>
      </c>
      <c r="M778" t="s">
        <v>94</v>
      </c>
      <c r="N778">
        <v>3</v>
      </c>
      <c r="O778" t="s">
        <v>1553</v>
      </c>
      <c r="P778" t="s">
        <v>1552</v>
      </c>
      <c r="Q778" t="s">
        <v>1551</v>
      </c>
      <c r="R778" s="7">
        <v>36708</v>
      </c>
      <c r="S778" s="8">
        <f t="shared" si="96"/>
        <v>2000</v>
      </c>
      <c r="T778" s="8">
        <v>2000</v>
      </c>
      <c r="U778" s="8">
        <f t="shared" si="97"/>
        <v>22</v>
      </c>
      <c r="V778" s="7">
        <v>36708</v>
      </c>
      <c r="W778" t="s">
        <v>426</v>
      </c>
      <c r="X778" s="2">
        <v>0.22500000000000001</v>
      </c>
      <c r="Y778" s="6">
        <f t="shared" si="98"/>
        <v>6.0062464963562111E-3</v>
      </c>
      <c r="AA778">
        <v>2726343</v>
      </c>
      <c r="AB778">
        <v>16128</v>
      </c>
      <c r="AD778" t="s">
        <v>3</v>
      </c>
      <c r="AE778">
        <v>20</v>
      </c>
      <c r="AF778">
        <v>4</v>
      </c>
      <c r="AH778" t="s">
        <v>1550</v>
      </c>
      <c r="AI778" t="s">
        <v>1549</v>
      </c>
      <c r="AK778" t="s">
        <v>1548</v>
      </c>
      <c r="AL778">
        <v>3</v>
      </c>
      <c r="AM778" s="5">
        <f t="shared" si="99"/>
        <v>0.13636363636363635</v>
      </c>
      <c r="AN778" s="4">
        <f t="shared" si="100"/>
        <v>2.0653333792296306E-4</v>
      </c>
      <c r="AO778" s="3"/>
      <c r="AP778">
        <v>0</v>
      </c>
      <c r="AR778" t="s">
        <v>1</v>
      </c>
      <c r="AT778" s="2">
        <v>1.099</v>
      </c>
      <c r="AU778" s="1">
        <f t="shared" si="101"/>
        <v>0.42663325488262366</v>
      </c>
      <c r="AV778" s="1">
        <f t="shared" si="102"/>
        <v>0.3106389917139587</v>
      </c>
      <c r="AW778" s="1">
        <f t="shared" si="103"/>
        <v>0.19464472854529374</v>
      </c>
    </row>
    <row r="779" spans="1:49" x14ac:dyDescent="0.2">
      <c r="A779">
        <v>777</v>
      </c>
      <c r="B779" t="s">
        <v>1547</v>
      </c>
      <c r="C779" t="s">
        <v>1546</v>
      </c>
      <c r="F779" t="s">
        <v>1545</v>
      </c>
      <c r="G779" t="s">
        <v>9</v>
      </c>
      <c r="H779" t="s">
        <v>8</v>
      </c>
      <c r="I779" t="s">
        <v>1544</v>
      </c>
      <c r="J779">
        <v>60030526</v>
      </c>
      <c r="K779" t="s">
        <v>666</v>
      </c>
      <c r="L779" t="s">
        <v>163</v>
      </c>
      <c r="M779" t="s">
        <v>43</v>
      </c>
      <c r="N779">
        <v>3</v>
      </c>
      <c r="O779" t="s">
        <v>1543</v>
      </c>
      <c r="P779" t="s">
        <v>1542</v>
      </c>
      <c r="Q779" t="s">
        <v>1541</v>
      </c>
      <c r="R779" s="7">
        <v>36708</v>
      </c>
      <c r="S779" s="8">
        <f t="shared" si="96"/>
        <v>2000</v>
      </c>
      <c r="T779" s="8">
        <v>2000</v>
      </c>
      <c r="U779" s="8">
        <f t="shared" si="97"/>
        <v>22</v>
      </c>
      <c r="V779" s="7">
        <v>36708</v>
      </c>
      <c r="W779" t="s">
        <v>426</v>
      </c>
      <c r="X779" s="2">
        <v>0.22500000000000001</v>
      </c>
      <c r="Y779" s="6">
        <f t="shared" si="98"/>
        <v>6.0062464963562111E-3</v>
      </c>
      <c r="AA779">
        <v>2726343</v>
      </c>
      <c r="AB779">
        <v>16128</v>
      </c>
      <c r="AD779" t="s">
        <v>3</v>
      </c>
      <c r="AE779">
        <v>20</v>
      </c>
      <c r="AF779">
        <v>4</v>
      </c>
      <c r="AH779" t="s">
        <v>1540</v>
      </c>
      <c r="AI779" t="s">
        <v>1539</v>
      </c>
      <c r="AK779" t="s">
        <v>1538</v>
      </c>
      <c r="AL779">
        <v>4</v>
      </c>
      <c r="AM779" s="5">
        <f t="shared" si="99"/>
        <v>0.18181818181818182</v>
      </c>
      <c r="AN779" s="4">
        <f t="shared" si="100"/>
        <v>2.753777838972841E-4</v>
      </c>
      <c r="AO779" s="3"/>
      <c r="AP779">
        <v>0</v>
      </c>
      <c r="AR779" t="s">
        <v>1</v>
      </c>
      <c r="AT779" s="2">
        <v>1.099</v>
      </c>
      <c r="AU779" s="1">
        <f t="shared" si="101"/>
        <v>0.42869858826185331</v>
      </c>
      <c r="AV779" s="1">
        <f t="shared" si="102"/>
        <v>0.31408121401267475</v>
      </c>
      <c r="AW779" s="1">
        <f t="shared" si="103"/>
        <v>0.19946383976349621</v>
      </c>
    </row>
    <row r="780" spans="1:49" x14ac:dyDescent="0.2">
      <c r="A780">
        <v>778</v>
      </c>
      <c r="B780" t="s">
        <v>1537</v>
      </c>
      <c r="C780" t="s">
        <v>1536</v>
      </c>
      <c r="F780" t="s">
        <v>1535</v>
      </c>
      <c r="G780" t="s">
        <v>9</v>
      </c>
      <c r="H780" t="s">
        <v>8</v>
      </c>
      <c r="I780" t="s">
        <v>1534</v>
      </c>
      <c r="J780">
        <v>100342575</v>
      </c>
      <c r="K780" t="s">
        <v>1533</v>
      </c>
      <c r="L780" t="s">
        <v>1532</v>
      </c>
      <c r="M780" t="s">
        <v>5</v>
      </c>
      <c r="N780">
        <v>1</v>
      </c>
      <c r="O780" t="s">
        <v>1531</v>
      </c>
      <c r="P780">
        <v>57203558701</v>
      </c>
      <c r="Q780">
        <v>100342575</v>
      </c>
      <c r="R780" s="7">
        <v>36708</v>
      </c>
      <c r="S780" s="8">
        <f t="shared" si="96"/>
        <v>2000</v>
      </c>
      <c r="T780" s="8">
        <v>2000</v>
      </c>
      <c r="U780" s="8">
        <f t="shared" si="97"/>
        <v>22</v>
      </c>
      <c r="V780" s="7">
        <v>36708</v>
      </c>
      <c r="W780" t="s">
        <v>426</v>
      </c>
      <c r="X780" s="2">
        <v>0.22500000000000001</v>
      </c>
      <c r="Y780" s="6">
        <f t="shared" si="98"/>
        <v>6.0062464963562111E-3</v>
      </c>
      <c r="AA780">
        <v>2726343</v>
      </c>
      <c r="AB780">
        <v>16128</v>
      </c>
      <c r="AD780" t="s">
        <v>3</v>
      </c>
      <c r="AE780">
        <v>20</v>
      </c>
      <c r="AF780">
        <v>4</v>
      </c>
      <c r="AH780" t="s">
        <v>1530</v>
      </c>
      <c r="AI780" t="s">
        <v>1529</v>
      </c>
      <c r="AK780" t="s">
        <v>1528</v>
      </c>
      <c r="AL780">
        <v>35</v>
      </c>
      <c r="AM780" s="5">
        <f t="shared" si="99"/>
        <v>1.5909090909090908</v>
      </c>
      <c r="AN780" s="4">
        <f t="shared" si="100"/>
        <v>2.4095556091012355E-3</v>
      </c>
      <c r="AO780" s="3"/>
      <c r="AP780">
        <v>0</v>
      </c>
      <c r="AR780" t="s">
        <v>1</v>
      </c>
      <c r="AT780" s="2">
        <v>1.099</v>
      </c>
      <c r="AU780" s="1">
        <f t="shared" si="101"/>
        <v>0.4927239230179718</v>
      </c>
      <c r="AV780" s="1">
        <f t="shared" si="102"/>
        <v>0.42079010527287231</v>
      </c>
      <c r="AW780" s="1">
        <f t="shared" si="103"/>
        <v>0.34885628752777281</v>
      </c>
    </row>
    <row r="781" spans="1:49" x14ac:dyDescent="0.2">
      <c r="A781">
        <v>779</v>
      </c>
      <c r="B781" t="s">
        <v>1527</v>
      </c>
      <c r="C781" t="s">
        <v>1526</v>
      </c>
      <c r="F781" t="s">
        <v>1525</v>
      </c>
      <c r="G781" t="s">
        <v>9</v>
      </c>
      <c r="H781" t="s">
        <v>8</v>
      </c>
      <c r="I781" t="s">
        <v>1524</v>
      </c>
      <c r="J781">
        <v>60001738</v>
      </c>
      <c r="K781" t="s">
        <v>1523</v>
      </c>
      <c r="L781" t="s">
        <v>1522</v>
      </c>
      <c r="M781" t="s">
        <v>22</v>
      </c>
      <c r="N781">
        <v>1</v>
      </c>
      <c r="O781" t="s">
        <v>1521</v>
      </c>
      <c r="P781">
        <v>7004091452</v>
      </c>
      <c r="Q781">
        <v>60001738</v>
      </c>
      <c r="R781" s="7">
        <v>36708</v>
      </c>
      <c r="S781" s="8">
        <f t="shared" si="96"/>
        <v>2000</v>
      </c>
      <c r="T781" s="8">
        <v>2000</v>
      </c>
      <c r="U781" s="8">
        <f t="shared" si="97"/>
        <v>22</v>
      </c>
      <c r="V781" s="7">
        <v>36708</v>
      </c>
      <c r="W781" t="s">
        <v>403</v>
      </c>
      <c r="X781" s="2">
        <v>2.9860000000000002</v>
      </c>
      <c r="Y781" s="6">
        <f t="shared" si="98"/>
        <v>7.9709564613865094E-2</v>
      </c>
      <c r="AA781">
        <v>7338716</v>
      </c>
      <c r="AB781">
        <v>18902</v>
      </c>
      <c r="AD781" t="s">
        <v>3</v>
      </c>
      <c r="AE781">
        <v>18</v>
      </c>
      <c r="AF781">
        <v>7</v>
      </c>
      <c r="AH781" t="s">
        <v>1520</v>
      </c>
      <c r="AI781" t="s">
        <v>1519</v>
      </c>
      <c r="AK781" t="s">
        <v>1518</v>
      </c>
      <c r="AL781">
        <v>13</v>
      </c>
      <c r="AM781" s="5">
        <f t="shared" si="99"/>
        <v>0.59090909090909094</v>
      </c>
      <c r="AN781" s="4">
        <f t="shared" si="100"/>
        <v>8.9497779766617338E-4</v>
      </c>
      <c r="AO781" s="3"/>
      <c r="AP781">
        <v>0</v>
      </c>
      <c r="AR781" t="s">
        <v>1</v>
      </c>
      <c r="AS781" t="s">
        <v>1517</v>
      </c>
      <c r="AT781" s="2" t="s">
        <v>0</v>
      </c>
      <c r="AU781" s="1">
        <f t="shared" si="101"/>
        <v>5.6065188569005411</v>
      </c>
      <c r="AV781" s="1">
        <f t="shared" si="102"/>
        <v>4.0302271205765638</v>
      </c>
      <c r="AW781" s="1">
        <f t="shared" si="103"/>
        <v>2.4539353842525848</v>
      </c>
    </row>
    <row r="782" spans="1:49" x14ac:dyDescent="0.2">
      <c r="A782">
        <v>780</v>
      </c>
      <c r="B782" t="s">
        <v>1516</v>
      </c>
      <c r="C782" t="s">
        <v>1515</v>
      </c>
      <c r="F782" t="s">
        <v>1514</v>
      </c>
      <c r="G782" t="s">
        <v>9</v>
      </c>
      <c r="H782" t="s">
        <v>8</v>
      </c>
      <c r="I782" t="s">
        <v>1513</v>
      </c>
      <c r="J782" t="s">
        <v>1512</v>
      </c>
      <c r="K782" t="s">
        <v>1511</v>
      </c>
      <c r="L782" t="s">
        <v>1510</v>
      </c>
      <c r="M782" t="s">
        <v>19</v>
      </c>
      <c r="N782">
        <v>2</v>
      </c>
      <c r="O782" t="s">
        <v>1509</v>
      </c>
      <c r="P782" t="s">
        <v>1508</v>
      </c>
      <c r="Q782" t="s">
        <v>1507</v>
      </c>
      <c r="R782" s="7">
        <v>36708</v>
      </c>
      <c r="S782" s="8">
        <f t="shared" si="96"/>
        <v>2000</v>
      </c>
      <c r="T782" s="8">
        <v>2000</v>
      </c>
      <c r="U782" s="8">
        <f t="shared" si="97"/>
        <v>22</v>
      </c>
      <c r="V782" s="7">
        <v>36708</v>
      </c>
      <c r="W782" t="s">
        <v>403</v>
      </c>
      <c r="X782" s="2">
        <v>2.9860000000000002</v>
      </c>
      <c r="Y782" s="6">
        <f t="shared" si="98"/>
        <v>7.9709564613865094E-2</v>
      </c>
      <c r="AA782">
        <v>7338716</v>
      </c>
      <c r="AB782">
        <v>18902</v>
      </c>
      <c r="AD782" t="s">
        <v>3</v>
      </c>
      <c r="AE782">
        <v>18</v>
      </c>
      <c r="AF782">
        <v>7</v>
      </c>
      <c r="AH782" t="s">
        <v>1506</v>
      </c>
      <c r="AI782" t="s">
        <v>1505</v>
      </c>
      <c r="AK782" t="s">
        <v>1504</v>
      </c>
      <c r="AL782">
        <v>732</v>
      </c>
      <c r="AM782" s="5">
        <f t="shared" si="99"/>
        <v>33.272727272727273</v>
      </c>
      <c r="AN782" s="4">
        <f t="shared" si="100"/>
        <v>5.0394134453202989E-2</v>
      </c>
      <c r="AO782" s="3"/>
      <c r="AP782">
        <v>0</v>
      </c>
      <c r="AR782" t="s">
        <v>1</v>
      </c>
      <c r="AT782" s="2" t="s">
        <v>0</v>
      </c>
      <c r="AU782" s="1">
        <f t="shared" si="101"/>
        <v>7.0914935565666459</v>
      </c>
      <c r="AV782" s="1">
        <f t="shared" si="102"/>
        <v>6.505184953353405</v>
      </c>
      <c r="AW782" s="1">
        <f t="shared" si="103"/>
        <v>5.9188763501401622</v>
      </c>
    </row>
    <row r="783" spans="1:49" x14ac:dyDescent="0.2">
      <c r="A783">
        <v>781</v>
      </c>
      <c r="B783" t="s">
        <v>1503</v>
      </c>
      <c r="C783" t="s">
        <v>1502</v>
      </c>
      <c r="F783" t="s">
        <v>1501</v>
      </c>
      <c r="G783" t="s">
        <v>9</v>
      </c>
      <c r="H783" t="s">
        <v>8</v>
      </c>
      <c r="I783" t="s">
        <v>337</v>
      </c>
      <c r="J783" t="s">
        <v>1500</v>
      </c>
      <c r="K783" t="s">
        <v>1499</v>
      </c>
      <c r="L783" t="s">
        <v>1498</v>
      </c>
      <c r="M783" t="s">
        <v>19</v>
      </c>
      <c r="N783">
        <v>4</v>
      </c>
      <c r="O783" t="s">
        <v>1497</v>
      </c>
      <c r="P783" t="s">
        <v>1496</v>
      </c>
      <c r="Q783" t="s">
        <v>1495</v>
      </c>
      <c r="R783" s="7">
        <v>36708</v>
      </c>
      <c r="S783" s="8">
        <f t="shared" si="96"/>
        <v>2000</v>
      </c>
      <c r="T783" s="8">
        <v>2000</v>
      </c>
      <c r="U783" s="8">
        <f t="shared" si="97"/>
        <v>22</v>
      </c>
      <c r="V783" s="7">
        <v>36708</v>
      </c>
      <c r="W783" t="s">
        <v>646</v>
      </c>
      <c r="X783" s="2">
        <v>0.92900000000000005</v>
      </c>
      <c r="Y783" s="6">
        <f t="shared" si="98"/>
        <v>2.4799124422732979E-2</v>
      </c>
      <c r="AA783">
        <v>10897798</v>
      </c>
      <c r="AB783">
        <v>18896</v>
      </c>
      <c r="AD783" t="s">
        <v>3</v>
      </c>
      <c r="AE783">
        <v>4</v>
      </c>
      <c r="AF783">
        <v>7</v>
      </c>
      <c r="AH783" t="s">
        <v>1494</v>
      </c>
      <c r="AI783" t="s">
        <v>1493</v>
      </c>
      <c r="AK783" t="s">
        <v>1492</v>
      </c>
      <c r="AL783">
        <v>58</v>
      </c>
      <c r="AM783" s="5">
        <f t="shared" si="99"/>
        <v>2.6363636363636362</v>
      </c>
      <c r="AN783" s="4">
        <f t="shared" si="100"/>
        <v>3.9929778665106193E-3</v>
      </c>
      <c r="AO783" s="3"/>
      <c r="AP783">
        <v>0</v>
      </c>
      <c r="AQ783" t="s">
        <v>210</v>
      </c>
      <c r="AR783" t="s">
        <v>1491</v>
      </c>
      <c r="AS783" t="s">
        <v>209</v>
      </c>
      <c r="AT783" s="2">
        <v>3.4359999999999999</v>
      </c>
      <c r="AU783" s="1">
        <f t="shared" si="101"/>
        <v>1.855728045586627</v>
      </c>
      <c r="AV783" s="1">
        <f t="shared" si="102"/>
        <v>1.43960511446218</v>
      </c>
      <c r="AW783" s="1">
        <f t="shared" si="103"/>
        <v>1.0234821833377328</v>
      </c>
    </row>
    <row r="784" spans="1:49" x14ac:dyDescent="0.2">
      <c r="A784">
        <v>782</v>
      </c>
      <c r="B784" t="s">
        <v>1490</v>
      </c>
      <c r="C784" t="s">
        <v>1489</v>
      </c>
      <c r="F784" t="s">
        <v>1488</v>
      </c>
      <c r="G784" t="s">
        <v>9</v>
      </c>
      <c r="H784" t="s">
        <v>8</v>
      </c>
      <c r="I784" t="s">
        <v>1487</v>
      </c>
      <c r="J784">
        <v>60031159</v>
      </c>
      <c r="K784" t="s">
        <v>1486</v>
      </c>
      <c r="L784" t="s">
        <v>1485</v>
      </c>
      <c r="M784" t="s">
        <v>29</v>
      </c>
      <c r="N784">
        <v>2</v>
      </c>
      <c r="O784" t="s">
        <v>1484</v>
      </c>
      <c r="P784" t="s">
        <v>1483</v>
      </c>
      <c r="Q784" t="s">
        <v>1482</v>
      </c>
      <c r="R784" s="7">
        <v>36708</v>
      </c>
      <c r="S784" s="8">
        <f t="shared" si="96"/>
        <v>2000</v>
      </c>
      <c r="T784" s="8">
        <v>2000</v>
      </c>
      <c r="U784" s="8">
        <f t="shared" si="97"/>
        <v>22</v>
      </c>
      <c r="V784" s="7">
        <v>36708</v>
      </c>
      <c r="W784" t="s">
        <v>403</v>
      </c>
      <c r="X784" s="2">
        <v>2.9860000000000002</v>
      </c>
      <c r="Y784" s="6">
        <f t="shared" si="98"/>
        <v>7.9709564613865094E-2</v>
      </c>
      <c r="AA784">
        <v>7338716</v>
      </c>
      <c r="AB784">
        <v>18902</v>
      </c>
      <c r="AD784" t="s">
        <v>3</v>
      </c>
      <c r="AE784">
        <v>18</v>
      </c>
      <c r="AF784">
        <v>7</v>
      </c>
      <c r="AH784" t="s">
        <v>1481</v>
      </c>
      <c r="AI784" t="s">
        <v>1480</v>
      </c>
      <c r="AK784" t="s">
        <v>1479</v>
      </c>
      <c r="AL784">
        <v>27</v>
      </c>
      <c r="AM784" s="5">
        <f t="shared" si="99"/>
        <v>1.2272727272727273</v>
      </c>
      <c r="AN784" s="4">
        <f t="shared" si="100"/>
        <v>1.8588000413066676E-3</v>
      </c>
      <c r="AO784" s="3"/>
      <c r="AP784">
        <v>0</v>
      </c>
      <c r="AR784" t="s">
        <v>1</v>
      </c>
      <c r="AT784" s="2" t="s">
        <v>0</v>
      </c>
      <c r="AU784" s="1">
        <f t="shared" si="101"/>
        <v>5.6354335242097564</v>
      </c>
      <c r="AV784" s="1">
        <f t="shared" si="102"/>
        <v>4.0784182327585885</v>
      </c>
      <c r="AW784" s="1">
        <f t="shared" si="103"/>
        <v>2.5214029413074197</v>
      </c>
    </row>
    <row r="785" spans="1:49" x14ac:dyDescent="0.2">
      <c r="A785">
        <v>783</v>
      </c>
      <c r="B785" t="s">
        <v>1478</v>
      </c>
      <c r="C785" t="s">
        <v>1477</v>
      </c>
      <c r="F785" t="s">
        <v>1476</v>
      </c>
      <c r="G785" t="s">
        <v>9</v>
      </c>
      <c r="H785" t="s">
        <v>8</v>
      </c>
      <c r="I785" t="s">
        <v>1475</v>
      </c>
      <c r="J785" t="s">
        <v>1474</v>
      </c>
      <c r="K785" t="s">
        <v>1473</v>
      </c>
      <c r="L785" t="s">
        <v>1472</v>
      </c>
      <c r="M785" t="s">
        <v>1471</v>
      </c>
      <c r="N785">
        <v>9</v>
      </c>
      <c r="O785" t="s">
        <v>1470</v>
      </c>
      <c r="P785" t="s">
        <v>1469</v>
      </c>
      <c r="Q785" t="s">
        <v>1468</v>
      </c>
      <c r="R785" s="7">
        <v>36708</v>
      </c>
      <c r="S785" s="8">
        <f t="shared" si="96"/>
        <v>2000</v>
      </c>
      <c r="T785" s="8">
        <v>2000</v>
      </c>
      <c r="U785" s="8">
        <f t="shared" si="97"/>
        <v>22</v>
      </c>
      <c r="V785" s="7">
        <v>36708</v>
      </c>
      <c r="W785" t="s">
        <v>743</v>
      </c>
      <c r="X785" s="2">
        <v>0.81</v>
      </c>
      <c r="Y785" s="6">
        <f t="shared" si="98"/>
        <v>2.1622487386882359E-2</v>
      </c>
      <c r="AA785">
        <v>10411135</v>
      </c>
      <c r="AB785">
        <v>12116</v>
      </c>
      <c r="AD785" t="s">
        <v>3</v>
      </c>
      <c r="AE785">
        <v>12</v>
      </c>
      <c r="AF785">
        <v>7</v>
      </c>
      <c r="AH785" t="s">
        <v>1467</v>
      </c>
      <c r="AI785" t="s">
        <v>1466</v>
      </c>
      <c r="AK785" t="s">
        <v>1465</v>
      </c>
      <c r="AL785">
        <v>8</v>
      </c>
      <c r="AM785" s="5">
        <f t="shared" si="99"/>
        <v>0.36363636363636365</v>
      </c>
      <c r="AN785" s="4">
        <f t="shared" si="100"/>
        <v>5.5075556779456819E-4</v>
      </c>
      <c r="AO785" s="3"/>
      <c r="AP785">
        <v>0</v>
      </c>
      <c r="AR785" t="s">
        <v>1464</v>
      </c>
      <c r="AT785" s="2">
        <v>2.468</v>
      </c>
      <c r="AU785" s="1">
        <f t="shared" si="101"/>
        <v>1.5300967841156021</v>
      </c>
      <c r="AV785" s="1">
        <f t="shared" si="102"/>
        <v>1.1086621477338463</v>
      </c>
      <c r="AW785" s="1">
        <f t="shared" si="103"/>
        <v>0.68722751135209048</v>
      </c>
    </row>
    <row r="786" spans="1:49" x14ac:dyDescent="0.2">
      <c r="A786">
        <v>784</v>
      </c>
      <c r="B786" t="s">
        <v>1463</v>
      </c>
      <c r="C786" t="s">
        <v>1462</v>
      </c>
      <c r="F786" t="s">
        <v>1461</v>
      </c>
      <c r="G786" t="s">
        <v>9</v>
      </c>
      <c r="H786" t="s">
        <v>8</v>
      </c>
      <c r="I786" t="s">
        <v>1460</v>
      </c>
      <c r="J786" t="s">
        <v>1459</v>
      </c>
      <c r="K786" t="s">
        <v>1458</v>
      </c>
      <c r="L786" t="s">
        <v>1457</v>
      </c>
      <c r="M786" t="s">
        <v>27</v>
      </c>
      <c r="N786">
        <v>2</v>
      </c>
      <c r="O786" t="s">
        <v>1456</v>
      </c>
      <c r="P786" t="s">
        <v>1455</v>
      </c>
      <c r="Q786" t="s">
        <v>1454</v>
      </c>
      <c r="R786" s="7">
        <v>36708</v>
      </c>
      <c r="S786" s="8">
        <f t="shared" si="96"/>
        <v>2000</v>
      </c>
      <c r="T786" s="8">
        <v>2000</v>
      </c>
      <c r="U786" s="8">
        <f t="shared" si="97"/>
        <v>22</v>
      </c>
      <c r="V786" s="7">
        <v>36708</v>
      </c>
      <c r="W786" t="s">
        <v>300</v>
      </c>
      <c r="X786" s="2">
        <v>2.141</v>
      </c>
      <c r="Y786" s="6">
        <f t="shared" si="98"/>
        <v>5.7152772216438434E-2</v>
      </c>
      <c r="AA786">
        <v>1962892</v>
      </c>
      <c r="AB786">
        <v>17360</v>
      </c>
      <c r="AD786" t="s">
        <v>3</v>
      </c>
      <c r="AE786">
        <v>38</v>
      </c>
      <c r="AF786" t="s">
        <v>1222</v>
      </c>
      <c r="AH786" t="s">
        <v>1453</v>
      </c>
      <c r="AI786" t="s">
        <v>1452</v>
      </c>
      <c r="AK786" t="s">
        <v>1451</v>
      </c>
      <c r="AL786">
        <v>83</v>
      </c>
      <c r="AM786" s="5">
        <f t="shared" si="99"/>
        <v>3.7727272727272729</v>
      </c>
      <c r="AN786" s="4">
        <f t="shared" si="100"/>
        <v>5.7140890158686453E-3</v>
      </c>
      <c r="AO786" s="3"/>
      <c r="AP786">
        <v>0</v>
      </c>
      <c r="AR786" t="s">
        <v>1</v>
      </c>
      <c r="AT786" s="2" t="s">
        <v>0</v>
      </c>
      <c r="AU786" s="1">
        <f t="shared" si="101"/>
        <v>4.1721167256267497</v>
      </c>
      <c r="AV786" s="1">
        <f t="shared" si="102"/>
        <v>3.1433430616153544</v>
      </c>
      <c r="AW786" s="1">
        <f t="shared" si="103"/>
        <v>2.1145693976039581</v>
      </c>
    </row>
    <row r="787" spans="1:49" x14ac:dyDescent="0.2">
      <c r="A787">
        <v>785</v>
      </c>
      <c r="B787" t="s">
        <v>1450</v>
      </c>
      <c r="C787" t="s">
        <v>1449</v>
      </c>
      <c r="F787" t="s">
        <v>1448</v>
      </c>
      <c r="G787" t="s">
        <v>9</v>
      </c>
      <c r="H787" t="s">
        <v>8</v>
      </c>
      <c r="I787" t="s">
        <v>1447</v>
      </c>
      <c r="J787">
        <v>60016074</v>
      </c>
      <c r="K787" t="s">
        <v>82</v>
      </c>
      <c r="L787" t="s">
        <v>81</v>
      </c>
      <c r="M787" t="s">
        <v>43</v>
      </c>
      <c r="N787">
        <v>3</v>
      </c>
      <c r="O787" t="s">
        <v>1446</v>
      </c>
      <c r="P787" t="s">
        <v>1445</v>
      </c>
      <c r="Q787" t="s">
        <v>80</v>
      </c>
      <c r="R787" s="7">
        <v>36708</v>
      </c>
      <c r="S787" s="8">
        <f t="shared" si="96"/>
        <v>2000</v>
      </c>
      <c r="T787" s="8">
        <v>2000</v>
      </c>
      <c r="U787" s="8">
        <f t="shared" si="97"/>
        <v>22</v>
      </c>
      <c r="V787" s="7">
        <v>36708</v>
      </c>
      <c r="W787" t="s">
        <v>413</v>
      </c>
      <c r="X787" s="2">
        <v>1.0329999999999999</v>
      </c>
      <c r="Y787" s="6">
        <f t="shared" si="98"/>
        <v>2.7575345025493178E-2</v>
      </c>
      <c r="AA787">
        <v>9532048</v>
      </c>
      <c r="AB787">
        <v>12278</v>
      </c>
      <c r="AD787" t="s">
        <v>3</v>
      </c>
      <c r="AE787">
        <v>13</v>
      </c>
      <c r="AF787">
        <v>7</v>
      </c>
      <c r="AH787" t="s">
        <v>1444</v>
      </c>
      <c r="AI787" t="s">
        <v>1443</v>
      </c>
      <c r="AK787" t="s">
        <v>1442</v>
      </c>
      <c r="AL787">
        <v>1</v>
      </c>
      <c r="AM787" s="5">
        <f t="shared" si="99"/>
        <v>4.5454545454545456E-2</v>
      </c>
      <c r="AN787" s="4">
        <f t="shared" si="100"/>
        <v>6.8844445974321024E-5</v>
      </c>
      <c r="AO787" s="3"/>
      <c r="AP787">
        <v>0</v>
      </c>
      <c r="AR787" t="s">
        <v>1</v>
      </c>
      <c r="AT787" s="2" t="s">
        <v>0</v>
      </c>
      <c r="AU787" s="1">
        <f t="shared" si="101"/>
        <v>1.9323394851637519</v>
      </c>
      <c r="AV787" s="1">
        <f t="shared" si="102"/>
        <v>1.382209473573375</v>
      </c>
      <c r="AW787" s="1">
        <f t="shared" si="103"/>
        <v>0.83207946198299787</v>
      </c>
    </row>
    <row r="788" spans="1:49" x14ac:dyDescent="0.2">
      <c r="A788">
        <v>786</v>
      </c>
      <c r="B788" t="s">
        <v>1441</v>
      </c>
      <c r="C788" t="s">
        <v>1440</v>
      </c>
      <c r="F788" t="s">
        <v>1439</v>
      </c>
      <c r="G788" t="s">
        <v>9</v>
      </c>
      <c r="H788" t="s">
        <v>8</v>
      </c>
      <c r="I788" t="s">
        <v>1438</v>
      </c>
      <c r="J788">
        <v>60000060</v>
      </c>
      <c r="K788" t="s">
        <v>130</v>
      </c>
      <c r="L788" t="s">
        <v>129</v>
      </c>
      <c r="M788" t="s">
        <v>5</v>
      </c>
      <c r="N788">
        <v>2</v>
      </c>
      <c r="O788" t="s">
        <v>1437</v>
      </c>
      <c r="P788" t="s">
        <v>1436</v>
      </c>
      <c r="Q788" t="s">
        <v>128</v>
      </c>
      <c r="R788" s="7">
        <v>36708</v>
      </c>
      <c r="S788" s="8">
        <f t="shared" si="96"/>
        <v>2000</v>
      </c>
      <c r="T788" s="8">
        <v>2000</v>
      </c>
      <c r="U788" s="8">
        <f t="shared" si="97"/>
        <v>22</v>
      </c>
      <c r="V788" s="7">
        <v>36708</v>
      </c>
      <c r="W788" t="s">
        <v>646</v>
      </c>
      <c r="X788" s="2">
        <v>0.92900000000000005</v>
      </c>
      <c r="Y788" s="6">
        <f t="shared" si="98"/>
        <v>2.4799124422732979E-2</v>
      </c>
      <c r="AA788">
        <v>10897798</v>
      </c>
      <c r="AB788">
        <v>18896</v>
      </c>
      <c r="AD788" t="s">
        <v>3</v>
      </c>
      <c r="AE788">
        <v>4</v>
      </c>
      <c r="AF788">
        <v>7</v>
      </c>
      <c r="AH788" t="s">
        <v>1435</v>
      </c>
      <c r="AI788" t="s">
        <v>1434</v>
      </c>
      <c r="AK788" t="s">
        <v>1433</v>
      </c>
      <c r="AL788">
        <v>74</v>
      </c>
      <c r="AM788" s="5">
        <f t="shared" si="99"/>
        <v>3.3636363636363638</v>
      </c>
      <c r="AN788" s="4">
        <f t="shared" si="100"/>
        <v>5.0944890020997559E-3</v>
      </c>
      <c r="AO788" s="3"/>
      <c r="AP788">
        <v>0</v>
      </c>
      <c r="AQ788" t="s">
        <v>210</v>
      </c>
      <c r="AR788" t="s">
        <v>966</v>
      </c>
      <c r="AS788" t="s">
        <v>209</v>
      </c>
      <c r="AT788" s="2">
        <v>3.4359999999999999</v>
      </c>
      <c r="AU788" s="1">
        <f t="shared" si="101"/>
        <v>1.8887733796543009</v>
      </c>
      <c r="AV788" s="1">
        <f t="shared" si="102"/>
        <v>1.4946806712416367</v>
      </c>
      <c r="AW788" s="1">
        <f t="shared" si="103"/>
        <v>1.1005879628289721</v>
      </c>
    </row>
    <row r="789" spans="1:49" x14ac:dyDescent="0.2">
      <c r="A789">
        <v>787</v>
      </c>
      <c r="B789" t="s">
        <v>1432</v>
      </c>
      <c r="C789" t="s">
        <v>1431</v>
      </c>
      <c r="F789" t="s">
        <v>1430</v>
      </c>
      <c r="G789" t="s">
        <v>9</v>
      </c>
      <c r="H789" t="s">
        <v>8</v>
      </c>
      <c r="I789" t="s">
        <v>1429</v>
      </c>
      <c r="J789">
        <v>60002494</v>
      </c>
      <c r="K789" t="s">
        <v>99</v>
      </c>
      <c r="L789" t="s">
        <v>98</v>
      </c>
      <c r="M789" t="s">
        <v>16</v>
      </c>
      <c r="N789">
        <v>2</v>
      </c>
      <c r="O789" t="s">
        <v>1428</v>
      </c>
      <c r="P789" t="s">
        <v>1427</v>
      </c>
      <c r="Q789" t="s">
        <v>97</v>
      </c>
      <c r="R789" s="7">
        <v>36708</v>
      </c>
      <c r="S789" s="8">
        <f t="shared" si="96"/>
        <v>2000</v>
      </c>
      <c r="T789" s="8">
        <v>2000</v>
      </c>
      <c r="U789" s="8">
        <f t="shared" si="97"/>
        <v>22</v>
      </c>
      <c r="V789" s="7">
        <v>36708</v>
      </c>
      <c r="W789" t="s">
        <v>403</v>
      </c>
      <c r="X789" s="2">
        <v>2.9860000000000002</v>
      </c>
      <c r="Y789" s="6">
        <f t="shared" si="98"/>
        <v>7.9709564613865094E-2</v>
      </c>
      <c r="AA789">
        <v>7338716</v>
      </c>
      <c r="AB789">
        <v>18902</v>
      </c>
      <c r="AD789" t="s">
        <v>3</v>
      </c>
      <c r="AE789">
        <v>18</v>
      </c>
      <c r="AF789">
        <v>7</v>
      </c>
      <c r="AH789" t="s">
        <v>1426</v>
      </c>
      <c r="AI789" t="s">
        <v>1425</v>
      </c>
      <c r="AK789" t="s">
        <v>1424</v>
      </c>
      <c r="AL789">
        <v>3</v>
      </c>
      <c r="AM789" s="5">
        <f t="shared" si="99"/>
        <v>0.13636363636363635</v>
      </c>
      <c r="AN789" s="4">
        <f t="shared" si="100"/>
        <v>2.0653333792296306E-4</v>
      </c>
      <c r="AO789" s="3"/>
      <c r="AP789">
        <v>0</v>
      </c>
      <c r="AQ789" t="s">
        <v>489</v>
      </c>
      <c r="AR789" t="s">
        <v>1</v>
      </c>
      <c r="AS789" t="s">
        <v>488</v>
      </c>
      <c r="AT789" s="2" t="s">
        <v>0</v>
      </c>
      <c r="AU789" s="1">
        <f t="shared" si="101"/>
        <v>5.5858655231082448</v>
      </c>
      <c r="AV789" s="1">
        <f t="shared" si="102"/>
        <v>3.9958048975894029</v>
      </c>
      <c r="AW789" s="1">
        <f t="shared" si="103"/>
        <v>2.4057442720705602</v>
      </c>
    </row>
    <row r="790" spans="1:49" x14ac:dyDescent="0.2">
      <c r="A790">
        <v>788</v>
      </c>
      <c r="B790" t="s">
        <v>1423</v>
      </c>
      <c r="C790" t="s">
        <v>1422</v>
      </c>
      <c r="D790" t="s">
        <v>1421</v>
      </c>
      <c r="F790" t="s">
        <v>1420</v>
      </c>
      <c r="G790" t="s">
        <v>9</v>
      </c>
      <c r="H790" t="s">
        <v>8</v>
      </c>
      <c r="I790" t="s">
        <v>1419</v>
      </c>
      <c r="J790">
        <v>60025555</v>
      </c>
      <c r="K790" t="s">
        <v>252</v>
      </c>
      <c r="L790" t="s">
        <v>163</v>
      </c>
      <c r="M790" t="s">
        <v>43</v>
      </c>
      <c r="N790">
        <v>4</v>
      </c>
      <c r="O790" t="s">
        <v>1418</v>
      </c>
      <c r="P790" t="s">
        <v>1417</v>
      </c>
      <c r="Q790" t="s">
        <v>505</v>
      </c>
      <c r="R790" s="7">
        <v>36708</v>
      </c>
      <c r="S790" s="8">
        <f t="shared" si="96"/>
        <v>2000</v>
      </c>
      <c r="T790" s="8">
        <v>2000</v>
      </c>
      <c r="U790" s="8">
        <f t="shared" si="97"/>
        <v>22</v>
      </c>
      <c r="V790" s="7">
        <v>36708</v>
      </c>
      <c r="W790" t="s">
        <v>397</v>
      </c>
      <c r="X790" s="2">
        <v>1.1339999999999999</v>
      </c>
      <c r="Y790" s="6">
        <f t="shared" si="98"/>
        <v>3.0271482341635299E-2</v>
      </c>
      <c r="AA790">
        <v>945765</v>
      </c>
      <c r="AB790">
        <v>12372</v>
      </c>
      <c r="AD790" t="s">
        <v>3</v>
      </c>
      <c r="AE790">
        <v>47</v>
      </c>
      <c r="AF790">
        <v>1</v>
      </c>
      <c r="AH790" t="s">
        <v>1416</v>
      </c>
      <c r="AI790" t="s">
        <v>1415</v>
      </c>
      <c r="AK790" t="s">
        <v>1414</v>
      </c>
      <c r="AL790">
        <v>63</v>
      </c>
      <c r="AM790" s="5">
        <f t="shared" si="99"/>
        <v>2.8636363636363638</v>
      </c>
      <c r="AN790" s="4">
        <f t="shared" si="100"/>
        <v>4.3372000963822245E-3</v>
      </c>
      <c r="AO790" s="3"/>
      <c r="AP790">
        <v>0</v>
      </c>
      <c r="AR790" t="s">
        <v>1</v>
      </c>
      <c r="AT790" s="2">
        <v>2.4129999999999998</v>
      </c>
      <c r="AU790" s="1">
        <f t="shared" si="101"/>
        <v>2.2491197668059377</v>
      </c>
      <c r="AV790" s="1">
        <f t="shared" si="102"/>
        <v>1.7304341219008763</v>
      </c>
      <c r="AW790" s="1">
        <f t="shared" si="103"/>
        <v>1.2117484769958147</v>
      </c>
    </row>
    <row r="791" spans="1:49" x14ac:dyDescent="0.2">
      <c r="A791">
        <v>789</v>
      </c>
      <c r="B791" t="s">
        <v>1413</v>
      </c>
      <c r="C791" t="s">
        <v>1412</v>
      </c>
      <c r="F791" t="s">
        <v>1411</v>
      </c>
      <c r="G791" t="s">
        <v>9</v>
      </c>
      <c r="H791" t="s">
        <v>8</v>
      </c>
      <c r="I791" t="s">
        <v>1410</v>
      </c>
      <c r="J791">
        <v>60025153</v>
      </c>
      <c r="K791" t="s">
        <v>1409</v>
      </c>
      <c r="L791" t="s">
        <v>1408</v>
      </c>
      <c r="M791" t="s">
        <v>53</v>
      </c>
      <c r="N791">
        <v>1</v>
      </c>
      <c r="O791" t="s">
        <v>1407</v>
      </c>
      <c r="P791">
        <v>7007035725</v>
      </c>
      <c r="Q791">
        <v>60025153</v>
      </c>
      <c r="R791" s="7">
        <v>36708</v>
      </c>
      <c r="S791" s="8">
        <f t="shared" si="96"/>
        <v>2000</v>
      </c>
      <c r="T791" s="8">
        <v>2000</v>
      </c>
      <c r="U791" s="8">
        <f t="shared" si="97"/>
        <v>22</v>
      </c>
      <c r="V791" s="7">
        <v>36708</v>
      </c>
      <c r="W791" t="s">
        <v>1406</v>
      </c>
      <c r="X791" s="2">
        <v>0.752</v>
      </c>
      <c r="Y791" s="6">
        <f t="shared" si="98"/>
        <v>2.0074210512266089E-2</v>
      </c>
      <c r="AA791">
        <v>3649059</v>
      </c>
      <c r="AB791">
        <v>17277</v>
      </c>
      <c r="AD791" t="s">
        <v>3</v>
      </c>
      <c r="AE791">
        <v>25</v>
      </c>
      <c r="AF791">
        <v>3</v>
      </c>
      <c r="AH791" t="s">
        <v>1405</v>
      </c>
      <c r="AI791" t="s">
        <v>1404</v>
      </c>
      <c r="AK791" t="s">
        <v>1403</v>
      </c>
      <c r="AL791">
        <v>23</v>
      </c>
      <c r="AM791" s="5">
        <f t="shared" si="99"/>
        <v>1.0454545454545454</v>
      </c>
      <c r="AN791" s="4">
        <f t="shared" si="100"/>
        <v>1.5834222574093834E-3</v>
      </c>
      <c r="AO791" s="3"/>
      <c r="AP791">
        <v>0</v>
      </c>
      <c r="AR791" t="s">
        <v>1</v>
      </c>
      <c r="AT791" s="2">
        <v>3.5539999999999998</v>
      </c>
      <c r="AU791" s="1">
        <f t="shared" si="101"/>
        <v>1.4526974035809075</v>
      </c>
      <c r="AV791" s="1">
        <f t="shared" si="102"/>
        <v>1.0828816384837736</v>
      </c>
      <c r="AW791" s="1">
        <f t="shared" si="103"/>
        <v>0.7130658733866394</v>
      </c>
    </row>
    <row r="792" spans="1:49" x14ac:dyDescent="0.2">
      <c r="A792">
        <v>790</v>
      </c>
      <c r="B792" t="s">
        <v>1402</v>
      </c>
      <c r="F792" t="s">
        <v>1401</v>
      </c>
      <c r="G792" t="s">
        <v>9</v>
      </c>
      <c r="H792" t="s">
        <v>8</v>
      </c>
      <c r="I792" t="s">
        <v>1400</v>
      </c>
      <c r="J792" t="s">
        <v>1399</v>
      </c>
      <c r="K792" t="s">
        <v>1398</v>
      </c>
      <c r="L792" t="s">
        <v>1397</v>
      </c>
      <c r="M792" t="s">
        <v>47</v>
      </c>
      <c r="N792">
        <v>3</v>
      </c>
      <c r="O792" t="s">
        <v>1396</v>
      </c>
      <c r="P792" t="s">
        <v>1395</v>
      </c>
      <c r="Q792" t="s">
        <v>1394</v>
      </c>
      <c r="R792" s="7">
        <v>36708</v>
      </c>
      <c r="S792" s="8">
        <f t="shared" si="96"/>
        <v>2000</v>
      </c>
      <c r="T792" s="8">
        <v>2000</v>
      </c>
      <c r="U792" s="8">
        <f t="shared" si="97"/>
        <v>22</v>
      </c>
      <c r="V792" s="7">
        <v>36708</v>
      </c>
      <c r="W792" t="s">
        <v>79</v>
      </c>
      <c r="X792" s="2">
        <v>0.182</v>
      </c>
      <c r="Y792" s="6">
        <f t="shared" si="98"/>
        <v>4.8583860548303574E-3</v>
      </c>
      <c r="AA792">
        <v>9168524</v>
      </c>
      <c r="AB792">
        <v>26075</v>
      </c>
      <c r="AD792" t="s">
        <v>3</v>
      </c>
      <c r="AE792" t="s">
        <v>78</v>
      </c>
      <c r="AF792">
        <v>7</v>
      </c>
      <c r="AH792" t="s">
        <v>1393</v>
      </c>
      <c r="AI792" t="s">
        <v>1392</v>
      </c>
      <c r="AK792" t="s">
        <v>1391</v>
      </c>
      <c r="AL792">
        <v>30</v>
      </c>
      <c r="AM792" s="5">
        <f t="shared" si="99"/>
        <v>1.3636363636363635</v>
      </c>
      <c r="AN792" s="4">
        <f t="shared" si="100"/>
        <v>2.0653333792296307E-3</v>
      </c>
      <c r="AO792" s="3"/>
      <c r="AP792">
        <v>0</v>
      </c>
      <c r="AR792" t="s">
        <v>1</v>
      </c>
      <c r="AT792" s="2">
        <v>0.35199999999999998</v>
      </c>
      <c r="AU792" s="1">
        <f t="shared" si="101"/>
        <v>0.4020470252150139</v>
      </c>
      <c r="AV792" s="1">
        <f t="shared" si="102"/>
        <v>0.34618597170299936</v>
      </c>
      <c r="AW792" s="1">
        <f t="shared" si="103"/>
        <v>0.29032491819098483</v>
      </c>
    </row>
    <row r="793" spans="1:49" x14ac:dyDescent="0.2">
      <c r="A793">
        <v>791</v>
      </c>
      <c r="B793" t="s">
        <v>1390</v>
      </c>
      <c r="C793" t="s">
        <v>1389</v>
      </c>
      <c r="F793" t="s">
        <v>1388</v>
      </c>
      <c r="G793" t="s">
        <v>9</v>
      </c>
      <c r="H793" t="s">
        <v>8</v>
      </c>
      <c r="I793" t="s">
        <v>1387</v>
      </c>
      <c r="J793" t="s">
        <v>1386</v>
      </c>
      <c r="K793" t="s">
        <v>1385</v>
      </c>
      <c r="L793" t="s">
        <v>1384</v>
      </c>
      <c r="M793" t="s">
        <v>1383</v>
      </c>
      <c r="N793">
        <v>5</v>
      </c>
      <c r="O793" t="s">
        <v>1382</v>
      </c>
      <c r="P793" t="s">
        <v>1381</v>
      </c>
      <c r="Q793" t="s">
        <v>1380</v>
      </c>
      <c r="R793" s="7">
        <v>36708</v>
      </c>
      <c r="S793" s="8">
        <f t="shared" si="96"/>
        <v>2000</v>
      </c>
      <c r="T793" s="8">
        <v>2000</v>
      </c>
      <c r="U793" s="8">
        <f t="shared" si="97"/>
        <v>22</v>
      </c>
      <c r="V793" s="7">
        <v>36708</v>
      </c>
      <c r="W793" t="s">
        <v>403</v>
      </c>
      <c r="X793" s="2">
        <v>2.9860000000000002</v>
      </c>
      <c r="Y793" s="6">
        <f t="shared" si="98"/>
        <v>7.9709564613865094E-2</v>
      </c>
      <c r="AA793">
        <v>7338716</v>
      </c>
      <c r="AB793">
        <v>18902</v>
      </c>
      <c r="AD793" t="s">
        <v>3</v>
      </c>
      <c r="AE793">
        <v>18</v>
      </c>
      <c r="AF793">
        <v>7</v>
      </c>
      <c r="AH793" t="s">
        <v>1379</v>
      </c>
      <c r="AI793" t="s">
        <v>1378</v>
      </c>
      <c r="AK793" t="s">
        <v>1377</v>
      </c>
      <c r="AL793">
        <v>82</v>
      </c>
      <c r="AM793" s="5">
        <f t="shared" si="99"/>
        <v>3.7272727272727271</v>
      </c>
      <c r="AN793" s="4">
        <f t="shared" si="100"/>
        <v>5.6452445698943234E-3</v>
      </c>
      <c r="AO793" s="3"/>
      <c r="AP793">
        <v>0</v>
      </c>
      <c r="AR793" t="s">
        <v>1</v>
      </c>
      <c r="AT793" s="2" t="s">
        <v>0</v>
      </c>
      <c r="AU793" s="1">
        <f t="shared" si="101"/>
        <v>5.7490268600673851</v>
      </c>
      <c r="AV793" s="1">
        <f t="shared" si="102"/>
        <v>4.2677404591879711</v>
      </c>
      <c r="AW793" s="1">
        <f t="shared" si="103"/>
        <v>2.7864540583085553</v>
      </c>
    </row>
    <row r="794" spans="1:49" x14ac:dyDescent="0.2">
      <c r="A794">
        <v>792</v>
      </c>
      <c r="B794" t="s">
        <v>1376</v>
      </c>
      <c r="C794" t="s">
        <v>1375</v>
      </c>
      <c r="F794" t="s">
        <v>1374</v>
      </c>
      <c r="G794" t="s">
        <v>9</v>
      </c>
      <c r="H794" t="s">
        <v>8</v>
      </c>
      <c r="I794" t="s">
        <v>1373</v>
      </c>
      <c r="J794" t="s">
        <v>1372</v>
      </c>
      <c r="K794" t="s">
        <v>1371</v>
      </c>
      <c r="L794" t="s">
        <v>1370</v>
      </c>
      <c r="M794" t="s">
        <v>1369</v>
      </c>
      <c r="N794">
        <v>10</v>
      </c>
      <c r="O794" t="s">
        <v>1368</v>
      </c>
      <c r="P794" t="s">
        <v>1367</v>
      </c>
      <c r="Q794" t="s">
        <v>1366</v>
      </c>
      <c r="R794" s="7">
        <v>36708</v>
      </c>
      <c r="S794" s="8">
        <f t="shared" si="96"/>
        <v>2000</v>
      </c>
      <c r="T794" s="8">
        <v>2000</v>
      </c>
      <c r="U794" s="8">
        <f t="shared" si="97"/>
        <v>22</v>
      </c>
      <c r="V794" s="7">
        <v>36708</v>
      </c>
      <c r="W794" t="s">
        <v>1365</v>
      </c>
      <c r="X794" s="2">
        <v>0.24</v>
      </c>
      <c r="Y794" s="6">
        <f t="shared" si="98"/>
        <v>6.4066629294466243E-3</v>
      </c>
      <c r="AA794">
        <v>9251030</v>
      </c>
      <c r="AB794">
        <v>25569</v>
      </c>
      <c r="AD794" t="s">
        <v>3</v>
      </c>
      <c r="AE794">
        <v>24</v>
      </c>
      <c r="AF794">
        <v>2</v>
      </c>
      <c r="AH794" t="s">
        <v>1364</v>
      </c>
      <c r="AI794" t="s">
        <v>1363</v>
      </c>
      <c r="AK794" t="s">
        <v>1362</v>
      </c>
      <c r="AL794">
        <v>5</v>
      </c>
      <c r="AM794" s="5">
        <f t="shared" si="99"/>
        <v>0.22727272727272727</v>
      </c>
      <c r="AN794" s="4">
        <f t="shared" si="100"/>
        <v>3.4422222987160508E-4</v>
      </c>
      <c r="AO794" s="3"/>
      <c r="AP794">
        <v>0</v>
      </c>
      <c r="AR794" t="s">
        <v>1</v>
      </c>
      <c r="AT794" s="2" t="s">
        <v>0</v>
      </c>
      <c r="AU794" s="1">
        <f t="shared" si="101"/>
        <v>0.45879307195741176</v>
      </c>
      <c r="AV794" s="1">
        <f t="shared" si="102"/>
        <v>0.33754425796591148</v>
      </c>
      <c r="AW794" s="1">
        <f t="shared" si="103"/>
        <v>0.21629544397441108</v>
      </c>
    </row>
    <row r="795" spans="1:49" x14ac:dyDescent="0.2">
      <c r="A795">
        <v>793</v>
      </c>
      <c r="B795" t="s">
        <v>1361</v>
      </c>
      <c r="C795" t="s">
        <v>1360</v>
      </c>
      <c r="F795" t="s">
        <v>1359</v>
      </c>
      <c r="G795" t="s">
        <v>9</v>
      </c>
      <c r="H795" t="s">
        <v>8</v>
      </c>
      <c r="I795" t="s">
        <v>809</v>
      </c>
      <c r="J795" t="s">
        <v>1358</v>
      </c>
      <c r="K795" t="s">
        <v>1357</v>
      </c>
      <c r="L795" t="s">
        <v>1356</v>
      </c>
      <c r="M795" t="s">
        <v>428</v>
      </c>
      <c r="N795">
        <v>2</v>
      </c>
      <c r="O795" t="s">
        <v>1355</v>
      </c>
      <c r="P795" t="s">
        <v>1354</v>
      </c>
      <c r="Q795" t="s">
        <v>1353</v>
      </c>
      <c r="R795" s="7">
        <v>36708</v>
      </c>
      <c r="S795" s="8">
        <f t="shared" si="96"/>
        <v>2000</v>
      </c>
      <c r="T795" s="8">
        <v>2000</v>
      </c>
      <c r="U795" s="8">
        <f t="shared" si="97"/>
        <v>22</v>
      </c>
      <c r="V795" s="7">
        <v>36708</v>
      </c>
      <c r="W795" t="s">
        <v>300</v>
      </c>
      <c r="X795" s="2">
        <v>2.141</v>
      </c>
      <c r="Y795" s="6">
        <f t="shared" si="98"/>
        <v>5.7152772216438434E-2</v>
      </c>
      <c r="AA795">
        <v>1962892</v>
      </c>
      <c r="AB795">
        <v>17360</v>
      </c>
      <c r="AD795" t="s">
        <v>3</v>
      </c>
      <c r="AE795">
        <v>38</v>
      </c>
      <c r="AF795" t="s">
        <v>1352</v>
      </c>
      <c r="AH795" t="s">
        <v>1351</v>
      </c>
      <c r="AI795" t="s">
        <v>1350</v>
      </c>
      <c r="AK795" t="s">
        <v>1349</v>
      </c>
      <c r="AL795">
        <v>52</v>
      </c>
      <c r="AM795" s="5">
        <f t="shared" si="99"/>
        <v>2.3636363636363638</v>
      </c>
      <c r="AN795" s="4">
        <f t="shared" si="100"/>
        <v>3.5799111906646935E-3</v>
      </c>
      <c r="AO795" s="3"/>
      <c r="AP795">
        <v>0</v>
      </c>
      <c r="AR795" t="s">
        <v>1</v>
      </c>
      <c r="AT795" s="2" t="s">
        <v>0</v>
      </c>
      <c r="AU795" s="1">
        <f t="shared" si="101"/>
        <v>4.1080913908706309</v>
      </c>
      <c r="AV795" s="1">
        <f t="shared" si="102"/>
        <v>3.036634170355156</v>
      </c>
      <c r="AW795" s="1">
        <f t="shared" si="103"/>
        <v>1.9651769498396816</v>
      </c>
    </row>
    <row r="796" spans="1:49" x14ac:dyDescent="0.2">
      <c r="A796">
        <v>794</v>
      </c>
      <c r="B796" t="s">
        <v>1348</v>
      </c>
      <c r="C796" t="s">
        <v>1347</v>
      </c>
      <c r="F796" t="s">
        <v>1346</v>
      </c>
      <c r="G796" t="s">
        <v>9</v>
      </c>
      <c r="H796" t="s">
        <v>8</v>
      </c>
      <c r="I796" t="s">
        <v>293</v>
      </c>
      <c r="J796" t="s">
        <v>1345</v>
      </c>
      <c r="K796" t="s">
        <v>1344</v>
      </c>
      <c r="L796" t="s">
        <v>1343</v>
      </c>
      <c r="M796" t="s">
        <v>1342</v>
      </c>
      <c r="N796">
        <v>8</v>
      </c>
      <c r="O796" t="s">
        <v>1341</v>
      </c>
      <c r="P796" t="s">
        <v>1340</v>
      </c>
      <c r="Q796" t="s">
        <v>1339</v>
      </c>
      <c r="R796" s="7">
        <v>36708</v>
      </c>
      <c r="S796" s="8">
        <f t="shared" si="96"/>
        <v>2000</v>
      </c>
      <c r="T796" s="8">
        <v>2000</v>
      </c>
      <c r="U796" s="8">
        <f t="shared" si="97"/>
        <v>22</v>
      </c>
      <c r="V796" s="7">
        <v>36708</v>
      </c>
      <c r="W796" t="s">
        <v>1327</v>
      </c>
      <c r="X796" s="2">
        <v>0.82799999999999996</v>
      </c>
      <c r="Y796" s="6">
        <f t="shared" si="98"/>
        <v>2.2102987106590855E-2</v>
      </c>
      <c r="AA796">
        <v>189383</v>
      </c>
      <c r="AB796">
        <v>26052</v>
      </c>
      <c r="AD796" t="s">
        <v>3</v>
      </c>
      <c r="AE796">
        <v>47</v>
      </c>
      <c r="AF796">
        <v>7</v>
      </c>
      <c r="AH796" t="s">
        <v>1338</v>
      </c>
      <c r="AI796" t="s">
        <v>1337</v>
      </c>
      <c r="AK796" t="s">
        <v>1336</v>
      </c>
      <c r="AL796">
        <v>18</v>
      </c>
      <c r="AM796" s="5">
        <f t="shared" si="99"/>
        <v>0.81818181818181823</v>
      </c>
      <c r="AN796" s="4">
        <f t="shared" si="100"/>
        <v>1.2392000275377785E-3</v>
      </c>
      <c r="AO796" s="3"/>
      <c r="AP796">
        <v>0</v>
      </c>
      <c r="AQ796" t="s">
        <v>332</v>
      </c>
      <c r="AR796" t="s">
        <v>1335</v>
      </c>
      <c r="AS796" t="s">
        <v>331</v>
      </c>
      <c r="AT796" s="2">
        <v>2.9169999999999998</v>
      </c>
      <c r="AU796" s="1">
        <f t="shared" si="101"/>
        <v>1.584385098287493</v>
      </c>
      <c r="AV796" s="1">
        <f t="shared" si="102"/>
        <v>1.1671093567064317</v>
      </c>
      <c r="AW796" s="1">
        <f t="shared" si="103"/>
        <v>0.74983361512537006</v>
      </c>
    </row>
    <row r="797" spans="1:49" x14ac:dyDescent="0.2">
      <c r="A797">
        <v>795</v>
      </c>
      <c r="B797" t="s">
        <v>1334</v>
      </c>
      <c r="C797" t="s">
        <v>1333</v>
      </c>
      <c r="F797" t="s">
        <v>1332</v>
      </c>
      <c r="G797" t="s">
        <v>9</v>
      </c>
      <c r="H797" t="s">
        <v>8</v>
      </c>
      <c r="I797" t="s">
        <v>1331</v>
      </c>
      <c r="J797" t="s">
        <v>1292</v>
      </c>
      <c r="K797" t="s">
        <v>1291</v>
      </c>
      <c r="L797" t="s">
        <v>1290</v>
      </c>
      <c r="M797" t="s">
        <v>642</v>
      </c>
      <c r="N797">
        <v>4</v>
      </c>
      <c r="O797" t="s">
        <v>1330</v>
      </c>
      <c r="P797" t="s">
        <v>1329</v>
      </c>
      <c r="Q797" t="s">
        <v>1328</v>
      </c>
      <c r="R797" s="7">
        <v>36708</v>
      </c>
      <c r="S797" s="8">
        <f t="shared" si="96"/>
        <v>2000</v>
      </c>
      <c r="T797" s="8">
        <v>2000</v>
      </c>
      <c r="U797" s="8">
        <f t="shared" si="97"/>
        <v>22</v>
      </c>
      <c r="V797" s="7">
        <v>36708</v>
      </c>
      <c r="W797" t="s">
        <v>1327</v>
      </c>
      <c r="X797" s="2">
        <v>0.82799999999999996</v>
      </c>
      <c r="Y797" s="6">
        <f t="shared" si="98"/>
        <v>2.2102987106590855E-2</v>
      </c>
      <c r="AA797">
        <v>189383</v>
      </c>
      <c r="AB797">
        <v>26052</v>
      </c>
      <c r="AD797" t="s">
        <v>3</v>
      </c>
      <c r="AE797">
        <v>47</v>
      </c>
      <c r="AF797">
        <v>7</v>
      </c>
      <c r="AH797" t="s">
        <v>1326</v>
      </c>
      <c r="AI797" t="s">
        <v>1325</v>
      </c>
      <c r="AK797" t="s">
        <v>1324</v>
      </c>
      <c r="AL797">
        <v>37</v>
      </c>
      <c r="AM797" s="5">
        <f t="shared" si="99"/>
        <v>1.6818181818181819</v>
      </c>
      <c r="AN797" s="4">
        <f t="shared" si="100"/>
        <v>2.547244501049878E-3</v>
      </c>
      <c r="AO797" s="3"/>
      <c r="AP797">
        <v>0</v>
      </c>
      <c r="AR797" t="s">
        <v>1</v>
      </c>
      <c r="AT797" s="2">
        <v>2.9169999999999998</v>
      </c>
      <c r="AU797" s="1">
        <f t="shared" si="101"/>
        <v>1.623626432492856</v>
      </c>
      <c r="AV797" s="1">
        <f t="shared" si="102"/>
        <v>1.2325115803820368</v>
      </c>
      <c r="AW797" s="1">
        <f t="shared" si="103"/>
        <v>0.84139672827121714</v>
      </c>
    </row>
    <row r="798" spans="1:49" x14ac:dyDescent="0.2">
      <c r="A798">
        <v>796</v>
      </c>
      <c r="B798" t="s">
        <v>1323</v>
      </c>
      <c r="C798" t="s">
        <v>1322</v>
      </c>
      <c r="F798" t="s">
        <v>1321</v>
      </c>
      <c r="G798" t="s">
        <v>9</v>
      </c>
      <c r="H798" t="s">
        <v>8</v>
      </c>
      <c r="I798" t="s">
        <v>1320</v>
      </c>
      <c r="J798" t="s">
        <v>1319</v>
      </c>
      <c r="K798" t="s">
        <v>1318</v>
      </c>
      <c r="L798" t="s">
        <v>1317</v>
      </c>
      <c r="M798" t="s">
        <v>19</v>
      </c>
      <c r="N798">
        <v>3</v>
      </c>
      <c r="O798" t="s">
        <v>1316</v>
      </c>
      <c r="P798" t="s">
        <v>1315</v>
      </c>
      <c r="Q798" t="s">
        <v>1314</v>
      </c>
      <c r="R798" s="7">
        <v>36708</v>
      </c>
      <c r="S798" s="8">
        <f t="shared" si="96"/>
        <v>2000</v>
      </c>
      <c r="T798" s="8">
        <v>2000</v>
      </c>
      <c r="U798" s="8">
        <f t="shared" si="97"/>
        <v>22</v>
      </c>
      <c r="V798" s="7">
        <v>36708</v>
      </c>
      <c r="W798" t="s">
        <v>403</v>
      </c>
      <c r="X798" s="2">
        <v>2.9860000000000002</v>
      </c>
      <c r="Y798" s="6">
        <f t="shared" si="98"/>
        <v>7.9709564613865094E-2</v>
      </c>
      <c r="AA798">
        <v>7338716</v>
      </c>
      <c r="AB798">
        <v>18902</v>
      </c>
      <c r="AD798" t="s">
        <v>3</v>
      </c>
      <c r="AE798">
        <v>18</v>
      </c>
      <c r="AF798">
        <v>7</v>
      </c>
      <c r="AH798" t="s">
        <v>1313</v>
      </c>
      <c r="AI798" t="s">
        <v>1312</v>
      </c>
      <c r="AK798" t="s">
        <v>1311</v>
      </c>
      <c r="AL798">
        <v>38</v>
      </c>
      <c r="AM798" s="5">
        <f t="shared" si="99"/>
        <v>1.7272727272727273</v>
      </c>
      <c r="AN798" s="4">
        <f t="shared" si="100"/>
        <v>2.616088947024199E-3</v>
      </c>
      <c r="AO798" s="3"/>
      <c r="AP798">
        <v>0</v>
      </c>
      <c r="AR798" t="s">
        <v>1</v>
      </c>
      <c r="AT798" s="2" t="s">
        <v>0</v>
      </c>
      <c r="AU798" s="1">
        <f t="shared" si="101"/>
        <v>5.6581521913812818</v>
      </c>
      <c r="AV798" s="1">
        <f t="shared" si="102"/>
        <v>4.116282678044465</v>
      </c>
      <c r="AW798" s="1">
        <f t="shared" si="103"/>
        <v>2.5744131647076465</v>
      </c>
    </row>
    <row r="799" spans="1:49" x14ac:dyDescent="0.2">
      <c r="A799">
        <v>797</v>
      </c>
      <c r="B799" t="s">
        <v>1310</v>
      </c>
      <c r="C799" t="s">
        <v>1309</v>
      </c>
      <c r="F799" t="s">
        <v>1308</v>
      </c>
      <c r="G799" t="s">
        <v>9</v>
      </c>
      <c r="H799" t="s">
        <v>8</v>
      </c>
      <c r="I799" t="s">
        <v>1307</v>
      </c>
      <c r="J799" t="s">
        <v>1306</v>
      </c>
      <c r="K799" t="s">
        <v>1305</v>
      </c>
      <c r="L799" t="s">
        <v>1304</v>
      </c>
      <c r="M799" t="s">
        <v>765</v>
      </c>
      <c r="N799">
        <v>3</v>
      </c>
      <c r="O799" t="s">
        <v>1303</v>
      </c>
      <c r="P799" t="s">
        <v>1302</v>
      </c>
      <c r="Q799" t="s">
        <v>1301</v>
      </c>
      <c r="R799" s="7">
        <v>36708</v>
      </c>
      <c r="S799" s="8">
        <f t="shared" si="96"/>
        <v>2000</v>
      </c>
      <c r="T799" s="8">
        <v>2000</v>
      </c>
      <c r="U799" s="8">
        <f t="shared" si="97"/>
        <v>22</v>
      </c>
      <c r="V799" s="7">
        <v>36708</v>
      </c>
      <c r="W799" t="s">
        <v>1300</v>
      </c>
      <c r="X799" s="2">
        <v>2.1589999999999998</v>
      </c>
      <c r="Y799" s="6">
        <f t="shared" si="98"/>
        <v>5.7633271936146924E-2</v>
      </c>
      <c r="AA799">
        <v>8858993</v>
      </c>
      <c r="AB799">
        <v>26055</v>
      </c>
      <c r="AD799" t="s">
        <v>3</v>
      </c>
      <c r="AE799">
        <v>15</v>
      </c>
      <c r="AF799">
        <v>4</v>
      </c>
      <c r="AH799" t="s">
        <v>1299</v>
      </c>
      <c r="AI799" t="s">
        <v>1298</v>
      </c>
      <c r="AK799" t="s">
        <v>1297</v>
      </c>
      <c r="AL799">
        <v>20</v>
      </c>
      <c r="AM799" s="5">
        <f t="shared" si="99"/>
        <v>0.90909090909090906</v>
      </c>
      <c r="AN799" s="4">
        <f t="shared" si="100"/>
        <v>1.3768889194864203E-3</v>
      </c>
      <c r="AO799" s="3"/>
      <c r="AP799">
        <v>0</v>
      </c>
      <c r="AQ799" t="s">
        <v>933</v>
      </c>
      <c r="AR799">
        <v>9040446</v>
      </c>
      <c r="AS799" t="s">
        <v>162</v>
      </c>
      <c r="AT799" s="2">
        <v>6.1529999999999996</v>
      </c>
      <c r="AU799" s="1">
        <f t="shared" si="101"/>
        <v>4.0756357031148767</v>
      </c>
      <c r="AV799" s="1">
        <f t="shared" si="102"/>
        <v>2.9505080427816672</v>
      </c>
      <c r="AW799" s="1">
        <f t="shared" si="103"/>
        <v>1.8253803824484569</v>
      </c>
    </row>
    <row r="800" spans="1:49" x14ac:dyDescent="0.2">
      <c r="A800">
        <v>798</v>
      </c>
      <c r="B800" t="s">
        <v>1296</v>
      </c>
      <c r="C800" t="s">
        <v>1295</v>
      </c>
      <c r="F800" t="s">
        <v>1294</v>
      </c>
      <c r="G800" t="s">
        <v>9</v>
      </c>
      <c r="H800" t="s">
        <v>8</v>
      </c>
      <c r="I800" t="s">
        <v>1293</v>
      </c>
      <c r="J800" t="s">
        <v>1292</v>
      </c>
      <c r="K800" t="s">
        <v>1291</v>
      </c>
      <c r="L800" t="s">
        <v>1290</v>
      </c>
      <c r="M800" t="s">
        <v>642</v>
      </c>
      <c r="N800">
        <v>3</v>
      </c>
      <c r="O800" t="s">
        <v>1289</v>
      </c>
      <c r="P800" t="s">
        <v>1288</v>
      </c>
      <c r="Q800" t="s">
        <v>1287</v>
      </c>
      <c r="R800" s="7">
        <v>36708</v>
      </c>
      <c r="S800" s="8">
        <f t="shared" si="96"/>
        <v>2000</v>
      </c>
      <c r="T800" s="8">
        <v>2000</v>
      </c>
      <c r="U800" s="8">
        <f t="shared" si="97"/>
        <v>22</v>
      </c>
      <c r="V800" s="7">
        <v>36708</v>
      </c>
      <c r="W800" t="s">
        <v>300</v>
      </c>
      <c r="X800" s="2">
        <v>2.141</v>
      </c>
      <c r="Y800" s="6">
        <f t="shared" si="98"/>
        <v>5.7152772216438434E-2</v>
      </c>
      <c r="AA800">
        <v>1962892</v>
      </c>
      <c r="AB800">
        <v>17360</v>
      </c>
      <c r="AD800" t="s">
        <v>3</v>
      </c>
      <c r="AE800">
        <v>38</v>
      </c>
      <c r="AF800" t="s">
        <v>1222</v>
      </c>
      <c r="AH800" t="s">
        <v>1286</v>
      </c>
      <c r="AI800" t="s">
        <v>1285</v>
      </c>
      <c r="AK800" t="s">
        <v>1284</v>
      </c>
      <c r="AL800">
        <v>44</v>
      </c>
      <c r="AM800" s="5">
        <f t="shared" si="99"/>
        <v>2</v>
      </c>
      <c r="AN800" s="4">
        <f t="shared" si="100"/>
        <v>3.0291556228701248E-3</v>
      </c>
      <c r="AO800" s="3"/>
      <c r="AP800">
        <v>0</v>
      </c>
      <c r="AQ800" t="s">
        <v>1283</v>
      </c>
      <c r="AR800">
        <v>70266</v>
      </c>
      <c r="AS800" t="s">
        <v>184</v>
      </c>
      <c r="AT800" s="2" t="s">
        <v>0</v>
      </c>
      <c r="AU800" s="1">
        <f t="shared" si="101"/>
        <v>4.0915687238367937</v>
      </c>
      <c r="AV800" s="1">
        <f t="shared" si="102"/>
        <v>3.0090963919654277</v>
      </c>
      <c r="AW800" s="1">
        <f t="shared" si="103"/>
        <v>1.9266240600940616</v>
      </c>
    </row>
    <row r="801" spans="1:49" x14ac:dyDescent="0.2">
      <c r="A801">
        <v>799</v>
      </c>
      <c r="B801" t="s">
        <v>1282</v>
      </c>
      <c r="C801" t="s">
        <v>1281</v>
      </c>
      <c r="D801" t="s">
        <v>1280</v>
      </c>
      <c r="F801" t="s">
        <v>1279</v>
      </c>
      <c r="G801" t="s">
        <v>9</v>
      </c>
      <c r="H801" t="s">
        <v>8</v>
      </c>
      <c r="I801" t="s">
        <v>337</v>
      </c>
      <c r="J801" t="s">
        <v>1278</v>
      </c>
      <c r="K801" t="s">
        <v>1277</v>
      </c>
      <c r="L801" t="s">
        <v>1276</v>
      </c>
      <c r="M801" t="s">
        <v>747</v>
      </c>
      <c r="N801">
        <v>2</v>
      </c>
      <c r="O801" t="s">
        <v>1275</v>
      </c>
      <c r="P801" t="s">
        <v>1274</v>
      </c>
      <c r="Q801" t="s">
        <v>1273</v>
      </c>
      <c r="R801" s="7">
        <v>36708</v>
      </c>
      <c r="S801" s="8">
        <f t="shared" si="96"/>
        <v>2000</v>
      </c>
      <c r="T801" s="8">
        <v>2000</v>
      </c>
      <c r="U801" s="8">
        <f t="shared" si="97"/>
        <v>22</v>
      </c>
      <c r="V801" s="7">
        <v>36708</v>
      </c>
      <c r="W801" t="s">
        <v>300</v>
      </c>
      <c r="X801" s="2">
        <v>2.141</v>
      </c>
      <c r="Y801" s="6">
        <f t="shared" si="98"/>
        <v>5.7152772216438434E-2</v>
      </c>
      <c r="AA801">
        <v>1962892</v>
      </c>
      <c r="AB801">
        <v>17360</v>
      </c>
      <c r="AD801" t="s">
        <v>3</v>
      </c>
      <c r="AE801">
        <v>38</v>
      </c>
      <c r="AF801" t="s">
        <v>1222</v>
      </c>
      <c r="AH801" t="s">
        <v>1272</v>
      </c>
      <c r="AI801" t="s">
        <v>1271</v>
      </c>
      <c r="AJ801" t="s">
        <v>1270</v>
      </c>
      <c r="AK801" t="s">
        <v>1269</v>
      </c>
      <c r="AL801">
        <v>19</v>
      </c>
      <c r="AM801" s="5">
        <f t="shared" si="99"/>
        <v>0.86363636363636365</v>
      </c>
      <c r="AN801" s="4">
        <f t="shared" si="100"/>
        <v>1.3080444735120995E-3</v>
      </c>
      <c r="AO801" s="3"/>
      <c r="AP801">
        <v>0</v>
      </c>
      <c r="AQ801" t="s">
        <v>210</v>
      </c>
      <c r="AR801" t="s">
        <v>1</v>
      </c>
      <c r="AS801" t="s">
        <v>209</v>
      </c>
      <c r="AT801" s="2" t="s">
        <v>0</v>
      </c>
      <c r="AU801" s="1">
        <f t="shared" si="101"/>
        <v>4.039935389356053</v>
      </c>
      <c r="AV801" s="1">
        <f t="shared" si="102"/>
        <v>2.9230408344975265</v>
      </c>
      <c r="AW801" s="1">
        <f t="shared" si="103"/>
        <v>1.806146279639</v>
      </c>
    </row>
    <row r="802" spans="1:49" x14ac:dyDescent="0.2">
      <c r="A802">
        <v>800</v>
      </c>
      <c r="B802" t="s">
        <v>1268</v>
      </c>
      <c r="C802" t="s">
        <v>1267</v>
      </c>
      <c r="F802" t="s">
        <v>1266</v>
      </c>
      <c r="G802" t="s">
        <v>9</v>
      </c>
      <c r="H802" t="s">
        <v>8</v>
      </c>
      <c r="I802" t="s">
        <v>935</v>
      </c>
      <c r="J802" t="s">
        <v>1265</v>
      </c>
      <c r="K802" t="s">
        <v>1264</v>
      </c>
      <c r="L802" t="s">
        <v>498</v>
      </c>
      <c r="M802" t="s">
        <v>497</v>
      </c>
      <c r="N802">
        <v>2</v>
      </c>
      <c r="O802" t="s">
        <v>1263</v>
      </c>
      <c r="P802" t="s">
        <v>1262</v>
      </c>
      <c r="Q802" t="s">
        <v>1261</v>
      </c>
      <c r="R802" s="7">
        <v>36708</v>
      </c>
      <c r="S802" s="8">
        <f t="shared" si="96"/>
        <v>2000</v>
      </c>
      <c r="T802" s="8">
        <v>2000</v>
      </c>
      <c r="U802" s="8">
        <f t="shared" si="97"/>
        <v>22</v>
      </c>
      <c r="V802" s="7">
        <v>36708</v>
      </c>
      <c r="W802" t="s">
        <v>1260</v>
      </c>
      <c r="X802" s="2">
        <v>1.57</v>
      </c>
      <c r="Y802" s="6">
        <f t="shared" si="98"/>
        <v>4.1910253330130008E-2</v>
      </c>
      <c r="AA802">
        <v>8858977</v>
      </c>
      <c r="AB802">
        <v>17370</v>
      </c>
      <c r="AD802" t="s">
        <v>3</v>
      </c>
      <c r="AE802">
        <v>15</v>
      </c>
      <c r="AF802">
        <v>3</v>
      </c>
      <c r="AH802" t="s">
        <v>1259</v>
      </c>
      <c r="AI802" t="s">
        <v>1258</v>
      </c>
      <c r="AK802" t="s">
        <v>1257</v>
      </c>
      <c r="AL802">
        <v>91</v>
      </c>
      <c r="AM802" s="5">
        <f t="shared" si="99"/>
        <v>4.1363636363636367</v>
      </c>
      <c r="AN802" s="4">
        <f t="shared" si="100"/>
        <v>6.2648445836632136E-3</v>
      </c>
      <c r="AO802" s="3"/>
      <c r="AP802">
        <v>0</v>
      </c>
      <c r="AR802" t="s">
        <v>1</v>
      </c>
      <c r="AT802" s="2">
        <v>4.1310000000000002</v>
      </c>
      <c r="AU802" s="1">
        <f t="shared" si="101"/>
        <v>3.1216630706189972</v>
      </c>
      <c r="AV802" s="1">
        <f t="shared" si="102"/>
        <v>2.4087548956896612</v>
      </c>
      <c r="AW802" s="1">
        <f t="shared" si="103"/>
        <v>1.6958467207603252</v>
      </c>
    </row>
    <row r="803" spans="1:49" x14ac:dyDescent="0.2">
      <c r="A803">
        <v>801</v>
      </c>
      <c r="B803" t="s">
        <v>1256</v>
      </c>
      <c r="C803" t="s">
        <v>1255</v>
      </c>
      <c r="F803" t="s">
        <v>1254</v>
      </c>
      <c r="G803" t="s">
        <v>9</v>
      </c>
      <c r="H803" t="s">
        <v>8</v>
      </c>
      <c r="I803" t="s">
        <v>1253</v>
      </c>
      <c r="J803">
        <v>60026134</v>
      </c>
      <c r="K803" t="s">
        <v>593</v>
      </c>
      <c r="L803" t="s">
        <v>592</v>
      </c>
      <c r="M803" t="s">
        <v>109</v>
      </c>
      <c r="N803">
        <v>3</v>
      </c>
      <c r="O803" t="s">
        <v>1252</v>
      </c>
      <c r="P803" t="s">
        <v>1251</v>
      </c>
      <c r="Q803" t="s">
        <v>717</v>
      </c>
      <c r="R803" s="7">
        <v>36708</v>
      </c>
      <c r="S803" s="8">
        <f t="shared" si="96"/>
        <v>2000</v>
      </c>
      <c r="T803" s="8">
        <v>2000</v>
      </c>
      <c r="U803" s="8">
        <f t="shared" si="97"/>
        <v>22</v>
      </c>
      <c r="V803" s="7">
        <v>36708</v>
      </c>
      <c r="W803" t="s">
        <v>1223</v>
      </c>
      <c r="X803" s="2">
        <v>0.62</v>
      </c>
      <c r="Y803" s="6">
        <f t="shared" si="98"/>
        <v>1.6550545901070447E-2</v>
      </c>
      <c r="AA803">
        <v>189464</v>
      </c>
      <c r="AB803">
        <v>17364</v>
      </c>
      <c r="AD803" t="s">
        <v>3</v>
      </c>
      <c r="AE803">
        <v>36</v>
      </c>
      <c r="AF803" t="s">
        <v>1222</v>
      </c>
      <c r="AH803" t="s">
        <v>1250</v>
      </c>
      <c r="AI803" t="s">
        <v>1249</v>
      </c>
      <c r="AK803" t="s">
        <v>1248</v>
      </c>
      <c r="AL803">
        <v>6</v>
      </c>
      <c r="AM803" s="5">
        <f t="shared" si="99"/>
        <v>0.27272727272727271</v>
      </c>
      <c r="AN803" s="4">
        <f t="shared" si="100"/>
        <v>4.1306667584592612E-4</v>
      </c>
      <c r="AO803" s="3"/>
      <c r="AP803">
        <v>0</v>
      </c>
      <c r="AR803" t="s">
        <v>1</v>
      </c>
      <c r="AT803" s="2">
        <v>1.7</v>
      </c>
      <c r="AU803" s="1">
        <f t="shared" si="101"/>
        <v>1.170930213350309</v>
      </c>
      <c r="AV803" s="1">
        <f t="shared" si="102"/>
        <v>0.84818062884581857</v>
      </c>
      <c r="AW803" s="1">
        <f t="shared" si="103"/>
        <v>0.52543104434132826</v>
      </c>
    </row>
    <row r="804" spans="1:49" x14ac:dyDescent="0.2">
      <c r="A804">
        <v>802</v>
      </c>
      <c r="B804" t="s">
        <v>1247</v>
      </c>
      <c r="C804" t="s">
        <v>1246</v>
      </c>
      <c r="F804" t="s">
        <v>1245</v>
      </c>
      <c r="G804" t="s">
        <v>9</v>
      </c>
      <c r="H804" t="s">
        <v>8</v>
      </c>
      <c r="I804" t="s">
        <v>1244</v>
      </c>
      <c r="J804" t="s">
        <v>1243</v>
      </c>
      <c r="K804" t="s">
        <v>1242</v>
      </c>
      <c r="L804" t="s">
        <v>1241</v>
      </c>
      <c r="M804" t="s">
        <v>286</v>
      </c>
      <c r="N804">
        <v>3</v>
      </c>
      <c r="O804" t="s">
        <v>1240</v>
      </c>
      <c r="P804" t="s">
        <v>1239</v>
      </c>
      <c r="Q804" t="s">
        <v>1238</v>
      </c>
      <c r="R804" s="7">
        <v>36708</v>
      </c>
      <c r="S804" s="8">
        <f t="shared" si="96"/>
        <v>2000</v>
      </c>
      <c r="T804" s="8">
        <v>2000</v>
      </c>
      <c r="U804" s="8">
        <f t="shared" si="97"/>
        <v>22</v>
      </c>
      <c r="V804" s="7">
        <v>36708</v>
      </c>
      <c r="W804" t="s">
        <v>1223</v>
      </c>
      <c r="X804" s="2">
        <v>0.62</v>
      </c>
      <c r="Y804" s="6">
        <f t="shared" si="98"/>
        <v>1.6550545901070447E-2</v>
      </c>
      <c r="AA804">
        <v>189464</v>
      </c>
      <c r="AB804">
        <v>17364</v>
      </c>
      <c r="AD804" t="s">
        <v>3</v>
      </c>
      <c r="AE804">
        <v>36</v>
      </c>
      <c r="AF804" t="s">
        <v>1222</v>
      </c>
      <c r="AH804" t="s">
        <v>1237</v>
      </c>
      <c r="AI804" t="s">
        <v>1236</v>
      </c>
      <c r="AK804" t="s">
        <v>1235</v>
      </c>
      <c r="AL804">
        <v>1</v>
      </c>
      <c r="AM804" s="5">
        <f t="shared" si="99"/>
        <v>4.5454545454545456E-2</v>
      </c>
      <c r="AN804" s="4">
        <f t="shared" si="100"/>
        <v>6.8844445974321024E-5</v>
      </c>
      <c r="AO804" s="3"/>
      <c r="AP804">
        <v>0</v>
      </c>
      <c r="AR804" t="s">
        <v>1</v>
      </c>
      <c r="AT804" s="2">
        <v>1.7</v>
      </c>
      <c r="AU804" s="1">
        <f t="shared" si="101"/>
        <v>1.1606035464541609</v>
      </c>
      <c r="AV804" s="1">
        <f t="shared" si="102"/>
        <v>0.83096951735223845</v>
      </c>
      <c r="AW804" s="1">
        <f t="shared" si="103"/>
        <v>0.50133548825031582</v>
      </c>
    </row>
    <row r="805" spans="1:49" x14ac:dyDescent="0.2">
      <c r="A805">
        <v>803</v>
      </c>
      <c r="B805" t="s">
        <v>1234</v>
      </c>
      <c r="C805" t="s">
        <v>1233</v>
      </c>
      <c r="F805" t="s">
        <v>1232</v>
      </c>
      <c r="G805" t="s">
        <v>9</v>
      </c>
      <c r="H805" t="s">
        <v>8</v>
      </c>
      <c r="I805" t="s">
        <v>1231</v>
      </c>
      <c r="J805" t="s">
        <v>1230</v>
      </c>
      <c r="K805" t="s">
        <v>1229</v>
      </c>
      <c r="L805" t="s">
        <v>1228</v>
      </c>
      <c r="M805" t="s">
        <v>1227</v>
      </c>
      <c r="N805">
        <v>4</v>
      </c>
      <c r="O805" t="s">
        <v>1226</v>
      </c>
      <c r="P805" t="s">
        <v>1225</v>
      </c>
      <c r="Q805" t="s">
        <v>1224</v>
      </c>
      <c r="R805" s="7">
        <v>36708</v>
      </c>
      <c r="S805" s="8">
        <f t="shared" si="96"/>
        <v>2000</v>
      </c>
      <c r="T805" s="8">
        <v>2000</v>
      </c>
      <c r="U805" s="8">
        <f t="shared" si="97"/>
        <v>22</v>
      </c>
      <c r="V805" s="7">
        <v>36708</v>
      </c>
      <c r="W805" t="s">
        <v>1223</v>
      </c>
      <c r="X805" s="2">
        <v>0.62</v>
      </c>
      <c r="Y805" s="6">
        <f t="shared" si="98"/>
        <v>1.6550545901070447E-2</v>
      </c>
      <c r="AA805">
        <v>189464</v>
      </c>
      <c r="AB805">
        <v>17364</v>
      </c>
      <c r="AD805" t="s">
        <v>3</v>
      </c>
      <c r="AE805">
        <v>36</v>
      </c>
      <c r="AF805" t="s">
        <v>1222</v>
      </c>
      <c r="AH805" t="s">
        <v>1221</v>
      </c>
      <c r="AI805" t="s">
        <v>1220</v>
      </c>
      <c r="AK805" t="s">
        <v>1219</v>
      </c>
      <c r="AL805">
        <v>5</v>
      </c>
      <c r="AM805" s="5">
        <f t="shared" si="99"/>
        <v>0.22727272727272727</v>
      </c>
      <c r="AN805" s="4">
        <f t="shared" si="100"/>
        <v>3.4422222987160508E-4</v>
      </c>
      <c r="AO805" s="3"/>
      <c r="AP805">
        <v>0</v>
      </c>
      <c r="AR805" t="s">
        <v>1</v>
      </c>
      <c r="AT805" s="2">
        <v>1.7</v>
      </c>
      <c r="AU805" s="1">
        <f t="shared" si="101"/>
        <v>1.1688648799710792</v>
      </c>
      <c r="AV805" s="1">
        <f t="shared" si="102"/>
        <v>0.84473840654710264</v>
      </c>
      <c r="AW805" s="1">
        <f t="shared" si="103"/>
        <v>0.5206119331231257</v>
      </c>
    </row>
    <row r="806" spans="1:49" x14ac:dyDescent="0.2">
      <c r="A806">
        <v>804</v>
      </c>
      <c r="B806" t="s">
        <v>1218</v>
      </c>
      <c r="C806" t="s">
        <v>1217</v>
      </c>
      <c r="F806" t="s">
        <v>1216</v>
      </c>
      <c r="G806" t="s">
        <v>9</v>
      </c>
      <c r="H806" t="s">
        <v>8</v>
      </c>
      <c r="I806" t="s">
        <v>1215</v>
      </c>
      <c r="J806" t="s">
        <v>376</v>
      </c>
      <c r="K806" t="s">
        <v>375</v>
      </c>
      <c r="L806" t="s">
        <v>374</v>
      </c>
      <c r="M806" t="s">
        <v>373</v>
      </c>
      <c r="N806">
        <v>2</v>
      </c>
      <c r="O806" t="s">
        <v>1214</v>
      </c>
      <c r="P806" t="s">
        <v>1213</v>
      </c>
      <c r="Q806" t="s">
        <v>372</v>
      </c>
      <c r="R806" s="7">
        <v>36708</v>
      </c>
      <c r="S806" s="8">
        <f t="shared" si="96"/>
        <v>2000</v>
      </c>
      <c r="T806" s="8">
        <v>2000</v>
      </c>
      <c r="U806" s="8">
        <f t="shared" si="97"/>
        <v>22</v>
      </c>
      <c r="V806" s="7">
        <v>36708</v>
      </c>
      <c r="W806" t="s">
        <v>291</v>
      </c>
      <c r="X806" s="2">
        <v>1.6519999999999999</v>
      </c>
      <c r="Y806" s="6">
        <f t="shared" si="98"/>
        <v>4.409919649769093E-2</v>
      </c>
      <c r="AA806" t="s">
        <v>290</v>
      </c>
      <c r="AB806">
        <v>17337</v>
      </c>
      <c r="AD806" t="s">
        <v>3</v>
      </c>
      <c r="AE806">
        <v>48</v>
      </c>
      <c r="AF806">
        <v>7</v>
      </c>
      <c r="AH806" t="s">
        <v>1212</v>
      </c>
      <c r="AI806" t="s">
        <v>1211</v>
      </c>
      <c r="AK806" t="s">
        <v>1210</v>
      </c>
      <c r="AL806">
        <v>34</v>
      </c>
      <c r="AM806" s="5">
        <f t="shared" si="99"/>
        <v>1.5454545454545454</v>
      </c>
      <c r="AN806" s="4">
        <f t="shared" si="100"/>
        <v>2.3407111631269148E-3</v>
      </c>
      <c r="AO806" s="3"/>
      <c r="AP806">
        <v>0</v>
      </c>
      <c r="AQ806" t="s">
        <v>332</v>
      </c>
      <c r="AR806" t="s">
        <v>1209</v>
      </c>
      <c r="AS806" t="s">
        <v>331</v>
      </c>
      <c r="AT806" s="2" t="s">
        <v>0</v>
      </c>
      <c r="AU806" s="1">
        <f t="shared" si="101"/>
        <v>3.1571650897321724</v>
      </c>
      <c r="AV806" s="1">
        <f t="shared" si="102"/>
        <v>2.3219953830408926</v>
      </c>
      <c r="AW806" s="1">
        <f t="shared" si="103"/>
        <v>1.4868256763496119</v>
      </c>
    </row>
    <row r="807" spans="1:49" x14ac:dyDescent="0.2">
      <c r="A807">
        <v>805</v>
      </c>
      <c r="B807" t="s">
        <v>1208</v>
      </c>
      <c r="C807" t="s">
        <v>1207</v>
      </c>
      <c r="F807" t="s">
        <v>1206</v>
      </c>
      <c r="G807" t="s">
        <v>9</v>
      </c>
      <c r="H807" t="s">
        <v>8</v>
      </c>
      <c r="I807" t="s">
        <v>205</v>
      </c>
      <c r="J807" t="s">
        <v>1205</v>
      </c>
      <c r="K807" t="s">
        <v>1204</v>
      </c>
      <c r="L807" t="s">
        <v>1203</v>
      </c>
      <c r="M807" t="s">
        <v>1202</v>
      </c>
      <c r="N807">
        <v>2</v>
      </c>
      <c r="O807" t="s">
        <v>204</v>
      </c>
      <c r="P807" t="s">
        <v>203</v>
      </c>
      <c r="Q807" t="s">
        <v>1201</v>
      </c>
      <c r="R807" s="7">
        <v>36708</v>
      </c>
      <c r="S807" s="8">
        <f t="shared" si="96"/>
        <v>2000</v>
      </c>
      <c r="T807" s="8">
        <v>2000</v>
      </c>
      <c r="U807" s="8">
        <f t="shared" si="97"/>
        <v>22</v>
      </c>
      <c r="V807" s="7">
        <v>36708</v>
      </c>
      <c r="W807" t="s">
        <v>291</v>
      </c>
      <c r="X807" s="2">
        <v>1.6519999999999999</v>
      </c>
      <c r="Y807" s="6">
        <f t="shared" si="98"/>
        <v>4.409919649769093E-2</v>
      </c>
      <c r="AA807" t="s">
        <v>290</v>
      </c>
      <c r="AB807">
        <v>17337</v>
      </c>
      <c r="AD807" t="s">
        <v>3</v>
      </c>
      <c r="AE807">
        <v>48</v>
      </c>
      <c r="AF807">
        <v>7</v>
      </c>
      <c r="AH807" t="s">
        <v>1200</v>
      </c>
      <c r="AI807" t="s">
        <v>1199</v>
      </c>
      <c r="AK807" t="s">
        <v>1198</v>
      </c>
      <c r="AL807">
        <v>40</v>
      </c>
      <c r="AM807" s="5">
        <f t="shared" si="99"/>
        <v>1.8181818181818181</v>
      </c>
      <c r="AN807" s="4">
        <f t="shared" si="100"/>
        <v>2.7537778389728406E-3</v>
      </c>
      <c r="AO807" s="3"/>
      <c r="AP807">
        <v>0</v>
      </c>
      <c r="AR807" t="s">
        <v>1</v>
      </c>
      <c r="AT807" s="2" t="s">
        <v>0</v>
      </c>
      <c r="AU807" s="1">
        <f t="shared" si="101"/>
        <v>3.16955709000755</v>
      </c>
      <c r="AV807" s="1">
        <f t="shared" si="102"/>
        <v>2.3426487168331884</v>
      </c>
      <c r="AW807" s="1">
        <f t="shared" si="103"/>
        <v>1.5157403436588268</v>
      </c>
    </row>
    <row r="808" spans="1:49" x14ac:dyDescent="0.2">
      <c r="A808">
        <v>806</v>
      </c>
      <c r="B808" t="s">
        <v>1197</v>
      </c>
      <c r="C808" t="s">
        <v>1196</v>
      </c>
      <c r="F808" t="s">
        <v>1195</v>
      </c>
      <c r="G808" t="s">
        <v>9</v>
      </c>
      <c r="H808" t="s">
        <v>8</v>
      </c>
      <c r="I808" t="s">
        <v>1194</v>
      </c>
      <c r="J808" t="s">
        <v>1193</v>
      </c>
      <c r="K808" t="s">
        <v>1192</v>
      </c>
      <c r="L808" t="s">
        <v>1191</v>
      </c>
      <c r="M808" t="s">
        <v>1190</v>
      </c>
      <c r="N808">
        <v>2</v>
      </c>
      <c r="O808" t="s">
        <v>1189</v>
      </c>
      <c r="P808" t="s">
        <v>1188</v>
      </c>
      <c r="Q808" t="s">
        <v>1187</v>
      </c>
      <c r="R808" s="7">
        <v>36708</v>
      </c>
      <c r="S808" s="8">
        <f t="shared" si="96"/>
        <v>2000</v>
      </c>
      <c r="T808" s="8">
        <v>2000</v>
      </c>
      <c r="U808" s="8">
        <f t="shared" si="97"/>
        <v>22</v>
      </c>
      <c r="V808" s="7">
        <v>36708</v>
      </c>
      <c r="W808" t="s">
        <v>1186</v>
      </c>
      <c r="X808" s="2">
        <v>0.28799999999999998</v>
      </c>
      <c r="Y808" s="6">
        <f t="shared" si="98"/>
        <v>7.6879955153359488E-3</v>
      </c>
      <c r="AA808">
        <v>10689605</v>
      </c>
      <c r="AB808">
        <v>19515</v>
      </c>
      <c r="AD808" t="s">
        <v>3</v>
      </c>
      <c r="AE808">
        <v>7</v>
      </c>
      <c r="AF808">
        <v>3</v>
      </c>
      <c r="AH808" t="s">
        <v>1185</v>
      </c>
      <c r="AI808" t="s">
        <v>1184</v>
      </c>
      <c r="AK808" t="s">
        <v>1183</v>
      </c>
      <c r="AL808">
        <v>2</v>
      </c>
      <c r="AM808" s="5">
        <f t="shared" si="99"/>
        <v>9.0909090909090912E-2</v>
      </c>
      <c r="AN808" s="4">
        <f t="shared" si="100"/>
        <v>1.3768889194864205E-4</v>
      </c>
      <c r="AO808" s="3"/>
      <c r="AP808">
        <v>0</v>
      </c>
      <c r="AR808" t="s">
        <v>1</v>
      </c>
      <c r="AT808" s="2" t="s">
        <v>0</v>
      </c>
      <c r="AU808" s="1">
        <f t="shared" si="101"/>
        <v>0.54229035283197558</v>
      </c>
      <c r="AV808" s="1">
        <f t="shared" si="102"/>
        <v>0.39128422036422955</v>
      </c>
      <c r="AW808" s="1">
        <f t="shared" si="103"/>
        <v>0.24027808789648339</v>
      </c>
    </row>
    <row r="809" spans="1:49" x14ac:dyDescent="0.2">
      <c r="A809">
        <v>807</v>
      </c>
      <c r="B809" t="s">
        <v>1182</v>
      </c>
      <c r="C809" t="s">
        <v>1181</v>
      </c>
      <c r="F809" t="s">
        <v>1180</v>
      </c>
      <c r="G809" t="s">
        <v>9</v>
      </c>
      <c r="H809" t="s">
        <v>8</v>
      </c>
      <c r="I809" t="s">
        <v>771</v>
      </c>
      <c r="J809" t="s">
        <v>1179</v>
      </c>
      <c r="K809" t="s">
        <v>1178</v>
      </c>
      <c r="L809" t="s">
        <v>1177</v>
      </c>
      <c r="M809" t="s">
        <v>1176</v>
      </c>
      <c r="N809">
        <v>3</v>
      </c>
      <c r="O809" t="s">
        <v>1175</v>
      </c>
      <c r="P809" t="s">
        <v>1174</v>
      </c>
      <c r="Q809" t="s">
        <v>1173</v>
      </c>
      <c r="R809" s="7">
        <v>36708</v>
      </c>
      <c r="S809" s="8">
        <f t="shared" si="96"/>
        <v>2000</v>
      </c>
      <c r="T809" s="8">
        <v>2000</v>
      </c>
      <c r="U809" s="8">
        <f t="shared" si="97"/>
        <v>22</v>
      </c>
      <c r="V809" s="7">
        <v>36708</v>
      </c>
      <c r="W809" t="s">
        <v>291</v>
      </c>
      <c r="X809" s="2">
        <v>1.6519999999999999</v>
      </c>
      <c r="Y809" s="6">
        <f t="shared" si="98"/>
        <v>4.409919649769093E-2</v>
      </c>
      <c r="AA809" t="s">
        <v>290</v>
      </c>
      <c r="AB809">
        <v>17337</v>
      </c>
      <c r="AD809" t="s">
        <v>3</v>
      </c>
      <c r="AE809">
        <v>48</v>
      </c>
      <c r="AF809">
        <v>7</v>
      </c>
      <c r="AH809" t="s">
        <v>1172</v>
      </c>
      <c r="AI809" t="s">
        <v>1171</v>
      </c>
      <c r="AK809" t="s">
        <v>1170</v>
      </c>
      <c r="AL809">
        <v>69</v>
      </c>
      <c r="AM809" s="5">
        <f t="shared" si="99"/>
        <v>3.1363636363636362</v>
      </c>
      <c r="AN809" s="4">
        <f t="shared" si="100"/>
        <v>4.7502667722281507E-3</v>
      </c>
      <c r="AO809" s="3"/>
      <c r="AP809">
        <v>0</v>
      </c>
      <c r="AR809" t="s">
        <v>1</v>
      </c>
      <c r="AT809" s="2" t="s">
        <v>0</v>
      </c>
      <c r="AU809" s="1">
        <f t="shared" si="101"/>
        <v>3.2294517580052098</v>
      </c>
      <c r="AV809" s="1">
        <f t="shared" si="102"/>
        <v>2.4424731634959542</v>
      </c>
      <c r="AW809" s="1">
        <f t="shared" si="103"/>
        <v>1.6554945689866984</v>
      </c>
    </row>
    <row r="810" spans="1:49" x14ac:dyDescent="0.2">
      <c r="A810">
        <v>808</v>
      </c>
      <c r="B810" t="s">
        <v>1169</v>
      </c>
      <c r="C810" t="s">
        <v>1168</v>
      </c>
      <c r="F810" t="s">
        <v>1167</v>
      </c>
      <c r="G810" t="s">
        <v>9</v>
      </c>
      <c r="H810" t="s">
        <v>8</v>
      </c>
      <c r="I810" t="s">
        <v>1166</v>
      </c>
      <c r="J810" t="s">
        <v>1165</v>
      </c>
      <c r="K810" t="s">
        <v>1164</v>
      </c>
      <c r="L810" t="s">
        <v>1163</v>
      </c>
      <c r="M810" t="s">
        <v>183</v>
      </c>
      <c r="N810">
        <v>3</v>
      </c>
      <c r="O810" t="s">
        <v>1162</v>
      </c>
      <c r="P810" t="s">
        <v>1161</v>
      </c>
      <c r="Q810" t="s">
        <v>1160</v>
      </c>
      <c r="R810" s="7">
        <v>36708</v>
      </c>
      <c r="S810" s="8">
        <f t="shared" si="96"/>
        <v>2000</v>
      </c>
      <c r="T810" s="8">
        <v>2000</v>
      </c>
      <c r="U810" s="8">
        <f t="shared" si="97"/>
        <v>22</v>
      </c>
      <c r="V810" s="7">
        <v>36708</v>
      </c>
      <c r="W810" t="s">
        <v>291</v>
      </c>
      <c r="X810" s="2">
        <v>1.6519999999999999</v>
      </c>
      <c r="Y810" s="6">
        <f t="shared" si="98"/>
        <v>4.409919649769093E-2</v>
      </c>
      <c r="AA810" t="s">
        <v>290</v>
      </c>
      <c r="AB810">
        <v>17337</v>
      </c>
      <c r="AD810" t="s">
        <v>3</v>
      </c>
      <c r="AE810">
        <v>48</v>
      </c>
      <c r="AF810">
        <v>7</v>
      </c>
      <c r="AH810" t="s">
        <v>1159</v>
      </c>
      <c r="AI810" t="s">
        <v>1158</v>
      </c>
      <c r="AK810" t="s">
        <v>1157</v>
      </c>
      <c r="AL810">
        <v>5</v>
      </c>
      <c r="AM810" s="5">
        <f t="shared" si="99"/>
        <v>0.22727272727272727</v>
      </c>
      <c r="AN810" s="4">
        <f t="shared" si="100"/>
        <v>3.4422222987160508E-4</v>
      </c>
      <c r="AO810" s="3"/>
      <c r="AP810">
        <v>0</v>
      </c>
      <c r="AR810" t="s">
        <v>1</v>
      </c>
      <c r="AT810" s="2" t="s">
        <v>0</v>
      </c>
      <c r="AU810" s="1">
        <f t="shared" si="101"/>
        <v>3.0972704217345131</v>
      </c>
      <c r="AV810" s="1">
        <f t="shared" si="102"/>
        <v>2.2221709363781268</v>
      </c>
      <c r="AW810" s="1">
        <f t="shared" si="103"/>
        <v>1.3470714510217401</v>
      </c>
    </row>
    <row r="811" spans="1:49" x14ac:dyDescent="0.2">
      <c r="A811">
        <v>809</v>
      </c>
      <c r="B811" t="s">
        <v>1156</v>
      </c>
      <c r="C811" t="s">
        <v>1155</v>
      </c>
      <c r="F811" t="s">
        <v>1154</v>
      </c>
      <c r="G811" t="s">
        <v>9</v>
      </c>
      <c r="H811" t="s">
        <v>8</v>
      </c>
      <c r="I811" t="s">
        <v>1153</v>
      </c>
      <c r="J811" t="s">
        <v>1152</v>
      </c>
      <c r="K811" t="s">
        <v>1151</v>
      </c>
      <c r="L811" t="s">
        <v>1150</v>
      </c>
      <c r="M811" t="s">
        <v>19</v>
      </c>
      <c r="N811">
        <v>2</v>
      </c>
      <c r="O811" t="s">
        <v>1149</v>
      </c>
      <c r="P811" t="s">
        <v>1148</v>
      </c>
      <c r="Q811" t="s">
        <v>1147</v>
      </c>
      <c r="R811" s="7">
        <v>36708</v>
      </c>
      <c r="S811" s="8">
        <f t="shared" si="96"/>
        <v>2000</v>
      </c>
      <c r="T811" s="8">
        <v>2000</v>
      </c>
      <c r="U811" s="8">
        <f t="shared" si="97"/>
        <v>22</v>
      </c>
      <c r="V811" s="7">
        <v>36708</v>
      </c>
      <c r="W811" t="s">
        <v>291</v>
      </c>
      <c r="X811" s="2">
        <v>1.6519999999999999</v>
      </c>
      <c r="Y811" s="6">
        <f t="shared" si="98"/>
        <v>4.409919649769093E-2</v>
      </c>
      <c r="AA811" t="s">
        <v>290</v>
      </c>
      <c r="AB811">
        <v>17337</v>
      </c>
      <c r="AD811" t="s">
        <v>3</v>
      </c>
      <c r="AE811">
        <v>48</v>
      </c>
      <c r="AF811">
        <v>7</v>
      </c>
      <c r="AH811" t="s">
        <v>1146</v>
      </c>
      <c r="AI811" t="s">
        <v>1145</v>
      </c>
      <c r="AK811" t="s">
        <v>1144</v>
      </c>
      <c r="AL811">
        <v>31</v>
      </c>
      <c r="AM811" s="5">
        <f t="shared" si="99"/>
        <v>1.4090909090909092</v>
      </c>
      <c r="AN811" s="4">
        <f t="shared" si="100"/>
        <v>2.1341778252039517E-3</v>
      </c>
      <c r="AO811" s="3"/>
      <c r="AP811">
        <v>0</v>
      </c>
      <c r="AR811" t="s">
        <v>1</v>
      </c>
      <c r="AT811" s="2" t="s">
        <v>0</v>
      </c>
      <c r="AU811" s="1">
        <f t="shared" si="101"/>
        <v>3.1509690895944837</v>
      </c>
      <c r="AV811" s="1">
        <f t="shared" si="102"/>
        <v>2.3116687161447445</v>
      </c>
      <c r="AW811" s="1">
        <f t="shared" si="103"/>
        <v>1.4723683426950045</v>
      </c>
    </row>
    <row r="812" spans="1:49" x14ac:dyDescent="0.2">
      <c r="A812">
        <v>810</v>
      </c>
      <c r="B812" t="s">
        <v>1143</v>
      </c>
      <c r="C812" t="s">
        <v>1142</v>
      </c>
      <c r="F812" t="s">
        <v>1141</v>
      </c>
      <c r="G812" t="s">
        <v>9</v>
      </c>
      <c r="H812" t="s">
        <v>8</v>
      </c>
      <c r="I812" t="s">
        <v>1140</v>
      </c>
      <c r="J812" t="s">
        <v>1139</v>
      </c>
      <c r="K812" t="s">
        <v>1138</v>
      </c>
      <c r="L812" t="s">
        <v>1137</v>
      </c>
      <c r="M812" t="s">
        <v>19</v>
      </c>
      <c r="N812">
        <v>2</v>
      </c>
      <c r="O812" t="s">
        <v>1136</v>
      </c>
      <c r="P812" t="s">
        <v>1135</v>
      </c>
      <c r="Q812" t="s">
        <v>1134</v>
      </c>
      <c r="R812" s="7">
        <v>36708</v>
      </c>
      <c r="S812" s="8">
        <f t="shared" si="96"/>
        <v>2000</v>
      </c>
      <c r="T812" s="8">
        <v>2000</v>
      </c>
      <c r="U812" s="8">
        <f t="shared" si="97"/>
        <v>22</v>
      </c>
      <c r="V812" s="7">
        <v>36708</v>
      </c>
      <c r="W812" t="s">
        <v>291</v>
      </c>
      <c r="X812" s="2">
        <v>1.6519999999999999</v>
      </c>
      <c r="Y812" s="6">
        <f t="shared" si="98"/>
        <v>4.409919649769093E-2</v>
      </c>
      <c r="AA812" t="s">
        <v>290</v>
      </c>
      <c r="AB812">
        <v>17337</v>
      </c>
      <c r="AD812" t="s">
        <v>3</v>
      </c>
      <c r="AE812">
        <v>48</v>
      </c>
      <c r="AF812">
        <v>7</v>
      </c>
      <c r="AH812" t="s">
        <v>1133</v>
      </c>
      <c r="AI812" t="s">
        <v>1132</v>
      </c>
      <c r="AK812" t="s">
        <v>1131</v>
      </c>
      <c r="AL812">
        <v>9</v>
      </c>
      <c r="AM812" s="5">
        <f t="shared" si="99"/>
        <v>0.40909090909090912</v>
      </c>
      <c r="AN812" s="4">
        <f t="shared" si="100"/>
        <v>6.1960001376888923E-4</v>
      </c>
      <c r="AO812" s="3"/>
      <c r="AP812">
        <v>0</v>
      </c>
      <c r="AR812" t="s">
        <v>1</v>
      </c>
      <c r="AT812" s="2" t="s">
        <v>0</v>
      </c>
      <c r="AU812" s="1">
        <f t="shared" si="101"/>
        <v>3.1055317552514317</v>
      </c>
      <c r="AV812" s="1">
        <f t="shared" si="102"/>
        <v>2.235939825572991</v>
      </c>
      <c r="AW812" s="1">
        <f t="shared" si="103"/>
        <v>1.3663478958945501</v>
      </c>
    </row>
    <row r="813" spans="1:49" x14ac:dyDescent="0.2">
      <c r="A813">
        <v>811</v>
      </c>
      <c r="B813" t="s">
        <v>1130</v>
      </c>
      <c r="C813" t="s">
        <v>1129</v>
      </c>
      <c r="F813" t="s">
        <v>1128</v>
      </c>
      <c r="G813" t="s">
        <v>9</v>
      </c>
      <c r="H813" t="s">
        <v>8</v>
      </c>
      <c r="I813" t="s">
        <v>1127</v>
      </c>
      <c r="J813" t="s">
        <v>1126</v>
      </c>
      <c r="K813" t="s">
        <v>1125</v>
      </c>
      <c r="L813" t="s">
        <v>1124</v>
      </c>
      <c r="M813" t="s">
        <v>578</v>
      </c>
      <c r="N813">
        <v>3</v>
      </c>
      <c r="O813" t="s">
        <v>1123</v>
      </c>
      <c r="P813" t="s">
        <v>1122</v>
      </c>
      <c r="Q813" t="s">
        <v>1121</v>
      </c>
      <c r="R813" s="7">
        <v>36708</v>
      </c>
      <c r="S813" s="8">
        <f t="shared" si="96"/>
        <v>2000</v>
      </c>
      <c r="T813" s="8">
        <v>2000</v>
      </c>
      <c r="U813" s="8">
        <f t="shared" si="97"/>
        <v>22</v>
      </c>
      <c r="V813" s="7">
        <v>36708</v>
      </c>
      <c r="W813" t="s">
        <v>291</v>
      </c>
      <c r="X813" s="2">
        <v>1.6519999999999999</v>
      </c>
      <c r="Y813" s="6">
        <f t="shared" si="98"/>
        <v>4.409919649769093E-2</v>
      </c>
      <c r="AA813" t="s">
        <v>290</v>
      </c>
      <c r="AB813">
        <v>17337</v>
      </c>
      <c r="AD813" t="s">
        <v>3</v>
      </c>
      <c r="AE813">
        <v>48</v>
      </c>
      <c r="AF813">
        <v>7</v>
      </c>
      <c r="AH813" t="s">
        <v>1120</v>
      </c>
      <c r="AI813" t="s">
        <v>1119</v>
      </c>
      <c r="AK813" t="s">
        <v>1118</v>
      </c>
      <c r="AL813">
        <v>35</v>
      </c>
      <c r="AM813" s="5">
        <f t="shared" si="99"/>
        <v>1.5909090909090908</v>
      </c>
      <c r="AN813" s="4">
        <f t="shared" si="100"/>
        <v>2.4095556091012355E-3</v>
      </c>
      <c r="AO813" s="3"/>
      <c r="AP813">
        <v>0</v>
      </c>
      <c r="AR813" t="s">
        <v>1</v>
      </c>
      <c r="AT813" s="2" t="s">
        <v>0</v>
      </c>
      <c r="AU813" s="1">
        <f t="shared" si="101"/>
        <v>3.1592304231114019</v>
      </c>
      <c r="AV813" s="1">
        <f t="shared" si="102"/>
        <v>2.3254376053396082</v>
      </c>
      <c r="AW813" s="1">
        <f t="shared" si="103"/>
        <v>1.4916447875678143</v>
      </c>
    </row>
    <row r="814" spans="1:49" x14ac:dyDescent="0.2">
      <c r="A814">
        <v>812</v>
      </c>
      <c r="B814" t="s">
        <v>1117</v>
      </c>
      <c r="C814" t="s">
        <v>1116</v>
      </c>
      <c r="F814" t="s">
        <v>1115</v>
      </c>
      <c r="G814" t="s">
        <v>9</v>
      </c>
      <c r="H814" t="s">
        <v>8</v>
      </c>
      <c r="I814" t="s">
        <v>672</v>
      </c>
      <c r="J814" t="s">
        <v>1114</v>
      </c>
      <c r="K814" t="s">
        <v>1113</v>
      </c>
      <c r="L814" t="s">
        <v>1112</v>
      </c>
      <c r="M814" t="s">
        <v>1111</v>
      </c>
      <c r="N814">
        <v>2</v>
      </c>
      <c r="O814" t="s">
        <v>1110</v>
      </c>
      <c r="P814" t="s">
        <v>1109</v>
      </c>
      <c r="Q814" t="s">
        <v>1108</v>
      </c>
      <c r="R814" s="7">
        <v>36708</v>
      </c>
      <c r="S814" s="8">
        <f t="shared" si="96"/>
        <v>2000</v>
      </c>
      <c r="T814" s="8">
        <v>2000</v>
      </c>
      <c r="U814" s="8">
        <f t="shared" si="97"/>
        <v>22</v>
      </c>
      <c r="V814" s="7">
        <v>36708</v>
      </c>
      <c r="W814" t="s">
        <v>291</v>
      </c>
      <c r="X814" s="2">
        <v>1.6519999999999999</v>
      </c>
      <c r="Y814" s="6">
        <f t="shared" si="98"/>
        <v>4.409919649769093E-2</v>
      </c>
      <c r="AA814" t="s">
        <v>290</v>
      </c>
      <c r="AB814">
        <v>17337</v>
      </c>
      <c r="AD814" t="s">
        <v>3</v>
      </c>
      <c r="AE814">
        <v>48</v>
      </c>
      <c r="AF814">
        <v>7</v>
      </c>
      <c r="AH814" t="s">
        <v>1107</v>
      </c>
      <c r="AI814" t="s">
        <v>1106</v>
      </c>
      <c r="AK814" t="s">
        <v>1105</v>
      </c>
      <c r="AL814">
        <v>12</v>
      </c>
      <c r="AM814" s="5">
        <f t="shared" si="99"/>
        <v>0.54545454545454541</v>
      </c>
      <c r="AN814" s="4">
        <f t="shared" si="100"/>
        <v>8.2613335169185224E-4</v>
      </c>
      <c r="AO814" s="3"/>
      <c r="AP814">
        <v>0</v>
      </c>
      <c r="AR814" t="s">
        <v>1104</v>
      </c>
      <c r="AS814" t="s">
        <v>1103</v>
      </c>
      <c r="AT814" s="2" t="s">
        <v>0</v>
      </c>
      <c r="AU814" s="1">
        <f t="shared" si="101"/>
        <v>3.1117277553891207</v>
      </c>
      <c r="AV814" s="1">
        <f t="shared" si="102"/>
        <v>2.2462664924691391</v>
      </c>
      <c r="AW814" s="1">
        <f t="shared" si="103"/>
        <v>1.3808052295491575</v>
      </c>
    </row>
    <row r="815" spans="1:49" x14ac:dyDescent="0.2">
      <c r="A815">
        <v>813</v>
      </c>
      <c r="B815" t="s">
        <v>1102</v>
      </c>
      <c r="C815" t="s">
        <v>1101</v>
      </c>
      <c r="F815" t="s">
        <v>1100</v>
      </c>
      <c r="G815" t="s">
        <v>9</v>
      </c>
      <c r="H815" t="s">
        <v>8</v>
      </c>
      <c r="I815" t="s">
        <v>1099</v>
      </c>
      <c r="J815">
        <v>60024185</v>
      </c>
      <c r="K815" t="s">
        <v>1098</v>
      </c>
      <c r="L815" t="s">
        <v>69</v>
      </c>
      <c r="M815" t="s">
        <v>5</v>
      </c>
      <c r="N815">
        <v>1</v>
      </c>
      <c r="O815" t="s">
        <v>1097</v>
      </c>
      <c r="P815">
        <v>57198283736</v>
      </c>
      <c r="Q815">
        <v>60024185</v>
      </c>
      <c r="R815" s="7">
        <v>36708</v>
      </c>
      <c r="S815" s="8">
        <f t="shared" si="96"/>
        <v>2000</v>
      </c>
      <c r="T815" s="8">
        <v>2000</v>
      </c>
      <c r="U815" s="8">
        <f t="shared" si="97"/>
        <v>22</v>
      </c>
      <c r="V815" s="7">
        <v>36708</v>
      </c>
      <c r="W815" t="s">
        <v>291</v>
      </c>
      <c r="X815" s="2">
        <v>1.6519999999999999</v>
      </c>
      <c r="Y815" s="6">
        <f t="shared" si="98"/>
        <v>4.409919649769093E-2</v>
      </c>
      <c r="AA815" t="s">
        <v>290</v>
      </c>
      <c r="AB815">
        <v>17337</v>
      </c>
      <c r="AD815" t="s">
        <v>3</v>
      </c>
      <c r="AE815">
        <v>48</v>
      </c>
      <c r="AF815">
        <v>7</v>
      </c>
      <c r="AH815" t="s">
        <v>1096</v>
      </c>
      <c r="AI815" t="s">
        <v>1095</v>
      </c>
      <c r="AK815" t="s">
        <v>1094</v>
      </c>
      <c r="AL815">
        <v>24</v>
      </c>
      <c r="AM815" s="5">
        <f t="shared" si="99"/>
        <v>1.0909090909090908</v>
      </c>
      <c r="AN815" s="4">
        <f t="shared" si="100"/>
        <v>1.6522667033837045E-3</v>
      </c>
      <c r="AO815" s="3"/>
      <c r="AP815">
        <v>0</v>
      </c>
      <c r="AR815" t="s">
        <v>1</v>
      </c>
      <c r="AT815" s="2" t="s">
        <v>0</v>
      </c>
      <c r="AU815" s="1">
        <f t="shared" si="101"/>
        <v>3.1365117559398761</v>
      </c>
      <c r="AV815" s="1">
        <f t="shared" si="102"/>
        <v>2.2875731600537317</v>
      </c>
      <c r="AW815" s="1">
        <f t="shared" si="103"/>
        <v>1.4386345641675871</v>
      </c>
    </row>
    <row r="816" spans="1:49" x14ac:dyDescent="0.2">
      <c r="A816">
        <v>814</v>
      </c>
      <c r="B816" t="s">
        <v>1093</v>
      </c>
      <c r="C816" t="s">
        <v>1092</v>
      </c>
      <c r="F816" t="s">
        <v>1091</v>
      </c>
      <c r="G816" t="s">
        <v>9</v>
      </c>
      <c r="H816" t="s">
        <v>8</v>
      </c>
      <c r="I816" t="s">
        <v>1090</v>
      </c>
      <c r="J816">
        <v>60032144</v>
      </c>
      <c r="K816" t="s">
        <v>195</v>
      </c>
      <c r="L816" t="s">
        <v>194</v>
      </c>
      <c r="M816" t="s">
        <v>10</v>
      </c>
      <c r="N816">
        <v>3</v>
      </c>
      <c r="O816" t="s">
        <v>1089</v>
      </c>
      <c r="P816" t="s">
        <v>1088</v>
      </c>
      <c r="Q816" t="s">
        <v>1087</v>
      </c>
      <c r="R816" s="7">
        <v>36708</v>
      </c>
      <c r="S816" s="8">
        <f t="shared" si="96"/>
        <v>2000</v>
      </c>
      <c r="T816" s="8">
        <v>2000</v>
      </c>
      <c r="U816" s="8">
        <f t="shared" si="97"/>
        <v>22</v>
      </c>
      <c r="V816" s="7">
        <v>36708</v>
      </c>
      <c r="W816" t="s">
        <v>291</v>
      </c>
      <c r="X816" s="2">
        <v>1.6519999999999999</v>
      </c>
      <c r="Y816" s="6">
        <f t="shared" si="98"/>
        <v>4.409919649769093E-2</v>
      </c>
      <c r="AA816" t="s">
        <v>290</v>
      </c>
      <c r="AB816">
        <v>17337</v>
      </c>
      <c r="AD816" t="s">
        <v>3</v>
      </c>
      <c r="AE816">
        <v>48</v>
      </c>
      <c r="AF816">
        <v>7</v>
      </c>
      <c r="AH816" t="s">
        <v>1086</v>
      </c>
      <c r="AI816" t="s">
        <v>1085</v>
      </c>
      <c r="AK816" t="s">
        <v>1084</v>
      </c>
      <c r="AL816">
        <v>8</v>
      </c>
      <c r="AM816" s="5">
        <f t="shared" si="99"/>
        <v>0.36363636363636365</v>
      </c>
      <c r="AN816" s="4">
        <f t="shared" si="100"/>
        <v>5.5075556779456819E-4</v>
      </c>
      <c r="AO816" s="3"/>
      <c r="AP816">
        <v>0</v>
      </c>
      <c r="AR816" t="s">
        <v>1</v>
      </c>
      <c r="AT816" s="2" t="s">
        <v>0</v>
      </c>
      <c r="AU816" s="1">
        <f t="shared" si="101"/>
        <v>3.1034664218722021</v>
      </c>
      <c r="AV816" s="1">
        <f t="shared" si="102"/>
        <v>2.2324976032742749</v>
      </c>
      <c r="AW816" s="1">
        <f t="shared" si="103"/>
        <v>1.3615287846763475</v>
      </c>
    </row>
    <row r="817" spans="1:49" x14ac:dyDescent="0.2">
      <c r="A817">
        <v>815</v>
      </c>
      <c r="B817" t="s">
        <v>1083</v>
      </c>
      <c r="C817" t="s">
        <v>1082</v>
      </c>
      <c r="F817" t="s">
        <v>1081</v>
      </c>
      <c r="G817" t="s">
        <v>9</v>
      </c>
      <c r="H817" t="s">
        <v>8</v>
      </c>
      <c r="I817" t="s">
        <v>1080</v>
      </c>
      <c r="J817" t="s">
        <v>1079</v>
      </c>
      <c r="K817" t="s">
        <v>1078</v>
      </c>
      <c r="L817" t="s">
        <v>1077</v>
      </c>
      <c r="M817" t="s">
        <v>1076</v>
      </c>
      <c r="N817">
        <v>2</v>
      </c>
      <c r="O817" t="s">
        <v>1075</v>
      </c>
      <c r="P817" t="s">
        <v>1074</v>
      </c>
      <c r="Q817" t="s">
        <v>1073</v>
      </c>
      <c r="R817" s="7">
        <v>36708</v>
      </c>
      <c r="S817" s="8">
        <f t="shared" si="96"/>
        <v>2000</v>
      </c>
      <c r="T817" s="8">
        <v>2000</v>
      </c>
      <c r="U817" s="8">
        <f t="shared" si="97"/>
        <v>22</v>
      </c>
      <c r="V817" s="7">
        <v>36708</v>
      </c>
      <c r="W817" t="s">
        <v>291</v>
      </c>
      <c r="X817" s="2">
        <v>1.6519999999999999</v>
      </c>
      <c r="Y817" s="6">
        <f t="shared" si="98"/>
        <v>4.409919649769093E-2</v>
      </c>
      <c r="AA817" t="s">
        <v>290</v>
      </c>
      <c r="AB817">
        <v>17337</v>
      </c>
      <c r="AD817" t="s">
        <v>3</v>
      </c>
      <c r="AE817">
        <v>48</v>
      </c>
      <c r="AF817">
        <v>7</v>
      </c>
      <c r="AH817" t="s">
        <v>1072</v>
      </c>
      <c r="AI817" t="s">
        <v>1071</v>
      </c>
      <c r="AK817" t="s">
        <v>1070</v>
      </c>
      <c r="AL817">
        <v>240</v>
      </c>
      <c r="AM817" s="5">
        <f t="shared" si="99"/>
        <v>10.909090909090908</v>
      </c>
      <c r="AN817" s="4">
        <f t="shared" si="100"/>
        <v>1.6522667033837046E-2</v>
      </c>
      <c r="AO817" s="3"/>
      <c r="AP817">
        <v>0</v>
      </c>
      <c r="AR817" t="s">
        <v>1</v>
      </c>
      <c r="AT817" s="2" t="s">
        <v>0</v>
      </c>
      <c r="AU817" s="1">
        <f t="shared" si="101"/>
        <v>3.5826237658534765</v>
      </c>
      <c r="AV817" s="1">
        <f t="shared" si="102"/>
        <v>3.0310931765763987</v>
      </c>
      <c r="AW817" s="1">
        <f t="shared" si="103"/>
        <v>2.4795625872993208</v>
      </c>
    </row>
    <row r="818" spans="1:49" x14ac:dyDescent="0.2">
      <c r="A818">
        <v>816</v>
      </c>
      <c r="B818" t="s">
        <v>1069</v>
      </c>
      <c r="C818" t="s">
        <v>1068</v>
      </c>
      <c r="F818" t="s">
        <v>1067</v>
      </c>
      <c r="G818" t="s">
        <v>9</v>
      </c>
      <c r="H818" t="s">
        <v>8</v>
      </c>
      <c r="I818" t="s">
        <v>1066</v>
      </c>
      <c r="J818" t="s">
        <v>1065</v>
      </c>
      <c r="K818" t="s">
        <v>1064</v>
      </c>
      <c r="L818" t="s">
        <v>1063</v>
      </c>
      <c r="M818" t="s">
        <v>1062</v>
      </c>
      <c r="N818">
        <v>1</v>
      </c>
      <c r="O818" t="s">
        <v>1061</v>
      </c>
      <c r="P818">
        <v>7201481830</v>
      </c>
      <c r="Q818" t="s">
        <v>1060</v>
      </c>
      <c r="R818" s="7">
        <v>36708</v>
      </c>
      <c r="S818" s="8">
        <f t="shared" si="96"/>
        <v>2000</v>
      </c>
      <c r="T818" s="8">
        <v>2000</v>
      </c>
      <c r="U818" s="8">
        <f t="shared" si="97"/>
        <v>22</v>
      </c>
      <c r="V818" s="7">
        <v>36708</v>
      </c>
      <c r="W818" t="s">
        <v>291</v>
      </c>
      <c r="X818" s="2">
        <v>1.6519999999999999</v>
      </c>
      <c r="Y818" s="6">
        <f t="shared" si="98"/>
        <v>4.409919649769093E-2</v>
      </c>
      <c r="AA818" t="s">
        <v>290</v>
      </c>
      <c r="AB818">
        <v>17337</v>
      </c>
      <c r="AD818" t="s">
        <v>3</v>
      </c>
      <c r="AE818">
        <v>48</v>
      </c>
      <c r="AF818">
        <v>7</v>
      </c>
      <c r="AH818" t="s">
        <v>1059</v>
      </c>
      <c r="AI818" t="s">
        <v>1058</v>
      </c>
      <c r="AK818" t="s">
        <v>1057</v>
      </c>
      <c r="AL818">
        <v>14</v>
      </c>
      <c r="AM818" s="5">
        <f t="shared" si="99"/>
        <v>0.63636363636363635</v>
      </c>
      <c r="AN818" s="4">
        <f t="shared" si="100"/>
        <v>9.6382224364049431E-4</v>
      </c>
      <c r="AO818" s="3"/>
      <c r="AP818">
        <v>0</v>
      </c>
      <c r="AR818" t="s">
        <v>1</v>
      </c>
      <c r="AT818" s="2" t="s">
        <v>0</v>
      </c>
      <c r="AU818" s="1">
        <f t="shared" si="101"/>
        <v>3.1158584221475798</v>
      </c>
      <c r="AV818" s="1">
        <f t="shared" si="102"/>
        <v>2.2531509370665712</v>
      </c>
      <c r="AW818" s="1">
        <f t="shared" si="103"/>
        <v>1.3904434519855624</v>
      </c>
    </row>
    <row r="819" spans="1:49" x14ac:dyDescent="0.2">
      <c r="A819">
        <v>817</v>
      </c>
      <c r="B819" t="s">
        <v>1056</v>
      </c>
      <c r="C819" t="s">
        <v>1055</v>
      </c>
      <c r="F819" t="s">
        <v>1054</v>
      </c>
      <c r="G819" t="s">
        <v>9</v>
      </c>
      <c r="H819" t="s">
        <v>8</v>
      </c>
      <c r="I819" t="s">
        <v>1053</v>
      </c>
      <c r="J819" t="s">
        <v>1052</v>
      </c>
      <c r="K819" t="s">
        <v>1051</v>
      </c>
      <c r="L819" t="s">
        <v>1050</v>
      </c>
      <c r="M819" t="s">
        <v>19</v>
      </c>
      <c r="N819">
        <v>3</v>
      </c>
      <c r="O819" t="s">
        <v>1049</v>
      </c>
      <c r="P819" t="s">
        <v>1048</v>
      </c>
      <c r="Q819" t="s">
        <v>1047</v>
      </c>
      <c r="R819" s="7">
        <v>36708</v>
      </c>
      <c r="S819" s="8">
        <f t="shared" si="96"/>
        <v>2000</v>
      </c>
      <c r="T819" s="8">
        <v>2000</v>
      </c>
      <c r="U819" s="8">
        <f t="shared" si="97"/>
        <v>22</v>
      </c>
      <c r="V819" s="7">
        <v>36708</v>
      </c>
      <c r="W819" t="s">
        <v>291</v>
      </c>
      <c r="X819" s="2">
        <v>1.6519999999999999</v>
      </c>
      <c r="Y819" s="6">
        <f t="shared" si="98"/>
        <v>4.409919649769093E-2</v>
      </c>
      <c r="AA819" t="s">
        <v>290</v>
      </c>
      <c r="AB819">
        <v>17337</v>
      </c>
      <c r="AD819" t="s">
        <v>3</v>
      </c>
      <c r="AE819">
        <v>48</v>
      </c>
      <c r="AF819">
        <v>7</v>
      </c>
      <c r="AH819" t="s">
        <v>1046</v>
      </c>
      <c r="AI819" t="s">
        <v>1045</v>
      </c>
      <c r="AK819" t="s">
        <v>1044</v>
      </c>
      <c r="AL819">
        <v>66</v>
      </c>
      <c r="AM819" s="5">
        <f t="shared" si="99"/>
        <v>3</v>
      </c>
      <c r="AN819" s="4">
        <f t="shared" si="100"/>
        <v>4.5437334343051876E-3</v>
      </c>
      <c r="AO819" s="3"/>
      <c r="AP819">
        <v>0</v>
      </c>
      <c r="AR819" t="s">
        <v>1043</v>
      </c>
      <c r="AT819" s="2" t="s">
        <v>0</v>
      </c>
      <c r="AU819" s="1">
        <f t="shared" si="101"/>
        <v>3.2232557578675207</v>
      </c>
      <c r="AV819" s="1">
        <f t="shared" si="102"/>
        <v>2.4321464965998061</v>
      </c>
      <c r="AW819" s="1">
        <f t="shared" si="103"/>
        <v>1.641037235332091</v>
      </c>
    </row>
    <row r="820" spans="1:49" x14ac:dyDescent="0.2">
      <c r="A820">
        <v>818</v>
      </c>
      <c r="B820" t="s">
        <v>1042</v>
      </c>
      <c r="C820" t="s">
        <v>1041</v>
      </c>
      <c r="F820" t="s">
        <v>1040</v>
      </c>
      <c r="G820" t="s">
        <v>9</v>
      </c>
      <c r="H820" t="s">
        <v>8</v>
      </c>
      <c r="I820" t="s">
        <v>1039</v>
      </c>
      <c r="J820" t="s">
        <v>1038</v>
      </c>
      <c r="K820" t="s">
        <v>1037</v>
      </c>
      <c r="L820" t="s">
        <v>1036</v>
      </c>
      <c r="M820" t="s">
        <v>815</v>
      </c>
      <c r="N820">
        <v>4</v>
      </c>
      <c r="O820" t="s">
        <v>1035</v>
      </c>
      <c r="P820" t="s">
        <v>1034</v>
      </c>
      <c r="Q820" t="s">
        <v>1033</v>
      </c>
      <c r="R820" s="7">
        <v>36708</v>
      </c>
      <c r="S820" s="8">
        <f t="shared" si="96"/>
        <v>2000</v>
      </c>
      <c r="T820" s="8">
        <v>2000</v>
      </c>
      <c r="U820" s="8">
        <f t="shared" si="97"/>
        <v>22</v>
      </c>
      <c r="V820" s="7">
        <v>36708</v>
      </c>
      <c r="W820" t="s">
        <v>291</v>
      </c>
      <c r="X820" s="2">
        <v>1.6519999999999999</v>
      </c>
      <c r="Y820" s="6">
        <f t="shared" si="98"/>
        <v>4.409919649769093E-2</v>
      </c>
      <c r="AA820" t="s">
        <v>290</v>
      </c>
      <c r="AB820">
        <v>17337</v>
      </c>
      <c r="AD820" t="s">
        <v>3</v>
      </c>
      <c r="AE820">
        <v>48</v>
      </c>
      <c r="AF820">
        <v>7</v>
      </c>
      <c r="AH820" t="s">
        <v>1032</v>
      </c>
      <c r="AI820" t="s">
        <v>1031</v>
      </c>
      <c r="AK820" t="s">
        <v>1030</v>
      </c>
      <c r="AL820">
        <v>45</v>
      </c>
      <c r="AM820" s="5">
        <f t="shared" si="99"/>
        <v>2.0454545454545454</v>
      </c>
      <c r="AN820" s="4">
        <f t="shared" si="100"/>
        <v>3.0980000688444458E-3</v>
      </c>
      <c r="AO820" s="3"/>
      <c r="AP820">
        <v>0</v>
      </c>
      <c r="AQ820" t="s">
        <v>207</v>
      </c>
      <c r="AR820" t="s">
        <v>1029</v>
      </c>
      <c r="AS820" t="s">
        <v>206</v>
      </c>
      <c r="AT820" s="2" t="s">
        <v>0</v>
      </c>
      <c r="AU820" s="1">
        <f t="shared" si="101"/>
        <v>3.1798837569036986</v>
      </c>
      <c r="AV820" s="1">
        <f t="shared" si="102"/>
        <v>2.3598598283267691</v>
      </c>
      <c r="AW820" s="1">
        <f t="shared" si="103"/>
        <v>1.5398358997498391</v>
      </c>
    </row>
    <row r="821" spans="1:49" x14ac:dyDescent="0.2">
      <c r="A821">
        <v>819</v>
      </c>
      <c r="B821" t="s">
        <v>1028</v>
      </c>
      <c r="C821" t="s">
        <v>1027</v>
      </c>
      <c r="F821" t="s">
        <v>1026</v>
      </c>
      <c r="G821" t="s">
        <v>9</v>
      </c>
      <c r="H821" t="s">
        <v>8</v>
      </c>
      <c r="I821" t="s">
        <v>1025</v>
      </c>
      <c r="J821">
        <v>60000221</v>
      </c>
      <c r="K821" t="s">
        <v>831</v>
      </c>
      <c r="L821" t="s">
        <v>61</v>
      </c>
      <c r="M821" t="s">
        <v>5</v>
      </c>
      <c r="N821">
        <v>2</v>
      </c>
      <c r="O821" t="s">
        <v>1024</v>
      </c>
      <c r="P821" t="s">
        <v>1023</v>
      </c>
      <c r="Q821" t="s">
        <v>830</v>
      </c>
      <c r="R821" s="7">
        <v>36708</v>
      </c>
      <c r="S821" s="8">
        <f t="shared" si="96"/>
        <v>2000</v>
      </c>
      <c r="T821" s="8">
        <v>2000</v>
      </c>
      <c r="U821" s="8">
        <f t="shared" si="97"/>
        <v>22</v>
      </c>
      <c r="V821" s="7">
        <v>36708</v>
      </c>
      <c r="W821" t="s">
        <v>555</v>
      </c>
      <c r="X821" s="2">
        <v>2.3759999999999999</v>
      </c>
      <c r="Y821" s="6">
        <f t="shared" si="98"/>
        <v>6.3425963001521576E-2</v>
      </c>
      <c r="AA821" t="s">
        <v>554</v>
      </c>
      <c r="AB821">
        <v>26765</v>
      </c>
      <c r="AC821">
        <v>15384357</v>
      </c>
      <c r="AD821" t="s">
        <v>3</v>
      </c>
      <c r="AE821">
        <v>537</v>
      </c>
      <c r="AF821" t="s">
        <v>527</v>
      </c>
      <c r="AH821" t="s">
        <v>1022</v>
      </c>
      <c r="AI821" t="s">
        <v>1021</v>
      </c>
      <c r="AJ821" t="s">
        <v>1020</v>
      </c>
      <c r="AK821" t="s">
        <v>1019</v>
      </c>
      <c r="AL821">
        <v>57</v>
      </c>
      <c r="AM821" s="5">
        <f t="shared" si="99"/>
        <v>2.5909090909090908</v>
      </c>
      <c r="AN821" s="4">
        <f t="shared" si="100"/>
        <v>3.9241334205362983E-3</v>
      </c>
      <c r="AO821" s="3"/>
      <c r="AP821">
        <v>0</v>
      </c>
      <c r="AR821" t="s">
        <v>1</v>
      </c>
      <c r="AT821" s="2">
        <v>5.8739999999999997</v>
      </c>
      <c r="AU821" s="1">
        <f t="shared" si="101"/>
        <v>4.5575414127225988</v>
      </c>
      <c r="AV821" s="1">
        <f t="shared" si="102"/>
        <v>3.3675048211028935</v>
      </c>
      <c r="AW821" s="1">
        <f t="shared" si="103"/>
        <v>2.1774682294831882</v>
      </c>
    </row>
    <row r="822" spans="1:49" x14ac:dyDescent="0.2">
      <c r="A822">
        <v>820</v>
      </c>
      <c r="B822" t="s">
        <v>1018</v>
      </c>
      <c r="F822" t="s">
        <v>1017</v>
      </c>
      <c r="G822" t="s">
        <v>9</v>
      </c>
      <c r="H822" t="s">
        <v>8</v>
      </c>
      <c r="I822" t="s">
        <v>1016</v>
      </c>
      <c r="J822" t="s">
        <v>1015</v>
      </c>
      <c r="K822" t="s">
        <v>1014</v>
      </c>
      <c r="L822" t="s">
        <v>1013</v>
      </c>
      <c r="M822" t="s">
        <v>1012</v>
      </c>
      <c r="N822">
        <v>2</v>
      </c>
      <c r="O822" t="s">
        <v>1011</v>
      </c>
      <c r="P822" t="s">
        <v>1010</v>
      </c>
      <c r="Q822" t="s">
        <v>1009</v>
      </c>
      <c r="R822" s="7">
        <v>36708</v>
      </c>
      <c r="S822" s="8">
        <f t="shared" si="96"/>
        <v>2000</v>
      </c>
      <c r="T822" s="8">
        <v>2000</v>
      </c>
      <c r="U822" s="8">
        <f t="shared" si="97"/>
        <v>22</v>
      </c>
      <c r="V822" s="7">
        <v>36708</v>
      </c>
      <c r="W822" t="s">
        <v>1008</v>
      </c>
      <c r="X822" s="2">
        <v>0.64200000000000002</v>
      </c>
      <c r="Y822" s="6">
        <f t="shared" si="98"/>
        <v>1.713782333626972E-2</v>
      </c>
      <c r="AA822">
        <v>10215506</v>
      </c>
      <c r="AB822">
        <v>24565</v>
      </c>
      <c r="AC822" t="s">
        <v>1007</v>
      </c>
      <c r="AD822" t="s">
        <v>3</v>
      </c>
      <c r="AE822">
        <v>39</v>
      </c>
      <c r="AF822">
        <v>3</v>
      </c>
      <c r="AH822" t="s">
        <v>1006</v>
      </c>
      <c r="AI822" t="s">
        <v>1005</v>
      </c>
      <c r="AJ822" t="s">
        <v>1004</v>
      </c>
      <c r="AK822" t="s">
        <v>1003</v>
      </c>
      <c r="AL822">
        <v>37</v>
      </c>
      <c r="AM822" s="5">
        <f t="shared" si="99"/>
        <v>1.6818181818181819</v>
      </c>
      <c r="AN822" s="4">
        <f t="shared" si="100"/>
        <v>2.547244501049878E-3</v>
      </c>
      <c r="AO822" s="3"/>
      <c r="AP822">
        <v>0</v>
      </c>
      <c r="AR822" t="s">
        <v>1</v>
      </c>
      <c r="AT822" s="2">
        <v>2.0579999999999998</v>
      </c>
      <c r="AU822" s="1">
        <f t="shared" si="101"/>
        <v>1.2760649685703767</v>
      </c>
      <c r="AV822" s="1">
        <f t="shared" si="102"/>
        <v>0.98425339186597993</v>
      </c>
      <c r="AW822" s="1">
        <f t="shared" si="103"/>
        <v>0.6924418151615831</v>
      </c>
    </row>
    <row r="823" spans="1:49" x14ac:dyDescent="0.2">
      <c r="A823">
        <v>821</v>
      </c>
      <c r="B823" t="s">
        <v>1002</v>
      </c>
      <c r="C823" t="s">
        <v>1001</v>
      </c>
      <c r="F823" t="s">
        <v>1000</v>
      </c>
      <c r="G823" t="s">
        <v>9</v>
      </c>
      <c r="H823" t="s">
        <v>8</v>
      </c>
      <c r="I823" t="s">
        <v>999</v>
      </c>
      <c r="J823">
        <v>60012464</v>
      </c>
      <c r="K823" t="s">
        <v>998</v>
      </c>
      <c r="L823" t="s">
        <v>997</v>
      </c>
      <c r="M823" t="s">
        <v>996</v>
      </c>
      <c r="N823">
        <v>2</v>
      </c>
      <c r="O823" t="s">
        <v>995</v>
      </c>
      <c r="P823" t="s">
        <v>994</v>
      </c>
      <c r="Q823" t="s">
        <v>993</v>
      </c>
      <c r="R823" s="7">
        <v>36708</v>
      </c>
      <c r="S823" s="8">
        <f t="shared" si="96"/>
        <v>2000</v>
      </c>
      <c r="T823" s="8">
        <v>2000</v>
      </c>
      <c r="U823" s="8">
        <f t="shared" si="97"/>
        <v>22</v>
      </c>
      <c r="V823" s="7">
        <v>36708</v>
      </c>
      <c r="W823" t="s">
        <v>992</v>
      </c>
      <c r="X823" s="2">
        <v>0.52500000000000002</v>
      </c>
      <c r="Y823" s="6">
        <f t="shared" si="98"/>
        <v>1.4014575158164492E-2</v>
      </c>
      <c r="AA823">
        <v>9593330</v>
      </c>
      <c r="AB823">
        <v>21552</v>
      </c>
      <c r="AC823" t="s">
        <v>991</v>
      </c>
      <c r="AD823" t="s">
        <v>3</v>
      </c>
      <c r="AE823">
        <v>21</v>
      </c>
      <c r="AF823">
        <v>7</v>
      </c>
      <c r="AH823" t="s">
        <v>990</v>
      </c>
      <c r="AI823" t="s">
        <v>989</v>
      </c>
      <c r="AJ823" t="s">
        <v>988</v>
      </c>
      <c r="AK823" t="s">
        <v>987</v>
      </c>
      <c r="AL823">
        <v>0</v>
      </c>
      <c r="AM823" s="5">
        <f t="shared" si="99"/>
        <v>0</v>
      </c>
      <c r="AN823" s="4">
        <f t="shared" si="100"/>
        <v>0</v>
      </c>
      <c r="AO823" s="3"/>
      <c r="AP823">
        <v>0</v>
      </c>
      <c r="AR823" t="s">
        <v>1</v>
      </c>
      <c r="AT823" s="2" t="s">
        <v>0</v>
      </c>
      <c r="AU823" s="1">
        <f t="shared" si="101"/>
        <v>0.98102026107151441</v>
      </c>
      <c r="AV823" s="1">
        <f t="shared" si="102"/>
        <v>0.70072875790822453</v>
      </c>
      <c r="AW823" s="1">
        <f t="shared" si="103"/>
        <v>0.42043725474493476</v>
      </c>
    </row>
    <row r="824" spans="1:49" x14ac:dyDescent="0.2">
      <c r="A824">
        <v>822</v>
      </c>
      <c r="B824" t="s">
        <v>986</v>
      </c>
      <c r="C824" t="s">
        <v>985</v>
      </c>
      <c r="D824" t="s">
        <v>984</v>
      </c>
      <c r="F824" t="s">
        <v>983</v>
      </c>
      <c r="G824" t="s">
        <v>9</v>
      </c>
      <c r="H824" t="s">
        <v>8</v>
      </c>
      <c r="I824" t="s">
        <v>573</v>
      </c>
      <c r="J824">
        <v>60012564</v>
      </c>
      <c r="K824" t="s">
        <v>982</v>
      </c>
      <c r="L824" t="s">
        <v>981</v>
      </c>
      <c r="M824" t="s">
        <v>5</v>
      </c>
      <c r="N824">
        <v>1</v>
      </c>
      <c r="O824" t="s">
        <v>980</v>
      </c>
      <c r="P824">
        <v>7202491328</v>
      </c>
      <c r="Q824">
        <v>60012564</v>
      </c>
      <c r="R824" s="7">
        <v>36708</v>
      </c>
      <c r="S824" s="8">
        <f t="shared" si="96"/>
        <v>2000</v>
      </c>
      <c r="T824" s="8">
        <v>2000</v>
      </c>
      <c r="U824" s="8">
        <f t="shared" si="97"/>
        <v>22</v>
      </c>
      <c r="V824" s="7">
        <v>36708</v>
      </c>
      <c r="W824" t="s">
        <v>322</v>
      </c>
      <c r="X824" s="2">
        <v>1.6379999999999999</v>
      </c>
      <c r="Y824" s="6">
        <f t="shared" si="98"/>
        <v>4.3725474493473214E-2</v>
      </c>
      <c r="AA824" t="s">
        <v>321</v>
      </c>
      <c r="AB824">
        <v>17391</v>
      </c>
      <c r="AD824" t="s">
        <v>3</v>
      </c>
      <c r="AE824">
        <v>48</v>
      </c>
      <c r="AF824">
        <v>7</v>
      </c>
      <c r="AH824" t="s">
        <v>979</v>
      </c>
      <c r="AI824" t="s">
        <v>978</v>
      </c>
      <c r="AJ824" t="s">
        <v>977</v>
      </c>
      <c r="AK824" t="s">
        <v>976</v>
      </c>
      <c r="AL824">
        <v>23</v>
      </c>
      <c r="AM824" s="5">
        <f t="shared" si="99"/>
        <v>1.0454545454545454</v>
      </c>
      <c r="AN824" s="4">
        <f t="shared" si="100"/>
        <v>1.5834222574093834E-3</v>
      </c>
      <c r="AO824" s="3"/>
      <c r="AP824">
        <v>0</v>
      </c>
      <c r="AQ824" t="s">
        <v>210</v>
      </c>
      <c r="AR824" t="s">
        <v>966</v>
      </c>
      <c r="AS824" t="s">
        <v>209</v>
      </c>
      <c r="AT824" s="2">
        <v>4.931</v>
      </c>
      <c r="AU824" s="1">
        <f t="shared" si="101"/>
        <v>3.1082858822654065</v>
      </c>
      <c r="AV824" s="1">
        <f t="shared" si="102"/>
        <v>2.2654448375441301</v>
      </c>
      <c r="AW824" s="1">
        <f t="shared" si="103"/>
        <v>1.4226037928228532</v>
      </c>
    </row>
    <row r="825" spans="1:49" x14ac:dyDescent="0.2">
      <c r="A825">
        <v>823</v>
      </c>
      <c r="B825" t="s">
        <v>975</v>
      </c>
      <c r="C825" t="s">
        <v>974</v>
      </c>
      <c r="D825" t="s">
        <v>973</v>
      </c>
      <c r="F825" t="s">
        <v>972</v>
      </c>
      <c r="G825" t="s">
        <v>9</v>
      </c>
      <c r="H825" t="s">
        <v>8</v>
      </c>
      <c r="I825" t="s">
        <v>114</v>
      </c>
      <c r="J825">
        <v>60000060</v>
      </c>
      <c r="K825" t="s">
        <v>130</v>
      </c>
      <c r="L825" t="s">
        <v>129</v>
      </c>
      <c r="M825" t="s">
        <v>5</v>
      </c>
      <c r="N825">
        <v>1</v>
      </c>
      <c r="O825" t="s">
        <v>971</v>
      </c>
      <c r="P825">
        <v>55740042300</v>
      </c>
      <c r="Q825">
        <v>60000060</v>
      </c>
      <c r="R825" s="7">
        <v>36708</v>
      </c>
      <c r="S825" s="8">
        <f t="shared" si="96"/>
        <v>2000</v>
      </c>
      <c r="T825" s="8">
        <v>2000</v>
      </c>
      <c r="U825" s="8">
        <f t="shared" si="97"/>
        <v>22</v>
      </c>
      <c r="V825" s="7">
        <v>36708</v>
      </c>
      <c r="W825" t="s">
        <v>322</v>
      </c>
      <c r="X825" s="2">
        <v>1.6379999999999999</v>
      </c>
      <c r="Y825" s="6">
        <f t="shared" si="98"/>
        <v>4.3725474493473214E-2</v>
      </c>
      <c r="AA825" t="s">
        <v>321</v>
      </c>
      <c r="AB825">
        <v>17391</v>
      </c>
      <c r="AD825" t="s">
        <v>3</v>
      </c>
      <c r="AE825">
        <v>48</v>
      </c>
      <c r="AF825">
        <v>7</v>
      </c>
      <c r="AH825" t="s">
        <v>970</v>
      </c>
      <c r="AI825" t="s">
        <v>969</v>
      </c>
      <c r="AJ825" t="s">
        <v>968</v>
      </c>
      <c r="AK825" t="s">
        <v>967</v>
      </c>
      <c r="AL825">
        <v>7</v>
      </c>
      <c r="AM825" s="5">
        <f t="shared" si="99"/>
        <v>0.31818181818181818</v>
      </c>
      <c r="AN825" s="4">
        <f t="shared" si="100"/>
        <v>4.8191112182024716E-4</v>
      </c>
      <c r="AO825" s="3"/>
      <c r="AP825">
        <v>0</v>
      </c>
      <c r="AQ825" t="s">
        <v>210</v>
      </c>
      <c r="AR825" t="s">
        <v>966</v>
      </c>
      <c r="AS825" t="s">
        <v>209</v>
      </c>
      <c r="AT825" s="2">
        <v>4.931</v>
      </c>
      <c r="AU825" s="1">
        <f t="shared" si="101"/>
        <v>3.0752405481977321</v>
      </c>
      <c r="AV825" s="1">
        <f t="shared" si="102"/>
        <v>2.2103692807646733</v>
      </c>
      <c r="AW825" s="1">
        <f t="shared" si="103"/>
        <v>1.3454980133316137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2021-11-11T10:46:21Z</dcterms:created>
  <dcterms:modified xsi:type="dcterms:W3CDTF">2022-01-19T20:31:22Z</dcterms:modified>
</cp:coreProperties>
</file>