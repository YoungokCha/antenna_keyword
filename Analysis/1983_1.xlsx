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4" documentId="8_{45135256-4255-B14E-B91F-CAC72F5152F4}" xr6:coauthVersionLast="47" xr6:coauthVersionMax="47" xr10:uidLastSave="{71E27AFF-82A3-564C-8176-0D229E096F15}"/>
  <bookViews>
    <workbookView xWindow="4500" yWindow="6980" windowWidth="27640" windowHeight="16940" xr2:uid="{F8B441F0-FB7E-3E40-BFF1-00E85FB739BD}"/>
  </bookViews>
  <sheets>
    <sheet name="1983"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N3" i="1" l="1"/>
  <c r="AN4" i="1"/>
  <c r="AN5" i="1"/>
  <c r="AN6" i="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5" i="1"/>
  <c r="AN56" i="1"/>
  <c r="AN57" i="1"/>
  <c r="AN58" i="1"/>
  <c r="AN59" i="1"/>
  <c r="AN60" i="1"/>
  <c r="AN61" i="1"/>
  <c r="AN62" i="1"/>
  <c r="AN63" i="1"/>
  <c r="AN64" i="1"/>
  <c r="AN65" i="1"/>
  <c r="AN66" i="1"/>
  <c r="AN67" i="1"/>
  <c r="AN68" i="1"/>
  <c r="AN69" i="1"/>
  <c r="AN70" i="1"/>
  <c r="AN71" i="1"/>
  <c r="AN72" i="1"/>
  <c r="AN73" i="1"/>
  <c r="AN74" i="1"/>
  <c r="AN75" i="1"/>
  <c r="AN76" i="1"/>
  <c r="AN77" i="1"/>
  <c r="AN78" i="1"/>
  <c r="AN79" i="1"/>
  <c r="AN80" i="1"/>
  <c r="AN81" i="1"/>
  <c r="AN82" i="1"/>
  <c r="AN83" i="1"/>
  <c r="AN84" i="1"/>
  <c r="AN85" i="1"/>
  <c r="AN86" i="1"/>
  <c r="AN87" i="1"/>
  <c r="AN88" i="1"/>
  <c r="AN89" i="1"/>
  <c r="AN90" i="1"/>
  <c r="AN91" i="1"/>
  <c r="AN92" i="1"/>
  <c r="AN93" i="1"/>
  <c r="AN94" i="1"/>
  <c r="AN95" i="1"/>
  <c r="AN96" i="1"/>
  <c r="AN97" i="1"/>
  <c r="AN98" i="1"/>
  <c r="AN99" i="1"/>
  <c r="AN100" i="1"/>
  <c r="AN101" i="1"/>
  <c r="AN102" i="1"/>
  <c r="AN103" i="1"/>
  <c r="AN104" i="1"/>
  <c r="AN105" i="1"/>
  <c r="AN106" i="1"/>
  <c r="AN107" i="1"/>
  <c r="AN108" i="1"/>
  <c r="AN109" i="1"/>
  <c r="AN110" i="1"/>
  <c r="AN111" i="1"/>
  <c r="AN112" i="1"/>
  <c r="AN113" i="1"/>
  <c r="AN114" i="1"/>
  <c r="AN115" i="1"/>
  <c r="AN116" i="1"/>
  <c r="AN117" i="1"/>
  <c r="AN118" i="1"/>
  <c r="AN119" i="1"/>
  <c r="AN120" i="1"/>
  <c r="AN121" i="1"/>
  <c r="AN122" i="1"/>
  <c r="AN123" i="1"/>
  <c r="AN124" i="1"/>
  <c r="AN125" i="1"/>
  <c r="AN126" i="1"/>
  <c r="AN127" i="1"/>
  <c r="AN128" i="1"/>
  <c r="AN129" i="1"/>
  <c r="AN130" i="1"/>
  <c r="AN131" i="1"/>
  <c r="AN132" i="1"/>
  <c r="AN133" i="1"/>
  <c r="AN134" i="1"/>
  <c r="AN135" i="1"/>
  <c r="AN136" i="1"/>
  <c r="AN137" i="1"/>
  <c r="AN138" i="1"/>
  <c r="AN139" i="1"/>
  <c r="AN140" i="1"/>
  <c r="AN141" i="1"/>
  <c r="AN142" i="1"/>
  <c r="AN143" i="1"/>
  <c r="AN144" i="1"/>
  <c r="AN145" i="1"/>
  <c r="AN146" i="1"/>
  <c r="AN147" i="1"/>
  <c r="AN148" i="1"/>
  <c r="AN149" i="1"/>
  <c r="AN150" i="1"/>
  <c r="AN151" i="1"/>
  <c r="AN152" i="1"/>
  <c r="AN153" i="1"/>
  <c r="AN154" i="1"/>
  <c r="AN155" i="1"/>
  <c r="AN156" i="1"/>
  <c r="AN157" i="1"/>
  <c r="AN158" i="1"/>
  <c r="AN159" i="1"/>
  <c r="AN160" i="1"/>
  <c r="AN161" i="1"/>
  <c r="AN162" i="1"/>
  <c r="AN163" i="1"/>
  <c r="AN164" i="1"/>
  <c r="AN165" i="1"/>
  <c r="AN166" i="1"/>
  <c r="AN167" i="1"/>
  <c r="AN168" i="1"/>
  <c r="AN169" i="1"/>
  <c r="AN170" i="1"/>
  <c r="AN171" i="1"/>
  <c r="AN172" i="1"/>
  <c r="AN173" i="1"/>
  <c r="AN174" i="1"/>
  <c r="AN175" i="1"/>
  <c r="AN176" i="1"/>
  <c r="AN177" i="1"/>
  <c r="AN178" i="1"/>
  <c r="AN179" i="1"/>
  <c r="AN180" i="1"/>
  <c r="AN181" i="1"/>
  <c r="AN182" i="1"/>
  <c r="AN183" i="1"/>
  <c r="AN184" i="1"/>
  <c r="AN185" i="1"/>
  <c r="AN186" i="1"/>
  <c r="AN187" i="1"/>
  <c r="AN188" i="1"/>
  <c r="AN189" i="1"/>
  <c r="AN190" i="1"/>
  <c r="AN191" i="1"/>
  <c r="AN192" i="1"/>
  <c r="AN193" i="1"/>
  <c r="AN194" i="1"/>
  <c r="AN195" i="1"/>
  <c r="AN196" i="1"/>
  <c r="AN197" i="1"/>
  <c r="AN198" i="1"/>
  <c r="AN199" i="1"/>
  <c r="AN200" i="1"/>
  <c r="AN201" i="1"/>
  <c r="AN202" i="1"/>
  <c r="AN203" i="1"/>
  <c r="AN204" i="1"/>
  <c r="AN205" i="1"/>
  <c r="AN206" i="1"/>
  <c r="AN207" i="1"/>
  <c r="AN208" i="1"/>
  <c r="AN209" i="1"/>
  <c r="AN210" i="1"/>
  <c r="AN211" i="1"/>
  <c r="AN212" i="1"/>
  <c r="AN213" i="1"/>
  <c r="AN214" i="1"/>
  <c r="AN215" i="1"/>
  <c r="AN216" i="1"/>
  <c r="AN217" i="1"/>
  <c r="AN218" i="1"/>
  <c r="AN219" i="1"/>
  <c r="AN220" i="1"/>
  <c r="AN221" i="1"/>
  <c r="AN222" i="1"/>
  <c r="AN223" i="1"/>
  <c r="AN224" i="1"/>
  <c r="AN225" i="1"/>
  <c r="AN226" i="1"/>
  <c r="AN227" i="1"/>
  <c r="AN228" i="1"/>
  <c r="AN229" i="1"/>
  <c r="AN230" i="1"/>
  <c r="AN231" i="1"/>
  <c r="AN232" i="1"/>
  <c r="AN233" i="1"/>
  <c r="AN234" i="1"/>
  <c r="AN235" i="1"/>
  <c r="AN236" i="1"/>
  <c r="AN237" i="1"/>
  <c r="AN238" i="1"/>
  <c r="AN239" i="1"/>
  <c r="AN240" i="1"/>
  <c r="AN241" i="1"/>
  <c r="AN242" i="1"/>
  <c r="AN243" i="1"/>
  <c r="AN244" i="1"/>
  <c r="AN245" i="1"/>
  <c r="AN246" i="1"/>
  <c r="AN247" i="1"/>
  <c r="AN248" i="1"/>
  <c r="AN249" i="1"/>
  <c r="AN250" i="1"/>
  <c r="AN251" i="1"/>
  <c r="AN252" i="1"/>
  <c r="AN253" i="1"/>
  <c r="AN254" i="1"/>
  <c r="AN255" i="1"/>
  <c r="AN256" i="1"/>
  <c r="AN257" i="1"/>
  <c r="AN258" i="1"/>
  <c r="AN259" i="1"/>
  <c r="AN260" i="1"/>
  <c r="AN261" i="1"/>
  <c r="AN262" i="1"/>
  <c r="AN263" i="1"/>
  <c r="AN264" i="1"/>
  <c r="AN265" i="1"/>
  <c r="AN266" i="1"/>
  <c r="AN267" i="1"/>
  <c r="AN268" i="1"/>
  <c r="AN269" i="1"/>
  <c r="AN270" i="1"/>
  <c r="AN271" i="1"/>
  <c r="AN272" i="1"/>
  <c r="AN273" i="1"/>
  <c r="AN274" i="1"/>
  <c r="AN275" i="1"/>
  <c r="AN276" i="1"/>
  <c r="AN277" i="1"/>
  <c r="AN278" i="1"/>
  <c r="AN279" i="1"/>
  <c r="AN280" i="1"/>
  <c r="AN281" i="1"/>
  <c r="AN282" i="1"/>
  <c r="AN283" i="1"/>
  <c r="AN284" i="1"/>
  <c r="AN285" i="1"/>
  <c r="AN286" i="1"/>
  <c r="AN287" i="1"/>
  <c r="AN288" i="1"/>
  <c r="AN289" i="1"/>
  <c r="AN290" i="1"/>
  <c r="AN291" i="1"/>
  <c r="AN292" i="1"/>
  <c r="AN293" i="1"/>
  <c r="AN294" i="1"/>
  <c r="AN295" i="1"/>
  <c r="AN296" i="1"/>
  <c r="AN297" i="1"/>
  <c r="AN298" i="1"/>
  <c r="AN299" i="1"/>
  <c r="AN300" i="1"/>
  <c r="AN301" i="1"/>
  <c r="AN302" i="1"/>
  <c r="AN303" i="1"/>
  <c r="AN304" i="1"/>
  <c r="AN305" i="1"/>
  <c r="AN306" i="1"/>
  <c r="AN307" i="1"/>
  <c r="AN308" i="1"/>
  <c r="AN309" i="1"/>
  <c r="AN310" i="1"/>
  <c r="AN311" i="1"/>
  <c r="AN312" i="1"/>
  <c r="AN313" i="1"/>
  <c r="AN314" i="1"/>
  <c r="AN315" i="1"/>
  <c r="AN316" i="1"/>
  <c r="AN317" i="1"/>
  <c r="AN318" i="1"/>
  <c r="AN319" i="1"/>
  <c r="AN320" i="1"/>
  <c r="AN321" i="1"/>
  <c r="AN322" i="1"/>
  <c r="AN323" i="1"/>
  <c r="AN324" i="1"/>
  <c r="AN325" i="1"/>
  <c r="AN326" i="1"/>
  <c r="AN327" i="1"/>
  <c r="AN328" i="1"/>
  <c r="AN329" i="1"/>
  <c r="AN330" i="1"/>
  <c r="AN331" i="1"/>
  <c r="AN332" i="1"/>
  <c r="AN333" i="1"/>
  <c r="AN334" i="1"/>
  <c r="AN335" i="1"/>
  <c r="AN336" i="1"/>
  <c r="AN337" i="1"/>
  <c r="AN338" i="1"/>
  <c r="AN339" i="1"/>
  <c r="AN340" i="1"/>
  <c r="AN341" i="1"/>
  <c r="AN342" i="1"/>
  <c r="AN343" i="1"/>
  <c r="AN344" i="1"/>
  <c r="AN345" i="1"/>
  <c r="AN346" i="1"/>
  <c r="AN347" i="1"/>
  <c r="AN348" i="1"/>
  <c r="AN349" i="1"/>
  <c r="AN350" i="1"/>
  <c r="AN351" i="1"/>
  <c r="AN352" i="1"/>
  <c r="AN353" i="1"/>
  <c r="AN354" i="1"/>
  <c r="AN355" i="1"/>
  <c r="AN356" i="1"/>
  <c r="AN357" i="1"/>
  <c r="AN358" i="1"/>
  <c r="AN359" i="1"/>
  <c r="AN360" i="1"/>
  <c r="AN361" i="1"/>
  <c r="AN362" i="1"/>
  <c r="AN363" i="1"/>
  <c r="AN364" i="1"/>
  <c r="AN365" i="1"/>
  <c r="AN366" i="1"/>
  <c r="AN367" i="1"/>
  <c r="AN368" i="1"/>
  <c r="AN369" i="1"/>
  <c r="AN370" i="1"/>
  <c r="AN371" i="1"/>
  <c r="AN372" i="1"/>
  <c r="AN373" i="1"/>
  <c r="AN374" i="1"/>
  <c r="AN375" i="1"/>
  <c r="AN376" i="1"/>
  <c r="AN377" i="1"/>
  <c r="AN378" i="1"/>
  <c r="AN379" i="1"/>
  <c r="AN380" i="1"/>
  <c r="AN381" i="1"/>
  <c r="AN382" i="1"/>
  <c r="AN383" i="1"/>
  <c r="AN384" i="1"/>
  <c r="AN385" i="1"/>
  <c r="AN386" i="1"/>
  <c r="AN387" i="1"/>
  <c r="AN388" i="1"/>
  <c r="AN389" i="1"/>
  <c r="AN390" i="1"/>
  <c r="AN391" i="1"/>
  <c r="AN392" i="1"/>
  <c r="AN393" i="1"/>
  <c r="AN394" i="1"/>
  <c r="AN395" i="1"/>
  <c r="AN396" i="1"/>
  <c r="AN397" i="1"/>
  <c r="AN398" i="1"/>
  <c r="AN399" i="1"/>
  <c r="AN400" i="1"/>
  <c r="AN401" i="1"/>
  <c r="AN402" i="1"/>
  <c r="AN403" i="1"/>
  <c r="AN404" i="1"/>
  <c r="AN405" i="1"/>
  <c r="AN406" i="1"/>
  <c r="AN407" i="1"/>
  <c r="AN408" i="1"/>
  <c r="AN409" i="1"/>
  <c r="AN410" i="1"/>
  <c r="AN411" i="1"/>
  <c r="AN412" i="1"/>
  <c r="AN413" i="1"/>
  <c r="AN414" i="1"/>
  <c r="AN415" i="1"/>
  <c r="AN416" i="1"/>
  <c r="AN417" i="1"/>
  <c r="AN418" i="1"/>
  <c r="AN419" i="1"/>
  <c r="AN420" i="1"/>
  <c r="AN421" i="1"/>
  <c r="AN422" i="1"/>
  <c r="AN423" i="1"/>
  <c r="AN424" i="1"/>
  <c r="AN425" i="1"/>
  <c r="AN426" i="1"/>
  <c r="AN427" i="1"/>
  <c r="AN428" i="1"/>
  <c r="AN429" i="1"/>
  <c r="AN430" i="1"/>
  <c r="AN431" i="1"/>
  <c r="AN432" i="1"/>
  <c r="AN433" i="1"/>
  <c r="AN434" i="1"/>
  <c r="AN435" i="1"/>
  <c r="AN436" i="1"/>
  <c r="AN437" i="1"/>
  <c r="AN438" i="1"/>
  <c r="AN439" i="1"/>
  <c r="AN440" i="1"/>
  <c r="AN441" i="1"/>
  <c r="AN442" i="1"/>
  <c r="AN443" i="1"/>
  <c r="AN444" i="1"/>
  <c r="AN445" i="1"/>
  <c r="AN446" i="1"/>
  <c r="AN447" i="1"/>
  <c r="AN448" i="1"/>
  <c r="AN449" i="1"/>
  <c r="AN450" i="1"/>
  <c r="AN451" i="1"/>
  <c r="AN452" i="1"/>
  <c r="AN453" i="1"/>
  <c r="AN454" i="1"/>
  <c r="AN455" i="1"/>
  <c r="AN456" i="1"/>
  <c r="AN457" i="1"/>
  <c r="AN458" i="1"/>
  <c r="AN459" i="1"/>
  <c r="AN460" i="1"/>
  <c r="AN461" i="1"/>
  <c r="AN462" i="1"/>
  <c r="AN463" i="1"/>
  <c r="AN464" i="1"/>
  <c r="AN465" i="1"/>
  <c r="AN466" i="1"/>
  <c r="AN467" i="1"/>
  <c r="AN468" i="1"/>
  <c r="AN469" i="1"/>
  <c r="AN470" i="1"/>
  <c r="AN471" i="1"/>
  <c r="AN472" i="1"/>
  <c r="AN473" i="1"/>
  <c r="AN474" i="1"/>
  <c r="AN475" i="1"/>
  <c r="AN476" i="1"/>
  <c r="AN477" i="1"/>
  <c r="AN478" i="1"/>
  <c r="AN479" i="1"/>
  <c r="AN480" i="1"/>
  <c r="AN481" i="1"/>
  <c r="AN482" i="1"/>
  <c r="AN483" i="1"/>
  <c r="AN484" i="1"/>
  <c r="AN485" i="1"/>
  <c r="AN486" i="1"/>
  <c r="AN487" i="1"/>
  <c r="AN488" i="1"/>
  <c r="AN489" i="1"/>
  <c r="AN490" i="1"/>
  <c r="AN491" i="1"/>
  <c r="AN492" i="1"/>
  <c r="AN493" i="1"/>
  <c r="AN494" i="1"/>
  <c r="AN495" i="1"/>
  <c r="AN496" i="1"/>
  <c r="AN497" i="1"/>
  <c r="AN498" i="1"/>
  <c r="AN499" i="1"/>
  <c r="AN500" i="1"/>
  <c r="AN501" i="1"/>
  <c r="AN502" i="1"/>
  <c r="AN503" i="1"/>
  <c r="AN504" i="1"/>
  <c r="AN505" i="1"/>
  <c r="AN506" i="1"/>
  <c r="AN507" i="1"/>
  <c r="AN508" i="1"/>
  <c r="AN509" i="1"/>
  <c r="AN510" i="1"/>
  <c r="AN511" i="1"/>
  <c r="AN512" i="1"/>
  <c r="AN513" i="1"/>
  <c r="AN514" i="1"/>
  <c r="AN515" i="1"/>
  <c r="AN516" i="1"/>
  <c r="AN517" i="1"/>
  <c r="AN518" i="1"/>
  <c r="AN519" i="1"/>
  <c r="AN520" i="1"/>
  <c r="AN521" i="1"/>
  <c r="AN522" i="1"/>
  <c r="AN523" i="1"/>
  <c r="AN524" i="1"/>
  <c r="AN525" i="1"/>
  <c r="AN526" i="1"/>
  <c r="AN527" i="1"/>
  <c r="AN528" i="1"/>
  <c r="AN529" i="1"/>
  <c r="AN530" i="1"/>
  <c r="AN531" i="1"/>
  <c r="AN532" i="1"/>
  <c r="AN533" i="1"/>
  <c r="AN534" i="1"/>
  <c r="AN535" i="1"/>
  <c r="AN536" i="1"/>
  <c r="AN537" i="1"/>
  <c r="AN538" i="1"/>
  <c r="AN539" i="1"/>
  <c r="AN540" i="1"/>
  <c r="AN541" i="1"/>
  <c r="AN542" i="1"/>
  <c r="AN543" i="1"/>
  <c r="AN544" i="1"/>
  <c r="AN545" i="1"/>
  <c r="AN546" i="1"/>
  <c r="AN547" i="1"/>
  <c r="AN548" i="1"/>
  <c r="AN549" i="1"/>
  <c r="AN550" i="1"/>
  <c r="AN551" i="1"/>
  <c r="AN552" i="1"/>
  <c r="AN553" i="1"/>
  <c r="AN554" i="1"/>
  <c r="AN555" i="1"/>
  <c r="AN556" i="1"/>
  <c r="AN557" i="1"/>
  <c r="AN558" i="1"/>
  <c r="AN559" i="1"/>
  <c r="AN560" i="1"/>
  <c r="AN561" i="1"/>
  <c r="AN562" i="1"/>
  <c r="AN563" i="1"/>
  <c r="AN564" i="1"/>
  <c r="AN565" i="1"/>
  <c r="AN566" i="1"/>
  <c r="AN567" i="1"/>
  <c r="AN568" i="1"/>
  <c r="AN569" i="1"/>
  <c r="AN570" i="1"/>
  <c r="AN571" i="1"/>
  <c r="AN572" i="1"/>
  <c r="AN573" i="1"/>
  <c r="AN574" i="1"/>
  <c r="AN575" i="1"/>
  <c r="AN576" i="1"/>
  <c r="AN577" i="1"/>
  <c r="AN578" i="1"/>
  <c r="AN579" i="1"/>
  <c r="AN580" i="1"/>
  <c r="AN581" i="1"/>
  <c r="AN582" i="1"/>
  <c r="AN583" i="1"/>
  <c r="AN584" i="1"/>
  <c r="AN585" i="1"/>
  <c r="AN586" i="1"/>
  <c r="AN587" i="1"/>
  <c r="AN588" i="1"/>
  <c r="AN589" i="1"/>
  <c r="AN590" i="1"/>
  <c r="AN591" i="1"/>
  <c r="AN592" i="1"/>
  <c r="AN593" i="1"/>
  <c r="AN594" i="1"/>
  <c r="AN595" i="1"/>
  <c r="AN596" i="1"/>
  <c r="AN597" i="1"/>
  <c r="AN598" i="1"/>
  <c r="AN599" i="1"/>
  <c r="AN600" i="1"/>
  <c r="AN601" i="1"/>
  <c r="AN602" i="1"/>
  <c r="AN603" i="1"/>
  <c r="AN604" i="1"/>
  <c r="AN605" i="1"/>
  <c r="AN606" i="1"/>
  <c r="AN607" i="1"/>
  <c r="AN608" i="1"/>
  <c r="AN609" i="1"/>
  <c r="AN610" i="1"/>
  <c r="AN611" i="1"/>
  <c r="AN612" i="1"/>
  <c r="AN613" i="1"/>
  <c r="AN614" i="1"/>
  <c r="AN615" i="1"/>
  <c r="AN616" i="1"/>
  <c r="AN617" i="1"/>
  <c r="AN618" i="1"/>
  <c r="AN619" i="1"/>
  <c r="AN620" i="1"/>
  <c r="AN621" i="1"/>
  <c r="AN622" i="1"/>
  <c r="AN623" i="1"/>
  <c r="AN624" i="1"/>
  <c r="AN625" i="1"/>
  <c r="AN626" i="1"/>
  <c r="AN627" i="1"/>
  <c r="AN628" i="1"/>
  <c r="AN629" i="1"/>
  <c r="AN630" i="1"/>
  <c r="AN631" i="1"/>
  <c r="AN632" i="1"/>
  <c r="AN633" i="1"/>
  <c r="AN634" i="1"/>
  <c r="AN635" i="1"/>
  <c r="AN636" i="1"/>
  <c r="AN637" i="1"/>
  <c r="AN638" i="1"/>
  <c r="AN639" i="1"/>
  <c r="AN640" i="1"/>
  <c r="AN641" i="1"/>
  <c r="AN642" i="1"/>
  <c r="AN643" i="1"/>
  <c r="AN644" i="1"/>
  <c r="AN645" i="1"/>
  <c r="AN646" i="1"/>
  <c r="AN647" i="1"/>
  <c r="AN648" i="1"/>
  <c r="AN649" i="1"/>
  <c r="AN650" i="1"/>
  <c r="AN651" i="1"/>
  <c r="AN652" i="1"/>
  <c r="AN653" i="1"/>
  <c r="AN654" i="1"/>
  <c r="AN655" i="1"/>
  <c r="AN656" i="1"/>
  <c r="AN657" i="1"/>
  <c r="AN658" i="1"/>
  <c r="AN659" i="1"/>
  <c r="AN660" i="1"/>
  <c r="AN661" i="1"/>
  <c r="AN662" i="1"/>
  <c r="AN663" i="1"/>
  <c r="AN664" i="1"/>
  <c r="AN665" i="1"/>
  <c r="AN666" i="1"/>
  <c r="AN667" i="1"/>
  <c r="AN668" i="1"/>
  <c r="AN669" i="1"/>
  <c r="AN670" i="1"/>
  <c r="AN671" i="1"/>
  <c r="AN672" i="1"/>
  <c r="AN673" i="1"/>
  <c r="AN674" i="1"/>
  <c r="AN675" i="1"/>
  <c r="AN676" i="1"/>
  <c r="AN677" i="1"/>
  <c r="AN678" i="1"/>
  <c r="AN679" i="1"/>
  <c r="AN680" i="1"/>
  <c r="AN681" i="1"/>
  <c r="AN682" i="1"/>
  <c r="AN683" i="1"/>
  <c r="AN684" i="1"/>
  <c r="AN685" i="1"/>
  <c r="AN686" i="1"/>
  <c r="AN687" i="1"/>
  <c r="AN688" i="1"/>
  <c r="AN689" i="1"/>
  <c r="AN690" i="1"/>
  <c r="AN691" i="1"/>
  <c r="AN692" i="1"/>
  <c r="AN693" i="1"/>
  <c r="AN694" i="1"/>
  <c r="AN695" i="1"/>
  <c r="AN696" i="1"/>
  <c r="AN697" i="1"/>
  <c r="AN698" i="1"/>
  <c r="AN699" i="1"/>
  <c r="AN700" i="1"/>
  <c r="AN701" i="1"/>
  <c r="AN702" i="1"/>
  <c r="AN703" i="1"/>
  <c r="AN704" i="1"/>
  <c r="AN705" i="1"/>
  <c r="AN706" i="1"/>
  <c r="AN707" i="1"/>
  <c r="AN708" i="1"/>
  <c r="AN709" i="1"/>
  <c r="AN710" i="1"/>
  <c r="AN711" i="1"/>
  <c r="AN712" i="1"/>
  <c r="AN713" i="1"/>
  <c r="AN714" i="1"/>
  <c r="AN715" i="1"/>
  <c r="AN716" i="1"/>
  <c r="AN717" i="1"/>
  <c r="AN718" i="1"/>
  <c r="AN719" i="1"/>
  <c r="AN720" i="1"/>
  <c r="AN721" i="1"/>
  <c r="AN722" i="1"/>
  <c r="AN723" i="1"/>
  <c r="AN724" i="1"/>
  <c r="AN725" i="1"/>
  <c r="AN726" i="1"/>
  <c r="AN727" i="1"/>
  <c r="AN728" i="1"/>
  <c r="AN729" i="1"/>
  <c r="AN730" i="1"/>
  <c r="AN731" i="1"/>
  <c r="AN732" i="1"/>
  <c r="AN733" i="1"/>
  <c r="AN734" i="1"/>
  <c r="AN735" i="1"/>
  <c r="AN736" i="1"/>
  <c r="AN737" i="1"/>
  <c r="AN738" i="1"/>
  <c r="AN739" i="1"/>
  <c r="AN740" i="1"/>
  <c r="AN741" i="1"/>
  <c r="AN742" i="1"/>
  <c r="AN743" i="1"/>
  <c r="AN744" i="1"/>
  <c r="AN745" i="1"/>
  <c r="AN746" i="1"/>
  <c r="AN747" i="1"/>
  <c r="AN748" i="1"/>
  <c r="AN749" i="1"/>
  <c r="AN750" i="1"/>
  <c r="AN751" i="1"/>
  <c r="AN752" i="1"/>
  <c r="AN753" i="1"/>
  <c r="AN754" i="1"/>
  <c r="AN2" i="1"/>
  <c r="Y3" i="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119" i="1"/>
  <c r="Y120" i="1"/>
  <c r="Y121" i="1"/>
  <c r="Y122" i="1"/>
  <c r="Y123" i="1"/>
  <c r="Y124" i="1"/>
  <c r="Y125" i="1"/>
  <c r="Y126" i="1"/>
  <c r="Y127" i="1"/>
  <c r="Y128" i="1"/>
  <c r="Y129" i="1"/>
  <c r="Y130" i="1"/>
  <c r="Y131" i="1"/>
  <c r="Y132" i="1"/>
  <c r="Y133" i="1"/>
  <c r="Y134" i="1"/>
  <c r="Y135" i="1"/>
  <c r="Y136" i="1"/>
  <c r="Y137"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Y206" i="1"/>
  <c r="Y207" i="1"/>
  <c r="Y208" i="1"/>
  <c r="Y209" i="1"/>
  <c r="Y210" i="1"/>
  <c r="Y211" i="1"/>
  <c r="Y212" i="1"/>
  <c r="Y213" i="1"/>
  <c r="Y214" i="1"/>
  <c r="Y215" i="1"/>
  <c r="Y216" i="1"/>
  <c r="Y217" i="1"/>
  <c r="Y218" i="1"/>
  <c r="Y219" i="1"/>
  <c r="Y220" i="1"/>
  <c r="Y221" i="1"/>
  <c r="Y222" i="1"/>
  <c r="Y223" i="1"/>
  <c r="Y224" i="1"/>
  <c r="Y225" i="1"/>
  <c r="Y226" i="1"/>
  <c r="Y227" i="1"/>
  <c r="Y228" i="1"/>
  <c r="Y229" i="1"/>
  <c r="Y230" i="1"/>
  <c r="Y231" i="1"/>
  <c r="Y232" i="1"/>
  <c r="Y233" i="1"/>
  <c r="Y234" i="1"/>
  <c r="Y235" i="1"/>
  <c r="Y236" i="1"/>
  <c r="Y237" i="1"/>
  <c r="Y238" i="1"/>
  <c r="Y239" i="1"/>
  <c r="Y240" i="1"/>
  <c r="Y241" i="1"/>
  <c r="Y242" i="1"/>
  <c r="Y243" i="1"/>
  <c r="Y244" i="1"/>
  <c r="Y245" i="1"/>
  <c r="Y246" i="1"/>
  <c r="Y247" i="1"/>
  <c r="Y248" i="1"/>
  <c r="Y249" i="1"/>
  <c r="Y250" i="1"/>
  <c r="Y251" i="1"/>
  <c r="Y252" i="1"/>
  <c r="Y253" i="1"/>
  <c r="Y254" i="1"/>
  <c r="Y255" i="1"/>
  <c r="Y256" i="1"/>
  <c r="Y257" i="1"/>
  <c r="Y258" i="1"/>
  <c r="Y259" i="1"/>
  <c r="Y260" i="1"/>
  <c r="Y261" i="1"/>
  <c r="Y262" i="1"/>
  <c r="Y263" i="1"/>
  <c r="Y264" i="1"/>
  <c r="Y265" i="1"/>
  <c r="Y266" i="1"/>
  <c r="Y267" i="1"/>
  <c r="Y268" i="1"/>
  <c r="Y269" i="1"/>
  <c r="Y270" i="1"/>
  <c r="Y271" i="1"/>
  <c r="Y272" i="1"/>
  <c r="Y273" i="1"/>
  <c r="Y274" i="1"/>
  <c r="Y275" i="1"/>
  <c r="Y276" i="1"/>
  <c r="Y277" i="1"/>
  <c r="Y278" i="1"/>
  <c r="Y279" i="1"/>
  <c r="Y280" i="1"/>
  <c r="Y281" i="1"/>
  <c r="Y282" i="1"/>
  <c r="Y283" i="1"/>
  <c r="Y284" i="1"/>
  <c r="Y285" i="1"/>
  <c r="Y286" i="1"/>
  <c r="Y287" i="1"/>
  <c r="Y288" i="1"/>
  <c r="Y289" i="1"/>
  <c r="Y290" i="1"/>
  <c r="Y291" i="1"/>
  <c r="Y292" i="1"/>
  <c r="Y293" i="1"/>
  <c r="Y294" i="1"/>
  <c r="Y295" i="1"/>
  <c r="Y296" i="1"/>
  <c r="Y297" i="1"/>
  <c r="Y298" i="1"/>
  <c r="Y299" i="1"/>
  <c r="Y300" i="1"/>
  <c r="Y301" i="1"/>
  <c r="Y302" i="1"/>
  <c r="Y303" i="1"/>
  <c r="Y304" i="1"/>
  <c r="Y305" i="1"/>
  <c r="Y306" i="1"/>
  <c r="Y307" i="1"/>
  <c r="Y308" i="1"/>
  <c r="Y309" i="1"/>
  <c r="Y310" i="1"/>
  <c r="Y311" i="1"/>
  <c r="Y312" i="1"/>
  <c r="Y313" i="1"/>
  <c r="Y314" i="1"/>
  <c r="Y315" i="1"/>
  <c r="Y316" i="1"/>
  <c r="Y317" i="1"/>
  <c r="Y318" i="1"/>
  <c r="Y319" i="1"/>
  <c r="Y320" i="1"/>
  <c r="Y321" i="1"/>
  <c r="Y322" i="1"/>
  <c r="Y323" i="1"/>
  <c r="Y324" i="1"/>
  <c r="Y325" i="1"/>
  <c r="Y326" i="1"/>
  <c r="Y327" i="1"/>
  <c r="Y328" i="1"/>
  <c r="Y329" i="1"/>
  <c r="Y330" i="1"/>
  <c r="Y331" i="1"/>
  <c r="Y332" i="1"/>
  <c r="Y333" i="1"/>
  <c r="Y334" i="1"/>
  <c r="Y335" i="1"/>
  <c r="Y336" i="1"/>
  <c r="Y337" i="1"/>
  <c r="Y338" i="1"/>
  <c r="Y339" i="1"/>
  <c r="Y340" i="1"/>
  <c r="Y341" i="1"/>
  <c r="Y342" i="1"/>
  <c r="Y343" i="1"/>
  <c r="Y344" i="1"/>
  <c r="Y345" i="1"/>
  <c r="Y346" i="1"/>
  <c r="Y347" i="1"/>
  <c r="Y348" i="1"/>
  <c r="Y349" i="1"/>
  <c r="Y350" i="1"/>
  <c r="Y351" i="1"/>
  <c r="Y352" i="1"/>
  <c r="Y353" i="1"/>
  <c r="Y354" i="1"/>
  <c r="Y355" i="1"/>
  <c r="Y356" i="1"/>
  <c r="Y357" i="1"/>
  <c r="Y358" i="1"/>
  <c r="Y359" i="1"/>
  <c r="Y360" i="1"/>
  <c r="Y361" i="1"/>
  <c r="Y362" i="1"/>
  <c r="Y363" i="1"/>
  <c r="Y364" i="1"/>
  <c r="Y365" i="1"/>
  <c r="Y366" i="1"/>
  <c r="Y367" i="1"/>
  <c r="Y368" i="1"/>
  <c r="Y369" i="1"/>
  <c r="Y370" i="1"/>
  <c r="Y371" i="1"/>
  <c r="Y372" i="1"/>
  <c r="Y373" i="1"/>
  <c r="Y374" i="1"/>
  <c r="Y375" i="1"/>
  <c r="Y376" i="1"/>
  <c r="Y377" i="1"/>
  <c r="Y378" i="1"/>
  <c r="Y379" i="1"/>
  <c r="Y380" i="1"/>
  <c r="Y381" i="1"/>
  <c r="Y382" i="1"/>
  <c r="Y383" i="1"/>
  <c r="Y384" i="1"/>
  <c r="Y385" i="1"/>
  <c r="Y386" i="1"/>
  <c r="Y387" i="1"/>
  <c r="Y388" i="1"/>
  <c r="Y389" i="1"/>
  <c r="Y390" i="1"/>
  <c r="Y391" i="1"/>
  <c r="Y392" i="1"/>
  <c r="Y393" i="1"/>
  <c r="Y394" i="1"/>
  <c r="Y395" i="1"/>
  <c r="Y396" i="1"/>
  <c r="Y397" i="1"/>
  <c r="Y398" i="1"/>
  <c r="Y399" i="1"/>
  <c r="Y400" i="1"/>
  <c r="Y401" i="1"/>
  <c r="Y402" i="1"/>
  <c r="Y403" i="1"/>
  <c r="Y404" i="1"/>
  <c r="Y405" i="1"/>
  <c r="Y406" i="1"/>
  <c r="Y407" i="1"/>
  <c r="Y408" i="1"/>
  <c r="Y409" i="1"/>
  <c r="Y410" i="1"/>
  <c r="Y411" i="1"/>
  <c r="Y412" i="1"/>
  <c r="Y413" i="1"/>
  <c r="Y414" i="1"/>
  <c r="Y415" i="1"/>
  <c r="Y416" i="1"/>
  <c r="Y417" i="1"/>
  <c r="Y418" i="1"/>
  <c r="Y419" i="1"/>
  <c r="Y420" i="1"/>
  <c r="Y421" i="1"/>
  <c r="Y422" i="1"/>
  <c r="Y423" i="1"/>
  <c r="Y424" i="1"/>
  <c r="Y425" i="1"/>
  <c r="Y426" i="1"/>
  <c r="Y427" i="1"/>
  <c r="Y428" i="1"/>
  <c r="Y429" i="1"/>
  <c r="Y430" i="1"/>
  <c r="Y431" i="1"/>
  <c r="Y432" i="1"/>
  <c r="Y433" i="1"/>
  <c r="Y434" i="1"/>
  <c r="Y435" i="1"/>
  <c r="Y436" i="1"/>
  <c r="Y437" i="1"/>
  <c r="Y438" i="1"/>
  <c r="Y439" i="1"/>
  <c r="Y440" i="1"/>
  <c r="Y441" i="1"/>
  <c r="Y442" i="1"/>
  <c r="Y443" i="1"/>
  <c r="Y444" i="1"/>
  <c r="Y445" i="1"/>
  <c r="Y446" i="1"/>
  <c r="Y447" i="1"/>
  <c r="Y448" i="1"/>
  <c r="Y449" i="1"/>
  <c r="Y450" i="1"/>
  <c r="Y451" i="1"/>
  <c r="Y452" i="1"/>
  <c r="Y453" i="1"/>
  <c r="Y454" i="1"/>
  <c r="Y455" i="1"/>
  <c r="Y456" i="1"/>
  <c r="Y457" i="1"/>
  <c r="Y458" i="1"/>
  <c r="Y459" i="1"/>
  <c r="Y460" i="1"/>
  <c r="Y461" i="1"/>
  <c r="Y462" i="1"/>
  <c r="Y463" i="1"/>
  <c r="Y464" i="1"/>
  <c r="Y465" i="1"/>
  <c r="Y466" i="1"/>
  <c r="Y467" i="1"/>
  <c r="Y468" i="1"/>
  <c r="Y469" i="1"/>
  <c r="Y470" i="1"/>
  <c r="Y471" i="1"/>
  <c r="Y472" i="1"/>
  <c r="Y473" i="1"/>
  <c r="Y474" i="1"/>
  <c r="Y475" i="1"/>
  <c r="Y476" i="1"/>
  <c r="Y477" i="1"/>
  <c r="Y478" i="1"/>
  <c r="Y479" i="1"/>
  <c r="Y480" i="1"/>
  <c r="Y481" i="1"/>
  <c r="Y482" i="1"/>
  <c r="Y483" i="1"/>
  <c r="Y484" i="1"/>
  <c r="Y485" i="1"/>
  <c r="Y486" i="1"/>
  <c r="Y487" i="1"/>
  <c r="Y488" i="1"/>
  <c r="Y489" i="1"/>
  <c r="Y490" i="1"/>
  <c r="Y491" i="1"/>
  <c r="Y492" i="1"/>
  <c r="Y493" i="1"/>
  <c r="Y494" i="1"/>
  <c r="Y495" i="1"/>
  <c r="Y496" i="1"/>
  <c r="Y497" i="1"/>
  <c r="Y498" i="1"/>
  <c r="Y499" i="1"/>
  <c r="Y500" i="1"/>
  <c r="Y501" i="1"/>
  <c r="Y502" i="1"/>
  <c r="Y503" i="1"/>
  <c r="Y504" i="1"/>
  <c r="Y505" i="1"/>
  <c r="Y506" i="1"/>
  <c r="Y507" i="1"/>
  <c r="Y508" i="1"/>
  <c r="Y509" i="1"/>
  <c r="Y510" i="1"/>
  <c r="Y511" i="1"/>
  <c r="Y512" i="1"/>
  <c r="Y513" i="1"/>
  <c r="Y514" i="1"/>
  <c r="Y515" i="1"/>
  <c r="Y516" i="1"/>
  <c r="Y517" i="1"/>
  <c r="Y518" i="1"/>
  <c r="Y519" i="1"/>
  <c r="Y520" i="1"/>
  <c r="Y521" i="1"/>
  <c r="Y522" i="1"/>
  <c r="Y523" i="1"/>
  <c r="Y524" i="1"/>
  <c r="Y525" i="1"/>
  <c r="Y526" i="1"/>
  <c r="Y527" i="1"/>
  <c r="Y528" i="1"/>
  <c r="Y529" i="1"/>
  <c r="Y530" i="1"/>
  <c r="Y531" i="1"/>
  <c r="Y532" i="1"/>
  <c r="Y533" i="1"/>
  <c r="Y534" i="1"/>
  <c r="Y535" i="1"/>
  <c r="Y536" i="1"/>
  <c r="Y537" i="1"/>
  <c r="Y538" i="1"/>
  <c r="Y539" i="1"/>
  <c r="Y540" i="1"/>
  <c r="Y541" i="1"/>
  <c r="Y542" i="1"/>
  <c r="Y543" i="1"/>
  <c r="Y544" i="1"/>
  <c r="Y545" i="1"/>
  <c r="Y546" i="1"/>
  <c r="Y547" i="1"/>
  <c r="Y548" i="1"/>
  <c r="Y549" i="1"/>
  <c r="Y550" i="1"/>
  <c r="Y551" i="1"/>
  <c r="Y552" i="1"/>
  <c r="Y553" i="1"/>
  <c r="Y554" i="1"/>
  <c r="Y555" i="1"/>
  <c r="Y556" i="1"/>
  <c r="Y557" i="1"/>
  <c r="Y558" i="1"/>
  <c r="Y559" i="1"/>
  <c r="Y560" i="1"/>
  <c r="Y561" i="1"/>
  <c r="Y562" i="1"/>
  <c r="Y563" i="1"/>
  <c r="Y564" i="1"/>
  <c r="Y565" i="1"/>
  <c r="Y566" i="1"/>
  <c r="Y567" i="1"/>
  <c r="Y568" i="1"/>
  <c r="Y569" i="1"/>
  <c r="Y570" i="1"/>
  <c r="Y571" i="1"/>
  <c r="Y572" i="1"/>
  <c r="Y573" i="1"/>
  <c r="Y574" i="1"/>
  <c r="Y575" i="1"/>
  <c r="Y576" i="1"/>
  <c r="Y577" i="1"/>
  <c r="Y578" i="1"/>
  <c r="Y579" i="1"/>
  <c r="Y580" i="1"/>
  <c r="Y581" i="1"/>
  <c r="Y582" i="1"/>
  <c r="Y583" i="1"/>
  <c r="Y584" i="1"/>
  <c r="Y585" i="1"/>
  <c r="Y586" i="1"/>
  <c r="Y587" i="1"/>
  <c r="Y588" i="1"/>
  <c r="Y589" i="1"/>
  <c r="Y590" i="1"/>
  <c r="Y591" i="1"/>
  <c r="Y592" i="1"/>
  <c r="Y593" i="1"/>
  <c r="Y594" i="1"/>
  <c r="Y595" i="1"/>
  <c r="Y596" i="1"/>
  <c r="Y597" i="1"/>
  <c r="Y598" i="1"/>
  <c r="Y599" i="1"/>
  <c r="Y600" i="1"/>
  <c r="Y601" i="1"/>
  <c r="Y602" i="1"/>
  <c r="Y603" i="1"/>
  <c r="Y604" i="1"/>
  <c r="Y605" i="1"/>
  <c r="Y606" i="1"/>
  <c r="Y607" i="1"/>
  <c r="Y608" i="1"/>
  <c r="Y609" i="1"/>
  <c r="Y610" i="1"/>
  <c r="Y611" i="1"/>
  <c r="Y612" i="1"/>
  <c r="Y613" i="1"/>
  <c r="Y614" i="1"/>
  <c r="Y615" i="1"/>
  <c r="Y616" i="1"/>
  <c r="Y617" i="1"/>
  <c r="Y618" i="1"/>
  <c r="Y619" i="1"/>
  <c r="Y620" i="1"/>
  <c r="Y621" i="1"/>
  <c r="Y622" i="1"/>
  <c r="Y623" i="1"/>
  <c r="Y624" i="1"/>
  <c r="Y625" i="1"/>
  <c r="Y626" i="1"/>
  <c r="Y627" i="1"/>
  <c r="Y628" i="1"/>
  <c r="Y629" i="1"/>
  <c r="Y630" i="1"/>
  <c r="Y631" i="1"/>
  <c r="Y632" i="1"/>
  <c r="Y633" i="1"/>
  <c r="Y634" i="1"/>
  <c r="Y635" i="1"/>
  <c r="Y636" i="1"/>
  <c r="Y637" i="1"/>
  <c r="Y638" i="1"/>
  <c r="Y639" i="1"/>
  <c r="Y640" i="1"/>
  <c r="Y641" i="1"/>
  <c r="Y642" i="1"/>
  <c r="Y643" i="1"/>
  <c r="Y644" i="1"/>
  <c r="Y645" i="1"/>
  <c r="Y646" i="1"/>
  <c r="Y647" i="1"/>
  <c r="Y648" i="1"/>
  <c r="Y649" i="1"/>
  <c r="Y650" i="1"/>
  <c r="Y651" i="1"/>
  <c r="Y652" i="1"/>
  <c r="Y653" i="1"/>
  <c r="Y654" i="1"/>
  <c r="Y655" i="1"/>
  <c r="Y656" i="1"/>
  <c r="Y657" i="1"/>
  <c r="Y658" i="1"/>
  <c r="Y659" i="1"/>
  <c r="Y660" i="1"/>
  <c r="Y661" i="1"/>
  <c r="Y662" i="1"/>
  <c r="Y663" i="1"/>
  <c r="Y664" i="1"/>
  <c r="Y665" i="1"/>
  <c r="Y666" i="1"/>
  <c r="Y667" i="1"/>
  <c r="Y668" i="1"/>
  <c r="Y669" i="1"/>
  <c r="Y670" i="1"/>
  <c r="Y671" i="1"/>
  <c r="Y672" i="1"/>
  <c r="Y673" i="1"/>
  <c r="Y674" i="1"/>
  <c r="Y675" i="1"/>
  <c r="Y676" i="1"/>
  <c r="Y677" i="1"/>
  <c r="Y678" i="1"/>
  <c r="Y679" i="1"/>
  <c r="Y680" i="1"/>
  <c r="Y681" i="1"/>
  <c r="Y682" i="1"/>
  <c r="Y683" i="1"/>
  <c r="Y684" i="1"/>
  <c r="Y685" i="1"/>
  <c r="Y686" i="1"/>
  <c r="Y687" i="1"/>
  <c r="Y688" i="1"/>
  <c r="Y689" i="1"/>
  <c r="Y690" i="1"/>
  <c r="Y691" i="1"/>
  <c r="Y692" i="1"/>
  <c r="Y693" i="1"/>
  <c r="Y694" i="1"/>
  <c r="Y695" i="1"/>
  <c r="Y696" i="1"/>
  <c r="Y697" i="1"/>
  <c r="Y698" i="1"/>
  <c r="Y699" i="1"/>
  <c r="Y700" i="1"/>
  <c r="Y701" i="1"/>
  <c r="Y702" i="1"/>
  <c r="Y703" i="1"/>
  <c r="Y704" i="1"/>
  <c r="Y705" i="1"/>
  <c r="Y706" i="1"/>
  <c r="Y707" i="1"/>
  <c r="Y708" i="1"/>
  <c r="Y709" i="1"/>
  <c r="Y710" i="1"/>
  <c r="Y711" i="1"/>
  <c r="Y712" i="1"/>
  <c r="Y713" i="1"/>
  <c r="Y714" i="1"/>
  <c r="Y715" i="1"/>
  <c r="Y716" i="1"/>
  <c r="Y717" i="1"/>
  <c r="Y718" i="1"/>
  <c r="Y719" i="1"/>
  <c r="Y720" i="1"/>
  <c r="Y721" i="1"/>
  <c r="Y722" i="1"/>
  <c r="Y723" i="1"/>
  <c r="Y724" i="1"/>
  <c r="Y725" i="1"/>
  <c r="Y726" i="1"/>
  <c r="Y727" i="1"/>
  <c r="Y728" i="1"/>
  <c r="Y729" i="1"/>
  <c r="Y730" i="1"/>
  <c r="Y731" i="1"/>
  <c r="Y732" i="1"/>
  <c r="Y733" i="1"/>
  <c r="Y734" i="1"/>
  <c r="Y735" i="1"/>
  <c r="Y736" i="1"/>
  <c r="Y737" i="1"/>
  <c r="Y738" i="1"/>
  <c r="Y739" i="1"/>
  <c r="Y740" i="1"/>
  <c r="Y741" i="1"/>
  <c r="Y742" i="1"/>
  <c r="Y743" i="1"/>
  <c r="Y744" i="1"/>
  <c r="Y745" i="1"/>
  <c r="Y746" i="1"/>
  <c r="Y747" i="1"/>
  <c r="Y748" i="1"/>
  <c r="Y749" i="1"/>
  <c r="Y750" i="1"/>
  <c r="Y751" i="1"/>
  <c r="Y752" i="1"/>
  <c r="Y753" i="1"/>
  <c r="Y754" i="1"/>
  <c r="Y2" i="1"/>
  <c r="S2" i="1" l="1"/>
  <c r="U2" i="1"/>
  <c r="AM2" i="1"/>
  <c r="AV2" i="1" s="1"/>
  <c r="S3" i="1"/>
  <c r="U3" i="1"/>
  <c r="AM3" i="1" s="1"/>
  <c r="S4" i="1"/>
  <c r="U4" i="1"/>
  <c r="AM4" i="1" s="1"/>
  <c r="S5" i="1"/>
  <c r="U5" i="1"/>
  <c r="AM5" i="1" s="1"/>
  <c r="AU5" i="1"/>
  <c r="S6" i="1"/>
  <c r="U6" i="1"/>
  <c r="AM6" i="1" s="1"/>
  <c r="AU6" i="1"/>
  <c r="S7" i="1"/>
  <c r="U7" i="1"/>
  <c r="AM7" i="1" s="1"/>
  <c r="AV7" i="1" s="1"/>
  <c r="S8" i="1"/>
  <c r="U8" i="1"/>
  <c r="AM8" i="1" s="1"/>
  <c r="S9" i="1"/>
  <c r="U9" i="1"/>
  <c r="AM9" i="1" s="1"/>
  <c r="S10" i="1"/>
  <c r="U10" i="1"/>
  <c r="AM10" i="1" s="1"/>
  <c r="S11" i="1"/>
  <c r="U11" i="1"/>
  <c r="AM11" i="1" s="1"/>
  <c r="S12" i="1"/>
  <c r="U12" i="1"/>
  <c r="AM12" i="1" s="1"/>
  <c r="AV12" i="1" s="1"/>
  <c r="S13" i="1"/>
  <c r="U13" i="1"/>
  <c r="AM13" i="1" s="1"/>
  <c r="S14" i="1"/>
  <c r="U14" i="1"/>
  <c r="AM14" i="1" s="1"/>
  <c r="AU14" i="1"/>
  <c r="S15" i="1"/>
  <c r="U15" i="1"/>
  <c r="AM15" i="1" s="1"/>
  <c r="S16" i="1"/>
  <c r="U16" i="1"/>
  <c r="AM16" i="1" s="1"/>
  <c r="S17" i="1"/>
  <c r="U17" i="1"/>
  <c r="AM17" i="1" s="1"/>
  <c r="AV17" i="1"/>
  <c r="S18" i="1"/>
  <c r="U18" i="1"/>
  <c r="AM18" i="1" s="1"/>
  <c r="AU18" i="1"/>
  <c r="S19" i="1"/>
  <c r="U19" i="1"/>
  <c r="AM19" i="1" s="1"/>
  <c r="AU19" i="1"/>
  <c r="S20" i="1"/>
  <c r="U20" i="1"/>
  <c r="AM20" i="1" s="1"/>
  <c r="AU20" i="1"/>
  <c r="S21" i="1"/>
  <c r="U21" i="1"/>
  <c r="AM21" i="1"/>
  <c r="AV21" i="1" s="1"/>
  <c r="S22" i="1"/>
  <c r="U22" i="1"/>
  <c r="AM22" i="1" s="1"/>
  <c r="AV22" i="1"/>
  <c r="S23" i="1"/>
  <c r="U23" i="1"/>
  <c r="AM23" i="1" s="1"/>
  <c r="S24" i="1"/>
  <c r="U24" i="1"/>
  <c r="AM24" i="1"/>
  <c r="S25" i="1"/>
  <c r="U25" i="1"/>
  <c r="AM25" i="1" s="1"/>
  <c r="AU25" i="1"/>
  <c r="S26" i="1"/>
  <c r="U26" i="1"/>
  <c r="AM26" i="1"/>
  <c r="S27" i="1"/>
  <c r="U27" i="1"/>
  <c r="AV27" i="1"/>
  <c r="AM27" i="1"/>
  <c r="S28" i="1"/>
  <c r="U28" i="1"/>
  <c r="AM28" i="1" s="1"/>
  <c r="S29" i="1"/>
  <c r="U29" i="1"/>
  <c r="AM29" i="1" s="1"/>
  <c r="S30" i="1"/>
  <c r="U30" i="1"/>
  <c r="AM30" i="1" s="1"/>
  <c r="AU30" i="1"/>
  <c r="S31" i="1"/>
  <c r="U31" i="1"/>
  <c r="AM31" i="1" s="1"/>
  <c r="S32" i="1"/>
  <c r="U32" i="1"/>
  <c r="AM32" i="1" s="1"/>
  <c r="AV32" i="1"/>
  <c r="S33" i="1"/>
  <c r="U33" i="1"/>
  <c r="AM33" i="1" s="1"/>
  <c r="S34" i="1"/>
  <c r="U34" i="1"/>
  <c r="AM34" i="1" s="1"/>
  <c r="S35" i="1"/>
  <c r="U35" i="1"/>
  <c r="AM35" i="1" s="1"/>
  <c r="AU35" i="1"/>
  <c r="S36" i="1"/>
  <c r="U36" i="1"/>
  <c r="AM36" i="1" s="1"/>
  <c r="AU36" i="1"/>
  <c r="S37" i="1"/>
  <c r="U37" i="1"/>
  <c r="AM37" i="1"/>
  <c r="AV37" i="1" s="1"/>
  <c r="S38" i="1"/>
  <c r="U38" i="1"/>
  <c r="AM38" i="1" s="1"/>
  <c r="S39" i="1"/>
  <c r="U39" i="1"/>
  <c r="AM39" i="1" s="1"/>
  <c r="S40" i="1"/>
  <c r="U40" i="1"/>
  <c r="AM40" i="1" s="1"/>
  <c r="S41" i="1"/>
  <c r="U41" i="1"/>
  <c r="AM41" i="1" s="1"/>
  <c r="S42" i="1"/>
  <c r="U42" i="1"/>
  <c r="AM42" i="1"/>
  <c r="AV42" i="1"/>
  <c r="S43" i="1"/>
  <c r="U43" i="1"/>
  <c r="AM43" i="1" s="1"/>
  <c r="S44" i="1"/>
  <c r="U44" i="1"/>
  <c r="AM44" i="1" s="1"/>
  <c r="S45" i="1"/>
  <c r="U45" i="1"/>
  <c r="AM45" i="1" s="1"/>
  <c r="S46" i="1"/>
  <c r="U46" i="1"/>
  <c r="AM46" i="1" s="1"/>
  <c r="AV46" i="1" s="1"/>
  <c r="S47" i="1"/>
  <c r="U47" i="1"/>
  <c r="AM47" i="1" s="1"/>
  <c r="S48" i="1"/>
  <c r="U48" i="1"/>
  <c r="AM48" i="1"/>
  <c r="S49" i="1"/>
  <c r="U49" i="1"/>
  <c r="AM49" i="1" s="1"/>
  <c r="S50" i="1"/>
  <c r="U50" i="1"/>
  <c r="AM50" i="1" s="1"/>
  <c r="S51" i="1"/>
  <c r="U51" i="1"/>
  <c r="AM51" i="1" s="1"/>
  <c r="AV51" i="1"/>
  <c r="S52" i="1"/>
  <c r="U52" i="1"/>
  <c r="AV52" i="1"/>
  <c r="AM52" i="1"/>
  <c r="S53" i="1"/>
  <c r="U53" i="1"/>
  <c r="AM53" i="1" s="1"/>
  <c r="AU53" i="1"/>
  <c r="S54" i="1"/>
  <c r="U54" i="1"/>
  <c r="AM54" i="1"/>
  <c r="S55" i="1"/>
  <c r="U55" i="1"/>
  <c r="AM55" i="1" s="1"/>
  <c r="S56" i="1"/>
  <c r="U56" i="1"/>
  <c r="AM56" i="1" s="1"/>
  <c r="S57" i="1"/>
  <c r="U57" i="1"/>
  <c r="AM57" i="1"/>
  <c r="S58" i="1"/>
  <c r="U58" i="1"/>
  <c r="AM58" i="1" s="1"/>
  <c r="S59" i="1"/>
  <c r="U59" i="1"/>
  <c r="AM59" i="1"/>
  <c r="S60" i="1"/>
  <c r="U60" i="1"/>
  <c r="AM60" i="1" s="1"/>
  <c r="S61" i="1"/>
  <c r="U61" i="1"/>
  <c r="AM61" i="1"/>
  <c r="AV61" i="1"/>
  <c r="S62" i="1"/>
  <c r="U62" i="1"/>
  <c r="AM62" i="1"/>
  <c r="S63" i="1"/>
  <c r="U63" i="1"/>
  <c r="AM63" i="1" s="1"/>
  <c r="S64" i="1"/>
  <c r="U64" i="1"/>
  <c r="AM64" i="1" s="1"/>
  <c r="S65" i="1"/>
  <c r="U65" i="1"/>
  <c r="AM65" i="1" s="1"/>
  <c r="S66" i="1"/>
  <c r="U66" i="1"/>
  <c r="AM66" i="1" s="1"/>
  <c r="AU66" i="1"/>
  <c r="AV66" i="1"/>
  <c r="S67" i="1"/>
  <c r="U67" i="1"/>
  <c r="AM67" i="1"/>
  <c r="S68" i="1"/>
  <c r="U68" i="1"/>
  <c r="AM68" i="1" s="1"/>
  <c r="S69" i="1"/>
  <c r="U69" i="1"/>
  <c r="AM69" i="1" s="1"/>
  <c r="S70" i="1"/>
  <c r="U70" i="1"/>
  <c r="AM70" i="1" s="1"/>
  <c r="S71" i="1"/>
  <c r="U71" i="1"/>
  <c r="AM71" i="1" s="1"/>
  <c r="S72" i="1"/>
  <c r="U72" i="1"/>
  <c r="AM72" i="1" s="1"/>
  <c r="AV72" i="1" s="1"/>
  <c r="S73" i="1"/>
  <c r="U73" i="1"/>
  <c r="AM73" i="1" s="1"/>
  <c r="S74" i="1"/>
  <c r="U74" i="1"/>
  <c r="AM74" i="1" s="1"/>
  <c r="S75" i="1"/>
  <c r="U75" i="1"/>
  <c r="AM75" i="1" s="1"/>
  <c r="AV75" i="1"/>
  <c r="S76" i="1"/>
  <c r="U76" i="1"/>
  <c r="AM76" i="1" s="1"/>
  <c r="AV76" i="1"/>
  <c r="S77" i="1"/>
  <c r="U77" i="1"/>
  <c r="AV77" i="1"/>
  <c r="AM77" i="1"/>
  <c r="S78" i="1"/>
  <c r="U78" i="1"/>
  <c r="AM78" i="1" s="1"/>
  <c r="AV78" i="1"/>
  <c r="S79" i="1"/>
  <c r="U79" i="1"/>
  <c r="AM79" i="1" s="1"/>
  <c r="S80" i="1"/>
  <c r="U80" i="1"/>
  <c r="AM80" i="1" s="1"/>
  <c r="AV80" i="1"/>
  <c r="S81" i="1"/>
  <c r="U81" i="1"/>
  <c r="AM81" i="1" s="1"/>
  <c r="S82" i="1"/>
  <c r="U82" i="1"/>
  <c r="AM82" i="1" s="1"/>
  <c r="AV82" i="1" s="1"/>
  <c r="S83" i="1"/>
  <c r="U83" i="1"/>
  <c r="AM83" i="1" s="1"/>
  <c r="AV83" i="1"/>
  <c r="S84" i="1"/>
  <c r="U84" i="1"/>
  <c r="AM84" i="1" s="1"/>
  <c r="AV84" i="1"/>
  <c r="S85" i="1"/>
  <c r="U85" i="1"/>
  <c r="AM85" i="1" s="1"/>
  <c r="AV85" i="1"/>
  <c r="S86" i="1"/>
  <c r="U86" i="1"/>
  <c r="AM86" i="1" s="1"/>
  <c r="S87" i="1"/>
  <c r="U87" i="1"/>
  <c r="AM87" i="1" s="1"/>
  <c r="S88" i="1"/>
  <c r="U88" i="1"/>
  <c r="AM88" i="1" s="1"/>
  <c r="AV88" i="1"/>
  <c r="S89" i="1"/>
  <c r="U89" i="1"/>
  <c r="AM89" i="1" s="1"/>
  <c r="AV89" i="1"/>
  <c r="S90" i="1"/>
  <c r="U90" i="1"/>
  <c r="AM90" i="1" s="1"/>
  <c r="S91" i="1"/>
  <c r="U91" i="1"/>
  <c r="AM91" i="1" s="1"/>
  <c r="S92" i="1"/>
  <c r="U92" i="1"/>
  <c r="AM92" i="1" s="1"/>
  <c r="S93" i="1"/>
  <c r="U93" i="1"/>
  <c r="AM93" i="1" s="1"/>
  <c r="S94" i="1"/>
  <c r="U94" i="1"/>
  <c r="AM94" i="1" s="1"/>
  <c r="AV94" i="1"/>
  <c r="S95" i="1"/>
  <c r="U95" i="1"/>
  <c r="AM95" i="1" s="1"/>
  <c r="AV95" i="1"/>
  <c r="S96" i="1"/>
  <c r="U96" i="1"/>
  <c r="AM96" i="1" s="1"/>
  <c r="S97" i="1"/>
  <c r="U97" i="1"/>
  <c r="AM97" i="1"/>
  <c r="S98" i="1"/>
  <c r="U98" i="1"/>
  <c r="AM98" i="1" s="1"/>
  <c r="AV98" i="1" s="1"/>
  <c r="S99" i="1"/>
  <c r="U99" i="1"/>
  <c r="AM99" i="1" s="1"/>
  <c r="AV99" i="1"/>
  <c r="S100" i="1"/>
  <c r="U100" i="1"/>
  <c r="AM100" i="1" s="1"/>
  <c r="AV100" i="1" s="1"/>
  <c r="S101" i="1"/>
  <c r="U101" i="1"/>
  <c r="AM101" i="1" s="1"/>
  <c r="AV101" i="1"/>
  <c r="S102" i="1"/>
  <c r="U102" i="1"/>
  <c r="AM102" i="1" s="1"/>
  <c r="S103" i="1"/>
  <c r="U103" i="1"/>
  <c r="AM103" i="1" s="1"/>
  <c r="AV103" i="1"/>
  <c r="S104" i="1"/>
  <c r="U104" i="1"/>
  <c r="AM104" i="1" s="1"/>
  <c r="S105" i="1"/>
  <c r="U105" i="1"/>
  <c r="AM105" i="1" s="1"/>
  <c r="AV105" i="1"/>
  <c r="S106" i="1"/>
  <c r="U106" i="1"/>
  <c r="AM106" i="1" s="1"/>
  <c r="AV106" i="1" s="1"/>
  <c r="S107" i="1"/>
  <c r="U107" i="1"/>
  <c r="AM107" i="1" s="1"/>
  <c r="S108" i="1"/>
  <c r="U108" i="1"/>
  <c r="AM108" i="1" s="1"/>
  <c r="S109" i="1"/>
  <c r="U109" i="1"/>
  <c r="AM109" i="1" s="1"/>
  <c r="S110" i="1"/>
  <c r="U110" i="1"/>
  <c r="AM110" i="1" s="1"/>
  <c r="S111" i="1"/>
  <c r="U111" i="1"/>
  <c r="AM111" i="1" s="1"/>
  <c r="S112" i="1"/>
  <c r="U112" i="1"/>
  <c r="AM112" i="1" s="1"/>
  <c r="AV112" i="1" s="1"/>
  <c r="S113" i="1"/>
  <c r="U113" i="1"/>
  <c r="AM113" i="1" s="1"/>
  <c r="AV113" i="1" s="1"/>
  <c r="S114" i="1"/>
  <c r="U114" i="1"/>
  <c r="AM114" i="1" s="1"/>
  <c r="AV114" i="1"/>
  <c r="S115" i="1"/>
  <c r="U115" i="1"/>
  <c r="AM115" i="1" s="1"/>
  <c r="S116" i="1"/>
  <c r="U116" i="1"/>
  <c r="AM116" i="1" s="1"/>
  <c r="S117" i="1"/>
  <c r="U117" i="1"/>
  <c r="AM117" i="1"/>
  <c r="S118" i="1"/>
  <c r="U118" i="1"/>
  <c r="AM118" i="1" s="1"/>
  <c r="AV118" i="1" s="1"/>
  <c r="S119" i="1"/>
  <c r="U119" i="1"/>
  <c r="AM119" i="1" s="1"/>
  <c r="S120" i="1"/>
  <c r="U120" i="1"/>
  <c r="AM120" i="1" s="1"/>
  <c r="S121" i="1"/>
  <c r="U121" i="1"/>
  <c r="AM121" i="1" s="1"/>
  <c r="S122" i="1"/>
  <c r="U122" i="1"/>
  <c r="AM122" i="1" s="1"/>
  <c r="S123" i="1"/>
  <c r="U123" i="1"/>
  <c r="AM123" i="1" s="1"/>
  <c r="S124" i="1"/>
  <c r="U124" i="1"/>
  <c r="AM124" i="1" s="1"/>
  <c r="S125" i="1"/>
  <c r="U125" i="1"/>
  <c r="AM125" i="1" s="1"/>
  <c r="S126" i="1"/>
  <c r="U126" i="1"/>
  <c r="AM126" i="1"/>
  <c r="AV126" i="1"/>
  <c r="S127" i="1"/>
  <c r="U127" i="1"/>
  <c r="AM127" i="1" s="1"/>
  <c r="S128" i="1"/>
  <c r="U128" i="1"/>
  <c r="AM128" i="1"/>
  <c r="S129" i="1"/>
  <c r="U129" i="1"/>
  <c r="AM129" i="1" s="1"/>
  <c r="S130" i="1"/>
  <c r="U130" i="1"/>
  <c r="AM130" i="1" s="1"/>
  <c r="S131" i="1"/>
  <c r="U131" i="1"/>
  <c r="AM131" i="1"/>
  <c r="AV131" i="1"/>
  <c r="S132" i="1"/>
  <c r="U132" i="1"/>
  <c r="AM132" i="1" s="1"/>
  <c r="S133" i="1"/>
  <c r="U133" i="1"/>
  <c r="AM133" i="1"/>
  <c r="S134" i="1"/>
  <c r="U134" i="1"/>
  <c r="AM134" i="1" s="1"/>
  <c r="AU134" i="1" s="1"/>
  <c r="S135" i="1"/>
  <c r="U135" i="1"/>
  <c r="AM135" i="1" s="1"/>
  <c r="S136" i="1"/>
  <c r="U136" i="1"/>
  <c r="AM136" i="1" s="1"/>
  <c r="AV136" i="1"/>
  <c r="S137" i="1"/>
  <c r="U137" i="1"/>
  <c r="AM137" i="1" s="1"/>
  <c r="S138" i="1"/>
  <c r="U138" i="1"/>
  <c r="AM138" i="1" s="1"/>
  <c r="S139" i="1"/>
  <c r="U139" i="1"/>
  <c r="AM139" i="1" s="1"/>
  <c r="AU139" i="1" s="1"/>
  <c r="S140" i="1"/>
  <c r="U140" i="1"/>
  <c r="AM140" i="1"/>
  <c r="S141" i="1"/>
  <c r="U141" i="1"/>
  <c r="AM141" i="1"/>
  <c r="AV141" i="1" s="1"/>
  <c r="S142" i="1"/>
  <c r="U142" i="1"/>
  <c r="AM142" i="1" s="1"/>
  <c r="S143" i="1"/>
  <c r="U143" i="1"/>
  <c r="AM143" i="1" s="1"/>
  <c r="S144" i="1"/>
  <c r="U144" i="1"/>
  <c r="AM144" i="1" s="1"/>
  <c r="S145" i="1"/>
  <c r="U145" i="1"/>
  <c r="AM145" i="1" s="1"/>
  <c r="AV145" i="1"/>
  <c r="S146" i="1"/>
  <c r="U146" i="1"/>
  <c r="AM146" i="1" s="1"/>
  <c r="AV146" i="1" s="1"/>
  <c r="S147" i="1"/>
  <c r="U147" i="1"/>
  <c r="AM147" i="1" s="1"/>
  <c r="S148" i="1"/>
  <c r="U148" i="1"/>
  <c r="AM148" i="1"/>
  <c r="S149" i="1"/>
  <c r="U149" i="1"/>
  <c r="AM149" i="1" s="1"/>
  <c r="S150" i="1"/>
  <c r="U150" i="1"/>
  <c r="AM150" i="1" s="1"/>
  <c r="AV150" i="1" s="1"/>
  <c r="S151" i="1"/>
  <c r="U151" i="1"/>
  <c r="AM151" i="1" s="1"/>
  <c r="S152" i="1"/>
  <c r="U152" i="1"/>
  <c r="AM152" i="1" s="1"/>
  <c r="S153" i="1"/>
  <c r="U153" i="1"/>
  <c r="AM153" i="1"/>
  <c r="S154" i="1"/>
  <c r="U154" i="1"/>
  <c r="AM154" i="1" s="1"/>
  <c r="AV154" i="1"/>
  <c r="S155" i="1"/>
  <c r="U155" i="1"/>
  <c r="AM155" i="1" s="1"/>
  <c r="AV155" i="1" s="1"/>
  <c r="S156" i="1"/>
  <c r="U156" i="1"/>
  <c r="AM156" i="1"/>
  <c r="S157" i="1"/>
  <c r="U157" i="1"/>
  <c r="AM157" i="1" s="1"/>
  <c r="S158" i="1"/>
  <c r="U158" i="1"/>
  <c r="AM158" i="1" s="1"/>
  <c r="S159" i="1"/>
  <c r="U159" i="1"/>
  <c r="AM159" i="1" s="1"/>
  <c r="AV159" i="1"/>
  <c r="S160" i="1"/>
  <c r="U160" i="1"/>
  <c r="AM160" i="1"/>
  <c r="S161" i="1"/>
  <c r="U161" i="1"/>
  <c r="AM161" i="1" s="1"/>
  <c r="S162" i="1"/>
  <c r="U162" i="1"/>
  <c r="AM162" i="1" s="1"/>
  <c r="S163" i="1"/>
  <c r="U163" i="1"/>
  <c r="AM163" i="1" s="1"/>
  <c r="S164" i="1"/>
  <c r="U164" i="1"/>
  <c r="AM164" i="1" s="1"/>
  <c r="AV164" i="1"/>
  <c r="S165" i="1"/>
  <c r="U165" i="1"/>
  <c r="AM165" i="1"/>
  <c r="S166" i="1"/>
  <c r="U166" i="1"/>
  <c r="AM166" i="1" s="1"/>
  <c r="S167" i="1"/>
  <c r="U167" i="1"/>
  <c r="AM167" i="1" s="1"/>
  <c r="S168" i="1"/>
  <c r="U168" i="1"/>
  <c r="AM168" i="1" s="1"/>
  <c r="S169" i="1"/>
  <c r="U169" i="1"/>
  <c r="AM169" i="1" s="1"/>
  <c r="S170" i="1"/>
  <c r="U170" i="1"/>
  <c r="AM170" i="1"/>
  <c r="S171" i="1"/>
  <c r="U171" i="1"/>
  <c r="AM171" i="1" s="1"/>
  <c r="AU171" i="1"/>
  <c r="AV171" i="1"/>
  <c r="S172" i="1"/>
  <c r="U172" i="1"/>
  <c r="AM172" i="1" s="1"/>
  <c r="S173" i="1"/>
  <c r="U173" i="1"/>
  <c r="AM173" i="1"/>
  <c r="S174" i="1"/>
  <c r="U174" i="1"/>
  <c r="AM174" i="1" s="1"/>
  <c r="S175" i="1"/>
  <c r="U175" i="1"/>
  <c r="AM175" i="1" s="1"/>
  <c r="S176" i="1"/>
  <c r="U176" i="1"/>
  <c r="AM176" i="1" s="1"/>
  <c r="AV176" i="1"/>
  <c r="S177" i="1"/>
  <c r="U177" i="1"/>
  <c r="AM177" i="1" s="1"/>
  <c r="S178" i="1"/>
  <c r="U178" i="1"/>
  <c r="AM178" i="1" s="1"/>
  <c r="S179" i="1"/>
  <c r="U179" i="1"/>
  <c r="AM179" i="1" s="1"/>
  <c r="S180" i="1"/>
  <c r="U180" i="1"/>
  <c r="AM180" i="1" s="1"/>
  <c r="S181" i="1"/>
  <c r="U181" i="1"/>
  <c r="AM181" i="1" s="1"/>
  <c r="S182" i="1"/>
  <c r="U182" i="1"/>
  <c r="AM182" i="1" s="1"/>
  <c r="S183" i="1"/>
  <c r="U183" i="1"/>
  <c r="AM183" i="1"/>
  <c r="S184" i="1"/>
  <c r="U184" i="1"/>
  <c r="AM184" i="1" s="1"/>
  <c r="S185" i="1"/>
  <c r="U185" i="1"/>
  <c r="AM185" i="1"/>
  <c r="S186" i="1"/>
  <c r="U186" i="1"/>
  <c r="AM186" i="1" s="1"/>
  <c r="AV186" i="1" s="1"/>
  <c r="S187" i="1"/>
  <c r="U187" i="1"/>
  <c r="AM187" i="1" s="1"/>
  <c r="S188" i="1"/>
  <c r="U188" i="1"/>
  <c r="AM188" i="1"/>
  <c r="S189" i="1"/>
  <c r="U189" i="1"/>
  <c r="AM189" i="1" s="1"/>
  <c r="S190" i="1"/>
  <c r="U190" i="1"/>
  <c r="AM190" i="1"/>
  <c r="S191" i="1"/>
  <c r="U191" i="1"/>
  <c r="AM191" i="1" s="1"/>
  <c r="S192" i="1"/>
  <c r="U192" i="1"/>
  <c r="AM192" i="1" s="1"/>
  <c r="S193" i="1"/>
  <c r="U193" i="1"/>
  <c r="AM193" i="1"/>
  <c r="S194" i="1"/>
  <c r="U194" i="1"/>
  <c r="AM194" i="1" s="1"/>
  <c r="S195" i="1"/>
  <c r="U195" i="1"/>
  <c r="AM195" i="1" s="1"/>
  <c r="AV195" i="1" s="1"/>
  <c r="S196" i="1"/>
  <c r="U196" i="1"/>
  <c r="AM196" i="1" s="1"/>
  <c r="S197" i="1"/>
  <c r="U197" i="1"/>
  <c r="AM197" i="1" s="1"/>
  <c r="AU197" i="1"/>
  <c r="S198" i="1"/>
  <c r="U198" i="1"/>
  <c r="AM198" i="1"/>
  <c r="AV198" i="1" s="1"/>
  <c r="S199" i="1"/>
  <c r="U199" i="1"/>
  <c r="AM199" i="1" s="1"/>
  <c r="S200" i="1"/>
  <c r="U200" i="1"/>
  <c r="AM200" i="1"/>
  <c r="S201" i="1"/>
  <c r="U201" i="1"/>
  <c r="AM201" i="1" s="1"/>
  <c r="AV201" i="1"/>
  <c r="S202" i="1"/>
  <c r="U202" i="1"/>
  <c r="AM202" i="1" s="1"/>
  <c r="AU202" i="1"/>
  <c r="S203" i="1"/>
  <c r="U203" i="1"/>
  <c r="AM203" i="1"/>
  <c r="S204" i="1"/>
  <c r="U204" i="1"/>
  <c r="AM204" i="1" s="1"/>
  <c r="AU204" i="1"/>
  <c r="S205" i="1"/>
  <c r="U205" i="1"/>
  <c r="AM205" i="1" s="1"/>
  <c r="S206" i="1"/>
  <c r="U206" i="1"/>
  <c r="AM206" i="1" s="1"/>
  <c r="S207" i="1"/>
  <c r="U207" i="1"/>
  <c r="AM207" i="1" s="1"/>
  <c r="AV207" i="1" s="1"/>
  <c r="S208" i="1"/>
  <c r="U208" i="1"/>
  <c r="AM208" i="1" s="1"/>
  <c r="S209" i="1"/>
  <c r="U209" i="1"/>
  <c r="AM209" i="1" s="1"/>
  <c r="S210" i="1"/>
  <c r="U210" i="1"/>
  <c r="AM210" i="1" s="1"/>
  <c r="S211" i="1"/>
  <c r="U211" i="1"/>
  <c r="AM211" i="1" s="1"/>
  <c r="S212" i="1"/>
  <c r="U212" i="1"/>
  <c r="AM212" i="1" s="1"/>
  <c r="AV212" i="1" s="1"/>
  <c r="S213" i="1"/>
  <c r="U213" i="1"/>
  <c r="AM213" i="1" s="1"/>
  <c r="S214" i="1"/>
  <c r="U214" i="1"/>
  <c r="AM214" i="1" s="1"/>
  <c r="S215" i="1"/>
  <c r="U215" i="1"/>
  <c r="AM215" i="1" s="1"/>
  <c r="AV215" i="1"/>
  <c r="S216" i="1"/>
  <c r="U216" i="1"/>
  <c r="AM216" i="1" s="1"/>
  <c r="S217" i="1"/>
  <c r="U217" i="1"/>
  <c r="AM217" i="1" s="1"/>
  <c r="AV217" i="1"/>
  <c r="S218" i="1"/>
  <c r="U218" i="1"/>
  <c r="AM218" i="1" s="1"/>
  <c r="S219" i="1"/>
  <c r="U219" i="1"/>
  <c r="AM219" i="1" s="1"/>
  <c r="S220" i="1"/>
  <c r="U220" i="1"/>
  <c r="AM220" i="1" s="1"/>
  <c r="S221" i="1"/>
  <c r="U221" i="1"/>
  <c r="AM221" i="1" s="1"/>
  <c r="S222" i="1"/>
  <c r="U222" i="1"/>
  <c r="AM222" i="1" s="1"/>
  <c r="S223" i="1"/>
  <c r="U223" i="1"/>
  <c r="AM223" i="1"/>
  <c r="S224" i="1"/>
  <c r="U224" i="1"/>
  <c r="AM224" i="1" s="1"/>
  <c r="S225" i="1"/>
  <c r="U225" i="1"/>
  <c r="AM225" i="1"/>
  <c r="S226" i="1"/>
  <c r="U226" i="1"/>
  <c r="AM226" i="1" s="1"/>
  <c r="S227" i="1"/>
  <c r="U227" i="1"/>
  <c r="AM227" i="1" s="1"/>
  <c r="S228" i="1"/>
  <c r="U228" i="1"/>
  <c r="AM228" i="1"/>
  <c r="S229" i="1"/>
  <c r="U229" i="1"/>
  <c r="AM229" i="1" s="1"/>
  <c r="S230" i="1"/>
  <c r="U230" i="1"/>
  <c r="AM230" i="1" s="1"/>
  <c r="AV230" i="1" s="1"/>
  <c r="S231" i="1"/>
  <c r="U231" i="1"/>
  <c r="AM231" i="1" s="1"/>
  <c r="S232" i="1"/>
  <c r="U232" i="1"/>
  <c r="AM232" i="1" s="1"/>
  <c r="S233" i="1"/>
  <c r="U233" i="1"/>
  <c r="AM233" i="1" s="1"/>
  <c r="S234" i="1"/>
  <c r="U234" i="1"/>
  <c r="AM234" i="1" s="1"/>
  <c r="S235" i="1"/>
  <c r="U235" i="1"/>
  <c r="AM235" i="1" s="1"/>
  <c r="S236" i="1"/>
  <c r="U236" i="1"/>
  <c r="AM236" i="1" s="1"/>
  <c r="S237" i="1"/>
  <c r="U237" i="1"/>
  <c r="AM237" i="1" s="1"/>
  <c r="S238" i="1"/>
  <c r="U238" i="1"/>
  <c r="AM238" i="1" s="1"/>
  <c r="S239" i="1"/>
  <c r="U239" i="1"/>
  <c r="AM239" i="1" s="1"/>
  <c r="S240" i="1"/>
  <c r="U240" i="1"/>
  <c r="AM240" i="1"/>
  <c r="S241" i="1"/>
  <c r="U241" i="1"/>
  <c r="AM241" i="1"/>
  <c r="AV241" i="1" s="1"/>
  <c r="S242" i="1"/>
  <c r="U242" i="1"/>
  <c r="AM242" i="1" s="1"/>
  <c r="S243" i="1"/>
  <c r="U243" i="1"/>
  <c r="AW243" i="1"/>
  <c r="AM243" i="1"/>
  <c r="AU243" i="1" s="1"/>
  <c r="S244" i="1"/>
  <c r="U244" i="1"/>
  <c r="AM244" i="1"/>
  <c r="AV244" i="1" s="1"/>
  <c r="S245" i="1"/>
  <c r="U245" i="1"/>
  <c r="AM245" i="1" s="1"/>
  <c r="AV245" i="1" s="1"/>
  <c r="S246" i="1"/>
  <c r="U246" i="1"/>
  <c r="AM246" i="1" s="1"/>
  <c r="S247" i="1"/>
  <c r="U247" i="1"/>
  <c r="AM247" i="1" s="1"/>
  <c r="AV247" i="1"/>
  <c r="S248" i="1"/>
  <c r="U248" i="1"/>
  <c r="AM248" i="1" s="1"/>
  <c r="AV248" i="1" s="1"/>
  <c r="S249" i="1"/>
  <c r="U249" i="1"/>
  <c r="AM249" i="1" s="1"/>
  <c r="S250" i="1"/>
  <c r="U250" i="1"/>
  <c r="AM250" i="1" s="1"/>
  <c r="AV250" i="1" s="1"/>
  <c r="S251" i="1"/>
  <c r="U251" i="1"/>
  <c r="AM251" i="1"/>
  <c r="S252" i="1"/>
  <c r="U252" i="1"/>
  <c r="AM252" i="1" s="1"/>
  <c r="S253" i="1"/>
  <c r="U253" i="1"/>
  <c r="AU253" i="1"/>
  <c r="AM253" i="1"/>
  <c r="S254" i="1"/>
  <c r="U254" i="1"/>
  <c r="AM254" i="1" s="1"/>
  <c r="S255" i="1"/>
  <c r="U255" i="1"/>
  <c r="AM255" i="1" s="1"/>
  <c r="AW255" i="1" s="1"/>
  <c r="S256" i="1"/>
  <c r="U256" i="1"/>
  <c r="AM256" i="1" s="1"/>
  <c r="S257" i="1"/>
  <c r="U257" i="1"/>
  <c r="AM257" i="1" s="1"/>
  <c r="S258" i="1"/>
  <c r="U258" i="1"/>
  <c r="AM258" i="1" s="1"/>
  <c r="S259" i="1"/>
  <c r="U259" i="1"/>
  <c r="AM259" i="1"/>
  <c r="S260" i="1"/>
  <c r="U260" i="1"/>
  <c r="AM260" i="1" s="1"/>
  <c r="S261" i="1"/>
  <c r="U261" i="1"/>
  <c r="AM261" i="1" s="1"/>
  <c r="S262" i="1"/>
  <c r="U262" i="1"/>
  <c r="AM262" i="1" s="1"/>
  <c r="S263" i="1"/>
  <c r="U263" i="1"/>
  <c r="AM263" i="1" s="1"/>
  <c r="S264" i="1"/>
  <c r="U264" i="1"/>
  <c r="AM264" i="1"/>
  <c r="AV264" i="1" s="1"/>
  <c r="S265" i="1"/>
  <c r="U265" i="1"/>
  <c r="AM265" i="1" s="1"/>
  <c r="S266" i="1"/>
  <c r="U266" i="1"/>
  <c r="AM266" i="1"/>
  <c r="S267" i="1"/>
  <c r="U267" i="1"/>
  <c r="AM267" i="1" s="1"/>
  <c r="AU267" i="1"/>
  <c r="S268" i="1"/>
  <c r="U268" i="1"/>
  <c r="AM268" i="1"/>
  <c r="S269" i="1"/>
  <c r="U269" i="1"/>
  <c r="AM269" i="1" s="1"/>
  <c r="S270" i="1"/>
  <c r="U270" i="1"/>
  <c r="AM270" i="1" s="1"/>
  <c r="S271" i="1"/>
  <c r="U271" i="1"/>
  <c r="AM271" i="1" s="1"/>
  <c r="S272" i="1"/>
  <c r="U272" i="1"/>
  <c r="AM272" i="1" s="1"/>
  <c r="S273" i="1"/>
  <c r="U273" i="1"/>
  <c r="AM273" i="1" s="1"/>
  <c r="S274" i="1"/>
  <c r="U274" i="1"/>
  <c r="AM274" i="1"/>
  <c r="AU274" i="1" s="1"/>
  <c r="S275" i="1"/>
  <c r="U275" i="1"/>
  <c r="AM275" i="1" s="1"/>
  <c r="S276" i="1"/>
  <c r="U276" i="1"/>
  <c r="AM276" i="1"/>
  <c r="S277" i="1"/>
  <c r="U277" i="1"/>
  <c r="AM277" i="1" s="1"/>
  <c r="AW277" i="1"/>
  <c r="S278" i="1"/>
  <c r="U278" i="1"/>
  <c r="AM278" i="1"/>
  <c r="S279" i="1"/>
  <c r="U279" i="1"/>
  <c r="AM279" i="1" s="1"/>
  <c r="S280" i="1"/>
  <c r="U280" i="1"/>
  <c r="AM280" i="1" s="1"/>
  <c r="S281" i="1"/>
  <c r="U281" i="1"/>
  <c r="AM281" i="1" s="1"/>
  <c r="S282" i="1"/>
  <c r="U282" i="1"/>
  <c r="AM282" i="1" s="1"/>
  <c r="AU282" i="1"/>
  <c r="S283" i="1"/>
  <c r="U283" i="1"/>
  <c r="AM283" i="1"/>
  <c r="AV283" i="1"/>
  <c r="S284" i="1"/>
  <c r="U284" i="1"/>
  <c r="AM284" i="1" s="1"/>
  <c r="S285" i="1"/>
  <c r="U285" i="1"/>
  <c r="AM285" i="1"/>
  <c r="S286" i="1"/>
  <c r="U286" i="1"/>
  <c r="AM286" i="1" s="1"/>
  <c r="S287" i="1"/>
  <c r="U287" i="1"/>
  <c r="AM287" i="1" s="1"/>
  <c r="S288" i="1"/>
  <c r="U288" i="1"/>
  <c r="AM288" i="1" s="1"/>
  <c r="S289" i="1"/>
  <c r="U289" i="1"/>
  <c r="AM289" i="1" s="1"/>
  <c r="S290" i="1"/>
  <c r="U290" i="1"/>
  <c r="AM290" i="1" s="1"/>
  <c r="S291" i="1"/>
  <c r="U291" i="1"/>
  <c r="AM291" i="1"/>
  <c r="AV291" i="1"/>
  <c r="S292" i="1"/>
  <c r="U292" i="1"/>
  <c r="AM292" i="1" s="1"/>
  <c r="S293" i="1"/>
  <c r="U293" i="1"/>
  <c r="AM293" i="1"/>
  <c r="AU293" i="1" s="1"/>
  <c r="S294" i="1"/>
  <c r="U294" i="1"/>
  <c r="AM294" i="1" s="1"/>
  <c r="S295" i="1"/>
  <c r="U295" i="1"/>
  <c r="AM295" i="1" s="1"/>
  <c r="S296" i="1"/>
  <c r="U296" i="1"/>
  <c r="AM296" i="1" s="1"/>
  <c r="S297" i="1"/>
  <c r="U297" i="1"/>
  <c r="AM297" i="1" s="1"/>
  <c r="AU297" i="1"/>
  <c r="S298" i="1"/>
  <c r="U298" i="1"/>
  <c r="AM298" i="1"/>
  <c r="AW298" i="1" s="1"/>
  <c r="S299" i="1"/>
  <c r="U299" i="1"/>
  <c r="AM299" i="1" s="1"/>
  <c r="S300" i="1"/>
  <c r="U300" i="1"/>
  <c r="AM300" i="1" s="1"/>
  <c r="S301" i="1"/>
  <c r="U301" i="1"/>
  <c r="AM301" i="1"/>
  <c r="S302" i="1"/>
  <c r="U302" i="1"/>
  <c r="AM302" i="1" s="1"/>
  <c r="AV302" i="1"/>
  <c r="S303" i="1"/>
  <c r="U303" i="1"/>
  <c r="AM303" i="1" s="1"/>
  <c r="S304" i="1"/>
  <c r="U304" i="1"/>
  <c r="AM304" i="1" s="1"/>
  <c r="AV304" i="1" s="1"/>
  <c r="S305" i="1"/>
  <c r="U305" i="1"/>
  <c r="AM305" i="1" s="1"/>
  <c r="S306" i="1"/>
  <c r="U306" i="1"/>
  <c r="AM306" i="1"/>
  <c r="S307" i="1"/>
  <c r="U307" i="1"/>
  <c r="AM307" i="1" s="1"/>
  <c r="AU307" i="1"/>
  <c r="S308" i="1"/>
  <c r="U308" i="1"/>
  <c r="AM308" i="1"/>
  <c r="S309" i="1"/>
  <c r="U309" i="1"/>
  <c r="AM309" i="1" s="1"/>
  <c r="S310" i="1"/>
  <c r="U310" i="1"/>
  <c r="AM310" i="1" s="1"/>
  <c r="AV310" i="1" s="1"/>
  <c r="S311" i="1"/>
  <c r="U311" i="1"/>
  <c r="AM311" i="1" s="1"/>
  <c r="S312" i="1"/>
  <c r="U312" i="1"/>
  <c r="AM312" i="1" s="1"/>
  <c r="S313" i="1"/>
  <c r="U313" i="1"/>
  <c r="AM313" i="1" s="1"/>
  <c r="S314" i="1"/>
  <c r="U314" i="1"/>
  <c r="AM314" i="1"/>
  <c r="S315" i="1"/>
  <c r="U315" i="1"/>
  <c r="AM315" i="1" s="1"/>
  <c r="S316" i="1"/>
  <c r="U316" i="1"/>
  <c r="AM316" i="1" s="1"/>
  <c r="S317" i="1"/>
  <c r="U317" i="1"/>
  <c r="AM317" i="1" s="1"/>
  <c r="S318" i="1"/>
  <c r="U318" i="1"/>
  <c r="AM318" i="1" s="1"/>
  <c r="S319" i="1"/>
  <c r="U319" i="1"/>
  <c r="AM319" i="1" s="1"/>
  <c r="S320" i="1"/>
  <c r="U320" i="1"/>
  <c r="AM320" i="1" s="1"/>
  <c r="S321" i="1"/>
  <c r="U321" i="1"/>
  <c r="AM321" i="1" s="1"/>
  <c r="S322" i="1"/>
  <c r="U322" i="1"/>
  <c r="AM322" i="1" s="1"/>
  <c r="AU322" i="1" s="1"/>
  <c r="S323" i="1"/>
  <c r="U323" i="1"/>
  <c r="AM323" i="1" s="1"/>
  <c r="S324" i="1"/>
  <c r="U324" i="1"/>
  <c r="AM324" i="1" s="1"/>
  <c r="S325" i="1"/>
  <c r="U325" i="1"/>
  <c r="AM325" i="1" s="1"/>
  <c r="S326" i="1"/>
  <c r="U326" i="1"/>
  <c r="AM326" i="1" s="1"/>
  <c r="S327" i="1"/>
  <c r="U327" i="1"/>
  <c r="AM327" i="1" s="1"/>
  <c r="S328" i="1"/>
  <c r="U328" i="1"/>
  <c r="AM328" i="1" s="1"/>
  <c r="S329" i="1"/>
  <c r="U329" i="1"/>
  <c r="AM329" i="1"/>
  <c r="S330" i="1"/>
  <c r="U330" i="1"/>
  <c r="AM330" i="1" s="1"/>
  <c r="S331" i="1"/>
  <c r="U331" i="1"/>
  <c r="AM331" i="1" s="1"/>
  <c r="S332" i="1"/>
  <c r="U332" i="1"/>
  <c r="AM332" i="1" s="1"/>
  <c r="S333" i="1"/>
  <c r="U333" i="1"/>
  <c r="AM333" i="1"/>
  <c r="AV333" i="1"/>
  <c r="S334" i="1"/>
  <c r="U334" i="1"/>
  <c r="AM334" i="1" s="1"/>
  <c r="S335" i="1"/>
  <c r="U335" i="1"/>
  <c r="AM335" i="1" s="1"/>
  <c r="AU335" i="1" s="1"/>
  <c r="S336" i="1"/>
  <c r="U336" i="1"/>
  <c r="AM336" i="1" s="1"/>
  <c r="S337" i="1"/>
  <c r="U337" i="1"/>
  <c r="AM337" i="1" s="1"/>
  <c r="S338" i="1"/>
  <c r="U338" i="1"/>
  <c r="AM338" i="1" s="1"/>
  <c r="S339" i="1"/>
  <c r="U339" i="1"/>
  <c r="AM339" i="1"/>
  <c r="S340" i="1"/>
  <c r="U340" i="1"/>
  <c r="AM340" i="1" s="1"/>
  <c r="AU340" i="1" s="1"/>
  <c r="S341" i="1"/>
  <c r="U341" i="1"/>
  <c r="AM341" i="1" s="1"/>
  <c r="S342" i="1"/>
  <c r="U342" i="1"/>
  <c r="AM342" i="1" s="1"/>
  <c r="S343" i="1"/>
  <c r="U343" i="1"/>
  <c r="AM343" i="1" s="1"/>
  <c r="S344" i="1"/>
  <c r="U344" i="1"/>
  <c r="AM344" i="1"/>
  <c r="S345" i="1"/>
  <c r="U345" i="1"/>
  <c r="AM345" i="1" s="1"/>
  <c r="S346" i="1"/>
  <c r="U346" i="1"/>
  <c r="AM346" i="1" s="1"/>
  <c r="S347" i="1"/>
  <c r="U347" i="1"/>
  <c r="AM347" i="1" s="1"/>
  <c r="S348" i="1"/>
  <c r="U348" i="1"/>
  <c r="AM348" i="1" s="1"/>
  <c r="S349" i="1"/>
  <c r="U349" i="1"/>
  <c r="AM349" i="1"/>
  <c r="S350" i="1"/>
  <c r="U350" i="1"/>
  <c r="AM350" i="1" s="1"/>
  <c r="S351" i="1"/>
  <c r="U351" i="1"/>
  <c r="AM351" i="1" s="1"/>
  <c r="S352" i="1"/>
  <c r="U352" i="1"/>
  <c r="AM352" i="1" s="1"/>
  <c r="S353" i="1"/>
  <c r="U353" i="1"/>
  <c r="AM353" i="1" s="1"/>
  <c r="AU353" i="1"/>
  <c r="S354" i="1"/>
  <c r="U354" i="1"/>
  <c r="AM354" i="1"/>
  <c r="S355" i="1"/>
  <c r="U355" i="1"/>
  <c r="AM355" i="1" s="1"/>
  <c r="AU355" i="1"/>
  <c r="S356" i="1"/>
  <c r="U356" i="1"/>
  <c r="AM356" i="1" s="1"/>
  <c r="S357" i="1"/>
  <c r="U357" i="1"/>
  <c r="AM357" i="1" s="1"/>
  <c r="S358" i="1"/>
  <c r="U358" i="1"/>
  <c r="AM358" i="1" s="1"/>
  <c r="AV358" i="1" s="1"/>
  <c r="S359" i="1"/>
  <c r="U359" i="1"/>
  <c r="AM359" i="1" s="1"/>
  <c r="S360" i="1"/>
  <c r="U360" i="1"/>
  <c r="AM360" i="1" s="1"/>
  <c r="AV360" i="1" s="1"/>
  <c r="S361" i="1"/>
  <c r="U361" i="1"/>
  <c r="AM361" i="1" s="1"/>
  <c r="S362" i="1"/>
  <c r="U362" i="1"/>
  <c r="AM362" i="1" s="1"/>
  <c r="S363" i="1"/>
  <c r="U363" i="1"/>
  <c r="AM363" i="1" s="1"/>
  <c r="S364" i="1"/>
  <c r="U364" i="1"/>
  <c r="AM364" i="1" s="1"/>
  <c r="S365" i="1"/>
  <c r="U365" i="1"/>
  <c r="AM365" i="1" s="1"/>
  <c r="S366" i="1"/>
  <c r="U366" i="1"/>
  <c r="AM366" i="1" s="1"/>
  <c r="AU366" i="1"/>
  <c r="S367" i="1"/>
  <c r="U367" i="1"/>
  <c r="AM367" i="1"/>
  <c r="S368" i="1"/>
  <c r="U368" i="1"/>
  <c r="AV368" i="1"/>
  <c r="AM368" i="1"/>
  <c r="S369" i="1"/>
  <c r="U369" i="1"/>
  <c r="AM369" i="1" s="1"/>
  <c r="S370" i="1"/>
  <c r="U370" i="1"/>
  <c r="AM370" i="1" s="1"/>
  <c r="AV370" i="1" s="1"/>
  <c r="S371" i="1"/>
  <c r="U371" i="1"/>
  <c r="AM371" i="1" s="1"/>
  <c r="S372" i="1"/>
  <c r="U372" i="1"/>
  <c r="AM372" i="1" s="1"/>
  <c r="AV372" i="1" s="1"/>
  <c r="S373" i="1"/>
  <c r="U373" i="1"/>
  <c r="AM373" i="1" s="1"/>
  <c r="AV373" i="1" s="1"/>
  <c r="S374" i="1"/>
  <c r="U374" i="1"/>
  <c r="AM374" i="1" s="1"/>
  <c r="AV374" i="1" s="1"/>
  <c r="S375" i="1"/>
  <c r="U375" i="1"/>
  <c r="AM375" i="1" s="1"/>
  <c r="S376" i="1"/>
  <c r="U376" i="1"/>
  <c r="AM376" i="1" s="1"/>
  <c r="S377" i="1"/>
  <c r="U377" i="1"/>
  <c r="AM377" i="1" s="1"/>
  <c r="AV377" i="1" s="1"/>
  <c r="S378" i="1"/>
  <c r="U378" i="1"/>
  <c r="AM378" i="1" s="1"/>
  <c r="AV378" i="1" s="1"/>
  <c r="S379" i="1"/>
  <c r="U379" i="1"/>
  <c r="AM379" i="1" s="1"/>
  <c r="S380" i="1"/>
  <c r="U380" i="1"/>
  <c r="AM380" i="1" s="1"/>
  <c r="S381" i="1"/>
  <c r="U381" i="1"/>
  <c r="AM381" i="1" s="1"/>
  <c r="S382" i="1"/>
  <c r="U382" i="1"/>
  <c r="AM382" i="1" s="1"/>
  <c r="S383" i="1"/>
  <c r="U383" i="1"/>
  <c r="AM383" i="1" s="1"/>
  <c r="S384" i="1"/>
  <c r="U384" i="1"/>
  <c r="AM384" i="1" s="1"/>
  <c r="S385" i="1"/>
  <c r="U385" i="1"/>
  <c r="AM385" i="1" s="1"/>
  <c r="S386" i="1"/>
  <c r="U386" i="1"/>
  <c r="AM386" i="1"/>
  <c r="S387" i="1"/>
  <c r="U387" i="1"/>
  <c r="AM387" i="1" s="1"/>
  <c r="S388" i="1"/>
  <c r="U388" i="1"/>
  <c r="AM388" i="1" s="1"/>
  <c r="S389" i="1"/>
  <c r="U389" i="1"/>
  <c r="AM389" i="1" s="1"/>
  <c r="S390" i="1"/>
  <c r="U390" i="1"/>
  <c r="AM390" i="1" s="1"/>
  <c r="AV390" i="1" s="1"/>
  <c r="S391" i="1"/>
  <c r="U391" i="1"/>
  <c r="AM391" i="1" s="1"/>
  <c r="S392" i="1"/>
  <c r="U392" i="1"/>
  <c r="AM392" i="1" s="1"/>
  <c r="AV392" i="1" s="1"/>
  <c r="S393" i="1"/>
  <c r="U393" i="1"/>
  <c r="AM393" i="1" s="1"/>
  <c r="S394" i="1"/>
  <c r="U394" i="1"/>
  <c r="AM394" i="1" s="1"/>
  <c r="S395" i="1"/>
  <c r="U395" i="1"/>
  <c r="AM395" i="1" s="1"/>
  <c r="S396" i="1"/>
  <c r="U396" i="1"/>
  <c r="AM396" i="1" s="1"/>
  <c r="S397" i="1"/>
  <c r="U397" i="1"/>
  <c r="AM397" i="1" s="1"/>
  <c r="AV397" i="1" s="1"/>
  <c r="S398" i="1"/>
  <c r="U398" i="1"/>
  <c r="AM398" i="1" s="1"/>
  <c r="S399" i="1"/>
  <c r="U399" i="1"/>
  <c r="AM399" i="1" s="1"/>
  <c r="AV399" i="1" s="1"/>
  <c r="S400" i="1"/>
  <c r="U400" i="1"/>
  <c r="AM400" i="1" s="1"/>
  <c r="S401" i="1"/>
  <c r="U401" i="1"/>
  <c r="AM401" i="1" s="1"/>
  <c r="S402" i="1"/>
  <c r="U402" i="1"/>
  <c r="AM402" i="1" s="1"/>
  <c r="S403" i="1"/>
  <c r="U403" i="1"/>
  <c r="AM403" i="1" s="1"/>
  <c r="AV403" i="1" s="1"/>
  <c r="S404" i="1"/>
  <c r="U404" i="1"/>
  <c r="AM404" i="1" s="1"/>
  <c r="S405" i="1"/>
  <c r="U405" i="1"/>
  <c r="AM405" i="1" s="1"/>
  <c r="S406" i="1"/>
  <c r="U406" i="1"/>
  <c r="AM406" i="1"/>
  <c r="S407" i="1"/>
  <c r="U407" i="1"/>
  <c r="AM407" i="1" s="1"/>
  <c r="S408" i="1"/>
  <c r="U408" i="1"/>
  <c r="AM408" i="1" s="1"/>
  <c r="S409" i="1"/>
  <c r="U409" i="1"/>
  <c r="AM409" i="1" s="1"/>
  <c r="S410" i="1"/>
  <c r="U410" i="1"/>
  <c r="AM410" i="1" s="1"/>
  <c r="AV410" i="1" s="1"/>
  <c r="S411" i="1"/>
  <c r="U411" i="1"/>
  <c r="AM411" i="1" s="1"/>
  <c r="S412" i="1"/>
  <c r="U412" i="1"/>
  <c r="AM412" i="1" s="1"/>
  <c r="S413" i="1"/>
  <c r="U413" i="1"/>
  <c r="AM413" i="1" s="1"/>
  <c r="S414" i="1"/>
  <c r="U414" i="1"/>
  <c r="AM414" i="1" s="1"/>
  <c r="AU414" i="1"/>
  <c r="S415" i="1"/>
  <c r="U415" i="1"/>
  <c r="AM415" i="1" s="1"/>
  <c r="AV415" i="1"/>
  <c r="S416" i="1"/>
  <c r="U416" i="1"/>
  <c r="AM416" i="1"/>
  <c r="S417" i="1"/>
  <c r="U417" i="1"/>
  <c r="AM417" i="1" s="1"/>
  <c r="AV417" i="1" s="1"/>
  <c r="S418" i="1"/>
  <c r="U418" i="1"/>
  <c r="AM418" i="1" s="1"/>
  <c r="S419" i="1"/>
  <c r="U419" i="1"/>
  <c r="AM419" i="1" s="1"/>
  <c r="AV419" i="1" s="1"/>
  <c r="S420" i="1"/>
  <c r="U420" i="1"/>
  <c r="AM420" i="1" s="1"/>
  <c r="AV420" i="1" s="1"/>
  <c r="S421" i="1"/>
  <c r="U421" i="1"/>
  <c r="AM421" i="1" s="1"/>
  <c r="S422" i="1"/>
  <c r="U422" i="1"/>
  <c r="AM422" i="1" s="1"/>
  <c r="AV422" i="1" s="1"/>
  <c r="S423" i="1"/>
  <c r="U423" i="1"/>
  <c r="AM423" i="1" s="1"/>
  <c r="S424" i="1"/>
  <c r="U424" i="1"/>
  <c r="AM424" i="1" s="1"/>
  <c r="S425" i="1"/>
  <c r="U425" i="1"/>
  <c r="AM425" i="1"/>
  <c r="S426" i="1"/>
  <c r="U426" i="1"/>
  <c r="AM426" i="1"/>
  <c r="S427" i="1"/>
  <c r="U427" i="1"/>
  <c r="AM427" i="1" s="1"/>
  <c r="S428" i="1"/>
  <c r="U428" i="1"/>
  <c r="AM428" i="1" s="1"/>
  <c r="S429" i="1"/>
  <c r="U429" i="1"/>
  <c r="AM429" i="1" s="1"/>
  <c r="S430" i="1"/>
  <c r="U430" i="1"/>
  <c r="AM430" i="1" s="1"/>
  <c r="S431" i="1"/>
  <c r="U431" i="1"/>
  <c r="AM431" i="1" s="1"/>
  <c r="S432" i="1"/>
  <c r="U432" i="1"/>
  <c r="AM432" i="1" s="1"/>
  <c r="AV432" i="1" s="1"/>
  <c r="S433" i="1"/>
  <c r="U433" i="1"/>
  <c r="AM433" i="1" s="1"/>
  <c r="AV433" i="1" s="1"/>
  <c r="S434" i="1"/>
  <c r="U434" i="1"/>
  <c r="AM434" i="1" s="1"/>
  <c r="S435" i="1"/>
  <c r="U435" i="1"/>
  <c r="AM435" i="1" s="1"/>
  <c r="S436" i="1"/>
  <c r="U436" i="1"/>
  <c r="AM436" i="1"/>
  <c r="S437" i="1"/>
  <c r="U437" i="1"/>
  <c r="AM437" i="1" s="1"/>
  <c r="S438" i="1"/>
  <c r="U438" i="1"/>
  <c r="AM438" i="1" s="1"/>
  <c r="S439" i="1"/>
  <c r="U439" i="1"/>
  <c r="AM439" i="1" s="1"/>
  <c r="AV439" i="1" s="1"/>
  <c r="S440" i="1"/>
  <c r="U440" i="1"/>
  <c r="AM440" i="1" s="1"/>
  <c r="AV440" i="1"/>
  <c r="S441" i="1"/>
  <c r="U441" i="1"/>
  <c r="AM441" i="1"/>
  <c r="S442" i="1"/>
  <c r="U442" i="1"/>
  <c r="AM442" i="1" s="1"/>
  <c r="S443" i="1"/>
  <c r="U443" i="1"/>
  <c r="AM443" i="1" s="1"/>
  <c r="S444" i="1"/>
  <c r="U444" i="1"/>
  <c r="AM444" i="1" s="1"/>
  <c r="S445" i="1"/>
  <c r="U445" i="1"/>
  <c r="AM445" i="1" s="1"/>
  <c r="S446" i="1"/>
  <c r="U446" i="1"/>
  <c r="AM446" i="1"/>
  <c r="S447" i="1"/>
  <c r="U447" i="1"/>
  <c r="AM447" i="1" s="1"/>
  <c r="AU447" i="1"/>
  <c r="S448" i="1"/>
  <c r="U448" i="1"/>
  <c r="AM448" i="1" s="1"/>
  <c r="S449" i="1"/>
  <c r="U449" i="1"/>
  <c r="AM449" i="1" s="1"/>
  <c r="S450" i="1"/>
  <c r="U450" i="1"/>
  <c r="AM450" i="1" s="1"/>
  <c r="AV450" i="1" s="1"/>
  <c r="S451" i="1"/>
  <c r="U451" i="1"/>
  <c r="AM451" i="1"/>
  <c r="S452" i="1"/>
  <c r="U452" i="1"/>
  <c r="AM452" i="1" s="1"/>
  <c r="S453" i="1"/>
  <c r="U453" i="1"/>
  <c r="AM453" i="1" s="1"/>
  <c r="S454" i="1"/>
  <c r="U454" i="1"/>
  <c r="AM454" i="1" s="1"/>
  <c r="S455" i="1"/>
  <c r="U455" i="1"/>
  <c r="AM455" i="1" s="1"/>
  <c r="S456" i="1"/>
  <c r="U456" i="1"/>
  <c r="AM456" i="1" s="1"/>
  <c r="S457" i="1"/>
  <c r="U457" i="1"/>
  <c r="AM457" i="1" s="1"/>
  <c r="AV457" i="1"/>
  <c r="S458" i="1"/>
  <c r="U458" i="1"/>
  <c r="AM458" i="1" s="1"/>
  <c r="S459" i="1"/>
  <c r="U459" i="1"/>
  <c r="AM459" i="1" s="1"/>
  <c r="S460" i="1"/>
  <c r="U460" i="1"/>
  <c r="AM460" i="1" s="1"/>
  <c r="AW460" i="1"/>
  <c r="S461" i="1"/>
  <c r="U461" i="1"/>
  <c r="AM461" i="1" s="1"/>
  <c r="S462" i="1"/>
  <c r="U462" i="1"/>
  <c r="AM462" i="1" s="1"/>
  <c r="S463" i="1"/>
  <c r="U463" i="1"/>
  <c r="AM463" i="1" s="1"/>
  <c r="S464" i="1"/>
  <c r="U464" i="1"/>
  <c r="AM464" i="1" s="1"/>
  <c r="AV464" i="1"/>
  <c r="S465" i="1"/>
  <c r="U465" i="1"/>
  <c r="AM465" i="1" s="1"/>
  <c r="S466" i="1"/>
  <c r="U466" i="1"/>
  <c r="AM466" i="1" s="1"/>
  <c r="S467" i="1"/>
  <c r="U467" i="1"/>
  <c r="AM467" i="1" s="1"/>
  <c r="S468" i="1"/>
  <c r="U468" i="1"/>
  <c r="AM468" i="1"/>
  <c r="AW468" i="1" s="1"/>
  <c r="S469" i="1"/>
  <c r="U469" i="1"/>
  <c r="AM469" i="1" s="1"/>
  <c r="AV469" i="1"/>
  <c r="S470" i="1"/>
  <c r="U470" i="1"/>
  <c r="AM470" i="1" s="1"/>
  <c r="S471" i="1"/>
  <c r="U471" i="1"/>
  <c r="AM471" i="1" s="1"/>
  <c r="S472" i="1"/>
  <c r="U472" i="1"/>
  <c r="AM472" i="1" s="1"/>
  <c r="AU472" i="1"/>
  <c r="S473" i="1"/>
  <c r="U473" i="1"/>
  <c r="AM473" i="1" s="1"/>
  <c r="S474" i="1"/>
  <c r="U474" i="1"/>
  <c r="AM474" i="1" s="1"/>
  <c r="AV474" i="1" s="1"/>
  <c r="S475" i="1"/>
  <c r="U475" i="1"/>
  <c r="AM475" i="1" s="1"/>
  <c r="S476" i="1"/>
  <c r="U476" i="1"/>
  <c r="AM476" i="1" s="1"/>
  <c r="S477" i="1"/>
  <c r="U477" i="1"/>
  <c r="AM477" i="1" s="1"/>
  <c r="S478" i="1"/>
  <c r="U478" i="1"/>
  <c r="AM478" i="1" s="1"/>
  <c r="S479" i="1"/>
  <c r="U479" i="1"/>
  <c r="AM479" i="1" s="1"/>
  <c r="AV479" i="1"/>
  <c r="S480" i="1"/>
  <c r="U480" i="1"/>
  <c r="AM480" i="1" s="1"/>
  <c r="S481" i="1"/>
  <c r="U481" i="1"/>
  <c r="AM481" i="1" s="1"/>
  <c r="S482" i="1"/>
  <c r="U482" i="1"/>
  <c r="AM482" i="1" s="1"/>
  <c r="S483" i="1"/>
  <c r="U483" i="1"/>
  <c r="AM483" i="1" s="1"/>
  <c r="S484" i="1"/>
  <c r="U484" i="1"/>
  <c r="AM484" i="1" s="1"/>
  <c r="AV484" i="1"/>
  <c r="S485" i="1"/>
  <c r="U485" i="1"/>
  <c r="AM485" i="1" s="1"/>
  <c r="AU485" i="1" s="1"/>
  <c r="S486" i="1"/>
  <c r="U486" i="1"/>
  <c r="AM486" i="1" s="1"/>
  <c r="S487" i="1"/>
  <c r="U487" i="1"/>
  <c r="AM487" i="1" s="1"/>
  <c r="AU487" i="1"/>
  <c r="S488" i="1"/>
  <c r="U488" i="1"/>
  <c r="AW488" i="1"/>
  <c r="AM488" i="1"/>
  <c r="S489" i="1"/>
  <c r="U489" i="1"/>
  <c r="AM489" i="1" s="1"/>
  <c r="S490" i="1"/>
  <c r="U490" i="1"/>
  <c r="AU490" i="1"/>
  <c r="AM490" i="1"/>
  <c r="AW490" i="1"/>
  <c r="S491" i="1"/>
  <c r="U491" i="1"/>
  <c r="AM491" i="1" s="1"/>
  <c r="S492" i="1"/>
  <c r="U492" i="1"/>
  <c r="AM492" i="1" s="1"/>
  <c r="S493" i="1"/>
  <c r="U493" i="1"/>
  <c r="AM493" i="1"/>
  <c r="S494" i="1"/>
  <c r="U494" i="1"/>
  <c r="AM494" i="1" s="1"/>
  <c r="S495" i="1"/>
  <c r="U495" i="1"/>
  <c r="AM495" i="1" s="1"/>
  <c r="S496" i="1"/>
  <c r="U496" i="1"/>
  <c r="AM496" i="1" s="1"/>
  <c r="S497" i="1"/>
  <c r="U497" i="1"/>
  <c r="AM497" i="1" s="1"/>
  <c r="S498" i="1"/>
  <c r="U498" i="1"/>
  <c r="AM498" i="1" s="1"/>
  <c r="S499" i="1"/>
  <c r="U499" i="1"/>
  <c r="AM499" i="1" s="1"/>
  <c r="S500" i="1"/>
  <c r="U500" i="1"/>
  <c r="AM500" i="1" s="1"/>
  <c r="S501" i="1"/>
  <c r="U501" i="1"/>
  <c r="AM501" i="1" s="1"/>
  <c r="S502" i="1"/>
  <c r="U502" i="1"/>
  <c r="AM502" i="1" s="1"/>
  <c r="S503" i="1"/>
  <c r="U503" i="1"/>
  <c r="AM503" i="1" s="1"/>
  <c r="S504" i="1"/>
  <c r="U504" i="1"/>
  <c r="AM504" i="1" s="1"/>
  <c r="S505" i="1"/>
  <c r="U505" i="1"/>
  <c r="AM505" i="1" s="1"/>
  <c r="S506" i="1"/>
  <c r="U506" i="1"/>
  <c r="AM506" i="1" s="1"/>
  <c r="AV506" i="1" s="1"/>
  <c r="S507" i="1"/>
  <c r="U507" i="1"/>
  <c r="AM507" i="1" s="1"/>
  <c r="S508" i="1"/>
  <c r="U508" i="1"/>
  <c r="AM508" i="1" s="1"/>
  <c r="S509" i="1"/>
  <c r="U509" i="1"/>
  <c r="AM509" i="1" s="1"/>
  <c r="S510" i="1"/>
  <c r="U510" i="1"/>
  <c r="AM510" i="1" s="1"/>
  <c r="S511" i="1"/>
  <c r="U511" i="1"/>
  <c r="AM511" i="1"/>
  <c r="S512" i="1"/>
  <c r="U512" i="1"/>
  <c r="AM512" i="1"/>
  <c r="S513" i="1"/>
  <c r="U513" i="1"/>
  <c r="AM513" i="1" s="1"/>
  <c r="S514" i="1"/>
  <c r="U514" i="1"/>
  <c r="AM514" i="1" s="1"/>
  <c r="S515" i="1"/>
  <c r="U515" i="1"/>
  <c r="AM515" i="1" s="1"/>
  <c r="S516" i="1"/>
  <c r="U516" i="1"/>
  <c r="AM516" i="1" s="1"/>
  <c r="AU516" i="1" s="1"/>
  <c r="S517" i="1"/>
  <c r="U517" i="1"/>
  <c r="AM517" i="1"/>
  <c r="S518" i="1"/>
  <c r="U518" i="1"/>
  <c r="AM518" i="1" s="1"/>
  <c r="S519" i="1"/>
  <c r="U519" i="1"/>
  <c r="AM519" i="1" s="1"/>
  <c r="AW519" i="1" s="1"/>
  <c r="S520" i="1"/>
  <c r="U520" i="1"/>
  <c r="AM520" i="1"/>
  <c r="S521" i="1"/>
  <c r="U521" i="1"/>
  <c r="AM521" i="1" s="1"/>
  <c r="S522" i="1"/>
  <c r="U522" i="1"/>
  <c r="AM522" i="1" s="1"/>
  <c r="S523" i="1"/>
  <c r="U523" i="1"/>
  <c r="AM523" i="1" s="1"/>
  <c r="S524" i="1"/>
  <c r="U524" i="1"/>
  <c r="AM524" i="1" s="1"/>
  <c r="S525" i="1"/>
  <c r="U525" i="1"/>
  <c r="AM525" i="1"/>
  <c r="S526" i="1"/>
  <c r="U526" i="1"/>
  <c r="AM526" i="1" s="1"/>
  <c r="S527" i="1"/>
  <c r="U527" i="1"/>
  <c r="AM527" i="1" s="1"/>
  <c r="AV527" i="1"/>
  <c r="S528" i="1"/>
  <c r="U528" i="1"/>
  <c r="AM528" i="1" s="1"/>
  <c r="S529" i="1"/>
  <c r="U529" i="1"/>
  <c r="AM529" i="1" s="1"/>
  <c r="S530" i="1"/>
  <c r="U530" i="1"/>
  <c r="AM530" i="1" s="1"/>
  <c r="S531" i="1"/>
  <c r="U531" i="1"/>
  <c r="AM531" i="1" s="1"/>
  <c r="S532" i="1"/>
  <c r="U532" i="1"/>
  <c r="AM532" i="1" s="1"/>
  <c r="S533" i="1"/>
  <c r="U533" i="1"/>
  <c r="AM533" i="1" s="1"/>
  <c r="S534" i="1"/>
  <c r="U534" i="1"/>
  <c r="AM534" i="1" s="1"/>
  <c r="S535" i="1"/>
  <c r="U535" i="1"/>
  <c r="AM535" i="1" s="1"/>
  <c r="S536" i="1"/>
  <c r="U536" i="1"/>
  <c r="AM536" i="1" s="1"/>
  <c r="AW536" i="1"/>
  <c r="S537" i="1"/>
  <c r="U537" i="1"/>
  <c r="AM537" i="1" s="1"/>
  <c r="S538" i="1"/>
  <c r="U538" i="1"/>
  <c r="AM538" i="1" s="1"/>
  <c r="S539" i="1"/>
  <c r="U539" i="1"/>
  <c r="AM539" i="1" s="1"/>
  <c r="S540" i="1"/>
  <c r="U540" i="1"/>
  <c r="AM540" i="1" s="1"/>
  <c r="S541" i="1"/>
  <c r="U541" i="1"/>
  <c r="AM541" i="1" s="1"/>
  <c r="AU541" i="1" s="1"/>
  <c r="S542" i="1"/>
  <c r="U542" i="1"/>
  <c r="AM542" i="1" s="1"/>
  <c r="S543" i="1"/>
  <c r="U543" i="1"/>
  <c r="AM543" i="1" s="1"/>
  <c r="S544" i="1"/>
  <c r="U544" i="1"/>
  <c r="AM544" i="1" s="1"/>
  <c r="S545" i="1"/>
  <c r="U545" i="1"/>
  <c r="AM545" i="1" s="1"/>
  <c r="S546" i="1"/>
  <c r="U546" i="1"/>
  <c r="AM546" i="1" s="1"/>
  <c r="AW546" i="1"/>
  <c r="S547" i="1"/>
  <c r="U547" i="1"/>
  <c r="AM547" i="1" s="1"/>
  <c r="S548" i="1"/>
  <c r="U548" i="1"/>
  <c r="AM548" i="1" s="1"/>
  <c r="S549" i="1"/>
  <c r="U549" i="1"/>
  <c r="AM549" i="1" s="1"/>
  <c r="S550" i="1"/>
  <c r="U550" i="1"/>
  <c r="AM550" i="1" s="1"/>
  <c r="S551" i="1"/>
  <c r="U551" i="1"/>
  <c r="AM551" i="1" s="1"/>
  <c r="S552" i="1"/>
  <c r="U552" i="1"/>
  <c r="AM552" i="1" s="1"/>
  <c r="S553" i="1"/>
  <c r="U553" i="1"/>
  <c r="AM553" i="1"/>
  <c r="S554" i="1"/>
  <c r="U554" i="1"/>
  <c r="AM554" i="1"/>
  <c r="S555" i="1"/>
  <c r="U555" i="1"/>
  <c r="AM555" i="1" s="1"/>
  <c r="S556" i="1"/>
  <c r="U556" i="1"/>
  <c r="AM556" i="1" s="1"/>
  <c r="S557" i="1"/>
  <c r="U557" i="1"/>
  <c r="AM557" i="1" s="1"/>
  <c r="AW557" i="1" s="1"/>
  <c r="S558" i="1"/>
  <c r="U558" i="1"/>
  <c r="AM558" i="1"/>
  <c r="S559" i="1"/>
  <c r="U559" i="1"/>
  <c r="AM559" i="1" s="1"/>
  <c r="S560" i="1"/>
  <c r="U560" i="1"/>
  <c r="AM560" i="1" s="1"/>
  <c r="S561" i="1"/>
  <c r="U561" i="1"/>
  <c r="AM561" i="1"/>
  <c r="S562" i="1"/>
  <c r="U562" i="1"/>
  <c r="AM562" i="1" s="1"/>
  <c r="S563" i="1"/>
  <c r="U563" i="1"/>
  <c r="AM563" i="1" s="1"/>
  <c r="S564" i="1"/>
  <c r="U564" i="1"/>
  <c r="AM564" i="1" s="1"/>
  <c r="AV564" i="1"/>
  <c r="S565" i="1"/>
  <c r="U565" i="1"/>
  <c r="AM565" i="1" s="1"/>
  <c r="AU565" i="1"/>
  <c r="S566" i="1"/>
  <c r="U566" i="1"/>
  <c r="AM566" i="1"/>
  <c r="AU566" i="1" s="1"/>
  <c r="S567" i="1"/>
  <c r="U567" i="1"/>
  <c r="AM567" i="1" s="1"/>
  <c r="S568" i="1"/>
  <c r="U568" i="1"/>
  <c r="AM568" i="1" s="1"/>
  <c r="S569" i="1"/>
  <c r="U569" i="1"/>
  <c r="AM569" i="1" s="1"/>
  <c r="AU569" i="1" s="1"/>
  <c r="S570" i="1"/>
  <c r="U570" i="1"/>
  <c r="AM570" i="1"/>
  <c r="S571" i="1"/>
  <c r="U571" i="1"/>
  <c r="AM571" i="1" s="1"/>
  <c r="S572" i="1"/>
  <c r="U572" i="1"/>
  <c r="AM572" i="1"/>
  <c r="S573" i="1"/>
  <c r="U573" i="1"/>
  <c r="AM573" i="1" s="1"/>
  <c r="S574" i="1"/>
  <c r="U574" i="1"/>
  <c r="AM574" i="1" s="1"/>
  <c r="S575" i="1"/>
  <c r="U575" i="1"/>
  <c r="AM575" i="1" s="1"/>
  <c r="S576" i="1"/>
  <c r="U576" i="1"/>
  <c r="AM576" i="1"/>
  <c r="S577" i="1"/>
  <c r="U577" i="1"/>
  <c r="AM577" i="1" s="1"/>
  <c r="S578" i="1"/>
  <c r="U578" i="1"/>
  <c r="AM578" i="1" s="1"/>
  <c r="AU578" i="1"/>
  <c r="S579" i="1"/>
  <c r="U579" i="1"/>
  <c r="AM579" i="1" s="1"/>
  <c r="S580" i="1"/>
  <c r="U580" i="1"/>
  <c r="AM580" i="1" s="1"/>
  <c r="S581" i="1"/>
  <c r="U581" i="1"/>
  <c r="AM581" i="1" s="1"/>
  <c r="S582" i="1"/>
  <c r="U582" i="1"/>
  <c r="AM582" i="1" s="1"/>
  <c r="S583" i="1"/>
  <c r="U583" i="1"/>
  <c r="AM583" i="1" s="1"/>
  <c r="AU583" i="1"/>
  <c r="S584" i="1"/>
  <c r="U584" i="1"/>
  <c r="AM584" i="1" s="1"/>
  <c r="S585" i="1"/>
  <c r="U585" i="1"/>
  <c r="AM585" i="1" s="1"/>
  <c r="S586" i="1"/>
  <c r="U586" i="1"/>
  <c r="AM586" i="1" s="1"/>
  <c r="S587" i="1"/>
  <c r="U587" i="1"/>
  <c r="AM587" i="1" s="1"/>
  <c r="AU587" i="1" s="1"/>
  <c r="S588" i="1"/>
  <c r="U588" i="1"/>
  <c r="AM588" i="1" s="1"/>
  <c r="S589" i="1"/>
  <c r="U589" i="1"/>
  <c r="AM589" i="1" s="1"/>
  <c r="S590" i="1"/>
  <c r="U590" i="1"/>
  <c r="AM590" i="1" s="1"/>
  <c r="S591" i="1"/>
  <c r="U591" i="1"/>
  <c r="AM591" i="1" s="1"/>
  <c r="S592" i="1"/>
  <c r="U592" i="1"/>
  <c r="AM592" i="1" s="1"/>
  <c r="S593" i="1"/>
  <c r="U593" i="1"/>
  <c r="AM593" i="1" s="1"/>
  <c r="S594" i="1"/>
  <c r="U594" i="1"/>
  <c r="AM594" i="1" s="1"/>
  <c r="S595" i="1"/>
  <c r="U595" i="1"/>
  <c r="AM595" i="1" s="1"/>
  <c r="S596" i="1"/>
  <c r="U596" i="1"/>
  <c r="AM596" i="1" s="1"/>
  <c r="S597" i="1"/>
  <c r="U597" i="1"/>
  <c r="AM597" i="1" s="1"/>
  <c r="S598" i="1"/>
  <c r="U598" i="1"/>
  <c r="AM598" i="1" s="1"/>
  <c r="S599" i="1"/>
  <c r="U599" i="1"/>
  <c r="AM599" i="1" s="1"/>
  <c r="S600" i="1"/>
  <c r="U600" i="1"/>
  <c r="AM600" i="1" s="1"/>
  <c r="S601" i="1"/>
  <c r="U601" i="1"/>
  <c r="AM601" i="1" s="1"/>
  <c r="S602" i="1"/>
  <c r="U602" i="1"/>
  <c r="AM602" i="1" s="1"/>
  <c r="AU602" i="1"/>
  <c r="S603" i="1"/>
  <c r="U603" i="1"/>
  <c r="AM603" i="1" s="1"/>
  <c r="S604" i="1"/>
  <c r="U604" i="1"/>
  <c r="AM604" i="1" s="1"/>
  <c r="S605" i="1"/>
  <c r="U605" i="1"/>
  <c r="AM605" i="1"/>
  <c r="S606" i="1"/>
  <c r="U606" i="1"/>
  <c r="AM606" i="1" s="1"/>
  <c r="S607" i="1"/>
  <c r="U607" i="1"/>
  <c r="AM607" i="1" s="1"/>
  <c r="S608" i="1"/>
  <c r="U608" i="1"/>
  <c r="AM608" i="1"/>
  <c r="S609" i="1"/>
  <c r="U609" i="1"/>
  <c r="AM609" i="1" s="1"/>
  <c r="S610" i="1"/>
  <c r="U610" i="1"/>
  <c r="AM610" i="1"/>
  <c r="S611" i="1"/>
  <c r="U611" i="1"/>
  <c r="AM611" i="1" s="1"/>
  <c r="S612" i="1"/>
  <c r="U612" i="1"/>
  <c r="AM612" i="1" s="1"/>
  <c r="S613" i="1"/>
  <c r="U613" i="1"/>
  <c r="AM613" i="1"/>
  <c r="S614" i="1"/>
  <c r="U614" i="1"/>
  <c r="AM614" i="1" s="1"/>
  <c r="S615" i="1"/>
  <c r="U615" i="1"/>
  <c r="AM615" i="1" s="1"/>
  <c r="S616" i="1"/>
  <c r="U616" i="1"/>
  <c r="AM616" i="1" s="1"/>
  <c r="S617" i="1"/>
  <c r="U617" i="1"/>
  <c r="AM617" i="1" s="1"/>
  <c r="S618" i="1"/>
  <c r="U618" i="1"/>
  <c r="AM618" i="1" s="1"/>
  <c r="S619" i="1"/>
  <c r="U619" i="1"/>
  <c r="AM619" i="1" s="1"/>
  <c r="S620" i="1"/>
  <c r="U620" i="1"/>
  <c r="AM620" i="1" s="1"/>
  <c r="S621" i="1"/>
  <c r="U621" i="1"/>
  <c r="AM621" i="1" s="1"/>
  <c r="AU621" i="1"/>
  <c r="S622" i="1"/>
  <c r="U622" i="1"/>
  <c r="AM622" i="1" s="1"/>
  <c r="S623" i="1"/>
  <c r="U623" i="1"/>
  <c r="AM623" i="1" s="1"/>
  <c r="S624" i="1"/>
  <c r="U624" i="1"/>
  <c r="AM624" i="1" s="1"/>
  <c r="S625" i="1"/>
  <c r="U625" i="1"/>
  <c r="AM625" i="1" s="1"/>
  <c r="S626" i="1"/>
  <c r="U626" i="1"/>
  <c r="AM626" i="1" s="1"/>
  <c r="AU626" i="1"/>
  <c r="S627" i="1"/>
  <c r="U627" i="1"/>
  <c r="AM627" i="1" s="1"/>
  <c r="S628" i="1"/>
  <c r="U628" i="1"/>
  <c r="AM628" i="1" s="1"/>
  <c r="S629" i="1"/>
  <c r="U629" i="1"/>
  <c r="AM629" i="1" s="1"/>
  <c r="S630" i="1"/>
  <c r="U630" i="1"/>
  <c r="AM630" i="1"/>
  <c r="S631" i="1"/>
  <c r="U631" i="1"/>
  <c r="AM631" i="1" s="1"/>
  <c r="S632" i="1"/>
  <c r="U632" i="1"/>
  <c r="AM632" i="1" s="1"/>
  <c r="AU632" i="1"/>
  <c r="S633" i="1"/>
  <c r="U633" i="1"/>
  <c r="AM633" i="1" s="1"/>
  <c r="S634" i="1"/>
  <c r="U634" i="1"/>
  <c r="AM634" i="1" s="1"/>
  <c r="S635" i="1"/>
  <c r="U635" i="1"/>
  <c r="AM635" i="1" s="1"/>
  <c r="S636" i="1"/>
  <c r="U636" i="1"/>
  <c r="AM636" i="1" s="1"/>
  <c r="S637" i="1"/>
  <c r="U637" i="1"/>
  <c r="AM637" i="1" s="1"/>
  <c r="S638" i="1"/>
  <c r="U638" i="1"/>
  <c r="AM638" i="1"/>
  <c r="S639" i="1"/>
  <c r="U639" i="1"/>
  <c r="AM639" i="1" s="1"/>
  <c r="S640" i="1"/>
  <c r="U640" i="1"/>
  <c r="AM640" i="1"/>
  <c r="S641" i="1"/>
  <c r="U641" i="1"/>
  <c r="AM641" i="1" s="1"/>
  <c r="S642" i="1"/>
  <c r="U642" i="1"/>
  <c r="AM642" i="1" s="1"/>
  <c r="S643" i="1"/>
  <c r="U643" i="1"/>
  <c r="AM643" i="1"/>
  <c r="S644" i="1"/>
  <c r="U644" i="1"/>
  <c r="AM644" i="1" s="1"/>
  <c r="S645" i="1"/>
  <c r="U645" i="1"/>
  <c r="AM645" i="1" s="1"/>
  <c r="S646" i="1"/>
  <c r="U646" i="1"/>
  <c r="AM646" i="1" s="1"/>
  <c r="S647" i="1"/>
  <c r="U647" i="1"/>
  <c r="AM647" i="1" s="1"/>
  <c r="S648" i="1"/>
  <c r="U648" i="1"/>
  <c r="AM648" i="1" s="1"/>
  <c r="S649" i="1"/>
  <c r="U649" i="1"/>
  <c r="AM649" i="1" s="1"/>
  <c r="S650" i="1"/>
  <c r="U650" i="1"/>
  <c r="AM650" i="1" s="1"/>
  <c r="S651" i="1"/>
  <c r="U651" i="1"/>
  <c r="AM651" i="1" s="1"/>
  <c r="S652" i="1"/>
  <c r="U652" i="1"/>
  <c r="AM652" i="1" s="1"/>
  <c r="S653" i="1"/>
  <c r="U653" i="1"/>
  <c r="AM653" i="1" s="1"/>
  <c r="S654" i="1"/>
  <c r="U654" i="1"/>
  <c r="AM654" i="1" s="1"/>
  <c r="AV654" i="1"/>
  <c r="S655" i="1"/>
  <c r="U655" i="1"/>
  <c r="AM655" i="1" s="1"/>
  <c r="AW655" i="1"/>
  <c r="S656" i="1"/>
  <c r="U656" i="1"/>
  <c r="AM656" i="1" s="1"/>
  <c r="S657" i="1"/>
  <c r="U657" i="1"/>
  <c r="AM657" i="1" s="1"/>
  <c r="AV657" i="1"/>
  <c r="S658" i="1"/>
  <c r="U658" i="1"/>
  <c r="AM658" i="1" s="1"/>
  <c r="S659" i="1"/>
  <c r="U659" i="1"/>
  <c r="AM659" i="1" s="1"/>
  <c r="AV659" i="1"/>
  <c r="S660" i="1"/>
  <c r="U660" i="1"/>
  <c r="AM660" i="1" s="1"/>
  <c r="S661" i="1"/>
  <c r="U661" i="1"/>
  <c r="AM661" i="1"/>
  <c r="S662" i="1"/>
  <c r="U662" i="1"/>
  <c r="AM662" i="1" s="1"/>
  <c r="S663" i="1"/>
  <c r="U663" i="1"/>
  <c r="AM663" i="1" s="1"/>
  <c r="S664" i="1"/>
  <c r="U664" i="1"/>
  <c r="AM664" i="1" s="1"/>
  <c r="S665" i="1"/>
  <c r="U665" i="1"/>
  <c r="AM665" i="1" s="1"/>
  <c r="S666" i="1"/>
  <c r="U666" i="1"/>
  <c r="AM666" i="1"/>
  <c r="S667" i="1"/>
  <c r="U667" i="1"/>
  <c r="AM667" i="1" s="1"/>
  <c r="AV667" i="1"/>
  <c r="S668" i="1"/>
  <c r="U668" i="1"/>
  <c r="AM668" i="1"/>
  <c r="S669" i="1"/>
  <c r="U669" i="1"/>
  <c r="AM669" i="1" s="1"/>
  <c r="AW669" i="1" s="1"/>
  <c r="S670" i="1"/>
  <c r="U670" i="1"/>
  <c r="AM670" i="1" s="1"/>
  <c r="S671" i="1"/>
  <c r="U671" i="1"/>
  <c r="AM671" i="1" s="1"/>
  <c r="S672" i="1"/>
  <c r="U672" i="1"/>
  <c r="AM672" i="1" s="1"/>
  <c r="S673" i="1"/>
  <c r="U673" i="1"/>
  <c r="AM673" i="1" s="1"/>
  <c r="S674" i="1"/>
  <c r="U674" i="1"/>
  <c r="AM674" i="1"/>
  <c r="AW674" i="1" s="1"/>
  <c r="S675" i="1"/>
  <c r="U675" i="1"/>
  <c r="AM675" i="1" s="1"/>
  <c r="S676" i="1"/>
  <c r="U676" i="1"/>
  <c r="AM676" i="1"/>
  <c r="S677" i="1"/>
  <c r="U677" i="1"/>
  <c r="AM677" i="1" s="1"/>
  <c r="S678" i="1"/>
  <c r="U678" i="1"/>
  <c r="AV678" i="1"/>
  <c r="AM678" i="1"/>
  <c r="S679" i="1"/>
  <c r="U679" i="1"/>
  <c r="AM679" i="1" s="1"/>
  <c r="AU679" i="1"/>
  <c r="S680" i="1"/>
  <c r="U680" i="1"/>
  <c r="AM680" i="1" s="1"/>
  <c r="S681" i="1"/>
  <c r="U681" i="1"/>
  <c r="AM681" i="1" s="1"/>
  <c r="AV681" i="1"/>
  <c r="S682" i="1"/>
  <c r="U682" i="1"/>
  <c r="AM682" i="1" s="1"/>
  <c r="S683" i="1"/>
  <c r="U683" i="1"/>
  <c r="AM683" i="1"/>
  <c r="S684" i="1"/>
  <c r="U684" i="1"/>
  <c r="AM684" i="1" s="1"/>
  <c r="S685" i="1"/>
  <c r="U685" i="1"/>
  <c r="AM685" i="1"/>
  <c r="AW685" i="1" s="1"/>
  <c r="S686" i="1"/>
  <c r="U686" i="1"/>
  <c r="AM686" i="1" s="1"/>
  <c r="AV686" i="1" s="1"/>
  <c r="S687" i="1"/>
  <c r="U687" i="1"/>
  <c r="AM687" i="1" s="1"/>
  <c r="S688" i="1"/>
  <c r="U688" i="1"/>
  <c r="AM688" i="1"/>
  <c r="S689" i="1"/>
  <c r="U689" i="1"/>
  <c r="AM689" i="1" s="1"/>
  <c r="AU689" i="1"/>
  <c r="S690" i="1"/>
  <c r="U690" i="1"/>
  <c r="AM690" i="1"/>
  <c r="S691" i="1"/>
  <c r="U691" i="1"/>
  <c r="AM691" i="1" s="1"/>
  <c r="S692" i="1"/>
  <c r="U692" i="1"/>
  <c r="AM692" i="1" s="1"/>
  <c r="S693" i="1"/>
  <c r="U693" i="1"/>
  <c r="AM693" i="1" s="1"/>
  <c r="S694" i="1"/>
  <c r="U694" i="1"/>
  <c r="AM694" i="1" s="1"/>
  <c r="AU694" i="1"/>
  <c r="S695" i="1"/>
  <c r="U695" i="1"/>
  <c r="AM695" i="1"/>
  <c r="S696" i="1"/>
  <c r="U696" i="1"/>
  <c r="AM696" i="1" s="1"/>
  <c r="AV696" i="1"/>
  <c r="S697" i="1"/>
  <c r="U697" i="1"/>
  <c r="AM697" i="1" s="1"/>
  <c r="S698" i="1"/>
  <c r="U698" i="1"/>
  <c r="AM698" i="1"/>
  <c r="S699" i="1"/>
  <c r="U699" i="1"/>
  <c r="AM699" i="1" s="1"/>
  <c r="AU699" i="1"/>
  <c r="S700" i="1"/>
  <c r="U700" i="1"/>
  <c r="AM700" i="1" s="1"/>
  <c r="S701" i="1"/>
  <c r="U701" i="1"/>
  <c r="AM701" i="1" s="1"/>
  <c r="S702" i="1"/>
  <c r="U702" i="1"/>
  <c r="AM702" i="1" s="1"/>
  <c r="S703" i="1"/>
  <c r="U703" i="1"/>
  <c r="AM703" i="1" s="1"/>
  <c r="S704" i="1"/>
  <c r="U704" i="1"/>
  <c r="AM704" i="1" s="1"/>
  <c r="AV704" i="1"/>
  <c r="AU704" i="1"/>
  <c r="AW704" i="1"/>
  <c r="S705" i="1"/>
  <c r="U705" i="1"/>
  <c r="AM705" i="1" s="1"/>
  <c r="S706" i="1"/>
  <c r="U706" i="1"/>
  <c r="AM706" i="1" s="1"/>
  <c r="S707" i="1"/>
  <c r="U707" i="1"/>
  <c r="AM707" i="1" s="1"/>
  <c r="S708" i="1"/>
  <c r="U708" i="1"/>
  <c r="AM708" i="1" s="1"/>
  <c r="AW708" i="1"/>
  <c r="S709" i="1"/>
  <c r="U709" i="1"/>
  <c r="AM709" i="1" s="1"/>
  <c r="AU709" i="1"/>
  <c r="S710" i="1"/>
  <c r="U710" i="1"/>
  <c r="AM710" i="1"/>
  <c r="AU710" i="1" s="1"/>
  <c r="S711" i="1"/>
  <c r="U711" i="1"/>
  <c r="AM711" i="1" s="1"/>
  <c r="AV711" i="1"/>
  <c r="S712" i="1"/>
  <c r="U712" i="1"/>
  <c r="AM712" i="1" s="1"/>
  <c r="AV712" i="1"/>
  <c r="S713" i="1"/>
  <c r="U713" i="1"/>
  <c r="AM713" i="1" s="1"/>
  <c r="S714" i="1"/>
  <c r="U714" i="1"/>
  <c r="AM714" i="1" s="1"/>
  <c r="AV714" i="1" s="1"/>
  <c r="S715" i="1"/>
  <c r="U715" i="1"/>
  <c r="AM715" i="1" s="1"/>
  <c r="S716" i="1"/>
  <c r="U716" i="1"/>
  <c r="AM716" i="1"/>
  <c r="S717" i="1"/>
  <c r="U717" i="1"/>
  <c r="AM717" i="1"/>
  <c r="S718" i="1"/>
  <c r="U718" i="1"/>
  <c r="AM718" i="1" s="1"/>
  <c r="AU718" i="1"/>
  <c r="S719" i="1"/>
  <c r="U719" i="1"/>
  <c r="AM719" i="1" s="1"/>
  <c r="AW719" i="1" s="1"/>
  <c r="S720" i="1"/>
  <c r="U720" i="1"/>
  <c r="AM720" i="1" s="1"/>
  <c r="S721" i="1"/>
  <c r="U721" i="1"/>
  <c r="AM721" i="1"/>
  <c r="S722" i="1"/>
  <c r="U722" i="1"/>
  <c r="AM722" i="1"/>
  <c r="AV722" i="1" s="1"/>
  <c r="S723" i="1"/>
  <c r="U723" i="1"/>
  <c r="AM723" i="1" s="1"/>
  <c r="S724" i="1"/>
  <c r="U724" i="1"/>
  <c r="AM724" i="1" s="1"/>
  <c r="AU724" i="1"/>
  <c r="S725" i="1"/>
  <c r="U725" i="1"/>
  <c r="AM725" i="1" s="1"/>
  <c r="S726" i="1"/>
  <c r="U726" i="1"/>
  <c r="AM726" i="1"/>
  <c r="S727" i="1"/>
  <c r="U727" i="1"/>
  <c r="AM727" i="1"/>
  <c r="S728" i="1"/>
  <c r="U728" i="1"/>
  <c r="AM728" i="1"/>
  <c r="AV728" i="1"/>
  <c r="S729" i="1"/>
  <c r="U729" i="1"/>
  <c r="AM729" i="1" s="1"/>
  <c r="S730" i="1"/>
  <c r="U730" i="1"/>
  <c r="AM730" i="1" s="1"/>
  <c r="S731" i="1"/>
  <c r="U731" i="1"/>
  <c r="AM731" i="1" s="1"/>
  <c r="S732" i="1"/>
  <c r="U732" i="1"/>
  <c r="AM732" i="1" s="1"/>
  <c r="S733" i="1"/>
  <c r="U733" i="1"/>
  <c r="AM733" i="1" s="1"/>
  <c r="S734" i="1"/>
  <c r="U734" i="1"/>
  <c r="AM734" i="1"/>
  <c r="S735" i="1"/>
  <c r="U735" i="1"/>
  <c r="AM735" i="1" s="1"/>
  <c r="S736" i="1"/>
  <c r="U736" i="1"/>
  <c r="AM736" i="1" s="1"/>
  <c r="AU736" i="1"/>
  <c r="S737" i="1"/>
  <c r="U737" i="1"/>
  <c r="AM737" i="1" s="1"/>
  <c r="S738" i="1"/>
  <c r="U738" i="1"/>
  <c r="AM738" i="1" s="1"/>
  <c r="S739" i="1"/>
  <c r="U739" i="1"/>
  <c r="AM739" i="1"/>
  <c r="S740" i="1"/>
  <c r="U740" i="1"/>
  <c r="AM740" i="1" s="1"/>
  <c r="S741" i="1"/>
  <c r="U741" i="1"/>
  <c r="AM741" i="1" s="1"/>
  <c r="S742" i="1"/>
  <c r="U742" i="1"/>
  <c r="AM742" i="1" s="1"/>
  <c r="S743" i="1"/>
  <c r="U743" i="1"/>
  <c r="AM743" i="1" s="1"/>
  <c r="S744" i="1"/>
  <c r="U744" i="1"/>
  <c r="AM744" i="1"/>
  <c r="S745" i="1"/>
  <c r="U745" i="1"/>
  <c r="AM745" i="1" s="1"/>
  <c r="AU745" i="1"/>
  <c r="S746" i="1"/>
  <c r="U746" i="1"/>
  <c r="AM746" i="1" s="1"/>
  <c r="S747" i="1"/>
  <c r="U747" i="1"/>
  <c r="AM747" i="1" s="1"/>
  <c r="S748" i="1"/>
  <c r="U748" i="1"/>
  <c r="AM748" i="1" s="1"/>
  <c r="S749" i="1"/>
  <c r="U749" i="1"/>
  <c r="AM749" i="1" s="1"/>
  <c r="S750" i="1"/>
  <c r="U750" i="1"/>
  <c r="AM750" i="1" s="1"/>
  <c r="S751" i="1"/>
  <c r="U751" i="1"/>
  <c r="AM751" i="1" s="1"/>
  <c r="S752" i="1"/>
  <c r="U752" i="1"/>
  <c r="AM752" i="1" s="1"/>
  <c r="S753" i="1"/>
  <c r="U753" i="1"/>
  <c r="AM753" i="1" s="1"/>
  <c r="S754" i="1"/>
  <c r="U754" i="1"/>
  <c r="AM754" i="1" s="1"/>
  <c r="AV255" i="1" l="1"/>
  <c r="AV218" i="1"/>
  <c r="AV156" i="1"/>
  <c r="AV185" i="1"/>
  <c r="AV190" i="1"/>
  <c r="AU448" i="1"/>
  <c r="AV442" i="1"/>
  <c r="AU407" i="1"/>
  <c r="AV383" i="1"/>
  <c r="AU376" i="1"/>
  <c r="AV365" i="1"/>
  <c r="AU315" i="1"/>
  <c r="AU149" i="1"/>
  <c r="AV57" i="1"/>
  <c r="AV328" i="1"/>
  <c r="AV650" i="1"/>
  <c r="AV608" i="1"/>
  <c r="AV602" i="1"/>
  <c r="AV447" i="1"/>
  <c r="AV395" i="1"/>
  <c r="AU308" i="1"/>
  <c r="AV203" i="1"/>
  <c r="AU576" i="1"/>
  <c r="AV679" i="1"/>
  <c r="AU727" i="1"/>
  <c r="AV684" i="1"/>
  <c r="AV471" i="1"/>
  <c r="AV375" i="1"/>
  <c r="AU327" i="1"/>
  <c r="AV267" i="1"/>
  <c r="AV192" i="1"/>
  <c r="AV187" i="1"/>
  <c r="AV11" i="1"/>
  <c r="AU582" i="1"/>
  <c r="AV494" i="1"/>
  <c r="AU477" i="1"/>
  <c r="AV435" i="1"/>
  <c r="AV424" i="1"/>
  <c r="AV338" i="1"/>
  <c r="AU320" i="1"/>
  <c r="AU301" i="1"/>
  <c r="AV56" i="1"/>
  <c r="AU557" i="1"/>
  <c r="AU551" i="1"/>
  <c r="AW513" i="1"/>
  <c r="AW500" i="1"/>
  <c r="AU429" i="1"/>
  <c r="AV412" i="1"/>
  <c r="AU219" i="1"/>
  <c r="AV181" i="1"/>
  <c r="AU10" i="1"/>
  <c r="AW699" i="1"/>
  <c r="AW738" i="1"/>
  <c r="AV716" i="1"/>
  <c r="AW694" i="1"/>
  <c r="AV688" i="1"/>
  <c r="AV672" i="1"/>
  <c r="AV660" i="1"/>
  <c r="AW482" i="1"/>
  <c r="AV476" i="1"/>
  <c r="AV393" i="1"/>
  <c r="AW306" i="1"/>
  <c r="AU224" i="1"/>
  <c r="AU16" i="1"/>
  <c r="AU368" i="1"/>
  <c r="AU750" i="1"/>
  <c r="AV721" i="1"/>
  <c r="AV682" i="1"/>
  <c r="AW556" i="1"/>
  <c r="AU550" i="1"/>
  <c r="AU475" i="1"/>
  <c r="AU318" i="1"/>
  <c r="AV294" i="1"/>
  <c r="AV180" i="1"/>
  <c r="AV124" i="1"/>
  <c r="AU739" i="1"/>
  <c r="AU640" i="1"/>
  <c r="AU517" i="1"/>
  <c r="AU444" i="1"/>
  <c r="AV427" i="1"/>
  <c r="AV240" i="1"/>
  <c r="AV698" i="1"/>
  <c r="AV462" i="1"/>
  <c r="AV385" i="1"/>
  <c r="AU317" i="1"/>
  <c r="AV205" i="1"/>
  <c r="AU31" i="1"/>
  <c r="AW724" i="1"/>
  <c r="AU664" i="1"/>
  <c r="AU397" i="1"/>
  <c r="AU323" i="1"/>
  <c r="AU281" i="1"/>
  <c r="AU249" i="1"/>
  <c r="AU222" i="1"/>
  <c r="AU194" i="1"/>
  <c r="AV724" i="1"/>
  <c r="AV510" i="1"/>
  <c r="AU449" i="1"/>
  <c r="AV144" i="1"/>
  <c r="AV116" i="1"/>
  <c r="AV110" i="1"/>
  <c r="AV104" i="1"/>
  <c r="AV93" i="1"/>
  <c r="AV87" i="1"/>
  <c r="AV69" i="1"/>
  <c r="AU719" i="1"/>
  <c r="AV691" i="1"/>
  <c r="AV591" i="1"/>
  <c r="AU437" i="1"/>
  <c r="AU402" i="1"/>
  <c r="AU359" i="1"/>
  <c r="AU292" i="1"/>
  <c r="AV253" i="1"/>
  <c r="AV227" i="1"/>
  <c r="AU13" i="1"/>
  <c r="AU741" i="1"/>
  <c r="AU597" i="1"/>
  <c r="AV496" i="1"/>
  <c r="AV467" i="1"/>
  <c r="AU232" i="1"/>
  <c r="AV86" i="1"/>
  <c r="AV74" i="1"/>
  <c r="AV47" i="1"/>
  <c r="AU41" i="1"/>
  <c r="AU228" i="1"/>
  <c r="AV228" i="1"/>
  <c r="AV200" i="1"/>
  <c r="AV26" i="1"/>
  <c r="AU233" i="1"/>
  <c r="AU330" i="1"/>
  <c r="AV330" i="1"/>
  <c r="AV367" i="1"/>
  <c r="AV675" i="1"/>
  <c r="AV645" i="1"/>
  <c r="AW645" i="1"/>
  <c r="AW485" i="1"/>
  <c r="AV315" i="1"/>
  <c r="AU248" i="1"/>
  <c r="AU238" i="1"/>
  <c r="AV140" i="1"/>
  <c r="AW140" i="1"/>
  <c r="AV521" i="1"/>
  <c r="AU521" i="1"/>
  <c r="AU244" i="1"/>
  <c r="AV97" i="1"/>
  <c r="AU325" i="1"/>
  <c r="AV325" i="1"/>
  <c r="AW580" i="1"/>
  <c r="AU580" i="1"/>
  <c r="AW539" i="1"/>
  <c r="AU539" i="1"/>
  <c r="AU581" i="1"/>
  <c r="AW581" i="1"/>
  <c r="AW493" i="1"/>
  <c r="AU493" i="1"/>
  <c r="AV135" i="1"/>
  <c r="AW135" i="1"/>
  <c r="AV499" i="1"/>
  <c r="AV369" i="1"/>
  <c r="AV252" i="1"/>
  <c r="AU170" i="1"/>
  <c r="AU165" i="1"/>
  <c r="AU160" i="1"/>
  <c r="AU151" i="1"/>
  <c r="AV73" i="1"/>
  <c r="AU749" i="1"/>
  <c r="AU175" i="1"/>
  <c r="AV511" i="1"/>
  <c r="AV662" i="1"/>
  <c r="AU641" i="1"/>
  <c r="AV587" i="1"/>
  <c r="AU533" i="1"/>
  <c r="AU527" i="1"/>
  <c r="AV468" i="1"/>
  <c r="AV425" i="1"/>
  <c r="AU420" i="1"/>
  <c r="AV380" i="1"/>
  <c r="AU374" i="1"/>
  <c r="AV364" i="1"/>
  <c r="AU294" i="1"/>
  <c r="AU260" i="1"/>
  <c r="AU217" i="1"/>
  <c r="AU207" i="1"/>
  <c r="AU24" i="1"/>
  <c r="AV593" i="1"/>
  <c r="AV581" i="1"/>
  <c r="AW576" i="1"/>
  <c r="AW521" i="1"/>
  <c r="AW516" i="1"/>
  <c r="AV429" i="1"/>
  <c r="AW279" i="1"/>
  <c r="AV235" i="1"/>
  <c r="AU221" i="1"/>
  <c r="AU138" i="1"/>
  <c r="AU265" i="1"/>
  <c r="AV652" i="1"/>
  <c r="AV598" i="1"/>
  <c r="AV576" i="1"/>
  <c r="AV493" i="1"/>
  <c r="AU488" i="1"/>
  <c r="AU403" i="1"/>
  <c r="AU155" i="1"/>
  <c r="AU146" i="1"/>
  <c r="AU129" i="1"/>
  <c r="AV120" i="1"/>
  <c r="AU48" i="1"/>
  <c r="AW715" i="1"/>
  <c r="AU666" i="1"/>
  <c r="AV603" i="1"/>
  <c r="AU510" i="1"/>
  <c r="AU439" i="1"/>
  <c r="AV434" i="1"/>
  <c r="AU419" i="1"/>
  <c r="AV414" i="1"/>
  <c r="AV379" i="1"/>
  <c r="AV363" i="1"/>
  <c r="AU124" i="1"/>
  <c r="AU680" i="1"/>
  <c r="AU333" i="1"/>
  <c r="AU283" i="1"/>
  <c r="AU268" i="1"/>
  <c r="AW264" i="1"/>
  <c r="AU255" i="1"/>
  <c r="AV225" i="1"/>
  <c r="AV216" i="1"/>
  <c r="AV211" i="1"/>
  <c r="AV202" i="1"/>
  <c r="AV193" i="1"/>
  <c r="AV685" i="1"/>
  <c r="AW675" i="1"/>
  <c r="AV613" i="1"/>
  <c r="AW537" i="1"/>
  <c r="AU520" i="1"/>
  <c r="AV515" i="1"/>
  <c r="AU503" i="1"/>
  <c r="AV323" i="1"/>
  <c r="AV318" i="1"/>
  <c r="AU259" i="1"/>
  <c r="AU234" i="1"/>
  <c r="AV206" i="1"/>
  <c r="AU178" i="1"/>
  <c r="AU150" i="1"/>
  <c r="AW145" i="1"/>
  <c r="AU133" i="1"/>
  <c r="AV119" i="1"/>
  <c r="AV109" i="1"/>
  <c r="AU61" i="1"/>
  <c r="AW121" i="1"/>
  <c r="AV735" i="1"/>
  <c r="AV753" i="1"/>
  <c r="AU734" i="1"/>
  <c r="AU728" i="1"/>
  <c r="AU714" i="1"/>
  <c r="AV699" i="1"/>
  <c r="AV694" i="1"/>
  <c r="AV618" i="1"/>
  <c r="AV597" i="1"/>
  <c r="AW585" i="1"/>
  <c r="AU564" i="1"/>
  <c r="AU531" i="1"/>
  <c r="AU483" i="1"/>
  <c r="AV444" i="1"/>
  <c r="AV413" i="1"/>
  <c r="AV402" i="1"/>
  <c r="AU373" i="1"/>
  <c r="AV343" i="1"/>
  <c r="AV313" i="1"/>
  <c r="AV238" i="1"/>
  <c r="AV197" i="1"/>
  <c r="AU173" i="1"/>
  <c r="AU141" i="1"/>
  <c r="AU128" i="1"/>
  <c r="AU42" i="1"/>
  <c r="AU37" i="1"/>
  <c r="AU32" i="1"/>
  <c r="AU27" i="1"/>
  <c r="AU7" i="1"/>
  <c r="AU2" i="1"/>
  <c r="AV409" i="1"/>
  <c r="AU746" i="1"/>
  <c r="AV740" i="1"/>
  <c r="AV719" i="1"/>
  <c r="AW709" i="1"/>
  <c r="AW689" i="1"/>
  <c r="AW679" i="1"/>
  <c r="AU665" i="1"/>
  <c r="AW660" i="1"/>
  <c r="AU645" i="1"/>
  <c r="AV580" i="1"/>
  <c r="AV487" i="1"/>
  <c r="AV477" i="1"/>
  <c r="AV449" i="1"/>
  <c r="AV438" i="1"/>
  <c r="AV407" i="1"/>
  <c r="AV384" i="1"/>
  <c r="AV355" i="1"/>
  <c r="AW307" i="1"/>
  <c r="AU287" i="1"/>
  <c r="AW282" i="1"/>
  <c r="AW267" i="1"/>
  <c r="AU263" i="1"/>
  <c r="AW233" i="1"/>
  <c r="AV220" i="1"/>
  <c r="AU187" i="1"/>
  <c r="AU168" i="1"/>
  <c r="AU163" i="1"/>
  <c r="AU158" i="1"/>
  <c r="AU123" i="1"/>
  <c r="AV71" i="1"/>
  <c r="AV577" i="1"/>
  <c r="AU690" i="1"/>
  <c r="AU684" i="1"/>
  <c r="AV670" i="1"/>
  <c r="AU612" i="1"/>
  <c r="AU596" i="1"/>
  <c r="AU519" i="1"/>
  <c r="AW508" i="1"/>
  <c r="AV443" i="1"/>
  <c r="AV428" i="1"/>
  <c r="AV423" i="1"/>
  <c r="AU412" i="1"/>
  <c r="AU378" i="1"/>
  <c r="AU312" i="1"/>
  <c r="AV307" i="1"/>
  <c r="AV282" i="1"/>
  <c r="AU272" i="1"/>
  <c r="AW250" i="1"/>
  <c r="AV242" i="1"/>
  <c r="AV233" i="1"/>
  <c r="AV108" i="1"/>
  <c r="AU56" i="1"/>
  <c r="AU47" i="1"/>
  <c r="AU12" i="1"/>
  <c r="AV689" i="1"/>
  <c r="AU675" i="1"/>
  <c r="AU617" i="1"/>
  <c r="AU601" i="1"/>
  <c r="AV575" i="1"/>
  <c r="AU536" i="1"/>
  <c r="AV491" i="1"/>
  <c r="AU302" i="1"/>
  <c r="AW297" i="1"/>
  <c r="AU277" i="1"/>
  <c r="AV210" i="1"/>
  <c r="AU145" i="1"/>
  <c r="AV102" i="1"/>
  <c r="AU22" i="1"/>
  <c r="AV664" i="1"/>
  <c r="AU660" i="1"/>
  <c r="AV655" i="1"/>
  <c r="AW487" i="1"/>
  <c r="AU482" i="1"/>
  <c r="AU460" i="1"/>
  <c r="AU367" i="1"/>
  <c r="AV348" i="1"/>
  <c r="AU331" i="1"/>
  <c r="AW238" i="1"/>
  <c r="AV191" i="1"/>
  <c r="AU167" i="1"/>
  <c r="AU162" i="1"/>
  <c r="AU157" i="1"/>
  <c r="AU153" i="1"/>
  <c r="AU136" i="1"/>
  <c r="AV92" i="1"/>
  <c r="AV81" i="1"/>
  <c r="AV70" i="1"/>
  <c r="AV41" i="1"/>
  <c r="AV36" i="1"/>
  <c r="AV31" i="1"/>
  <c r="AU17" i="1"/>
  <c r="AV6" i="1"/>
  <c r="AV745" i="1"/>
  <c r="AW722" i="1"/>
  <c r="AV703" i="1"/>
  <c r="AU627" i="1"/>
  <c r="AU611" i="1"/>
  <c r="AV552" i="1"/>
  <c r="AU470" i="1"/>
  <c r="AV454" i="1"/>
  <c r="AV448" i="1"/>
  <c r="AV437" i="1"/>
  <c r="AU432" i="1"/>
  <c r="AU422" i="1"/>
  <c r="AV389" i="1"/>
  <c r="AV249" i="1"/>
  <c r="AU241" i="1"/>
  <c r="AU205" i="1"/>
  <c r="AU181" i="1"/>
  <c r="AU112" i="1"/>
  <c r="AV64" i="1"/>
  <c r="AU51" i="1"/>
  <c r="AV677" i="1"/>
  <c r="AW560" i="1"/>
  <c r="AV430" i="1"/>
  <c r="AV557" i="1"/>
  <c r="AU507" i="1"/>
  <c r="AU200" i="1"/>
  <c r="AU117" i="1"/>
  <c r="AU26" i="1"/>
  <c r="AU751" i="1"/>
  <c r="AU600" i="1"/>
  <c r="AV574" i="1"/>
  <c r="AU568" i="1"/>
  <c r="AU529" i="1"/>
  <c r="AU523" i="1"/>
  <c r="AV400" i="1"/>
  <c r="AV382" i="1"/>
  <c r="AV257" i="1"/>
  <c r="AU148" i="1"/>
  <c r="AU144" i="1"/>
  <c r="AU140" i="1"/>
  <c r="AV91" i="1"/>
  <c r="AV59" i="1"/>
  <c r="AW664" i="1"/>
  <c r="AU722" i="1"/>
  <c r="AV486" i="1"/>
  <c r="AV459" i="1"/>
  <c r="AV405" i="1"/>
  <c r="AV388" i="1"/>
  <c r="AV353" i="1"/>
  <c r="AU291" i="1"/>
  <c r="AU276" i="1"/>
  <c r="AW241" i="1"/>
  <c r="AV237" i="1"/>
  <c r="AU223" i="1"/>
  <c r="AU195" i="1"/>
  <c r="AV166" i="1"/>
  <c r="AV161" i="1"/>
  <c r="AU131" i="1"/>
  <c r="AV121" i="1"/>
  <c r="AV16" i="1"/>
  <c r="AV683" i="1"/>
  <c r="AV750" i="1"/>
  <c r="AV726" i="1"/>
  <c r="AW659" i="1"/>
  <c r="AW578" i="1"/>
  <c r="AU561" i="1"/>
  <c r="AV551" i="1"/>
  <c r="AV490" i="1"/>
  <c r="AU469" i="1"/>
  <c r="AV394" i="1"/>
  <c r="AV359" i="1"/>
  <c r="AW253" i="1"/>
  <c r="AW248" i="1"/>
  <c r="AV175" i="1"/>
  <c r="AU126" i="1"/>
  <c r="AU121" i="1"/>
  <c r="AU21" i="1"/>
  <c r="AU130" i="1"/>
  <c r="AV489" i="1"/>
  <c r="AV693" i="1"/>
  <c r="AV668" i="1"/>
  <c r="AU381" i="1"/>
  <c r="AV270" i="1"/>
  <c r="AV232" i="1"/>
  <c r="AU199" i="1"/>
  <c r="AU190" i="1"/>
  <c r="AU185" i="1"/>
  <c r="AV170" i="1"/>
  <c r="AV165" i="1"/>
  <c r="AV160" i="1"/>
  <c r="AU156" i="1"/>
  <c r="AV151" i="1"/>
  <c r="AU147" i="1"/>
  <c r="AV139" i="1"/>
  <c r="AV96" i="1"/>
  <c r="AV90" i="1"/>
  <c r="AV79" i="1"/>
  <c r="AU572" i="1"/>
  <c r="AV398" i="1"/>
  <c r="AV706" i="1"/>
  <c r="AV701" i="1"/>
  <c r="AU620" i="1"/>
  <c r="AU588" i="1"/>
  <c r="AV550" i="1"/>
  <c r="AV539" i="1"/>
  <c r="AV534" i="1"/>
  <c r="AU528" i="1"/>
  <c r="AV452" i="1"/>
  <c r="AV404" i="1"/>
  <c r="AV387" i="1"/>
  <c r="AU375" i="1"/>
  <c r="AU358" i="1"/>
  <c r="AU310" i="1"/>
  <c r="AU300" i="1"/>
  <c r="AU295" i="1"/>
  <c r="AW260" i="1"/>
  <c r="AV256" i="1"/>
  <c r="AV222" i="1"/>
  <c r="AV213" i="1"/>
  <c r="AU180" i="1"/>
  <c r="AU143" i="1"/>
  <c r="AU135" i="1"/>
  <c r="AU39" i="1"/>
  <c r="AU34" i="1"/>
  <c r="AU29" i="1"/>
  <c r="AU4" i="1"/>
  <c r="AU743" i="1"/>
  <c r="AV743" i="1"/>
  <c r="AV730" i="1"/>
  <c r="AW725" i="1"/>
  <c r="AU730" i="1"/>
  <c r="AW730" i="1"/>
  <c r="AU725" i="1"/>
  <c r="AV725" i="1"/>
  <c r="AU705" i="1"/>
  <c r="AV705" i="1"/>
  <c r="AW705" i="1"/>
  <c r="AW748" i="1"/>
  <c r="AU742" i="1"/>
  <c r="AV742" i="1"/>
  <c r="AW742" i="1"/>
  <c r="AU729" i="1"/>
  <c r="AV695" i="1"/>
  <c r="AW695" i="1"/>
  <c r="AU754" i="1"/>
  <c r="AU748" i="1"/>
  <c r="AV748" i="1"/>
  <c r="AU735" i="1"/>
  <c r="AW720" i="1"/>
  <c r="AU715" i="1"/>
  <c r="AU720" i="1"/>
  <c r="AV720" i="1"/>
  <c r="AU753" i="1"/>
  <c r="AU747" i="1"/>
  <c r="AV747" i="1"/>
  <c r="AW747" i="1"/>
  <c r="AU740" i="1"/>
  <c r="AW723" i="1"/>
  <c r="AU752" i="1"/>
  <c r="AV752" i="1"/>
  <c r="AW752" i="1"/>
  <c r="AW733" i="1"/>
  <c r="AV713" i="1"/>
  <c r="AW713" i="1"/>
  <c r="AU733" i="1"/>
  <c r="AV733" i="1"/>
  <c r="AU713" i="1"/>
  <c r="AV718" i="1"/>
  <c r="AW718" i="1"/>
  <c r="AU708" i="1"/>
  <c r="AV708" i="1"/>
  <c r="AU732" i="1"/>
  <c r="AV732" i="1"/>
  <c r="AW732" i="1"/>
  <c r="AU717" i="1"/>
  <c r="AV717" i="1"/>
  <c r="AU744" i="1"/>
  <c r="AU738" i="1"/>
  <c r="AV738" i="1"/>
  <c r="AW717" i="1"/>
  <c r="AU707" i="1"/>
  <c r="AV707" i="1"/>
  <c r="AW707" i="1"/>
  <c r="AV702" i="1"/>
  <c r="AW702" i="1"/>
  <c r="AU731" i="1"/>
  <c r="AV731" i="1"/>
  <c r="AW731" i="1"/>
  <c r="AW743" i="1"/>
  <c r="AU737" i="1"/>
  <c r="AV737" i="1"/>
  <c r="AW737" i="1"/>
  <c r="AV692" i="1"/>
  <c r="AW692" i="1"/>
  <c r="AV723" i="1"/>
  <c r="AU712" i="1"/>
  <c r="AV709" i="1"/>
  <c r="AU697" i="1"/>
  <c r="AU687" i="1"/>
  <c r="AU652" i="1"/>
  <c r="AU647" i="1"/>
  <c r="AU636" i="1"/>
  <c r="AU625" i="1"/>
  <c r="AU609" i="1"/>
  <c r="AV609" i="1"/>
  <c r="AW609" i="1"/>
  <c r="AV572" i="1"/>
  <c r="AW572" i="1"/>
  <c r="AU560" i="1"/>
  <c r="AU555" i="1"/>
  <c r="AW505" i="1"/>
  <c r="AW751" i="1"/>
  <c r="AW746" i="1"/>
  <c r="AW741" i="1"/>
  <c r="AW736" i="1"/>
  <c r="AU723" i="1"/>
  <c r="AU700" i="1"/>
  <c r="AW673" i="1"/>
  <c r="AU673" i="1"/>
  <c r="AU656" i="1"/>
  <c r="AV630" i="1"/>
  <c r="AW630" i="1"/>
  <c r="AU614" i="1"/>
  <c r="AV614" i="1"/>
  <c r="AW614" i="1"/>
  <c r="AU543" i="1"/>
  <c r="AV543" i="1"/>
  <c r="AW543" i="1"/>
  <c r="AU505" i="1"/>
  <c r="AV505" i="1"/>
  <c r="AU463" i="1"/>
  <c r="AV463" i="1"/>
  <c r="AW463" i="1"/>
  <c r="AV751" i="1"/>
  <c r="AV746" i="1"/>
  <c r="AV741" i="1"/>
  <c r="AV736" i="1"/>
  <c r="AU726" i="1"/>
  <c r="AU676" i="1"/>
  <c r="AV676" i="1"/>
  <c r="AW676" i="1"/>
  <c r="AU630" i="1"/>
  <c r="AU619" i="1"/>
  <c r="AV619" i="1"/>
  <c r="AW619" i="1"/>
  <c r="AU473" i="1"/>
  <c r="AV473" i="1"/>
  <c r="AW473" i="1"/>
  <c r="AW728" i="1"/>
  <c r="AW714" i="1"/>
  <c r="AU706" i="1"/>
  <c r="AW706" i="1"/>
  <c r="AW703" i="1"/>
  <c r="AU703" i="1"/>
  <c r="AW693" i="1"/>
  <c r="AU693" i="1"/>
  <c r="AU651" i="1"/>
  <c r="AU646" i="1"/>
  <c r="AV635" i="1"/>
  <c r="AW635" i="1"/>
  <c r="AU624" i="1"/>
  <c r="AV624" i="1"/>
  <c r="AW624" i="1"/>
  <c r="AU559" i="1"/>
  <c r="AW559" i="1"/>
  <c r="AV554" i="1"/>
  <c r="AW554" i="1"/>
  <c r="AU549" i="1"/>
  <c r="AV549" i="1"/>
  <c r="AW549" i="1"/>
  <c r="AU538" i="1"/>
  <c r="AV504" i="1"/>
  <c r="AU498" i="1"/>
  <c r="AU696" i="1"/>
  <c r="AW696" i="1"/>
  <c r="AW683" i="1"/>
  <c r="AU683" i="1"/>
  <c r="AU635" i="1"/>
  <c r="AV559" i="1"/>
  <c r="AU554" i="1"/>
  <c r="AW753" i="1"/>
  <c r="AU686" i="1"/>
  <c r="AW686" i="1"/>
  <c r="AU672" i="1"/>
  <c r="AW672" i="1"/>
  <c r="AV640" i="1"/>
  <c r="AW640" i="1"/>
  <c r="AU571" i="1"/>
  <c r="AV571" i="1"/>
  <c r="AW571" i="1"/>
  <c r="AU542" i="1"/>
  <c r="AU532" i="1"/>
  <c r="AU526" i="1"/>
  <c r="AV526" i="1"/>
  <c r="AW526" i="1"/>
  <c r="AU478" i="1"/>
  <c r="AW668" i="1"/>
  <c r="AU668" i="1"/>
  <c r="AW650" i="1"/>
  <c r="AU629" i="1"/>
  <c r="AV629" i="1"/>
  <c r="AW629" i="1"/>
  <c r="AU592" i="1"/>
  <c r="AU586" i="1"/>
  <c r="AV586" i="1"/>
  <c r="AW586" i="1"/>
  <c r="AU548" i="1"/>
  <c r="AV548" i="1"/>
  <c r="AW548" i="1"/>
  <c r="AU537" i="1"/>
  <c r="AU515" i="1"/>
  <c r="AV503" i="1"/>
  <c r="AU655" i="1"/>
  <c r="AV558" i="1"/>
  <c r="AW558" i="1"/>
  <c r="AU553" i="1"/>
  <c r="AV553" i="1"/>
  <c r="AW553" i="1"/>
  <c r="AU525" i="1"/>
  <c r="AV525" i="1"/>
  <c r="AW525" i="1"/>
  <c r="AU497" i="1"/>
  <c r="AV497" i="1"/>
  <c r="AW497" i="1"/>
  <c r="AV492" i="1"/>
  <c r="AV483" i="1"/>
  <c r="AU711" i="1"/>
  <c r="AW711" i="1"/>
  <c r="AU659" i="1"/>
  <c r="AU634" i="1"/>
  <c r="AV634" i="1"/>
  <c r="AW634" i="1"/>
  <c r="AU570" i="1"/>
  <c r="AU558" i="1"/>
  <c r="AV509" i="1"/>
  <c r="AW509" i="1"/>
  <c r="AU492" i="1"/>
  <c r="AW492" i="1"/>
  <c r="AW750" i="1"/>
  <c r="AW745" i="1"/>
  <c r="AW740" i="1"/>
  <c r="AW735" i="1"/>
  <c r="AU671" i="1"/>
  <c r="AV671" i="1"/>
  <c r="AW671" i="1"/>
  <c r="AU650" i="1"/>
  <c r="AV623" i="1"/>
  <c r="AU607" i="1"/>
  <c r="AU591" i="1"/>
  <c r="AU585" i="1"/>
  <c r="AV585" i="1"/>
  <c r="AU547" i="1"/>
  <c r="AV531" i="1"/>
  <c r="AW531" i="1"/>
  <c r="AU514" i="1"/>
  <c r="AU702" i="1"/>
  <c r="AU692" i="1"/>
  <c r="AU682" i="1"/>
  <c r="AW682" i="1"/>
  <c r="AU667" i="1"/>
  <c r="AW667" i="1"/>
  <c r="AV663" i="1"/>
  <c r="AW663" i="1"/>
  <c r="AU663" i="1"/>
  <c r="AU639" i="1"/>
  <c r="AV639" i="1"/>
  <c r="AW639" i="1"/>
  <c r="AV628" i="1"/>
  <c r="AU502" i="1"/>
  <c r="AV502" i="1"/>
  <c r="AW502" i="1"/>
  <c r="AU455" i="1"/>
  <c r="AV455" i="1"/>
  <c r="AW455" i="1"/>
  <c r="AW727" i="1"/>
  <c r="AW710" i="1"/>
  <c r="AU695" i="1"/>
  <c r="AU584" i="1"/>
  <c r="AV584" i="1"/>
  <c r="AW584" i="1"/>
  <c r="AV569" i="1"/>
  <c r="AU563" i="1"/>
  <c r="AV563" i="1"/>
  <c r="AW563" i="1"/>
  <c r="AU524" i="1"/>
  <c r="AU508" i="1"/>
  <c r="AV508" i="1"/>
  <c r="AV727" i="1"/>
  <c r="AU716" i="1"/>
  <c r="AW716" i="1"/>
  <c r="AV710" i="1"/>
  <c r="AU685" i="1"/>
  <c r="AV674" i="1"/>
  <c r="AW670" i="1"/>
  <c r="AU654" i="1"/>
  <c r="AW654" i="1"/>
  <c r="AU644" i="1"/>
  <c r="AV644" i="1"/>
  <c r="AW644" i="1"/>
  <c r="AV633" i="1"/>
  <c r="AU622" i="1"/>
  <c r="AU606" i="1"/>
  <c r="AV540" i="1"/>
  <c r="AW540" i="1"/>
  <c r="AU530" i="1"/>
  <c r="AV530" i="1"/>
  <c r="AW530" i="1"/>
  <c r="AV501" i="1"/>
  <c r="AW698" i="1"/>
  <c r="AU698" i="1"/>
  <c r="AW688" i="1"/>
  <c r="AU688" i="1"/>
  <c r="AW678" i="1"/>
  <c r="AU678" i="1"/>
  <c r="AU674" i="1"/>
  <c r="AU649" i="1"/>
  <c r="AV649" i="1"/>
  <c r="AW649" i="1"/>
  <c r="AV595" i="1"/>
  <c r="AW595" i="1"/>
  <c r="AU590" i="1"/>
  <c r="AV590" i="1"/>
  <c r="AW590" i="1"/>
  <c r="AU579" i="1"/>
  <c r="AW562" i="1"/>
  <c r="AU546" i="1"/>
  <c r="AV546" i="1"/>
  <c r="AU540" i="1"/>
  <c r="AU518" i="1"/>
  <c r="AV518" i="1"/>
  <c r="AW518" i="1"/>
  <c r="AU513" i="1"/>
  <c r="AU465" i="1"/>
  <c r="AU701" i="1"/>
  <c r="AW701" i="1"/>
  <c r="AU691" i="1"/>
  <c r="AW691" i="1"/>
  <c r="AU681" i="1"/>
  <c r="AW681" i="1"/>
  <c r="AU662" i="1"/>
  <c r="AW662" i="1"/>
  <c r="AV658" i="1"/>
  <c r="AW658" i="1"/>
  <c r="AU658" i="1"/>
  <c r="AV638" i="1"/>
  <c r="AU616" i="1"/>
  <c r="AV600" i="1"/>
  <c r="AW600" i="1"/>
  <c r="AU595" i="1"/>
  <c r="AU574" i="1"/>
  <c r="AV568" i="1"/>
  <c r="AU562" i="1"/>
  <c r="AV562" i="1"/>
  <c r="AV523" i="1"/>
  <c r="AU495" i="1"/>
  <c r="AW684" i="1"/>
  <c r="AU670" i="1"/>
  <c r="AV605" i="1"/>
  <c r="AW605" i="1"/>
  <c r="AU535" i="1"/>
  <c r="AV535" i="1"/>
  <c r="AW535" i="1"/>
  <c r="AV495" i="1"/>
  <c r="AW495" i="1"/>
  <c r="AW729" i="1"/>
  <c r="AV715" i="1"/>
  <c r="AW697" i="1"/>
  <c r="AW687" i="1"/>
  <c r="AV653" i="1"/>
  <c r="AW653" i="1"/>
  <c r="AU653" i="1"/>
  <c r="AV643" i="1"/>
  <c r="AV610" i="1"/>
  <c r="AW610" i="1"/>
  <c r="AU605" i="1"/>
  <c r="AU589" i="1"/>
  <c r="AV589" i="1"/>
  <c r="AW589" i="1"/>
  <c r="AU545" i="1"/>
  <c r="AV545" i="1"/>
  <c r="AW545" i="1"/>
  <c r="AU512" i="1"/>
  <c r="AV512" i="1"/>
  <c r="AW512" i="1"/>
  <c r="AU500" i="1"/>
  <c r="AV500" i="1"/>
  <c r="AU453" i="1"/>
  <c r="AV453" i="1"/>
  <c r="AW453" i="1"/>
  <c r="AW754" i="1"/>
  <c r="AW749" i="1"/>
  <c r="AW744" i="1"/>
  <c r="AW739" i="1"/>
  <c r="AW734" i="1"/>
  <c r="AV729" i="1"/>
  <c r="AU721" i="1"/>
  <c r="AW721" i="1"/>
  <c r="AW700" i="1"/>
  <c r="AV697" i="1"/>
  <c r="AW690" i="1"/>
  <c r="AV687" i="1"/>
  <c r="AW680" i="1"/>
  <c r="AW665" i="1"/>
  <c r="AV648" i="1"/>
  <c r="AU637" i="1"/>
  <c r="AV615" i="1"/>
  <c r="AW615" i="1"/>
  <c r="AU610" i="1"/>
  <c r="AU594" i="1"/>
  <c r="AV594" i="1"/>
  <c r="AW594" i="1"/>
  <c r="AU573" i="1"/>
  <c r="AU556" i="1"/>
  <c r="AV517" i="1"/>
  <c r="AW517" i="1"/>
  <c r="AV754" i="1"/>
  <c r="AV749" i="1"/>
  <c r="AV744" i="1"/>
  <c r="AV739" i="1"/>
  <c r="AV734" i="1"/>
  <c r="AW712" i="1"/>
  <c r="AV700" i="1"/>
  <c r="AV690" i="1"/>
  <c r="AV680" i="1"/>
  <c r="AU677" i="1"/>
  <c r="AW677" i="1"/>
  <c r="AV673" i="1"/>
  <c r="AV669" i="1"/>
  <c r="AV665" i="1"/>
  <c r="AU661" i="1"/>
  <c r="AU657" i="1"/>
  <c r="AW657" i="1"/>
  <c r="AU631" i="1"/>
  <c r="AV620" i="1"/>
  <c r="AW620" i="1"/>
  <c r="AU615" i="1"/>
  <c r="AU599" i="1"/>
  <c r="AV599" i="1"/>
  <c r="AW599" i="1"/>
  <c r="AV582" i="1"/>
  <c r="AU567" i="1"/>
  <c r="AV567" i="1"/>
  <c r="AW567" i="1"/>
  <c r="AW544" i="1"/>
  <c r="AV528" i="1"/>
  <c r="AU522" i="1"/>
  <c r="AV522" i="1"/>
  <c r="AW522" i="1"/>
  <c r="AV480" i="1"/>
  <c r="AU458" i="1"/>
  <c r="AW726" i="1"/>
  <c r="AU669" i="1"/>
  <c r="AU642" i="1"/>
  <c r="AV625" i="1"/>
  <c r="AW625" i="1"/>
  <c r="AU604" i="1"/>
  <c r="AV604" i="1"/>
  <c r="AW604" i="1"/>
  <c r="AU577" i="1"/>
  <c r="AW577" i="1"/>
  <c r="AU544" i="1"/>
  <c r="AV544" i="1"/>
  <c r="AU480" i="1"/>
  <c r="AW480" i="1"/>
  <c r="AU648" i="1"/>
  <c r="AU643" i="1"/>
  <c r="AU638" i="1"/>
  <c r="AU633" i="1"/>
  <c r="AU628" i="1"/>
  <c r="AU623" i="1"/>
  <c r="AU618" i="1"/>
  <c r="AU613" i="1"/>
  <c r="AU608" i="1"/>
  <c r="AU603" i="1"/>
  <c r="AU598" i="1"/>
  <c r="AU593" i="1"/>
  <c r="AU575" i="1"/>
  <c r="AU552" i="1"/>
  <c r="AU534" i="1"/>
  <c r="AV516" i="1"/>
  <c r="AU511" i="1"/>
  <c r="AU431" i="1"/>
  <c r="AV431" i="1"/>
  <c r="AW431" i="1"/>
  <c r="AU427" i="1"/>
  <c r="AU413" i="1"/>
  <c r="AW413" i="1"/>
  <c r="AU408" i="1"/>
  <c r="AW408" i="1"/>
  <c r="AU392" i="1"/>
  <c r="AU369" i="1"/>
  <c r="AW305" i="1"/>
  <c r="AU290" i="1"/>
  <c r="AV290" i="1"/>
  <c r="AW290" i="1"/>
  <c r="AU275" i="1"/>
  <c r="AV275" i="1"/>
  <c r="AW275" i="1"/>
  <c r="AU484" i="1"/>
  <c r="AW484" i="1"/>
  <c r="AU481" i="1"/>
  <c r="AW481" i="1"/>
  <c r="AU468" i="1"/>
  <c r="AU445" i="1"/>
  <c r="AW445" i="1"/>
  <c r="AU418" i="1"/>
  <c r="AW418" i="1"/>
  <c r="AU386" i="1"/>
  <c r="AV386" i="1"/>
  <c r="AW386" i="1"/>
  <c r="AU380" i="1"/>
  <c r="AU364" i="1"/>
  <c r="AU351" i="1"/>
  <c r="AU345" i="1"/>
  <c r="AV345" i="1"/>
  <c r="AW345" i="1"/>
  <c r="AU339" i="1"/>
  <c r="AV339" i="1"/>
  <c r="AW339" i="1"/>
  <c r="AU329" i="1"/>
  <c r="AV329" i="1"/>
  <c r="AW329" i="1"/>
  <c r="AU284" i="1"/>
  <c r="AV284" i="1"/>
  <c r="AU231" i="1"/>
  <c r="AV231" i="1"/>
  <c r="AW231" i="1"/>
  <c r="AU226" i="1"/>
  <c r="AU189" i="1"/>
  <c r="AU324" i="1"/>
  <c r="AV324" i="1"/>
  <c r="AW324" i="1"/>
  <c r="AU319" i="1"/>
  <c r="AV319" i="1"/>
  <c r="AW319" i="1"/>
  <c r="AU299" i="1"/>
  <c r="AV299" i="1"/>
  <c r="AU269" i="1"/>
  <c r="AV269" i="1"/>
  <c r="AV513" i="1"/>
  <c r="AU499" i="1"/>
  <c r="AW499" i="1"/>
  <c r="AU496" i="1"/>
  <c r="AW496" i="1"/>
  <c r="AU464" i="1"/>
  <c r="AV460" i="1"/>
  <c r="AU457" i="1"/>
  <c r="AW457" i="1"/>
  <c r="AU440" i="1"/>
  <c r="AW440" i="1"/>
  <c r="AU357" i="1"/>
  <c r="AV357" i="1"/>
  <c r="AW357" i="1"/>
  <c r="AU344" i="1"/>
  <c r="AV344" i="1"/>
  <c r="AW344" i="1"/>
  <c r="AU314" i="1"/>
  <c r="AV314" i="1"/>
  <c r="AW314" i="1"/>
  <c r="AU309" i="1"/>
  <c r="AV309" i="1"/>
  <c r="AU251" i="1"/>
  <c r="AV251" i="1"/>
  <c r="AW251" i="1"/>
  <c r="AW582" i="1"/>
  <c r="AW564" i="1"/>
  <c r="AW541" i="1"/>
  <c r="AV536" i="1"/>
  <c r="AW523" i="1"/>
  <c r="AW483" i="1"/>
  <c r="AW477" i="1"/>
  <c r="AW448" i="1"/>
  <c r="AU435" i="1"/>
  <c r="AW435" i="1"/>
  <c r="AU426" i="1"/>
  <c r="AV426" i="1"/>
  <c r="AW426" i="1"/>
  <c r="AU417" i="1"/>
  <c r="AU391" i="1"/>
  <c r="AV391" i="1"/>
  <c r="AW391" i="1"/>
  <c r="AU385" i="1"/>
  <c r="AU379" i="1"/>
  <c r="AU363" i="1"/>
  <c r="AU304" i="1"/>
  <c r="AW587" i="1"/>
  <c r="AW569" i="1"/>
  <c r="AV541" i="1"/>
  <c r="AW528" i="1"/>
  <c r="AW510" i="1"/>
  <c r="AU474" i="1"/>
  <c r="AW474" i="1"/>
  <c r="AU471" i="1"/>
  <c r="AW471" i="1"/>
  <c r="AU430" i="1"/>
  <c r="AW430" i="1"/>
  <c r="AU356" i="1"/>
  <c r="AU350" i="1"/>
  <c r="AV350" i="1"/>
  <c r="AW350" i="1"/>
  <c r="AU338" i="1"/>
  <c r="AU328" i="1"/>
  <c r="AW652" i="1"/>
  <c r="AW647" i="1"/>
  <c r="AW642" i="1"/>
  <c r="AW637" i="1"/>
  <c r="AW632" i="1"/>
  <c r="AW627" i="1"/>
  <c r="AW622" i="1"/>
  <c r="AW617" i="1"/>
  <c r="AW612" i="1"/>
  <c r="AW607" i="1"/>
  <c r="AW602" i="1"/>
  <c r="AW597" i="1"/>
  <c r="AW592" i="1"/>
  <c r="AW574" i="1"/>
  <c r="AW551" i="1"/>
  <c r="AW533" i="1"/>
  <c r="AW515" i="1"/>
  <c r="AW498" i="1"/>
  <c r="AU421" i="1"/>
  <c r="AV421" i="1"/>
  <c r="AW421" i="1"/>
  <c r="AU278" i="1"/>
  <c r="AV278" i="1"/>
  <c r="AU239" i="1"/>
  <c r="AV239" i="1"/>
  <c r="AV647" i="1"/>
  <c r="AV642" i="1"/>
  <c r="AV637" i="1"/>
  <c r="AV632" i="1"/>
  <c r="AV627" i="1"/>
  <c r="AV622" i="1"/>
  <c r="AV617" i="1"/>
  <c r="AV612" i="1"/>
  <c r="AV607" i="1"/>
  <c r="AV592" i="1"/>
  <c r="AW579" i="1"/>
  <c r="AW538" i="1"/>
  <c r="AV533" i="1"/>
  <c r="AW520" i="1"/>
  <c r="AV498" i="1"/>
  <c r="AU456" i="1"/>
  <c r="AV456" i="1"/>
  <c r="AW456" i="1"/>
  <c r="AW443" i="1"/>
  <c r="AU434" i="1"/>
  <c r="AU411" i="1"/>
  <c r="AV411" i="1"/>
  <c r="AW411" i="1"/>
  <c r="AU406" i="1"/>
  <c r="AV406" i="1"/>
  <c r="AW406" i="1"/>
  <c r="AU401" i="1"/>
  <c r="AV401" i="1"/>
  <c r="AW401" i="1"/>
  <c r="AU396" i="1"/>
  <c r="AV396" i="1"/>
  <c r="AW396" i="1"/>
  <c r="AU390" i="1"/>
  <c r="AU384" i="1"/>
  <c r="AU349" i="1"/>
  <c r="AV349" i="1"/>
  <c r="AW349" i="1"/>
  <c r="AU343" i="1"/>
  <c r="AU313" i="1"/>
  <c r="AU298" i="1"/>
  <c r="AU288" i="1"/>
  <c r="AV288" i="1"/>
  <c r="AW288" i="1"/>
  <c r="AW278" i="1"/>
  <c r="AU273" i="1"/>
  <c r="AV579" i="1"/>
  <c r="AW561" i="1"/>
  <c r="AV556" i="1"/>
  <c r="AV538" i="1"/>
  <c r="AV520" i="1"/>
  <c r="AW507" i="1"/>
  <c r="AW470" i="1"/>
  <c r="AU467" i="1"/>
  <c r="AW467" i="1"/>
  <c r="AU416" i="1"/>
  <c r="AV416" i="1"/>
  <c r="AW416" i="1"/>
  <c r="AU362" i="1"/>
  <c r="AV362" i="1"/>
  <c r="AW362" i="1"/>
  <c r="AU303" i="1"/>
  <c r="AV303" i="1"/>
  <c r="AW303" i="1"/>
  <c r="AV246" i="1"/>
  <c r="AW246" i="1"/>
  <c r="AW566" i="1"/>
  <c r="AV561" i="1"/>
  <c r="AV507" i="1"/>
  <c r="AU489" i="1"/>
  <c r="AW489" i="1"/>
  <c r="AU486" i="1"/>
  <c r="AW486" i="1"/>
  <c r="AV470" i="1"/>
  <c r="AU452" i="1"/>
  <c r="AU337" i="1"/>
  <c r="AV337" i="1"/>
  <c r="AW337" i="1"/>
  <c r="AU254" i="1"/>
  <c r="AV254" i="1"/>
  <c r="AU246" i="1"/>
  <c r="AV566" i="1"/>
  <c r="AU504" i="1"/>
  <c r="AW504" i="1"/>
  <c r="AU501" i="1"/>
  <c r="AW501" i="1"/>
  <c r="AU443" i="1"/>
  <c r="AU425" i="1"/>
  <c r="AW425" i="1"/>
  <c r="AU400" i="1"/>
  <c r="AU395" i="1"/>
  <c r="AU389" i="1"/>
  <c r="AU361" i="1"/>
  <c r="AU332" i="1"/>
  <c r="AV332" i="1"/>
  <c r="AW332" i="1"/>
  <c r="AV263" i="1"/>
  <c r="AW263" i="1"/>
  <c r="AV258" i="1"/>
  <c r="AW258" i="1"/>
  <c r="AU459" i="1"/>
  <c r="AU438" i="1"/>
  <c r="AW438" i="1"/>
  <c r="AU410" i="1"/>
  <c r="AU405" i="1"/>
  <c r="AU383" i="1"/>
  <c r="AU372" i="1"/>
  <c r="AU354" i="1"/>
  <c r="AV354" i="1"/>
  <c r="AW354" i="1"/>
  <c r="AU348" i="1"/>
  <c r="AU342" i="1"/>
  <c r="AV342" i="1"/>
  <c r="AW342" i="1"/>
  <c r="AU336" i="1"/>
  <c r="AU258" i="1"/>
  <c r="AU466" i="1"/>
  <c r="AV466" i="1"/>
  <c r="AW466" i="1"/>
  <c r="AU433" i="1"/>
  <c r="AW433" i="1"/>
  <c r="AU286" i="1"/>
  <c r="AV286" i="1"/>
  <c r="AW568" i="1"/>
  <c r="AW550" i="1"/>
  <c r="AW527" i="1"/>
  <c r="AW503" i="1"/>
  <c r="AV488" i="1"/>
  <c r="AV485" i="1"/>
  <c r="AV482" i="1"/>
  <c r="AU479" i="1"/>
  <c r="AW479" i="1"/>
  <c r="AU476" i="1"/>
  <c r="AW476" i="1"/>
  <c r="AU451" i="1"/>
  <c r="AV451" i="1"/>
  <c r="AW451" i="1"/>
  <c r="AU424" i="1"/>
  <c r="AU415" i="1"/>
  <c r="AU399" i="1"/>
  <c r="AU394" i="1"/>
  <c r="AU377" i="1"/>
  <c r="AU360" i="1"/>
  <c r="AU341" i="1"/>
  <c r="AU326" i="1"/>
  <c r="AW286" i="1"/>
  <c r="AW666" i="1"/>
  <c r="AW661" i="1"/>
  <c r="AW656" i="1"/>
  <c r="AW651" i="1"/>
  <c r="AW646" i="1"/>
  <c r="AW641" i="1"/>
  <c r="AW636" i="1"/>
  <c r="AW631" i="1"/>
  <c r="AW626" i="1"/>
  <c r="AW621" i="1"/>
  <c r="AW616" i="1"/>
  <c r="AW611" i="1"/>
  <c r="AW606" i="1"/>
  <c r="AW601" i="1"/>
  <c r="AW596" i="1"/>
  <c r="AW591" i="1"/>
  <c r="AW573" i="1"/>
  <c r="AW555" i="1"/>
  <c r="AW532" i="1"/>
  <c r="AW514" i="1"/>
  <c r="AW458" i="1"/>
  <c r="AU442" i="1"/>
  <c r="AU409" i="1"/>
  <c r="AU404" i="1"/>
  <c r="AU388" i="1"/>
  <c r="AU382" i="1"/>
  <c r="AU371" i="1"/>
  <c r="AU321" i="1"/>
  <c r="AU316" i="1"/>
  <c r="AU311" i="1"/>
  <c r="AV311" i="1"/>
  <c r="AW311" i="1"/>
  <c r="AU271" i="1"/>
  <c r="AV271" i="1"/>
  <c r="AW271" i="1"/>
  <c r="AU266" i="1"/>
  <c r="AV266" i="1"/>
  <c r="AW266" i="1"/>
  <c r="AU214" i="1"/>
  <c r="AU209" i="1"/>
  <c r="AV666" i="1"/>
  <c r="AV661" i="1"/>
  <c r="AV656" i="1"/>
  <c r="AV651" i="1"/>
  <c r="AV646" i="1"/>
  <c r="AV641" i="1"/>
  <c r="AV636" i="1"/>
  <c r="AV631" i="1"/>
  <c r="AV626" i="1"/>
  <c r="AV621" i="1"/>
  <c r="AV616" i="1"/>
  <c r="AV611" i="1"/>
  <c r="AV606" i="1"/>
  <c r="AV601" i="1"/>
  <c r="AV596" i="1"/>
  <c r="AV573" i="1"/>
  <c r="AV555" i="1"/>
  <c r="AV532" i="1"/>
  <c r="AV514" i="1"/>
  <c r="AW465" i="1"/>
  <c r="AU462" i="1"/>
  <c r="AW462" i="1"/>
  <c r="AV458" i="1"/>
  <c r="AU347" i="1"/>
  <c r="AV347" i="1"/>
  <c r="AW347" i="1"/>
  <c r="AU296" i="1"/>
  <c r="AV296" i="1"/>
  <c r="AW296" i="1"/>
  <c r="AU261" i="1"/>
  <c r="AV261" i="1"/>
  <c r="AW261" i="1"/>
  <c r="AW583" i="1"/>
  <c r="AV578" i="1"/>
  <c r="AW565" i="1"/>
  <c r="AV560" i="1"/>
  <c r="AW542" i="1"/>
  <c r="AV537" i="1"/>
  <c r="AW524" i="1"/>
  <c r="AV519" i="1"/>
  <c r="AU494" i="1"/>
  <c r="AW494" i="1"/>
  <c r="AU491" i="1"/>
  <c r="AW491" i="1"/>
  <c r="AW478" i="1"/>
  <c r="AW475" i="1"/>
  <c r="AW472" i="1"/>
  <c r="AV465" i="1"/>
  <c r="AU446" i="1"/>
  <c r="AV446" i="1"/>
  <c r="AW446" i="1"/>
  <c r="AU428" i="1"/>
  <c r="AW428" i="1"/>
  <c r="AU306" i="1"/>
  <c r="AU285" i="1"/>
  <c r="AV285" i="1"/>
  <c r="AW285" i="1"/>
  <c r="AW588" i="1"/>
  <c r="AV583" i="1"/>
  <c r="AW570" i="1"/>
  <c r="AV565" i="1"/>
  <c r="AW547" i="1"/>
  <c r="AV542" i="1"/>
  <c r="AW529" i="1"/>
  <c r="AV524" i="1"/>
  <c r="AU509" i="1"/>
  <c r="AU506" i="1"/>
  <c r="AW506" i="1"/>
  <c r="AV478" i="1"/>
  <c r="AV475" i="1"/>
  <c r="AV472" i="1"/>
  <c r="AV408" i="1"/>
  <c r="AU398" i="1"/>
  <c r="AU393" i="1"/>
  <c r="AU387" i="1"/>
  <c r="AU370" i="1"/>
  <c r="AU346" i="1"/>
  <c r="AW648" i="1"/>
  <c r="AW643" i="1"/>
  <c r="AW638" i="1"/>
  <c r="AW633" i="1"/>
  <c r="AW628" i="1"/>
  <c r="AW623" i="1"/>
  <c r="AW618" i="1"/>
  <c r="AW613" i="1"/>
  <c r="AW608" i="1"/>
  <c r="AW603" i="1"/>
  <c r="AW598" i="1"/>
  <c r="AW593" i="1"/>
  <c r="AV588" i="1"/>
  <c r="AW575" i="1"/>
  <c r="AV570" i="1"/>
  <c r="AW552" i="1"/>
  <c r="AV547" i="1"/>
  <c r="AW534" i="1"/>
  <c r="AV529" i="1"/>
  <c r="AW511" i="1"/>
  <c r="AU454" i="1"/>
  <c r="AU450" i="1"/>
  <c r="AW450" i="1"/>
  <c r="AU441" i="1"/>
  <c r="AV441" i="1"/>
  <c r="AW441" i="1"/>
  <c r="AV418" i="1"/>
  <c r="AU365" i="1"/>
  <c r="AV481" i="1"/>
  <c r="AU461" i="1"/>
  <c r="AV461" i="1"/>
  <c r="AW461" i="1"/>
  <c r="AV445" i="1"/>
  <c r="AU436" i="1"/>
  <c r="AV436" i="1"/>
  <c r="AW436" i="1"/>
  <c r="AU423" i="1"/>
  <c r="AW423" i="1"/>
  <c r="AU352" i="1"/>
  <c r="AV352" i="1"/>
  <c r="AW352" i="1"/>
  <c r="AU334" i="1"/>
  <c r="AV334" i="1"/>
  <c r="AW334" i="1"/>
  <c r="AU305" i="1"/>
  <c r="AV305" i="1"/>
  <c r="AU280" i="1"/>
  <c r="AV280" i="1"/>
  <c r="AW280" i="1"/>
  <c r="AU236" i="1"/>
  <c r="AV236" i="1"/>
  <c r="AW236" i="1"/>
  <c r="AW403" i="1"/>
  <c r="AW398" i="1"/>
  <c r="AW393" i="1"/>
  <c r="AW388" i="1"/>
  <c r="AW383" i="1"/>
  <c r="AW378" i="1"/>
  <c r="AW373" i="1"/>
  <c r="AW368" i="1"/>
  <c r="AW363" i="1"/>
  <c r="AW358" i="1"/>
  <c r="AW353" i="1"/>
  <c r="AW348" i="1"/>
  <c r="AW343" i="1"/>
  <c r="AW338" i="1"/>
  <c r="AW333" i="1"/>
  <c r="AW328" i="1"/>
  <c r="AW323" i="1"/>
  <c r="AW318" i="1"/>
  <c r="AW313" i="1"/>
  <c r="AV297" i="1"/>
  <c r="AU270" i="1"/>
  <c r="AU262" i="1"/>
  <c r="AU256" i="1"/>
  <c r="AU212" i="1"/>
  <c r="AV184" i="1"/>
  <c r="AW184" i="1"/>
  <c r="AV125" i="1"/>
  <c r="AW125" i="1"/>
  <c r="AV229" i="1"/>
  <c r="AW229" i="1"/>
  <c r="AU196" i="1"/>
  <c r="AW196" i="1"/>
  <c r="AU192" i="1"/>
  <c r="AV179" i="1"/>
  <c r="AW179" i="1"/>
  <c r="AU179" i="1"/>
  <c r="AU125" i="1"/>
  <c r="AW310" i="1"/>
  <c r="AW302" i="1"/>
  <c r="AW291" i="1"/>
  <c r="AW289" i="1"/>
  <c r="AW283" i="1"/>
  <c r="AU208" i="1"/>
  <c r="AW208" i="1"/>
  <c r="AV204" i="1"/>
  <c r="AW204" i="1"/>
  <c r="AU188" i="1"/>
  <c r="AW188" i="1"/>
  <c r="AV174" i="1"/>
  <c r="AW174" i="1"/>
  <c r="AU174" i="1"/>
  <c r="AU142" i="1"/>
  <c r="AV134" i="1"/>
  <c r="AW259" i="1"/>
  <c r="AU247" i="1"/>
  <c r="AW247" i="1"/>
  <c r="AU235" i="1"/>
  <c r="AW235" i="1"/>
  <c r="AV169" i="1"/>
  <c r="AW169" i="1"/>
  <c r="AU169" i="1"/>
  <c r="AV142" i="1"/>
  <c r="AW142" i="1"/>
  <c r="AV129" i="1"/>
  <c r="AW420" i="1"/>
  <c r="AW415" i="1"/>
  <c r="AW410" i="1"/>
  <c r="AW405" i="1"/>
  <c r="AW400" i="1"/>
  <c r="AW395" i="1"/>
  <c r="AW390" i="1"/>
  <c r="AW385" i="1"/>
  <c r="AW380" i="1"/>
  <c r="AW375" i="1"/>
  <c r="AW370" i="1"/>
  <c r="AW365" i="1"/>
  <c r="AW360" i="1"/>
  <c r="AW355" i="1"/>
  <c r="AW340" i="1"/>
  <c r="AW335" i="1"/>
  <c r="AW330" i="1"/>
  <c r="AW325" i="1"/>
  <c r="AW320" i="1"/>
  <c r="AW315" i="1"/>
  <c r="AW272" i="1"/>
  <c r="AU264" i="1"/>
  <c r="AU250" i="1"/>
  <c r="AW244" i="1"/>
  <c r="AW228" i="1"/>
  <c r="AV219" i="1"/>
  <c r="AW219" i="1"/>
  <c r="AV340" i="1"/>
  <c r="AV335" i="1"/>
  <c r="AV320" i="1"/>
  <c r="AW294" i="1"/>
  <c r="AV272" i="1"/>
  <c r="AU215" i="1"/>
  <c r="AW215" i="1"/>
  <c r="AU211" i="1"/>
  <c r="AW211" i="1"/>
  <c r="AU191" i="1"/>
  <c r="AW191" i="1"/>
  <c r="AU183" i="1"/>
  <c r="AV183" i="1"/>
  <c r="AW183" i="1"/>
  <c r="AU137" i="1"/>
  <c r="AU225" i="1"/>
  <c r="AW225" i="1"/>
  <c r="AV199" i="1"/>
  <c r="AW199" i="1"/>
  <c r="AV137" i="1"/>
  <c r="AW137" i="1"/>
  <c r="AW452" i="1"/>
  <c r="AW447" i="1"/>
  <c r="AW442" i="1"/>
  <c r="AW437" i="1"/>
  <c r="AW432" i="1"/>
  <c r="AW427" i="1"/>
  <c r="AW422" i="1"/>
  <c r="AW417" i="1"/>
  <c r="AW412" i="1"/>
  <c r="AW407" i="1"/>
  <c r="AW402" i="1"/>
  <c r="AW397" i="1"/>
  <c r="AW392" i="1"/>
  <c r="AW387" i="1"/>
  <c r="AW382" i="1"/>
  <c r="AW377" i="1"/>
  <c r="AW372" i="1"/>
  <c r="AW367" i="1"/>
  <c r="AW327" i="1"/>
  <c r="AW322" i="1"/>
  <c r="AW317" i="1"/>
  <c r="AW312" i="1"/>
  <c r="AW301" i="1"/>
  <c r="AW299" i="1"/>
  <c r="AW293" i="1"/>
  <c r="AV277" i="1"/>
  <c r="AV243" i="1"/>
  <c r="AW221" i="1"/>
  <c r="AU203" i="1"/>
  <c r="AW203" i="1"/>
  <c r="AU182" i="1"/>
  <c r="AV327" i="1"/>
  <c r="AV322" i="1"/>
  <c r="AV317" i="1"/>
  <c r="AV312" i="1"/>
  <c r="AV301" i="1"/>
  <c r="AV293" i="1"/>
  <c r="AV274" i="1"/>
  <c r="AU252" i="1"/>
  <c r="AW252" i="1"/>
  <c r="AU237" i="1"/>
  <c r="AV234" i="1"/>
  <c r="AW234" i="1"/>
  <c r="AV221" i="1"/>
  <c r="AU186" i="1"/>
  <c r="AV182" i="1"/>
  <c r="AW182" i="1"/>
  <c r="AU177" i="1"/>
  <c r="AW269" i="1"/>
  <c r="AU240" i="1"/>
  <c r="AW240" i="1"/>
  <c r="AU218" i="1"/>
  <c r="AW218" i="1"/>
  <c r="AV214" i="1"/>
  <c r="AW214" i="1"/>
  <c r="AV177" i="1"/>
  <c r="AW177" i="1"/>
  <c r="AU172" i="1"/>
  <c r="AV149" i="1"/>
  <c r="AW304" i="1"/>
  <c r="AW249" i="1"/>
  <c r="AU210" i="1"/>
  <c r="AW210" i="1"/>
  <c r="AU206" i="1"/>
  <c r="AW206" i="1"/>
  <c r="AV172" i="1"/>
  <c r="AW172" i="1"/>
  <c r="AU132" i="1"/>
  <c r="AV132" i="1"/>
  <c r="AW132" i="1"/>
  <c r="AW469" i="1"/>
  <c r="AW464" i="1"/>
  <c r="AW459" i="1"/>
  <c r="AW454" i="1"/>
  <c r="AW449" i="1"/>
  <c r="AW444" i="1"/>
  <c r="AW439" i="1"/>
  <c r="AW434" i="1"/>
  <c r="AW429" i="1"/>
  <c r="AW424" i="1"/>
  <c r="AW419" i="1"/>
  <c r="AW414" i="1"/>
  <c r="AW409" i="1"/>
  <c r="AW404" i="1"/>
  <c r="AW399" i="1"/>
  <c r="AW394" i="1"/>
  <c r="AW389" i="1"/>
  <c r="AW384" i="1"/>
  <c r="AW379" i="1"/>
  <c r="AW374" i="1"/>
  <c r="AW369" i="1"/>
  <c r="AW364" i="1"/>
  <c r="AW359" i="1"/>
  <c r="AV306" i="1"/>
  <c r="AV298" i="1"/>
  <c r="AV279" i="1"/>
  <c r="AV260" i="1"/>
  <c r="AV194" i="1"/>
  <c r="AW194" i="1"/>
  <c r="AV167" i="1"/>
  <c r="AW167" i="1"/>
  <c r="AU127" i="1"/>
  <c r="AV127" i="1"/>
  <c r="AW127" i="1"/>
  <c r="AU122" i="1"/>
  <c r="AV122" i="1"/>
  <c r="AW122" i="1"/>
  <c r="AW295" i="1"/>
  <c r="AW287" i="1"/>
  <c r="AU279" i="1"/>
  <c r="AW276" i="1"/>
  <c r="AW274" i="1"/>
  <c r="AW268" i="1"/>
  <c r="AU227" i="1"/>
  <c r="AV224" i="1"/>
  <c r="AW224" i="1"/>
  <c r="AU198" i="1"/>
  <c r="AW198" i="1"/>
  <c r="AU176" i="1"/>
  <c r="AV162" i="1"/>
  <c r="AW162" i="1"/>
  <c r="AV157" i="1"/>
  <c r="AW157" i="1"/>
  <c r="AW309" i="1"/>
  <c r="AV295" i="1"/>
  <c r="AV287" i="1"/>
  <c r="AV276" i="1"/>
  <c r="AV268" i="1"/>
  <c r="AW265" i="1"/>
  <c r="AU257" i="1"/>
  <c r="AW257" i="1"/>
  <c r="AU230" i="1"/>
  <c r="AW230" i="1"/>
  <c r="AU166" i="1"/>
  <c r="AU161" i="1"/>
  <c r="AU152" i="1"/>
  <c r="AW381" i="1"/>
  <c r="AW376" i="1"/>
  <c r="AW371" i="1"/>
  <c r="AW366" i="1"/>
  <c r="AW361" i="1"/>
  <c r="AW356" i="1"/>
  <c r="AW351" i="1"/>
  <c r="AW346" i="1"/>
  <c r="AW341" i="1"/>
  <c r="AW336" i="1"/>
  <c r="AW331" i="1"/>
  <c r="AW326" i="1"/>
  <c r="AW321" i="1"/>
  <c r="AW316" i="1"/>
  <c r="AW300" i="1"/>
  <c r="AW292" i="1"/>
  <c r="AW281" i="1"/>
  <c r="AW273" i="1"/>
  <c r="AV265" i="1"/>
  <c r="AU242" i="1"/>
  <c r="AW242" i="1"/>
  <c r="AW226" i="1"/>
  <c r="AW223" i="1"/>
  <c r="AU213" i="1"/>
  <c r="AW213" i="1"/>
  <c r="AV209" i="1"/>
  <c r="AW209" i="1"/>
  <c r="AU201" i="1"/>
  <c r="AW201" i="1"/>
  <c r="AV189" i="1"/>
  <c r="AW189" i="1"/>
  <c r="AV152" i="1"/>
  <c r="AW152" i="1"/>
  <c r="AV381" i="1"/>
  <c r="AV376" i="1"/>
  <c r="AV371" i="1"/>
  <c r="AV366" i="1"/>
  <c r="AV361" i="1"/>
  <c r="AV356" i="1"/>
  <c r="AV351" i="1"/>
  <c r="AV346" i="1"/>
  <c r="AV341" i="1"/>
  <c r="AV336" i="1"/>
  <c r="AV331" i="1"/>
  <c r="AV326" i="1"/>
  <c r="AV321" i="1"/>
  <c r="AV316" i="1"/>
  <c r="AW308" i="1"/>
  <c r="AV300" i="1"/>
  <c r="AV292" i="1"/>
  <c r="AV281" i="1"/>
  <c r="AV273" i="1"/>
  <c r="AW254" i="1"/>
  <c r="AU245" i="1"/>
  <c r="AW245" i="1"/>
  <c r="AW239" i="1"/>
  <c r="AV226" i="1"/>
  <c r="AV223" i="1"/>
  <c r="AV308" i="1"/>
  <c r="AV289" i="1"/>
  <c r="AW270" i="1"/>
  <c r="AW262" i="1"/>
  <c r="AW256" i="1"/>
  <c r="AU229" i="1"/>
  <c r="AU220" i="1"/>
  <c r="AW220" i="1"/>
  <c r="AU193" i="1"/>
  <c r="AW193" i="1"/>
  <c r="AU184" i="1"/>
  <c r="AU289" i="1"/>
  <c r="AW284" i="1"/>
  <c r="AV262" i="1"/>
  <c r="AV259" i="1"/>
  <c r="AU216" i="1"/>
  <c r="AW216" i="1"/>
  <c r="AV208" i="1"/>
  <c r="AV196" i="1"/>
  <c r="AV188" i="1"/>
  <c r="AV147" i="1"/>
  <c r="AW147" i="1"/>
  <c r="AV130" i="1"/>
  <c r="AW130" i="1"/>
  <c r="AU164" i="1"/>
  <c r="AU159" i="1"/>
  <c r="AU154" i="1"/>
  <c r="AU115" i="1"/>
  <c r="AW115" i="1"/>
  <c r="AU107" i="1"/>
  <c r="AW107" i="1"/>
  <c r="AU67" i="1"/>
  <c r="AW67" i="1"/>
  <c r="AU62" i="1"/>
  <c r="AW62" i="1"/>
  <c r="AU111" i="1"/>
  <c r="AW111" i="1"/>
  <c r="AU94" i="1"/>
  <c r="AW94" i="1"/>
  <c r="AU85" i="1"/>
  <c r="AW85" i="1"/>
  <c r="AU76" i="1"/>
  <c r="AW76" i="1"/>
  <c r="AW186" i="1"/>
  <c r="AW181" i="1"/>
  <c r="AW176" i="1"/>
  <c r="AW171" i="1"/>
  <c r="AW166" i="1"/>
  <c r="AW161" i="1"/>
  <c r="AW156" i="1"/>
  <c r="AW151" i="1"/>
  <c r="AW146" i="1"/>
  <c r="AW141" i="1"/>
  <c r="AW136" i="1"/>
  <c r="AW131" i="1"/>
  <c r="AW126" i="1"/>
  <c r="AU98" i="1"/>
  <c r="AW98" i="1"/>
  <c r="AU43" i="1"/>
  <c r="AU38" i="1"/>
  <c r="AU33" i="1"/>
  <c r="AU28" i="1"/>
  <c r="AU8" i="1"/>
  <c r="AU3" i="1"/>
  <c r="AU118" i="1"/>
  <c r="AW118" i="1"/>
  <c r="AU89" i="1"/>
  <c r="AW89" i="1"/>
  <c r="AU80" i="1"/>
  <c r="AW80" i="1"/>
  <c r="AU71" i="1"/>
  <c r="AW71" i="1"/>
  <c r="AU102" i="1"/>
  <c r="AW102" i="1"/>
  <c r="AU57" i="1"/>
  <c r="AU114" i="1"/>
  <c r="AW114" i="1"/>
  <c r="AU110" i="1"/>
  <c r="AW110" i="1"/>
  <c r="AU106" i="1"/>
  <c r="AW106" i="1"/>
  <c r="AU93" i="1"/>
  <c r="AW93" i="1"/>
  <c r="AU84" i="1"/>
  <c r="AW84" i="1"/>
  <c r="AU75" i="1"/>
  <c r="AW75" i="1"/>
  <c r="AU23" i="1"/>
  <c r="AW178" i="1"/>
  <c r="AW173" i="1"/>
  <c r="AW168" i="1"/>
  <c r="AW163" i="1"/>
  <c r="AW158" i="1"/>
  <c r="AW153" i="1"/>
  <c r="AW148" i="1"/>
  <c r="AW143" i="1"/>
  <c r="AW138" i="1"/>
  <c r="AW133" i="1"/>
  <c r="AW128" i="1"/>
  <c r="AW123" i="1"/>
  <c r="AW117" i="1"/>
  <c r="AV178" i="1"/>
  <c r="AV173" i="1"/>
  <c r="AV168" i="1"/>
  <c r="AV163" i="1"/>
  <c r="AV158" i="1"/>
  <c r="AV153" i="1"/>
  <c r="AV148" i="1"/>
  <c r="AV143" i="1"/>
  <c r="AV138" i="1"/>
  <c r="AV133" i="1"/>
  <c r="AV128" i="1"/>
  <c r="AV123" i="1"/>
  <c r="AV117" i="1"/>
  <c r="AU88" i="1"/>
  <c r="AW88" i="1"/>
  <c r="AU79" i="1"/>
  <c r="AW79" i="1"/>
  <c r="AU70" i="1"/>
  <c r="AW70" i="1"/>
  <c r="AU65" i="1"/>
  <c r="AV65" i="1"/>
  <c r="AW65" i="1"/>
  <c r="AU52" i="1"/>
  <c r="AU97" i="1"/>
  <c r="AW97" i="1"/>
  <c r="AU105" i="1"/>
  <c r="AW105" i="1"/>
  <c r="AU101" i="1"/>
  <c r="AW101" i="1"/>
  <c r="AU83" i="1"/>
  <c r="AW83" i="1"/>
  <c r="AU74" i="1"/>
  <c r="AW74" i="1"/>
  <c r="AU60" i="1"/>
  <c r="AV60" i="1"/>
  <c r="AW60" i="1"/>
  <c r="AW205" i="1"/>
  <c r="AW200" i="1"/>
  <c r="AW195" i="1"/>
  <c r="AW190" i="1"/>
  <c r="AW185" i="1"/>
  <c r="AW180" i="1"/>
  <c r="AW175" i="1"/>
  <c r="AW170" i="1"/>
  <c r="AW165" i="1"/>
  <c r="AW160" i="1"/>
  <c r="AW155" i="1"/>
  <c r="AW150" i="1"/>
  <c r="AU113" i="1"/>
  <c r="AW113" i="1"/>
  <c r="AU109" i="1"/>
  <c r="AW109" i="1"/>
  <c r="AU92" i="1"/>
  <c r="AW92" i="1"/>
  <c r="AU78" i="1"/>
  <c r="AW78" i="1"/>
  <c r="AU69" i="1"/>
  <c r="AW69" i="1"/>
  <c r="AU64" i="1"/>
  <c r="AW64" i="1"/>
  <c r="AU120" i="1"/>
  <c r="AW120" i="1"/>
  <c r="AU100" i="1"/>
  <c r="AW100" i="1"/>
  <c r="AU96" i="1"/>
  <c r="AW96" i="1"/>
  <c r="AU87" i="1"/>
  <c r="AW87" i="1"/>
  <c r="AU73" i="1"/>
  <c r="AW73" i="1"/>
  <c r="AU55" i="1"/>
  <c r="AV55" i="1"/>
  <c r="AW55" i="1"/>
  <c r="AU46" i="1"/>
  <c r="AU11" i="1"/>
  <c r="AW237" i="1"/>
  <c r="AW232" i="1"/>
  <c r="AW227" i="1"/>
  <c r="AW222" i="1"/>
  <c r="AW217" i="1"/>
  <c r="AW212" i="1"/>
  <c r="AW207" i="1"/>
  <c r="AW202" i="1"/>
  <c r="AW197" i="1"/>
  <c r="AW192" i="1"/>
  <c r="AW187" i="1"/>
  <c r="AU104" i="1"/>
  <c r="AW104" i="1"/>
  <c r="AU68" i="1"/>
  <c r="AU63" i="1"/>
  <c r="AU40" i="1"/>
  <c r="AV40" i="1"/>
  <c r="AW40" i="1"/>
  <c r="AU108" i="1"/>
  <c r="AW108" i="1"/>
  <c r="AU91" i="1"/>
  <c r="AW91" i="1"/>
  <c r="AU82" i="1"/>
  <c r="AW82" i="1"/>
  <c r="AU59" i="1"/>
  <c r="AW59" i="1"/>
  <c r="AU116" i="1"/>
  <c r="AW116" i="1"/>
  <c r="AW112" i="1"/>
  <c r="AU50" i="1"/>
  <c r="AV50" i="1"/>
  <c r="AW50" i="1"/>
  <c r="AU45" i="1"/>
  <c r="AV45" i="1"/>
  <c r="AW45" i="1"/>
  <c r="AU99" i="1"/>
  <c r="AW99" i="1"/>
  <c r="AU95" i="1"/>
  <c r="AW95" i="1"/>
  <c r="AU86" i="1"/>
  <c r="AW86" i="1"/>
  <c r="AU77" i="1"/>
  <c r="AW77" i="1"/>
  <c r="AV67" i="1"/>
  <c r="AV62" i="1"/>
  <c r="AW164" i="1"/>
  <c r="AW159" i="1"/>
  <c r="AW154" i="1"/>
  <c r="AW149" i="1"/>
  <c r="AW144" i="1"/>
  <c r="AW139" i="1"/>
  <c r="AW134" i="1"/>
  <c r="AW129" i="1"/>
  <c r="AW124" i="1"/>
  <c r="AU119" i="1"/>
  <c r="AW119" i="1"/>
  <c r="AV107" i="1"/>
  <c r="AU58" i="1"/>
  <c r="AU54" i="1"/>
  <c r="AV54" i="1"/>
  <c r="AW54" i="1"/>
  <c r="AU15" i="1"/>
  <c r="AV115" i="1"/>
  <c r="AV111" i="1"/>
  <c r="AU103" i="1"/>
  <c r="AW103" i="1"/>
  <c r="AU90" i="1"/>
  <c r="AW90" i="1"/>
  <c r="AU81" i="1"/>
  <c r="AW81" i="1"/>
  <c r="AU72" i="1"/>
  <c r="AW72" i="1"/>
  <c r="AU49" i="1"/>
  <c r="AU44" i="1"/>
  <c r="AU9" i="1"/>
  <c r="AW57" i="1"/>
  <c r="AW52" i="1"/>
  <c r="AW47" i="1"/>
  <c r="AW42" i="1"/>
  <c r="AW37" i="1"/>
  <c r="AW32" i="1"/>
  <c r="AW27" i="1"/>
  <c r="AW22" i="1"/>
  <c r="AW17" i="1"/>
  <c r="AW12" i="1"/>
  <c r="AW7" i="1"/>
  <c r="AW2" i="1"/>
  <c r="AW49" i="1"/>
  <c r="AW44" i="1"/>
  <c r="AW39" i="1"/>
  <c r="AW34" i="1"/>
  <c r="AW29" i="1"/>
  <c r="AW24" i="1"/>
  <c r="AW19" i="1"/>
  <c r="AW14" i="1"/>
  <c r="AW9" i="1"/>
  <c r="AW4" i="1"/>
  <c r="AV49" i="1"/>
  <c r="AV44" i="1"/>
  <c r="AV39" i="1"/>
  <c r="AV34" i="1"/>
  <c r="AV29" i="1"/>
  <c r="AV24" i="1"/>
  <c r="AV19" i="1"/>
  <c r="AV14" i="1"/>
  <c r="AV9" i="1"/>
  <c r="AV4" i="1"/>
  <c r="AW66" i="1"/>
  <c r="AW61" i="1"/>
  <c r="AW56" i="1"/>
  <c r="AW51" i="1"/>
  <c r="AW46" i="1"/>
  <c r="AW41" i="1"/>
  <c r="AW36" i="1"/>
  <c r="AW31" i="1"/>
  <c r="AW26" i="1"/>
  <c r="AW21" i="1"/>
  <c r="AW16" i="1"/>
  <c r="AW11" i="1"/>
  <c r="AW6" i="1"/>
  <c r="AW68" i="1"/>
  <c r="AW63" i="1"/>
  <c r="AW58" i="1"/>
  <c r="AW53" i="1"/>
  <c r="AW48" i="1"/>
  <c r="AW43" i="1"/>
  <c r="AW38" i="1"/>
  <c r="AW33" i="1"/>
  <c r="AW28" i="1"/>
  <c r="AW23" i="1"/>
  <c r="AW18" i="1"/>
  <c r="AW13" i="1"/>
  <c r="AW8" i="1"/>
  <c r="AW3" i="1"/>
  <c r="AV68" i="1"/>
  <c r="AV63" i="1"/>
  <c r="AV58" i="1"/>
  <c r="AV53" i="1"/>
  <c r="AV48" i="1"/>
  <c r="AV43" i="1"/>
  <c r="AV38" i="1"/>
  <c r="AV33" i="1"/>
  <c r="AV28" i="1"/>
  <c r="AV23" i="1"/>
  <c r="AV18" i="1"/>
  <c r="AV13" i="1"/>
  <c r="AV8" i="1"/>
  <c r="AV3" i="1"/>
  <c r="AW35" i="1"/>
  <c r="AW30" i="1"/>
  <c r="AW25" i="1"/>
  <c r="AW20" i="1"/>
  <c r="AW15" i="1"/>
  <c r="AW10" i="1"/>
  <c r="AW5" i="1"/>
  <c r="AV35" i="1"/>
  <c r="AV30" i="1"/>
  <c r="AV25" i="1"/>
  <c r="AV20" i="1"/>
  <c r="AV15" i="1"/>
  <c r="AV10" i="1"/>
  <c r="AV5" i="1"/>
</calcChain>
</file>

<file path=xl/sharedStrings.xml><?xml version="1.0" encoding="utf-8"?>
<sst xmlns="http://schemas.openxmlformats.org/spreadsheetml/2006/main" count="13397" uniqueCount="7553">
  <si>
    <t>n</t>
  </si>
  <si>
    <t>undefined</t>
  </si>
  <si>
    <t>['‚ äô', '¬© 1983', 'visible light', 'transfer processes', 'rights reserved', 'reactions driven', 'reaction characteristic', 'quantum yields', 'pœä *)', 'pz ),', 'mlct irradiation', 'ligand charge', 'internal sensitizers', 'highly absorbing', 'bridged ru', 'bimetallic complexes', 'antenna fragments', '2 ),']</t>
  </si>
  <si>
    <t>The series of complexes B5MLM‚Ä≤B‚Ä≤5, where B5M = (NH3)5RuII or (CN)5FeII, L = 4-cyanopyridine (4-CNpy), pyrazine (pz), or 4,4‚Ä≤-bipyridine (4,4‚Ä≤-bpy), and M‚Ä≤B‚Ä≤5 = RhIII(NH3)5 or CoIII(CN)5, display highly absorbing metal-to-ligand charge-transfer (MLCT) bands in the visible spectral region that can be assigned as predominantly M(dœÄ) ‚Üí L(pœÄ*) in character. MLCT irradiation of these complexes generally leads to cleavage of either the M-L or L-M‚Äô bonds. Cleavage of the L-M‚Äô bond, a reaction characteristic of an excited State localized on M‚Äô (not the metal center initially involved in photon absorption), is a result of intramolecular, energy-transfer processes. This phenomenon is observed only for the 4-CNpy- and 4,4‚Ä≤-bpy-bridged Ru(II)/Rh(III) bimetallic complexes. The pz-bridged Ru(II)/Rh(III) bimetallic complex shows little photoreactivity at either metal center. All of the Fe(II) bimetallic complexes show Fe(II)-L bond breaking as the sole photochemical process with no evidence of any intramolecular energy transfer. The quantum yields for reactions driven by intramolecular energy transfer are small (10-4 &lt; Œ¶ Óê• 10-2), but photochemical reactions normally requiring ultraviolet incident irradiation can be driven by visible light by using these highly absorbing, antenna fragments as internal sensitizers. ¬© 1983, American Chemical Society. All rights reserved.</t>
  </si>
  <si>
    <t>2274-2279</t>
  </si>
  <si>
    <t>Journal</t>
  </si>
  <si>
    <t>Journal of the American Chemical Society</t>
  </si>
  <si>
    <t>60026610;60026610;60026610;60026610;60026610;60026610;60026610</t>
  </si>
  <si>
    <t>15130073900;57223760444;15619232900;6701742183;15619626000;15921042400;7401502717</t>
  </si>
  <si>
    <t>Moore, Kathy J.;Lee, Liangshiu;Figard, Joseph E.;Gelroth, Janette A.;Stinson, Angela J.;Wohlers, H. David;Petersen, John D.</t>
  </si>
  <si>
    <t>United States</t>
  </si>
  <si>
    <t>Clemson</t>
  </si>
  <si>
    <t>Clemson University</t>
  </si>
  <si>
    <t>Moore K.J.</t>
  </si>
  <si>
    <t>Article</t>
  </si>
  <si>
    <t>ar</t>
  </si>
  <si>
    <t>Photochemistry of Mixed-Metal Bimetallic Complexes Containing Pentacyanoferrate(II) or Pentaammineruthenium(II) Metal Centers. Evidence for Some Intramolecular Energy-Transfer Reactions</t>
  </si>
  <si>
    <t>10.1021/ja00346a029</t>
  </si>
  <si>
    <t>2-s2.0-0000087963</t>
  </si>
  <si>
    <t>Office of Naval Research</t>
  </si>
  <si>
    <t>ONR</t>
  </si>
  <si>
    <t>['¬© 1983', 'voltage induced', 'thereby releasing', 'spacecraft body', 'south thickness', 'small micron', 'slightly outside', 'size distribution', 'rms voltage', 'ring plane', 'reasonable agreement', 'particles striking', 'particles detected', 'particle distribution', 'induced noise', 'impulse rate', 'impact ionization', 'imaging measurements', 'g ring', 'effective north', 'colliding particle', 'charged particles', '3 œºm', '106 km']</t>
  </si>
  <si>
    <t>During the Voyager 2 Saturn encounter the plasma wave instrument detected a region of intense impulsive noise centered on the ring plane at a distance of 2.88 Saturn radii, slightly outside of the G ring. The noise has been attributed to small micron-sized particles hitting the spacecraft. Investigation of various coupling mechanisms suggested that the noise was produced by impact ionization of particles striking the spacecraft body, thereby releasing a cloud of charged particles, some of which were collected by the plasma wave antenna. Reasonably reliable estimates of the charge yield per unit mass are available from laboratory impact ionization measurements. Based on the assumption that the voltage induced on the antenna is proportional to the mass of the colliding particle, a method was developed to determine the mass and size distribution of the particles from the rms voltage of the induced noise and the impulse rate. The results obtained show that the mass distribution varies as m-3, and that most of the particles detected had radii in the range from 0.3 to 3 Œºm. The effective north-south thickness of the particle distribution is 106 km. The mass distribution function derived from these data is shown to be in reasonable agreement with optical depth estimates obtained from imaging measurements and absorption effects detected by energetic charged particle measurements. ¬© 1983.</t>
  </si>
  <si>
    <t>236-254</t>
  </si>
  <si>
    <t>Icarus</t>
  </si>
  <si>
    <t>60024324;60012804;60024324;60024324;60025209</t>
  </si>
  <si>
    <t>7007153701;35411291100;7201609897;7006701856;6603955329</t>
  </si>
  <si>
    <t>Gurnett, D. A.;Gr√ºn, E.;Gallagher, D.;Kurth, W. S.;Scarf, F. L.</t>
  </si>
  <si>
    <t>United States;United States;Germany</t>
  </si>
  <si>
    <t>Los Angeles;Iowa City;Heidelberg</t>
  </si>
  <si>
    <t>Northrop Grumman corporation;University of Iowa;Max Planck Institute for Nuclear Physics</t>
  </si>
  <si>
    <t>60025209;60024324;60012804</t>
  </si>
  <si>
    <t>Gurnett D.</t>
  </si>
  <si>
    <t>Micron-sized particles detected near Saturn by the Voyager plasma wave instrument</t>
  </si>
  <si>
    <t>10.1016/0019-1035(83)90145-8</t>
  </si>
  <si>
    <t>2-s2.0-0000127610</t>
  </si>
  <si>
    <t>['¬© 1983', 'zeta function', 'quantum regime', 'plot shows', 'phase angle', 'open end', 'low values', 'infinite distance', 'imaginary axis', 'hyperbolic geometry', 'great difficulty', 'gets lost', 'exponential horn', 'exceptional point', 'essentially given', 'easily constructed', 'compact space', 'close connection', 'certain antennas', '1 2']</t>
  </si>
  <si>
    <t>A 2-dimensional smooth orientable, but not compact space of constant negative curvature with the topology of a torus is investigated. It contains an open end, i.e. an exceptional point at infinite distance, through which a particle or a wave can enter or leave, as in the exponential horn of certain antennas or loud-speakers. In the Poincar√© model of hyperbolic geometry, the solutions of Schr√∂dinger's equation for the reflection of a particle which enters through the horn are easily constructed. The scattering phase shift as a function of the momentum is essentially given by the phase angle of Riemann's zeta function on the imaginary axis, at a distance of 1 2 from the famous critical line. This phase shift shows all the features of chaos, namely the ability to mimick any given smooth function, and great difficulty in its effective numerical computation. A plot shows the close connection with the zeros of Riemann's zeta function for low values of the momentum (quantum regime) which gets lost only at exceedingly large momenta (classical regime?) Some generalizations of this approach to chaos are mentioned. ¬© 1983.</t>
  </si>
  <si>
    <t>341-355</t>
  </si>
  <si>
    <t>Physica D: Nonlinear Phenomena</t>
  </si>
  <si>
    <t>Gutzwiller, Martin C.</t>
  </si>
  <si>
    <t>Yorktown Heights</t>
  </si>
  <si>
    <t>IBM Thomas J. Watson Research Center</t>
  </si>
  <si>
    <t>Gutzwiller M.C.</t>
  </si>
  <si>
    <t>Stochastic behavior in quantum scattering</t>
  </si>
  <si>
    <t>0167-2789(83)90138-0</t>
  </si>
  <si>
    <t>10.1016/0167-2789(83)90138-0</t>
  </si>
  <si>
    <t>2-s2.0-0000291634</t>
  </si>
  <si>
    <t>['¬© 1983', 'using elf', 'two types', 'topside ionosphere', 'time spectrum', 'storm times', 'statistically studied', 'spectral shape', 'several tens', 'seems likely', 'recovery phase', 'quiet periods', 'plasmaspheric hiss', 'plasmaspheric hemispheres', 'occurrence rate', 'latitudinal characteristics', 'kashima station', 'isis pass', 'isis elf', 'geomagnetic storms', 'geomagnetic equator', 'equatorial ionosphere', 'elf hiss', 'electric field', 'detailed frequency', 'decreases rapidly', 'complete lack', 'approximately constant', '50 hz', '30 khz', '3 near', '2 received']</t>
  </si>
  <si>
    <t>Latitudinal characteristics of ELF hiss in mid- and low-latitudes have been statistically studied by using ELF/VLF electric field spectra (50 Hz-30 kHz) from ISIS-1 and -2 received at Kashima station, Japan from 1973 to 1977. Most ISIS ELF/VLF data observed in mid- and low-latitude include ELF hiss at frequencies below a few kHz. The ELF hiss has the strongest intensity among VLF phenomena observed by the ISIS electric dipole antenna in mid- and low-latitudes, but the ELF hiss has no rising structure like the chorus in the detailed frequency-time spectrum. The ELF hiss is classified into the steady ELF hiss whose upper frequency limit is approximately constant with latitude and the ELF hiss whose upper frequency limit increases with latitude. These two types of ELF hiss occur often in medium or quiet geomagnetic activities. Sometimes there occurs a partial or complete lack of ELF hiss along an ISIS pass. Spectral shape and bandwidth of ELF hiss in the topside ionosphere are very similar to those of plasmaspheric hiss and of inner zone hiss. The occurrence rate of steady ELF hiss is about 0.3 near the geomagnetic equator and decreases rapidly with latitude around L = 3. Hence it seems likely that ELF hiss is generated by cyclotron resonant instability with electrons of several tens of keV in the equatorial outer plasmasphere beyond L = 3. Thirty-seven per cent of ELF hiss events received at Kashima station occurred during storm times and 63% of them occurred in non-storm or quiet periods. Sixty-seven per cent of 82 ELF hiss events during storm times were observed in the recovery phase of geomagnetic storms. This agrees with the previous satellite observations of ELF hiss by search coil magnetometers. The electric field of ELF hiss becomes very weak every 10 s, which is the satellite spin period, in mid- and low-latitudes, but not near the geomagnetic equator. Ray tracing results suggest that waves of ELF hiss generated in the equatorial outer plasmasphere propagate down in the electrostatic whistler mode towards the equatorial ionosphere, bouncing between the LHR reflection points in both the plasmaspheric hemispheres. ¬© 1983.</t>
  </si>
  <si>
    <t>411-422</t>
  </si>
  <si>
    <t>Planetary and Space Science</t>
  </si>
  <si>
    <t>105409527;105409527;105409527;105409527;105409527</t>
  </si>
  <si>
    <t>7004324236;55726837300;7407898610;6506348655;7404262316</t>
  </si>
  <si>
    <t>Ondoh, T.;Nakamura, Y.;Watanabe, S.;Aikyo, K.;Murakami, T.</t>
  </si>
  <si>
    <t>Japan</t>
  </si>
  <si>
    <t>Tokyo</t>
  </si>
  <si>
    <t>Radio Research Laboratories</t>
  </si>
  <si>
    <t>Ondoh T.</t>
  </si>
  <si>
    <t>Plasmaspheric hiss observed in the topside ionosphere at mid- and low-latitudes</t>
  </si>
  <si>
    <t>10.1016/0032-0633(83)90155-1</t>
  </si>
  <si>
    <t>2-s2.0-0001019964</t>
  </si>
  <si>
    <t>['¬© 1983', 'wind speeds', 'saturniid moths', 'much lower', 'light striking', 'antenna passes', 'actias luna']</t>
  </si>
  <si>
    <t>Airflow | antennae | olfaction | pheromones | saturniids</t>
  </si>
  <si>
    <t>Airflow through an antenna of Actias luna and other saturniid moths is much lower than the speed of the wind to which the antenna is exposed. At wind speeds of 0.75-2.75 m sec-1, between 8 and 18% of the air directly upwind from an antenna will pass through it. By contrast, about 38% of light striking an antenna passes through, pointing out the effect of viscosity on flow through a fine mesh filter. ¬© 1983.</t>
  </si>
  <si>
    <t>Journal of Insect Physiology</t>
  </si>
  <si>
    <t>Vogel, Steven</t>
  </si>
  <si>
    <t>Durham</t>
  </si>
  <si>
    <t>Duke University</t>
  </si>
  <si>
    <t>Vogel S.</t>
  </si>
  <si>
    <t>How much air passes through a silkmoth's antenna?</t>
  </si>
  <si>
    <t>10.1016/0022-1910(83)90027-6</t>
  </si>
  <si>
    <t>2-s2.0-0001021153</t>
  </si>
  <si>
    <t>['¬© 1983', 'triton x', 'topographical relationships', 'rights reserved', 'rhodopseudomonas capsulata', 'probably via', 'polypeptide subunits', 'major part', 'immunofractionation methods', 'found bound', 'found associated', 'b870 complex', 'also h']</t>
  </si>
  <si>
    <t>The topographical relationships between the photochemical reaction center (RC) and the light-harvesting antenna complexes in the membrane of Rhodopseudomonas capsulata were investigated by using reversible chemical cross-linking in conjunction with immunofractionation methods and by using mild detergent fractionation. Cross-linking with the three different reagents 3,3‚Ä≤-dimethyldithiobis(propionimidate) dihydrochloride, dithiobis(succinimidyl propionate), and the photoactivatable compound [(4-azidophenyl)dithio]succinimidyl propionate yielded essentially identical patterns on two-dimensional Polyacrylamide electrophoretograms. In addition to cross-linking between monomer RC subunits H and M and also H and L, close neighbor relationships between H and both polypeptide subunits of the B870 antenna complex as well as the Mr 10000 subunit of the B800‚Äì850 complex were implied. A pivotal structural role of H in the coordination of RC-antenna complex interactions is suggested. Mild detergent fractionation was carried out with lithium dodecyl sulfate and Triton X-100. Discrete native pigmented complexes were obtained on Polyacrylamide gels containing dodecyl sulfate or Triton X-100, respectively, and also on isoelectric focusing gels containing Triton X-100. The RC was found to be attached to the B870 complex. An RC fragment containing mainly subunit H was found associated with a major part of the B800‚Äì850 fraction. In contrast to B800‚Äì850, virtually all of the B870 complex was found bound to the RC, probably via both subunits. ¬© 1983, American Chemical Society. All rights reserved.</t>
  </si>
  <si>
    <t>5660-5667</t>
  </si>
  <si>
    <t>Biochemistry</t>
  </si>
  <si>
    <t>60025641;60025641;60025641</t>
  </si>
  <si>
    <t>57212425535;56622589700;7102742634</t>
  </si>
  <si>
    <t>Peters, J√ºrgen;Takemoto, Jon;Drews, Gerhart</t>
  </si>
  <si>
    <t>Germany</t>
  </si>
  <si>
    <t>Freiburg im Breisgau</t>
  </si>
  <si>
    <t>Universit√§t Freiburg im Breisgau</t>
  </si>
  <si>
    <t>Peters J.</t>
  </si>
  <si>
    <t>Spatial Relationships between the Photochemical Reaction Center and the Light-Harvesting Complexes in the Membrane of Rhodopseudomonas capsulata</t>
  </si>
  <si>
    <t>10.1021/bi00293a032</t>
  </si>
  <si>
    <t>2-s2.0-0001133306</t>
  </si>
  <si>
    <t>1387-1389</t>
  </si>
  <si>
    <t>60014439;60014439;60006221</t>
  </si>
  <si>
    <t>56964670200;6507576371;57216999943</t>
  </si>
  <si>
    <t>Smith, Kevin M.;Kehres, Lisa A.;Fajer, Jack</t>
  </si>
  <si>
    <t>United States;United States</t>
  </si>
  <si>
    <t>Davis;Upton</t>
  </si>
  <si>
    <t>University of California, Davis;Brookhaven National Laboratory</t>
  </si>
  <si>
    <t>60014439;60006221</t>
  </si>
  <si>
    <t>Smith K.M.</t>
  </si>
  <si>
    <t>Aggregation of the Bacteriochlorophylls c, d, and e. Models for the Antenna Chlorophylls of Green and Brown Photosyntnetic Bacteria</t>
  </si>
  <si>
    <t>10.1021/ja00343a062</t>
  </si>
  <si>
    <t>2-s2.0-0001326742</t>
  </si>
  <si>
    <t>['within scapholeberis', 'ventral rim', 'valve margins', 'two species', 'species level', 'southern hemisphere', 'ranges may', 'primitive genus', 'populations appear', 'northern hemisphere', 'megafenestra n', 'junk publishers', 'holds true', 'heretofore supposed', 'group level', 'generalised shape', 'first antennae', 'distal rim', 'continental dimensions', 'closely allied', 'characters upon', 'biogeographical respect', 'apomorphic species', 'also appeared', '7 species', '), structure']</t>
  </si>
  <si>
    <t>biogeography | Cladocera | Daphniidae | hyponeuston | Megafenestra | Scapholeberis | taxonomy</t>
  </si>
  <si>
    <t>The group of hyponeustonic daphniid cladocera previously known under the generic name Scapholeberis is raised to the rank of a subfamily (Scapholeberinae) and contains two genera, Megafenestra n.gen. (2 species), and Scapholeberis s.s. (7 species and one subspecies). The characters upon which this revision is based are: structure of the rostrum, structure of the first antennae, structure of trunk limbs 1, 2, and 5, presence and nature of headpore(s), structure of the ventral rim of the valves, armature of the distal rim of the valves, structure of the postabdomen and its end-claws. Males were examined in all but two species, and proved to be more primitive than females and much less diagnostic than in the Chydoridae. It also appeared that the shape and armature of the postabdomen are less important taxonomical tools than heretofore supposed. In more than half of the species, it is of generalised shape and hardly usable beyond the species-group level. The same, although less drastically, holds true for the P1 of males. Of greatest diagnostic value at the species level are the shape of the rostrum and the armature of the valve margins. A phylogeny of the subfamily is proposed, with Megafenestra as the more primitive genus, closely allied to Ceriodaphnia, and within Scapholeberis, S. mucronata as the most apomorphic species. In biogeographical respect, no species is cosmopolitan, although their ranges may be of continental dimensions. Species and populations appear to concentrate in the temperate and continental climate belts of the northern hemisphere, but more research in the southern hemisphere is needed. A key for the identification of all species is given. ¬© 1983 Dr W. Junk Publishers.</t>
  </si>
  <si>
    <t>Hydrobiologia</t>
  </si>
  <si>
    <t>60033316;60033316</t>
  </si>
  <si>
    <t>7005956251;16488266100</t>
  </si>
  <si>
    <t>Dumont, Henri J.;Pensaert, Jeannine</t>
  </si>
  <si>
    <t>Belgium</t>
  </si>
  <si>
    <t>Ghent</t>
  </si>
  <si>
    <t>Universiteit Gent</t>
  </si>
  <si>
    <t>Dumont H.</t>
  </si>
  <si>
    <t>A revision of the Scapholeberinae (Crustacea: Cladocera)</t>
  </si>
  <si>
    <t>10.1007/BF00027420</t>
  </si>
  <si>
    <t>2-s2.0-0001811008</t>
  </si>
  <si>
    <t>['¬© 1983', 'whole length', 'vigintipunctatus forming', 'squamiform structures', 'significant differences', 'sensory equipment', 'sensilla basiconica', 'present study', 'european yponomeuta', 'complete inventory', 'antennal structures', 'already found']</t>
  </si>
  <si>
    <t>antenna | distribution | insects | Sensilla | Yponomeuta</t>
  </si>
  <si>
    <t>Earlier comparative studies revealed sexual dimorphism in European Yponomeuta with respect to the sensory equipment on the 10th antennal segment, the species Y. vigintipunctatus forming the only exception. In the present study we have examined whole antennae of both sexes of Y. vigintipunctatus in order to make a complete inventory of the antennal structures and to ensure that no sexual dimorphism exists in other portions of the antennae. In addition to the structures which have been already found on the antennae of Yponomeuta we distinguished B√∂hm's bristles, sensilla basiconica and squamiform structures. No significant differences in distribution of antennal structures were found between males and females over the whole length of the antennae. ¬© 1983.</t>
  </si>
  <si>
    <t>59-66</t>
  </si>
  <si>
    <t>International Journal of Insect Morphology and Embryology</t>
  </si>
  <si>
    <t>Cuperus, P. L.</t>
  </si>
  <si>
    <t>Netherlands</t>
  </si>
  <si>
    <t>Groningen</t>
  </si>
  <si>
    <t>University of Groningen</t>
  </si>
  <si>
    <t>Cuperus P.L.</t>
  </si>
  <si>
    <t>Distribution of antennal sense organs in male and female ermine moth, Yponomeuta vigintipunctatus (Retzius) (Lepidoptera : Yponomeutidae)</t>
  </si>
  <si>
    <t>0020-7322(83)90035-1</t>
  </si>
  <si>
    <t>10.1016/0020-7322(83)90035-1</t>
  </si>
  <si>
    <t>2-s2.0-0001864834</t>
  </si>
  <si>
    <t>['united states', 'two radio', 'three antennas', 'sufficiently intense', 'significant evidence', 'signals arriving', 'sample results', 'relative positions', 'recorded simultaneously', 'radio telescope', 'radio sources', 'orthogonal polarizations', 'mark iii', 'later processing', 'interferometer array', 'group delays', 'given polarization', 'geodetic measurements', 'frequency bands', 'flux densities', 'contributions due', 'compact sources', 'celestial coordinates', 'brightness distribution', 'baseline interferometry', 'band recordings', 'arc lengths', 'antenna sites', '6 gigahertz', '50 picoseconds', '5 centimeters', '3 milliseconds', '1 millijansky']</t>
  </si>
  <si>
    <t>The Mark III very-long-baseline interferometry (VLBI) system allows recording and later processing of up to 112 megabits per second from each radio telescope of an interferometer array. For astrometric and geodetic measurements, signals from two radio-frequency bands (2.2 to 2.3 and 8.2 to 8.6 gigahertz) are sampled and recorded simultaneously at all antenna sites. From these dual-band recordings the relative group delays of signals arriving at each pair of sites can be corrected for the contributions due to the ionosphere. For many radio sources for which the signals are sufficiently intense, these group delays can be determined with uncertainties under 50 picoseconds. Relative positions of widely separated antennas and celestial coordinates of radio sources have been determined from such measurements with 1 standard deviation uncertainties of about 5 centimeters and 3 milliseconds of arc, respectively. Sample results are given for the lengths of baselines between three antennas in the United States and three in Europe as well as for the arc lengths between the positions of six extragalactic radio sources. There is no significant evidence of change in any of these quantities. For mapping the brightness distribution of such compact radio sources, signals of a given polarization, or of pairs of orthogonal polarizations, can be recorded in up to 28 contiguous bands each nearly 2 megahertz wide. The ability to record large bandwidths and to link together many large radio telescopes allows detection and study of compact sources with flux densities under 1 millijansky.</t>
  </si>
  <si>
    <t>51-54</t>
  </si>
  <si>
    <t>Science</t>
  </si>
  <si>
    <t>60015009;60015009;60015009;60015009;60015009;60015009;60015009;60006337;60006337;60006337;60022195;60022195;60022195;60022195;100419725;100419725;100419725;60019796;60019796;60019796-60009037;60019634;60019634</t>
  </si>
  <si>
    <t>7402815984;6506472345;6603669377;7403580012;6507604140;57197639594;7005455500;7403216618;7402924823;7404484474;6602110379;6603733469;7004586388;7202507088;7202380948;7103303159;6701693688;8620802100;57224235295;23081529000;6506681062;57191242128</t>
  </si>
  <si>
    <t>Rogers, Alan E.E.;Cappallo, Roger J.;Hinteregger, Hans F.;Levine, James I.;Nesman, Edwin F.;Webber, John C.;Whitney, Alan R.;Clark, Thomas A.;Ma, Chopo;Ryan, James;Corey, Brian E.;Counselman, Charles C.;Herring, Tomas A.;Shapiro, Irwin I.;Knight, Curtis A.;Shaffer, David B.;Vandenberg, Nancy R.;Lacasse, Richard;Mauzy, Robert;Rayhrer, Benno;Schupler, Bruce R.;Pigg, J. C.</t>
  </si>
  <si>
    <t>United States;United States;United States;United States;United States;United States;United States</t>
  </si>
  <si>
    <t>Cambridge;Green Bank;Falls Church;Westford;Pasadena;Greenbelt;McLean/Washington, D.C.</t>
  </si>
  <si>
    <t>Massachusetts Institute of Technology;NRAO, Green Bank;Computer Sciences Corporation - USA;MIT Haystack Observatory;Jet Propulsion Laboratory;NASA Goddard Space Flight Center;Phoenix Corporation</t>
  </si>
  <si>
    <t>60022195;60019796;60019634;60015009;60009037;60006337;100419725</t>
  </si>
  <si>
    <t>Rogers A.E.E.</t>
  </si>
  <si>
    <t>Very-long-baseline radio interferometry: The Mark III system for geodesy, astrometry, and aperture synthesis</t>
  </si>
  <si>
    <t>10.1126/science.219.4580.51</t>
  </si>
  <si>
    <t>2-s2.0-0002544277</t>
  </si>
  <si>
    <t>['within reach', 'systematic form', 'successful manner', 'success achieved', 'starting point', 'spiral pattern', 'spatiotemporal properties', 'small probability', 'shortest way', 'short distance', 'second antennae', 'searches initially', 'search within', 'search behavior', 'search begins', 'returns repeatedly', 'reaumuri searches', 'quantitative terms', 'problem h', 'probability density', 'possesses information', 'nearly touched', 'must search', 'isopods search', 'isopod detect', 'highest probability', 'extreme heat', 'exact position', 'entrance actually', 'difficulties encountered', 'burrow entrance', 'broad loops', 'antennae occasionally', 'animal extends', 'also taken']</t>
  </si>
  <si>
    <t>To protect itself from the extreme heat and dryness of its habitat in summer, Hemilepistus reaumuri must spend most of the time in its burrow. However, to forage it has often to make large excursions. As a rule it is able to return from any point to the entrance of the burrow by the shortest way. If a returning isopod misses the entrance by a few millimeters, it must search for it. Not until the second antennae have nearly touched the edge of the burrow entrance does an isopod detect it, by means of chemoreceptors in the terminal antennal segment. Even when the entrance is within reach of the antennae occasionally the animal will not detect it. H. reaumuri searches for the entrance of its burrow in a systematic and successful manner. If the excursion has covered only a short distance, it searches initially in a spiral pattern. If the burrow is not found during this phase the animal extends its range, moving in broad loops and meanders, but returns repeatedly to the starting point of the search. The problem H. reaumuri must solve in finding its burrow is described in quantitative terms. It is assumed that before the search begins the animal does not know the exact position of the entrance but possesses information about the probability density for this position. The difficulties encountered in detecting the burrow entrance are also taken into account. There is a very small probability that an isopod will detect the entrance if it searches only superficially in the region where the entrance actually is, but this probability increases rapidly with the intensity of search. For this reason it is advantageous for H. reaumuri to return after a while to a region it has already searched without success. The theoretical systematic form of search with the highest probability of success is derived under these conditions. The search behavior of H. reaumuri is as effective as this systematic form of search. The isopods also follow the most important rules governing the spatiotemporal properties of this pattern. They concentrate their search within a narrowly circumscribed region around the starting point. In all regions further away search would be unprofitable, for the increase in probability of success achieved by searching in these regions as well is too small in comparison with the additional search time required. Because this region continually expands as long as the search is unsuccessful, the isopods search over progressively larger areas until they have reached their goal. ¬© 1983 Springer-Verlag.</t>
  </si>
  <si>
    <t>93-106</t>
  </si>
  <si>
    <t>Behavioral Ecology and Sociobiology</t>
  </si>
  <si>
    <t>Hoffmann, Gerhard</t>
  </si>
  <si>
    <t>Wurzburg</t>
  </si>
  <si>
    <t>Julius-Maximilians-Universit√§t W√ºrzburg</t>
  </si>
  <si>
    <t>Hoffmann G.</t>
  </si>
  <si>
    <t>The search behavior of the desert isopod Hemilepistus reaumuri as compared with a systematic search</t>
  </si>
  <si>
    <t>10.1007/BF00293799</t>
  </si>
  <si>
    <t>2-s2.0-0002666766</t>
  </si>
  <si>
    <t>['tribolium castaneum', 'stereochemical structure', 'single stereoisomers', 'sex attractant', 'results suggest', 'prothoracic femora', 'pheromone extracts', 'orientation behaviour', 'optimal attraction', 'olfactory perception', '8s -(+)-']</t>
  </si>
  <si>
    <t>Olfactory perception and orientation behaviour of female and male flour beetles (Tribolium castaneum, T. confusum) to single stereoisomers of their aggregation pheromone revealed maximal receptor potentials and optimal attraction in response to 4R,8R-(-)-dimethyldecanal, whereas its optical antipode 4S,8S-(+)-dimethyldecanal was found to be inactive in this respect. Female flour beetles of both species were ‚âà 103 times less attracted to 4R,8S-(+)- and 4S,8R-(-)-dimethyldecanal than to 4R,8R-(-)-dimethyldecanal, while male flour beetles failed to respond to the R,S-(+)- and S,R-(-)-stereoisomers. Pheromone extracts of prothoracic femora from unmated male flour beetles elicited higher receptor potentials in the antennae of females than in those of males. The results suggest that the aggregation pheromone emitted by male T. castaneum as well as male T. confusum has the stereochemical structure of 4R,8R-(-)-dimethyl-decanal, which acts as sex attractant for the females and as aggregant for the males of both species. ¬© 1983 Springer-Verlag.</t>
  </si>
  <si>
    <t>190-192</t>
  </si>
  <si>
    <t>Naturwissenschaften</t>
  </si>
  <si>
    <t>60005460;60025272</t>
  </si>
  <si>
    <t>7102170884;24543409400</t>
  </si>
  <si>
    <t>Levinson, H. Z.;Mori, K.</t>
  </si>
  <si>
    <t>Japan;Germany</t>
  </si>
  <si>
    <t>Tokyo;Pocking</t>
  </si>
  <si>
    <t>The University of Tokyo;Max Planck Institute for Ornithology</t>
  </si>
  <si>
    <t>60025272;60005460</t>
  </si>
  <si>
    <t>Levinson H.</t>
  </si>
  <si>
    <t>Chirality determines pheromone activity for flour beetles</t>
  </si>
  <si>
    <t>10.1007/BF01047557</t>
  </si>
  <si>
    <t>2-s2.0-0003015195</t>
  </si>
  <si>
    <t>['various localities', 'tongue length', 'submountainous zone', 'significantly higher', 'significantly greater', 'significant differences', 'morphometric studies', 'morphological characters', 'kashmiri bees', 'kashmir regions', 'indian honeybee', 'himachal region', 'floral morphology', 'differ significantly', 'closely related', 'character may', '2 regions']</t>
  </si>
  <si>
    <t>Morphometric studies were made on samples of workers of the Indian honeybee (Apis cerana indica F.) collected from various localities in the Himachal and Kashmir regions of India. Significant differences with locality were found in length of postmentum, pedicel, flagellum and antenna in the Himachal region but only in length of postmentum in Kashmir. Values for the above morphological characters were significantly higher for the mountainous (elevation &gt; 1800 m) than for the submountainous zone. In bees of Himachal, 5 characters‚Äîlength of postmentum, scape, pedicel, flagellum and antenna‚Äîshowed a low but statistically significant positive correlation with altitude, whereas in Kashmir only the total antennal length was correlated with altitude. Both length of flagellum and overall antennal length were significantly greater in Kashmiri bees. Tongue length did not differ significantly between the 2 regions; it is suggested that this character may be more closely related to floral morphology than to altitude. ¬© 1983 International Bee Research Association.</t>
  </si>
  <si>
    <t>79-85</t>
  </si>
  <si>
    <t>Journal of Apicultural Research</t>
  </si>
  <si>
    <t>60013164;60013164</t>
  </si>
  <si>
    <t>6507945376;7005089446</t>
  </si>
  <si>
    <t>Mattu, V. K.;Verma, L. R.</t>
  </si>
  <si>
    <t>India</t>
  </si>
  <si>
    <t>Shimla</t>
  </si>
  <si>
    <t>Himachal Pradesh University</t>
  </si>
  <si>
    <t>Mattu V.</t>
  </si>
  <si>
    <t>Comparative Morphometric Studies on the Indian Honeybee of the North-West Himalayas 1. Tongue and Antenna</t>
  </si>
  <si>
    <t>10.1080/00218839.1983.11100563</t>
  </si>
  <si>
    <t>2-s2.0-0005942996</t>
  </si>
  <si>
    <t>['unique set', 'spinach chloroplasts', 'spectral forms', 'spectra represent', 'result suggests', 'proportions found', 'peak positions', 'native absorption', 'lhcp ).', 'junk publishers', 'green plants', 'gel bands', 'fitting program', 'dr w', 'cpi );', 'cpa );', 'computer assisted', 'antenna complex', 'absorption spectra', '77 k', '730 nm', '3 fractions']</t>
  </si>
  <si>
    <t>absorption spectra | chlorophyll-proteins | curve resolution | photosynthesis</t>
  </si>
  <si>
    <t>The three major chlorophyll-proteins of spinach chloroplasts were solubilized with digitonin and isolated by electrophoresis with deoxycholate. The gel bands were identified from their absorption and fluorescence spectra measured at 77 K. The slowest moving band was a Photosystem I complex (CPI); the second, a Photosystem II complex (Cpa); and the third, a chlorophyll a-b, antenna complex (LHCP). When absorption spectra (630-730 nm) of the bands were added in the proportions found in the gel, the sum closely matched the absorption of the chloroplasts both before and after solubilization. Thus these spectra represent the native absorption of the major antenna chlorophyll-proteins of green plants. Each of these spectra was resolved with a computer assisted, curve-fitting program into 8 mixed Gaussian-Lorentzian shaped components. The major, Chl a components in the 3 fractions were different both in peak positions and bandwidths. This result suggests that each chlorophyll-protein has its own unique set of chlorophyll a spectral forms or components. ¬© 1983 Martinus Nijhoff/Dr W. Junk Publishers.</t>
  </si>
  <si>
    <t>375-383</t>
  </si>
  <si>
    <t>Photosynthesis Research</t>
  </si>
  <si>
    <t>Brown, Jeanette S.</t>
  </si>
  <si>
    <t>Stanford</t>
  </si>
  <si>
    <t>Carnegic Institution of Washington</t>
  </si>
  <si>
    <t>Brown J.</t>
  </si>
  <si>
    <t>A new evaluation of chlorophyll absorption in photosynthetic membranes</t>
  </si>
  <si>
    <t>10.1007/BF00041834</t>
  </si>
  <si>
    <t>2-s2.0-0007609483</t>
  </si>
  <si>
    <t>['¬© 1983', 'term evolution', 'small parameters', 'small eccentricity', 'simplified way', 'seems suitable', 'relative importance', 'reference frame', 'perturbations due', 'orbital elements', 'moving gauss', 'main effects', 'interesting results', 'different parts']</t>
  </si>
  <si>
    <t>We analyze the perturbations due to solar radiation pressure on the orbit of a high artificial satellite. The latter is modelled in a simplified way (axisymmetric body plus despun antenna emitting a radio beam), which seems suitable to describe the main effects for existing telecommunication satellites. We use the regularized general perturbation equations, by expressing the force in the moving Gauss' reference frame and by expanding the results in terms of some small parameters, referring both to the orbit (small eccentricity and inclination) and to the spacecraft's attitude. Some interesting results are derived, which assess the relative importance of different physical effects and of different parts of the spacecraft in determining the long-term evolution of the orbital elements. ¬© 1983 D. Reidel Publishing Co.</t>
  </si>
  <si>
    <t>27-43</t>
  </si>
  <si>
    <t>Celestial Mechanics</t>
  </si>
  <si>
    <t>60015197;60015197;60028999;60028868;60028868</t>
  </si>
  <si>
    <t>7004312280;6701533272;7004014214;7005569960;56276193900</t>
  </si>
  <si>
    <t>Anselmo, L.;Bertotti, B.;Farinella, P.;Milani, A.;Nobili, A. M.</t>
  </si>
  <si>
    <t>Italy;Italy;Italy</t>
  </si>
  <si>
    <t>Merate;Pisa;Pavia</t>
  </si>
  <si>
    <t>Osservatorio Astronomico di Brera;Universit√† di Pisa;Universit√† degli Studi di Pavia</t>
  </si>
  <si>
    <t>60028999;60028868;60015197</t>
  </si>
  <si>
    <t>Anselmo L.</t>
  </si>
  <si>
    <t>Orbital perturbations due to radiation pressure for a spacecraft of complex shape</t>
  </si>
  <si>
    <t>10.1007/BF01358596</t>
  </si>
  <si>
    <t>2-s2.0-0009903471</t>
  </si>
  <si>
    <t>['¬© 1983', 'transfer rate', 'singlet energy', 'rights reserved', 'negligible compared', 'naphthalene excimer', 'migration coefficient', 'methyltetrahydrofuran glass', 'intramolecular transfer', 'greatly enhanced', 'anthrylmethyl methacrylate', '77 k', '5 cm2']</t>
  </si>
  <si>
    <t>Intramolecular transfer of singlet energy in 2-vinylnaphthalene polymers containing small amounts of the low-energy acceptor comonomer 9-anthrylmethyl methacrylate was studied by using both steady-state and transient fluorescence measurements. The migration coefficient of the excited naphthalene singlet was estimated to be of the order of 10-5 cm2/s in 2-methyltetrahydrofuran glass at 77 K. In tetrahydrofuran fluid solutions, the transfer rate was greatly enhanced but the transfer from the naphthalene excimer to anthracene was found to be negligible compared with transfer from the excited naphthalene singlet. ¬© 1983, American Chemical Society. All rights reserved.</t>
  </si>
  <si>
    <t>568-571</t>
  </si>
  <si>
    <t>Macromolecules</t>
  </si>
  <si>
    <t>60002285;60016849;60016849</t>
  </si>
  <si>
    <t>15620537700;57194805264;7102379256</t>
  </si>
  <si>
    <t>Ng, Dominic;Yoshik, Karen;Guillet, J. E.</t>
  </si>
  <si>
    <t>Canada;Canada</t>
  </si>
  <si>
    <t>Toronto;Mississauga</t>
  </si>
  <si>
    <t>University of Toronto;Xerox Research Centre of Canada</t>
  </si>
  <si>
    <t>60016849;60002285</t>
  </si>
  <si>
    <t>Ng D.</t>
  </si>
  <si>
    <t>Studies of the Antenna Effect in Polymer Molecules. 6. Singlet Electronic Energy Transfer and Migration in Poly(2-vinylnaphthalene-co-9-anthrylmethyl methacrylate)</t>
  </si>
  <si>
    <t>10.1021/ma00238a016</t>
  </si>
  <si>
    <t>2-s2.0-0010270984</t>
  </si>
  <si>
    <t>['wiley company', 'whole body', 'sufficiently small', 'serious effect', 'portable transmitter', 'paper presents', 'nearest surface', 'localized fields', 'inc .,', 'immediate vicinity', 'human exposures', 'extremely large', 'energy absorption', 'blood flow', 'average value', 'ansi guideline', 'ansi c95', 'although exceeding', 'absorbed power']</t>
  </si>
  <si>
    <t>In the new radio frequency protection guide for human exposures to electromagnetic fields recently accepted by ANSI C95, low power devices such as portable radio transmitters are treated as exceptions. This is based on the consideration that these devices may generate fields which, although exceeding the protection guide locally, result in a significantly lower rate of energy absorption for whole body. However, we consider that the localized fields have serious effect at least on the eyes where heat convection due to blood flow is very small. This paper presents the distribution of the absorbed power in the model of a human head exposed in the immediate vicinity of a portable transmitter. In our calculation, the head is simulated by a homogeneous lossy sphere, and Œª/2 dipole antenna is used for a portable transmitter. It is found that the local absorbed power is extremely large at the nearest surface of the sphere to the antenna, although the average value is sufficiently small. the peak absorbed power is so large that we believe the reason for excluding low power devices from the ANSI guideline should be reconsidered. Copyright ¬© 1983 Wiley Periodicals, Inc., A Wiley Company</t>
  </si>
  <si>
    <t>64-72</t>
  </si>
  <si>
    <t>Electronics and Communications in Japan (Part I: Communications)</t>
  </si>
  <si>
    <t>60000264;60000264</t>
  </si>
  <si>
    <t>7101945152;6602707745</t>
  </si>
  <si>
    <t>Amemiya, Yoshifumi;Uebayashi, Shinji</t>
  </si>
  <si>
    <t>Nagoya</t>
  </si>
  <si>
    <t>Nagoya University</t>
  </si>
  <si>
    <t>Amemiya Y.</t>
  </si>
  <si>
    <t>Distribution of absorbed power inside a sphere simulating the human head in the near field of of a Œª/2 dipole antenna</t>
  </si>
  <si>
    <t>10.1002/ecja.4400660909</t>
  </si>
  <si>
    <t>2-s2.0-0011243509</t>
  </si>
  <si>
    <t>['¬© 1983', 'young pupa', 'trichogen cells', 'thus build', 'results confirm', 'proximal opening', 'pore tubules', 'pore plates', 'pore plate', 'outer half', 'mature pupae', 'mature pupa', 'like process', 'insect sensilla', 'hair sensilla', 'first time', 'dendritic sheath', 'contact immediately', 'basiconic sensilla', 'aulacus striatus', 'anlage ".']</t>
  </si>
  <si>
    <t>development | doubling of trichogen cells | Insects | olfactory sensilla | pore plates</t>
  </si>
  <si>
    <t>The pore plate sensilla of pupae and imagines of Aulacus striatus (Hymenoptera : Aulacidae) were studied by scanning and transmission electron microscopy. Our results confirm the assumption that these sensilla are derivatives of hair sensilla, probably basiconic sensilla of the Cephus (Hymenoptera : Symphyta) type. Each sensillum is innervated by about 10-20 sense cells and ensheathed by 5 enveloping cells. The innermost envelope cell is the dendritic sheath cell. In mature pupae and imagines, the dendritic sheath is reduced to a collar-like ring encircling the outer dendritic segments. In the young pupa, 2 long processes of the envelope cells 2a and 2b are in contact immediately with the epicuticle of the pore plate "Anlage". They form the pores and the pore tubules and therefore are interpreted as trichogen cells. So far, this doubling of trichogen cells in insect sensilla has been observed only in pore plates and basiconic sensilla of Hymenoptera, and it is reported here for the first time. The rod-like process of envelope cell 2a is embedded in the half-tube like envelope cell 2b. Around this inner half cylinder envelope cell 3 forms a middle, and envelope cell 4 forms an outer half-tube. In the mature pupa, the processes of envelope cells 2a, 2b, and 3 withdraw almost completely from the pore plate canal, and thus build up the outer receptor lymph cavity that fuses with the inner receptor lymph cavity. Only envelope cell 4 remains in the pore plate canal. In the imago, the outer dendritic segments branch and extend through a proximal opening into the pore plate canal. ¬© 1983.</t>
  </si>
  <si>
    <t>43-57</t>
  </si>
  <si>
    <t>60029428;60029428</t>
  </si>
  <si>
    <t>7403915059;24458297300</t>
  </si>
  <si>
    <t>Schmidt, Konrad;Kuhbandner, Bernd</t>
  </si>
  <si>
    <t>Karlsruhe</t>
  </si>
  <si>
    <t>Karlsruhe Institute of Technology, Campus South</t>
  </si>
  <si>
    <t>Schmidt K.</t>
  </si>
  <si>
    <t>Ontogeny of the sensilla placodea on the antennae of Aulacus striatus jurine (Hymenoptera : Aulacidae)</t>
  </si>
  <si>
    <t>0020-7322(83)90034-X</t>
  </si>
  <si>
    <t>10.1016/0020-7322(83)90034-X</t>
  </si>
  <si>
    <t>2-s2.0-0011275444</t>
  </si>
  <si>
    <t>['¬© 1983', 'thoracic legs', 'thin walls', 'short 1', 'segmented antenna', 'rodlike sensilla', 'ridged sensilla', 'probably mechanoreceptors', 'labial palpus', 'instar larvae', 'hypera postica', 'filled lumen', 'curculionidae ),', 'body sensilla', 'b .)', 'antennal complex', 'also illustrated', '3 small', '10 similar']</t>
  </si>
  <si>
    <t>Chemoreceptors | contact chemoreceptors | labium | maxilla | mechanoreceptors | morphology | olfactory chemoreceptors | sensilla | sensilla auricularia | sensilla basiconica | sensilla trichodea</t>
  </si>
  <si>
    <t>The morphology of the antennal complex, major mouthpart sensilla and body sensilla of alfalfa weevil larvae, Hypera postica (Gyllenhal) (Coleoptera : Curculionidae), is described. All instars have a short 1-segmented antenna with a large, multiporous sensillum basiconicum (s.b.) on its apex. Surrounding the s.b. are 2 unusual sensilla auricularia, and 3 small s.b., 2 of which are uniporous. The galea of the maxilla contains 11 s.b. and the apex of the palpus bears 12 thick-walled, uniporous s.b. The labial palpus has 10 similar s.b. apically. First-instar larvae have long, rodlike sensilla with a large, thick-walled bulbous apex; they are probably mechanoreceptors. The other 3 instars bear unusual nodulated and ridged sensilla with thin walls and a fragment-filled lumen. Sensilla on the apex of the thoracic legs and prolegs are also illustrated. ¬© 1983.</t>
  </si>
  <si>
    <t>261-272</t>
  </si>
  <si>
    <t>Bland, R. G.</t>
  </si>
  <si>
    <t>Mount Pleasant</t>
  </si>
  <si>
    <t>Central Michigan University</t>
  </si>
  <si>
    <t>Bland R.</t>
  </si>
  <si>
    <t>Sensilla on the antennae, mouthparts, and body of the larva of the alfalfa weevil, hypera postica (gyllenhal) (Coleoptera : Curculionidae)</t>
  </si>
  <si>
    <t>0020-7322(83)90022-3</t>
  </si>
  <si>
    <t>10.1016/0020-7322(83)90022-3</t>
  </si>
  <si>
    <t>2-s2.0-0011277402</t>
  </si>
  <si>
    <t>['¬© 1983', 'volatiles produced', 'total amount', 'specific concentrations', 'significant increase', 'response given', 'overall response', 'order coleoptera', 'multistriatus boring', 'laboratory bioassay', 'heptanone found', 'heptanone among', 'heptanol present', 'four species', 'first reports', 'female beetles', 'electrophysiological studies', 'also obtained', '(¬±)- 4']</t>
  </si>
  <si>
    <t>4-methyl-3-heptanone | electroantennogram responses | elm bark beetles | laboratory behavioural bioassay | pheromone | S. multistriatus | Scolytidae | Scolytus scolytus | single cell responses</t>
  </si>
  <si>
    <t>The identification of (4S)-4-methyl-3-heptanone among the volatiles produced when male Scolytus scolytus bore into four species of Ulmus is described. The quantity of 4-methyl-3-heptanone found in extracts of volatiles was 12-32% of the total amount of 4-methyl-3-heptanol present. From gas chromatographic analysis and a coupled gas chromatography-single cell recording technique, evidence was also obtained for the production of 4-methyl-3-heptanone by female S. multistriatus boring in two Ulmus species. These are the first reports of 4-methyl-3-heptanone from the order Coleoptera. Electrophysiological studies (electroantennogram and single cell recordings) and a laboratory walking bioassay indicated that (¬±)-4-methyl-3-heptanone is biologically active towards S. scolytus. Eleven per cent of the olfactory cells recorded from the antennae of male and female S. scolytus responded preferentially to (¬±)-4-methyl-3-heptanone at low stimulus concentrations. In the laboratory bioassay, addition of specific concentrations of this substance to a mixture of 4-methyl-3-heptanol and (-)-Œ±-cubebene modified the type of response given by both sexes, but a significant increase in the overall response was shown only by female beetles. ¬© 1983.</t>
  </si>
  <si>
    <t>27-38</t>
  </si>
  <si>
    <t>Insect Biochemistry</t>
  </si>
  <si>
    <t>60017317;60017317;60017317</t>
  </si>
  <si>
    <t>7004737350;57195042141;7003829798</t>
  </si>
  <si>
    <t>Blight, Margaret M.;Henderson, N. C.;Wadhams, L. J.</t>
  </si>
  <si>
    <t>United Kingdom</t>
  </si>
  <si>
    <t>Brighton</t>
  </si>
  <si>
    <t>University of Sussex</t>
  </si>
  <si>
    <t>Blight M.</t>
  </si>
  <si>
    <t>The identification of 4-methyl-3-heptanone from Scolytus scolytus (F.) and S. multistriatus (Marsham). Absolute configuration, laboratory bioassay and electrophysiological studies on S. scolytus</t>
  </si>
  <si>
    <t>0020-1790(83)90061-6</t>
  </si>
  <si>
    <t>10.1016/0020-1790(83)90061-6</t>
  </si>
  <si>
    <t>2-s2.0-0012283802</t>
  </si>
  <si>
    <t>['time domain', 'straight antenna', 'square pulse', 'salient features', 'physics teachers', 'physical point', 'fields produced', 'arbitrary time']</t>
  </si>
  <si>
    <t>We obtain analytical solutions in the time domain for the electric and magnetic fields associated with establishing a finite electrostatic dipole. We assume that a simple source current distribution, a square pulse of current, produces the dipole, and solve for the fields produced by that source current distribution using Maxwell's equations. Salient features of the fields are discussed from a physical point of view. We outline a technique to determine in the time domain the electric and magnetic fields produced by any arbitrary time-varying current propagating along a straight antenna, given the calculated fields due to a short square pulse of current. ¬© 1983 American Association of Physics Teachers</t>
  </si>
  <si>
    <t>118-126</t>
  </si>
  <si>
    <t>American Journal of Physics</t>
  </si>
  <si>
    <t>;60013959</t>
  </si>
  <si>
    <t>6602767338;7006300896</t>
  </si>
  <si>
    <t>Master, M. J.;Uman, M. A.</t>
  </si>
  <si>
    <t>Gainesville</t>
  </si>
  <si>
    <t>University of Florida</t>
  </si>
  <si>
    <t>Master M.</t>
  </si>
  <si>
    <t>Transient electric and magnetic fields associated with establishing a finite electrostatic dipole</t>
  </si>
  <si>
    <t>10.1119/1.13310</t>
  </si>
  <si>
    <t>2-s2.0-0013396612</t>
  </si>
  <si>
    <t>['¬© asce', 'wave power', 'using impedance', 'strong antenna', 'size limit', 'results show', 'restricted waters', 'lower limit', 'generated sea', 'effectively used', 'device operating', 'design sea', 'design frequency', 'body dimension', 'attracting significantly']</t>
  </si>
  <si>
    <t>The performance of two single degree-of-freedom systems‚Äîthe heaving vertical circular cylinder and the vertical oscillating water column‚Äîare theoretically studied. The systems are optimized by using impedance-matching at the design frequency. This frequency is that of the peak of the wave energy spectrum in a wind-generated sea. The results show that the optimized system acts as a strong antenna, attracting significantly more wave power than is incident in its body dimension. As the diameter of the system is increased the draft of the device is decreased. Thus, there is a size limit for each design sea. Furthermore, there is also a lower limit of the diameter of the device operating in restricted waters. Because of the strong antenna effect, relatively small systems can be effectively used, making the optimized wave energy conversion system cost effective. ¬© ASCE.</t>
  </si>
  <si>
    <t>180-198</t>
  </si>
  <si>
    <t>0733950X</t>
  </si>
  <si>
    <t>Journal of Waterway, Port, Coastal and Ocean Engineering</t>
  </si>
  <si>
    <t>McCormick, Michael E.</t>
  </si>
  <si>
    <t>Annapolis</t>
  </si>
  <si>
    <t>US Naval Academy</t>
  </si>
  <si>
    <t>McCormick M.</t>
  </si>
  <si>
    <t>Analysis of optimal ocean wave energy conversion</t>
  </si>
  <si>
    <t>10.1061/(ASCE)0733-950X(1983)109:2(180)</t>
  </si>
  <si>
    <t>2-s2.0-0013725916</t>
  </si>
  <si>
    <t>['wavelength antenna', 'texas 4', 'surface accuracy', 'subsequently detecting', 'smaller antenna', 'run repeatability', 'radio telescope', 'large millimeter', 'large antenna', 'known way', 'interferometric one', 'field measurement', 'electronics engineers', 'electromagnetic measurement', 'antenna surface', '4 œº', '1 ghz']</t>
  </si>
  <si>
    <t>An instrument has been built which allows the electromagnetic measurement of the surface accuracy of a large millimeter-wavelength antenna. The University of Texas 4.9-m radio telescope has been measured with this technique at 86.1 GHz to an accuracy of 4 Œº m at the surface. Our technique is an interferometric one which is fast, accurate, and able to measure the whole antenna surface at once. While the technique is illustrated by its use on a large antenna, it could be used in a near-field measurement of a smaller antenna. Several antenna surface maps are presented. A comparison of run-to-run repeatability was made. The technique itself was tested by deforming the antenna surface in a known way and subsequently detecting the deformation. Copyright ¬© 1983 by The Institute of Electrical and Electronics Engineers, Inc.</t>
  </si>
  <si>
    <t>102-109</t>
  </si>
  <si>
    <t>IEEE Transactions on Instrumentation and Measurement</t>
  </si>
  <si>
    <t>60013372;60013372;60013372;60013372</t>
  </si>
  <si>
    <t>7202232494;55740874900;57197269126;35613152700</t>
  </si>
  <si>
    <t>Mayer, Charles E.;Davis, John H.;Peters, William L.;Vogel, Wolfhard J.</t>
  </si>
  <si>
    <t>Austin</t>
  </si>
  <si>
    <t>The University of Texas at Austin</t>
  </si>
  <si>
    <t>Mayer C.</t>
  </si>
  <si>
    <t>A Holographic Surface Measurement of the Texas 4.9-m Antenna at 86 GHz</t>
  </si>
  <si>
    <t>10.1109/TIM.1983.4315018</t>
  </si>
  <si>
    <t>2-s2.0-0020098271</t>
  </si>
  <si>
    <t>['related data', 'paper describes', 'field phase', 'electronics engineers', 'displays far', 'contained system', 'antenna aperture']</t>
  </si>
  <si>
    <t>This paper describes the development, operation, and performance of a fully automated self-contained system which measures the near-field phase and amplitude of an antenna aperture and then computes and displays far-f√¨eld antenna patterns and related data. Copyright ¬© 1983 by The Institute of Electrical and Electronics Engineers, Inc.</t>
  </si>
  <si>
    <t>91-102</t>
  </si>
  <si>
    <t>;60005304;60005304;60005304;60005304</t>
  </si>
  <si>
    <t>7801469331;7004826370;7201590995;55436086300;7202778756</t>
  </si>
  <si>
    <t>Borowick, John;Holley, Alan E.;Lange, W. L.;Howard, R. W.;Cummings, R. L.</t>
  </si>
  <si>
    <t>Waltham</t>
  </si>
  <si>
    <t>Raytheon</t>
  </si>
  <si>
    <t>Borowick J.</t>
  </si>
  <si>
    <t>A Near-Field Antenna Measurement System</t>
  </si>
  <si>
    <t>10.1109/TIM.1983.4315017</t>
  </si>
  <si>
    <t>2-s2.0-0020098286</t>
  </si>
  <si>
    <t>['two small', 'time fluctuation', 'time comparison', 'single site', 'modulated signal', 'mobile stations', 'main station', 'link path', 'headquarters one', 'frequency stability', 'electronics engineers', 'cs ).', 'common clock', 'averaging time', '74 ns', '7 ns', '6 ns', '200 min', '13 ns', '1 ns']</t>
  </si>
  <si>
    <t>Time comparison experiments were made for the development of a domestic accurate time-comparison system via the K-band (30/20-GHz) link of a Japanese geostationary satellite (CS). In the experiments, SSRA communication equipment and K-band earth stations such as a 13-m antenna main station, a 2-m antenna headquarters station, and a 1-m antenna automobile station were used. Time fluctuation of about 1 ns (rms) and frequency stability of less than 1 √ó 10&lt;sup&gt;‚Äì13&lt;/sup&gt; (for averaging time of 100-200 min) were achieved in the two-way time transfer method. The accuracies of the experiments were estimated as about 13 ns for the time comparison between the main station and the headquarters one, referred to a two-way time transfer through a ground microwave link, and about 0.74 ns for that between the two small (mobile) stations by method of a two-way time transfer experiment at a single site with a common clock. We measured the station time delays by insertion of a pulse-modulated signal and its detection at each of the up-link path and the down-link path of the station, and obtained the results with accuracies of 3.6 ns for the mobile stations and 7.7 ns for the main station. Copyright ¬© 1983 by The Institute of Electrical and Electronics Engineers, Inc.</t>
  </si>
  <si>
    <t>199-203</t>
  </si>
  <si>
    <t>;;;;;</t>
  </si>
  <si>
    <t>7004670082;7005392831;57220968021;6506043550;7402330553;57220705306</t>
  </si>
  <si>
    <t>Imae, Michito;Okazawa, Haruo;Sato, Tokuo;Urazuka, Makoto;Yoshimura, Kazuyuki;Yasuda, Yoshiyuki</t>
  </si>
  <si>
    <t>Imae M.</t>
  </si>
  <si>
    <t>Time Comparison Experiments with Small K-Band Antennas and SSRA Equipments via a Domestic Geostationary Satellite</t>
  </si>
  <si>
    <t>10.1109/TIM.1983.4315041</t>
  </si>
  <si>
    <t>2-s2.0-0020099848</t>
  </si>
  <si>
    <t>['‚ äútest', 'step application', 'range design', 'range cable', 'proven far', 'planned services', 'paper presents', 'measurement system', 'limiting values', 'frequency coordination', 'field range', 'electronics engineers', 'electromagnetic compatibility', 'available site', 'area surrounding', 'antenna directivity', '6500 ft', '23 ft']</t>
  </si>
  <si>
    <t>This paper presents the step-by-step application of proven far-field range and instrumentation design techniques to a specific antenna measurement problem, describes the resulting facility design, and presents the predicted measurement uncertainty. Fundamental electromagnetic design criteria for an outdoor, far-field facility establish minimum dimensional requirements for the range design and limiting values of source-antenna directivity. Electromagnetic compatibility of the facility is assured by frequency coordination with existing and planned services in the area surrounding the available site. Additional design constraints for this facility included restricted measurement time, reduction of spurious test enclosure effects, limited available terrain, and required data quality. In this case, the required range length is in excess of 6500 ft, and paraboloidal source antenna diameters up to 23 ft are required. The frequency coordination problem was solved by exploiting the natural terrain features and configuring the measurement system as ‚Äútest-on-transmit.‚Äù Signal and reference paths share the same range cable. The quantity of data that must be handled in the available measurement interval required the use of a computer-based measurement system. Copyright ¬© 1983 by The Institute of Electrical and Electronics Engineers, Inc.</t>
  </si>
  <si>
    <t>83-87</t>
  </si>
  <si>
    <t>;</t>
  </si>
  <si>
    <t>7006434171;7004485589</t>
  </si>
  <si>
    <t>Lyon, T. Jud;Howland, A. Ray</t>
  </si>
  <si>
    <t>Lyon T.</t>
  </si>
  <si>
    <t>The Design of an Automated, High-Accuracy Antenna Test Facility</t>
  </si>
  <si>
    <t>10.1109/TIM.1983.4315015</t>
  </si>
  <si>
    <t>2-s2.0-0020099913</t>
  </si>
  <si>
    <t>['shielded loops', 'phase properties', 'nonresonant mode', 'field measurements', 'electronics engineers', 'band h']</t>
  </si>
  <si>
    <t>For wide-band H-field measurements, shielded loops operating in a nonresonant mode are used. Distributed parameter models for shielded loops have been developed allowing accurate prediction of their amplitude and phase properties. Two such models are described in this paper. Copyright ¬© 1983 by The Institute of Electrical and Electronics Engineers, Inc.</t>
  </si>
  <si>
    <t>241-244</t>
  </si>
  <si>
    <t>60008827-60010307;60010962</t>
  </si>
  <si>
    <t>7201432431;7003868108</t>
  </si>
  <si>
    <t>Lindsay, James E.;M√úNTER, Klaus</t>
  </si>
  <si>
    <t>Germany;United States;United States</t>
  </si>
  <si>
    <t>Braunschweig;Denver;Laramie</t>
  </si>
  <si>
    <t>Physikalisch-Technische Bundesanstalt;University of Colorado Denver;University of Wyoming</t>
  </si>
  <si>
    <t>60010962;60010307;60008827</t>
  </si>
  <si>
    <t>Lindsay J.</t>
  </si>
  <si>
    <t>Distributed Parameter Analysis of Shielded Loops Used for Wide-Band H-Field Measurements</t>
  </si>
  <si>
    <t>10.1109/TIM.1983.4315051</t>
  </si>
  <si>
    <t>2-s2.0-0020099920</t>
  </si>
  <si>
    <t>['paper reviews', 'noise measurements', 'nef ).', 'national bureau', 'make measurements', 'electronics engineers', 'antenna systems', 'antenna gains', '65 db', '15 percent', '10 ghz']</t>
  </si>
  <si>
    <t>antenna gain | antenna half-power beamwidth | atmospheric loss | Cassiopeia A | earth terminal measurement system | figure of merit | moon | noise equivalent flux | noise measurement | radio stars | satellite communication</t>
  </si>
  <si>
    <t>This paper reviews the National Bureau of Standards (NBS) preision noise measurements program for antenna systems which have been made using Cassiopeia A and the moon. The Earth Terminal Measurement System (ETMS) was developed by NBS to make measurements of figure of merit (G/T) and the noise equivalent flux (NEF). The accuracy of the noise measurements are, typically, between 5 and 15 percent for systems with antenna gains between 51 and 65 dB and frequencies between 1 and 10 GHz. Copyright ¬© 1983 by The Institute of Electrical and Electronics Engineers, Inc.</t>
  </si>
  <si>
    <t>110-116</t>
  </si>
  <si>
    <t>Wait, David F.</t>
  </si>
  <si>
    <t>Gaithersburg</t>
  </si>
  <si>
    <t>National Institute of Standards and Technology</t>
  </si>
  <si>
    <t>Wait D.</t>
  </si>
  <si>
    <t>Precision Measurement of Antenna System Noise Using Radio Stars</t>
  </si>
  <si>
    <t>10.1109/TIM.1983.4315019</t>
  </si>
  <si>
    <t>2-s2.0-0020101250</t>
  </si>
  <si>
    <t>['¬± 0', 'test point', 'receiving antenna', 'radiating loop', 'frequency characteristics', 'field strength', 'electronics engineers', '30 mhz', '30 cm', '2 cm', '15 db', '1 db']</t>
  </si>
  <si>
    <t>A RF magnetic field generator consisting of two radiating loop antennas placed in a copiane is proposed, which has relatively uniform field distribution and permits easy alignment of the antennas. A standard field generator based on this idea, having flat frequency characteristics up to 30 MHz, has been designed and tested. It was confirmed that misalignment of the receiving antenna up to 2 cm, for a distance of 30 cm between the radiating loop and the test point, causes an error of only ¬±0.1 dB. In terms of frequency characteristics, the field strength at the test point was flat within ¬±0.15 dB from 1 to 30 MHz. Copyright ¬© 1983 by The Institute of Electrical and Electronics Engineers, Inc.</t>
  </si>
  <si>
    <t>238-240</t>
  </si>
  <si>
    <t>60025141;60025141;60018735;60031701</t>
  </si>
  <si>
    <t>14320555700;7102497816;6506318004;35576883400</t>
  </si>
  <si>
    <t>Nakane, Hiroshi;Omori, Shunichi;Obuki, Satoru;Yokoshima, Ichiro</t>
  </si>
  <si>
    <t>Japan;Japan;Japan</t>
  </si>
  <si>
    <t>Tsukuba;Tokyo;Tokyo</t>
  </si>
  <si>
    <t>Electrotechnical Laboratory;Tokyo University of Science;Toshiba Corporation</t>
  </si>
  <si>
    <t>60031701;60025141;60018735</t>
  </si>
  <si>
    <t>Nakane H.</t>
  </si>
  <si>
    <t>Standard Magnetic Field Radiated by two Loop Antennas in a Copiane</t>
  </si>
  <si>
    <t>10.1109/TIM.1983.4315050</t>
  </si>
  <si>
    <t>2-s2.0-0020101416</t>
  </si>
  <si>
    <t>['present form', 'ground reflections', 'fitting procedure', 'extrapolation method', 'electronics engineers', 'broadbeam antennas', '1 ghz']</t>
  </si>
  <si>
    <t>A General Extrapolation Technique which corrects for the effects of ground reflections in absolute gain measurements is described. It utilizes the Extrapolation Method developed at NBS which, in its present form, utilizes only amplitude versus distance data. However, for broadbeam antennas such as those encountered below 1 GHz, ground reflections may produce unwanted oscillations in the amplitude versus distance data. Hence the data are not amenable to the curve-fitting procedure of the Extrapolation Method. This problem can be overcome by including phase versus distance information to reduce the effects of ground reflections. Copyright ¬© 1983 by The Institute of Electrical and Electronics Engineers, Inc.</t>
  </si>
  <si>
    <t>88-91</t>
  </si>
  <si>
    <t>60023053;60023053;60023053</t>
  </si>
  <si>
    <t>6602372294;35389095700;7201567328</t>
  </si>
  <si>
    <t>Repjar, Andrew G.;Newell, Allen C.;Baird, Ramon C.</t>
  </si>
  <si>
    <t>Repjar A.</t>
  </si>
  <si>
    <t>Antenna Gain Measurements by an Extended Version of the NBS Extrapolation Method</t>
  </si>
  <si>
    <t>10.1109/TIM.1983.4315016</t>
  </si>
  <si>
    <t>2-s2.0-0020102499</t>
  </si>
  <si>
    <t>['¬© 1983', 'work describes', 'telecommunication antennas', 'structural aspects', 'space environment', 'sandwich validated', 'sandwich structures', 'related decrease', 'reflector assembly', 'reciprocal influence', 'prediction method', 'new generation', 'integrated design', 'important parameter', 'good prediction', 'generally manufactured', 'experimental results', 'envisaged increase', 'electrical performance', 'e .)', 'appendices complete', 'antenna system', 'analytical study', 'accurate estimate', '20 ghz']</t>
  </si>
  <si>
    <t>The new generation of telecommunication antennas for space applications working at frequencies above 20 GHz (which will be generally manufactured by sandwich structures) needs an accurate thermostructural design due to the envisaged increase of the dimensions of the reflectors and the related decrease of the required RMS thermal distortion. In an integrated design which takes into account the reciprocal influence of thermal and structural aspects, the thermal expansion coefficient (C.T.E.) of the structures which are part of the reflector assembly, is a very important parameter. A good prediction of this value is a contribution to an accurate estimate of the electrical performance of the antenna system in the space environment. This work describes a prediction method to evaluate the C.T.E. of a sandwich validated by some experimental results and checked by an analytical study. Numerical results illustrate the procedures; graphs and appendices complete the work. ¬© 1983.</t>
  </si>
  <si>
    <t>409-427</t>
  </si>
  <si>
    <t>Acta Astronautica</t>
  </si>
  <si>
    <t>May 1983/June 1983</t>
  </si>
  <si>
    <t>60032350;106028462</t>
  </si>
  <si>
    <t>7201839044;35511078400</t>
  </si>
  <si>
    <t>Marchetti, M.;Morganti, F.</t>
  </si>
  <si>
    <t>Italy;Italy</t>
  </si>
  <si>
    <t>Rome;Rome</t>
  </si>
  <si>
    <t>Sapienza Universit√† di Roma;Space Division</t>
  </si>
  <si>
    <t>Marchetti M.</t>
  </si>
  <si>
    <t>Prediction of thermal expansion coefficients of sandwiches using finite elements methods validated by experimental test results</t>
  </si>
  <si>
    <t>0094-5765(83)90091-7</t>
  </si>
  <si>
    <t>10.1016/0094-5765(83)90091-7</t>
  </si>
  <si>
    <t>2-s2.0-0020124295</t>
  </si>
  <si>
    <t>National Aeronautics and Space Administration</t>
  </si>
  <si>
    <t>NASA</t>
  </si>
  <si>
    <t>['¬© 1983', 'two methods', 'torque actuators', 'second method', 'robustness properties', 'rate sensors', 'pointing errors', 'elastic motion', 'controller consisting', 'control theory', 'collocated attitude', 'body attitude', 'based antenna', 'actuator noise']</t>
  </si>
  <si>
    <t>The problem of control systems synthesis is considered for controlling the rigid-body attitude and elastic motion of a large deployable space-based antenna. Two methods for control systems synthesis are considered. The first method utilizes the stability and robustness properties of the controller consisting of torque actuators and collocated attitude and rate sensors. The second method is based on the linear-quadratic-Gaussian (LQG) control theory. A combination of the two methods, which results in a two-level hierarchical control system, is also briefly discussed. The performance of the controllers is analyzed by computing the variances of pointing errors, feed misalignment errors and surface contour errors in the presence of sensor and actuator noise. ¬© 1983.</t>
  </si>
  <si>
    <t>365-380</t>
  </si>
  <si>
    <t>Joshi, Suresh M.</t>
  </si>
  <si>
    <t>Norfolk</t>
  </si>
  <si>
    <t>Old Dominion University</t>
  </si>
  <si>
    <t>Joshi S.M.</t>
  </si>
  <si>
    <t>Control systems synthesis for a large flexible space antenna</t>
  </si>
  <si>
    <t>0094-5765(83)90087-5</t>
  </si>
  <si>
    <t>10.1016/0094-5765(83)90087-5</t>
  </si>
  <si>
    <t>2-s2.0-0020124434</t>
  </si>
  <si>
    <t>['¬© 1983', 'spinning spacecraft', 'spinning non', 'rigid spacecraft', 'model representation', 'flexible antennas', 'example concerning']</t>
  </si>
  <si>
    <t>The linearized dynamical equations of a spinning non-rigid spacecraft in which a model representation is used for deformations are recalled at first. Then, considering a selected stationary deformed state, a property of modal convergence associated with the spacecraft deformation energy is given. Lastly, an example concerning a spinning spacecraft with flexible antennas is examined; it shows how this convergence property may be applied as a model truncation criterion. ¬© 1983.</t>
  </si>
  <si>
    <t>347-355</t>
  </si>
  <si>
    <t>Guibert, J. P.</t>
  </si>
  <si>
    <t>France</t>
  </si>
  <si>
    <t>Chatillon</t>
  </si>
  <si>
    <t>ONERA - The French Aerospace Lab</t>
  </si>
  <si>
    <t>Guibert J.</t>
  </si>
  <si>
    <t>A property of modal convergence for a spinning non-rigid body</t>
  </si>
  <si>
    <t>0094-5765(83)90085-1</t>
  </si>
  <si>
    <t>10.1016/0094-5765(83)90085-1</t>
  </si>
  <si>
    <t>2-s2.0-0020124437</t>
  </si>
  <si>
    <t>['werthamer theory', 'tin oxide', 'step widths', 'step shape', 'shape predicted', 'rsj model', 'resonant length', 'reasonable agreement', 'quantum limit', 'observed photon', 'noise temperature', 'noise rounding', 'low temperatures', 'lead junctions', 'laser power', 'josephson steps', 'incident radiation', 'gordon theory', 'first observations', 'excellent agreement', 'agree well', '604 ghz', '496 um', '246 ghz', '22 mm', '2 area']</t>
  </si>
  <si>
    <t>We report the first observations of photon-assisted quasiparticle tunneling and AC Josephson effect in superconducting tunne1 junctions irradiated with far-infrared (FIR) radiation. Radiation at 246 GHz (A=1.22 mm) and 604 GHz (496 um) from an optically-pumped FIR laser source was used, Tin-tin oxide-lead junctions of ~l (um)2 area were fabricated on crystal quartz substrates with integral planar dipole antennas of resonant length at the frequency of the incident radiation. The observed photon-assisted tunneling features are in excellent agreement with the Tien-Gordon theory, and the inferred responsivity approaches the quantum limit at low temperatures for photon energies less than the gap. At 604 GHz, with a 176 ohm junction, we have seen 7 Josephson steps, comparable to point contact performance. The variation of the step widths with laser power is found to agree quite well with both the RSJ model and the Werthamer theory. For low resistance junctions (e.g. 16 ohms), we find the Josephson steps to be flat and to agree well with the shape predicted by the RSJ model without noise rounding while noise rounding is very evident with the higher resistance junctions. In all cases, the step shape is in reasonable agreement with the theory of P. A. Lee, using a noise temperature of l0-20K with an appropriate small junction capacitance. ¬© 1983 IEEE</t>
  </si>
  <si>
    <t>498-502</t>
  </si>
  <si>
    <t>IEEE Transactions on Magnetics</t>
  </si>
  <si>
    <t>60009982;60009982;60009982</t>
  </si>
  <si>
    <t>7006711679;6701477947;16501091700</t>
  </si>
  <si>
    <t>Danchi, W. C.;Habbal, F.;Tinkham, M.</t>
  </si>
  <si>
    <t>Cambridge</t>
  </si>
  <si>
    <t>Harvard University</t>
  </si>
  <si>
    <t>Danchi W.</t>
  </si>
  <si>
    <t>Photon-assisted tunneling and AC Josephson effect at 246 and 604 GHZ in small-area superconducting tunnel junctions</t>
  </si>
  <si>
    <t>10.1109/TMAG.1983.1062376</t>
  </si>
  <si>
    <t>2-s2.0-0020127856</t>
  </si>
  <si>
    <t>['unpainted sample', 'unpainted kevlar', 'two materials', 'teflon samples', 'surface charging', 'support posts', 'support post', 'substrate currents', 'similar conditions', 'significant difference', 'selectively simulate', 'samples ceases', 'potential impact', 'polyester composite', 'mechanical feed', 'materials investigated', 'material coated', 'many respects', 'magnitude less', 'floating configuration', 'experimental configuration', 'energy spectra', 'electron beam', 'electromagnetic environment', 'electrical discharges', 'discharges occurred', 'discharge currents', 'charging characteristics', 'beam voltages', 'beam voltage', '5 na', '5 kev', '2 kv']</t>
  </si>
  <si>
    <t>The response of antenna aperture materials to irradiation by an electron beam was studied to evaluate the potential impact of these materials on the electromagnetic environment of spacecraft in orbit. The materials investigated were Kevlar-polyester composite and the same material coated with PV-100 white paint. The study was directed toward determining the equilibrium charging conditions achieved by these materials under irradiation and the severity of the electrical discharges that occur. The samples were irradiated by an electron flood gun having a beam current density in the range of 0.5 to 2.5 nA/cm2. Equilibrium surface voltages were inferred from the energy spectra of secondary electrons obtained with a curved plate electrostatic energy analyzer. Substrate currents were measured to infer bulk conductivities and to determine the frequency, duration, and intensity of the electrical discharges occurring on the sample. The experimental configuration was designed to selectively simulate the effect of electrical and mechanical feed-throughs and the effect of support posts on the charging characteristics of the materials. The characteristics of the two materials were similar in many respects. The surface leakage currents are comparable in both cases and low amplitude bipolar discharges are observed to occur for beam voltages as low as 5 keV. The discharges occurred more frequently when the support post was grounded than in the floating configuration. There was a slightly greater tendency for the unpainted Kevlar to charge, with the equilibrium surface voltage 1.7 to 2.4 kV less negative than the beam voltage. The painted Kevlar charged 2.7 to 4.7 kV less negative than the beam voltage under similar conditions. The most significant difference between the two materials is that the surface charging and low level discharge activity observed on both samples ceases on the unpainted sample when the surface potential reaches 9.2 kV. The discharge currents on these materials are orders-of-magnitude less than those observed on Kapton and Teflon samples under similar conditions and are not expected to generate large disruptive electromagnetic pulses. ¬© 1983 IEEE</t>
  </si>
  <si>
    <t>350-353</t>
  </si>
  <si>
    <t>EI-18</t>
  </si>
  <si>
    <t>IEEE Transactions on Electrical Insulation</t>
  </si>
  <si>
    <t>60013788;60013788</t>
  </si>
  <si>
    <t>35498104100;6701644100</t>
  </si>
  <si>
    <t>Hazelton, R. C.;Yadlowsky, E. J.</t>
  </si>
  <si>
    <t>Radford</t>
  </si>
  <si>
    <t>HY-Tech Research Corporation</t>
  </si>
  <si>
    <t>Hazelton R.</t>
  </si>
  <si>
    <t>The Charging Characteristics of Kevlar-Polyester Composite Materials under Electron Beam Irradiation</t>
  </si>
  <si>
    <t>10.1109/TEI.1983.298624</t>
  </si>
  <si>
    <t>2-s2.0-0020138269</t>
  </si>
  <si>
    <t>['steerable 15', 'segmented operation', 'look averaging', 'image daily', 'geosynchronous altitude', 'diam antenna', 'average power', '3 h']</t>
  </si>
  <si>
    <t>Images of Earth can be produced with an assumed synthetic aperture radar (SAR) on a satellite platform undergoing a nutating relative motion from geosynchronous altitude. From a 50¬∞ inclined circular orbit, the contiguous United States can be imaged in about 3 h of segmented operation at 100-m resolution with 4-azimuth-look averaging. The 2450-MHz transmitter radiates 1312 W of average power from a steerable 15-m-diam antenna. The SAR can image daily an area bounded longitudinally and latitudinally. Copyright ¬© 1983 by The Institute of Electrical and Electronics Engineers Inc.</t>
  </si>
  <si>
    <t>324-329</t>
  </si>
  <si>
    <t>GE-21</t>
  </si>
  <si>
    <t>IEEE Transactions on Geoscience and Remote Sensing</t>
  </si>
  <si>
    <t>60015623;60015623</t>
  </si>
  <si>
    <t>7006807417;6506031309</t>
  </si>
  <si>
    <t>Tomiyasu, Kiyo;Pacelli, Jean L.</t>
  </si>
  <si>
    <t>Boston</t>
  </si>
  <si>
    <t>General Electric Company</t>
  </si>
  <si>
    <t>Tomiyasu K.</t>
  </si>
  <si>
    <t>Synthetic Aperture Radar Imaging from an Inclined Geosynchronous Orbit</t>
  </si>
  <si>
    <t>10.1109/TGRS.1983.350561</t>
  </si>
  <si>
    <t>2-s2.0-0020150421</t>
  </si>
  <si>
    <t>['theoretical models', 'several db', 'results indicate', 'recent years', 'realistic antennas', 'radar systems', 'particularly disconcerting', 'particular interest', 'paper consideration', 'nonideal nature', 'natural surfaces', 'measurement situation', 'linearly polarized', 'land targets', 'general lack', 'experimental interest', 'electromagnetic waves', 'depolarized measurement', 'cross polarized']</t>
  </si>
  <si>
    <t>The backscatter of electromagnetic waves from natural surfaces has been of theoretical and experimental interest for a number of years. of particular interest in recent years is the response of radar systems to linearly polarized (both like and cross polarized) interaction processes associated with earth/land targets. Particularly disconcerting is the general lack of agreement near nadir between depolarized radar data and the theoretical models which attempt to describe these processes. In this paper consideration is given to the geometry of the measurement situation and the nonideal nature of realistic antennas in an attempt to quantify possible measurement system error. The results indicate that induced system error can account for several dB of error in the depolarized measurement. These errors are most significant at the nadir measurement configuration. Copyright ¬© 1983 by The Institute of Electrical and Electronics Engineers Inc.</t>
  </si>
  <si>
    <t>314-319</t>
  </si>
  <si>
    <t>60020547;60020547;60020547</t>
  </si>
  <si>
    <t>7101834198;55684309300;12143855200</t>
  </si>
  <si>
    <t>Blanchard, Andrew J.;Newton, Richard W.;Jean, Buford Randall</t>
  </si>
  <si>
    <t>College Station</t>
  </si>
  <si>
    <t>Texas A&amp;M University</t>
  </si>
  <si>
    <t>Blanchard A.</t>
  </si>
  <si>
    <t>Amplitude and Phase Errors Involved in Retrieving Depolarized Radar Cross Section Measurements</t>
  </si>
  <si>
    <t>10.1109/TGRS.1983.350559</t>
  </si>
  <si>
    <t>2-s2.0-0020150557</t>
  </si>
  <si>
    <t>['œé ¬∞,', 'œé ¬∞', 'usual assumption', 'theoretical model', 'retrieved patterns', 'power backscattered', 'measurements made', 'measured estimates', 'measured estimate', 'incoherent scattering', 'beam systems', 'approximately constant', 'antenna pattern', 'antenna beam', 'angular extent', '25 ghz']</t>
  </si>
  <si>
    <t>Measurements made of the power backscattered by a surface at angles near nornal incidence include contributions due to both coherent and incoherent scattering. Additionally, these contributions are weighted by the antenna pattern. Using a theoretical model to describe the backscattering from a rough soil surface, a procedure is developed for retrieving the true angular pattern of the backscattering coefficient œÉ¬∞ from measured estimates of œÉ¬∞, where the measured estimate is based on the usual assumption that œÉ¬∞ is approximately constant over the angular extent of the antenna beam for narrow-beam systems. The retrieved patterns of œÉ¬∞ were then used to evaluate the dependence of œÉ¬∞ on soil surface roughness at 1.5, 4.25, and 7.25 GHz. Copyright ¬© 1983 by The Institute of Electrical and Electronics Engineers Inc.</t>
  </si>
  <si>
    <t>308-313</t>
  </si>
  <si>
    <t>60032121;60032121;60032121</t>
  </si>
  <si>
    <t>7103159953;57199688256;7101926785</t>
  </si>
  <si>
    <t>Ulaby, Fawwaz T.;Allen, Christopher T.;Fung, Adrian K.</t>
  </si>
  <si>
    <t>Lawrence</t>
  </si>
  <si>
    <t>University of Kansas Center for Research</t>
  </si>
  <si>
    <t>Ulaby F.T.</t>
  </si>
  <si>
    <t>Method for Retrieving the True Backscattering Coefficient from Measurements with a Real Antenna</t>
  </si>
  <si>
    <t>10.1109/TGRS.1983.350558</t>
  </si>
  <si>
    <t>2-s2.0-0020150767</t>
  </si>
  <si>
    <t>['tubes return', 'troughs might', 'trough formation', 'sunlit regions', 'stagnation theory', 'seen later', 'polar cap', 'one explanation', 'nightside across', 'neutral gas', 'moved slowly', 'millstone hill', 'low levels', 'long time', 'localized regions', 'high speed', 'great variation', 'flux tubes', 'experiments show', 'entirely consistent', 'electric field', 'earth rotation', 'dusk sector', 'darkness due', 'copyright 1983', 'computer control', 'competing effects', 'charge transfer', 'auroral ionosphere', 'alternative explanation']</t>
  </si>
  <si>
    <t>Troughs in the auroral ionosphere have been observed in satellite and radar data since 1965. One explanation for the appearance of these troughs is the stagnation theory of trough formation. According to this model, magnetic flux tubes are convected from the dayside to the nightside across the polar cap as a result of the impressed magnetospheric electric field. These tubes return to the dayside by subsequently drifting westward or eastward. Tubes drifting westward must travel faster than earth rotation if they are to reemerge in sunlit regions, and some fail to do so, allowing the ionization in them to fall to very low levels as it recombines. The trough is the locus of flux tubes which spend a long time in darkness due to the competing effects of the convection electric field and earth rotation. Commencing in 1979, a new observing technique was implemented at Millstone Hill in which the 150‚Äêft antenna is moved slowly under computer control as data collection proceeds. The electron density results obtained with these experiments show that when a trough does form there is a great variation in when and where it is seen and how long it is present. On some nights the trough does not form at all. Furthermore, the appearance of the trough in the data often seems to occur in regions where the electric field is very large, with the ion drift velocity often far exceeding the speed of earth rotation. None of this behavior is entirely consistent with the stagnation theory of trough formation. An alternative explanation is to suppose that troughs are formed in regions of very strong convection (&gt;1 km/s) as a result of the increase in the rate of charge transfer between O+ and O that occurs when the ions are driven through the neutral gas at high speed. According to such a view, ‚Äútroughs‚Äù would be created in localized regions during substorms. The troughs might be created in regions of strong westward flow in the dusk sector. They then could migrate south and eastward depending upon the effects of convection and corotation. In an effort to test this picture we have begun conducting observations through 360¬∞ azimuth to see if the ionosphere to the northeast of the radar is the same as that seen later to the northwest. Results are presented for December 21‚Äì22, 1980. These do exhibit significant differences, tending to confirm that the trough is not a persistent extended E‚ÄêW feature. Copyright 1983 by the American Geophysical Union.</t>
  </si>
  <si>
    <t>947-954</t>
  </si>
  <si>
    <t>1944799X</t>
  </si>
  <si>
    <t>Radio Science</t>
  </si>
  <si>
    <t>November-December 1983</t>
  </si>
  <si>
    <t>;;</t>
  </si>
  <si>
    <t>57209640235;7407664934;6603951723</t>
  </si>
  <si>
    <t>Holt, J. M.;Evans, J. V.;Wand, R. H.</t>
  </si>
  <si>
    <t>Holt J.</t>
  </si>
  <si>
    <t>Millstone Hill studies of the trough: Boundary between the plasmapause and magnetosphere or not?</t>
  </si>
  <si>
    <t>10.1029/RS018i006p00947</t>
  </si>
  <si>
    <t>2-s2.0-0020202190</t>
  </si>
  <si>
    <t>['¬© 1983', 'undetermined functions', 'third degree', 'spin axis', 'spatial variables', 'ritz procedure', 'principle functional', 'nonlinear strain', 'nonlinear equations', 'linearly elastic', 'explicit expression', 'equations include', 'displacement relations', 'axisymmetrical deformations', 'anisotropic materials']</t>
  </si>
  <si>
    <t>The nonlinear strain-displacement and velocity-displacement relations of spinning imperfect rotational paraboloidal thin shell antennas of linearly elastic but anisotropic materials are derived for non-axisymmetrical deformations. Using these with the admissible trial functions (expressed in terms of any number of known yet unprescribed coordinate functions of spatial variables, and undetermined functions of time) in the principle functional of dynamics, the nonlinear equations of stress inducing motion are expressed in the form of a set of quasi-linear ordinary differential equations of undetermined functions by means of the Rayleigh-Ritz procedure. These equations include all nonlinear terms upto and including the third degree. Both translational and rotational off-sets of the axis of revolution with respect to the spin axis are considered. Explicit expression are given for the coefficient matrices appearing in the nonlinear differential equations. ¬© 1983.</t>
  </si>
  <si>
    <t>361-370</t>
  </si>
  <si>
    <t>Computers and Structures</t>
  </si>
  <si>
    <t>60008724;60008724;60009037</t>
  </si>
  <si>
    <t>7006573255;7102888458;7202654194</t>
  </si>
  <si>
    <t>Utku, S.;Shoemaker, W. L.;Salama, M.</t>
  </si>
  <si>
    <t>Pasadena;Durham</t>
  </si>
  <si>
    <t>Jet Propulsion Laboratory;Duke University</t>
  </si>
  <si>
    <t>60009037;60008724</t>
  </si>
  <si>
    <t>Utku S.</t>
  </si>
  <si>
    <t>Nonlinear equations of dynamics for spinning paraboloidal antennas</t>
  </si>
  <si>
    <t>004579498390175X</t>
  </si>
  <si>
    <t>10.1016/0045-7949(83)90175-X</t>
  </si>
  <si>
    <t>2-s2.0-0020295356</t>
  </si>
  <si>
    <t>['widely used', 'structural parameters', 'paper investigates', 'dish antennas', 'communications engineering']</t>
  </si>
  <si>
    <t>Dish antennas with a reflector which is an axially asymmetrical section of a paraboloid of rotation, and with an illuminator, are widely used in communications engineering. The paper investigates the dependence of the antenna noise characteristics on its structural parameters and also on the angle of elevation above the horizon.</t>
  </si>
  <si>
    <t>57-60</t>
  </si>
  <si>
    <t>37-38</t>
  </si>
  <si>
    <t>Telecommunications and Radio Engineering (English translation of Elektrosvyaz and Radiotekhnika)</t>
  </si>
  <si>
    <t>Jan</t>
  </si>
  <si>
    <t>Somov, A. M.</t>
  </si>
  <si>
    <t>Somov A.</t>
  </si>
  <si>
    <t>NOISE TEMPERATURE AND THE NOISE FIGURE OF MERIT OF AN AXIALLY ASYMMETRICAL DISH ANTENNA.</t>
  </si>
  <si>
    <t>2-s2.0-0020495187</t>
  </si>
  <si>
    <t>['waveguide feeder', 'reflector antennas', 'multimode waveguides', 'long hops', 'high efficiency', 'antenna feeders']</t>
  </si>
  <si>
    <t>Antenna feeders for the 8 GHz band based on multimode waveguides are investigated. Circular bimetal waveguides 70 mm in diameter, together with two-reflector antennas, can be recommended for operation in RRL in the 8 GHz band over long hops between RRS when high efficiency of the antenna-waveguide feeder is required.</t>
  </si>
  <si>
    <t>42-46</t>
  </si>
  <si>
    <t>6602120722;7004203979</t>
  </si>
  <si>
    <t>Metrikin, A. A.;Osipov, E. S.</t>
  </si>
  <si>
    <t>Metrikin A.</t>
  </si>
  <si>
    <t>MULTIMODE ANTENNA FEEDER FOR RADIO-RELAY LINKS IN THE 8 GHz FREQUENCY BAND.</t>
  </si>
  <si>
    <t>2-s2.0-0020495305</t>
  </si>
  <si>
    <t>['utilization efficiency', 'primary pattern', 'level pattern', 'forming system', 'controlled independently']</t>
  </si>
  <si>
    <t>A two-level pattern-forming system, consisting of Buttler phasing matrices has been proposed to form a secondary radiation pattern of the BSA FIAN radio telescope in the H-plane, which would be controlled independently of the primary pattern. The introduction of the second, independently controlled radiation pattern in the H-plane of the BSA FIAN radio telescope will enable its utilization efficiency to be doubled.</t>
  </si>
  <si>
    <t>47-51</t>
  </si>
  <si>
    <t>Kutuzov, S. M.</t>
  </si>
  <si>
    <t>Kutuzov S.</t>
  </si>
  <si>
    <t>METHOD OF CONTROLLING THE RADIATION PATTERN OF LARGE RADIO TELESCOPES USING PHASING MATRICES.</t>
  </si>
  <si>
    <t>2-s2.0-0020495692</t>
  </si>
  <si>
    <t>['transmitting antenna', 'phase distribution', 'new scheme', 'microwave energy', 'interpherometric control', 'interferometer base', 'give rise', 'frequency instability', 'different factors', 'atmospheric absorption', 'alignment errors', 'alignment accuracy', 'additional losses']</t>
  </si>
  <si>
    <t>Different factors are discussed which determine the accuracy of aligning space solar electric power stations which can give rise to additional losses in the transmission of microwave energy such as atmospheric absorption and scattering, error in establishing the amplitude-phase distribution on the transmitting antenna, alignment errors, and frequency instability. A new scheme of interpherometric control of alignment accuracy is proposed and the size of the interferometer base is determined.</t>
  </si>
  <si>
    <t>142-148</t>
  </si>
  <si>
    <t>Radio Engineering and Electronic Physics (English translation of Radiotekhnika i Elektronika)</t>
  </si>
  <si>
    <t>7006450972;7006332887;57193230450</t>
  </si>
  <si>
    <t>Armand, N. A.;Lomakin, A. N.;Paramonov, B. M.</t>
  </si>
  <si>
    <t>Armand N.</t>
  </si>
  <si>
    <t>ACCURACY OF ALIGNING SPACE SOLAR ELECTRIC POWER STATIONS.</t>
  </si>
  <si>
    <t>2-s2.0-0020495735</t>
  </si>
  <si>
    <t>['waveguide channels', 'telephone channels', 'rrl resulting', 'rrl ),', 'relay links', 'incidental currents', 'echo signals', 'considerable extent', 'channels n', 'channel groups', 'carrying capacity', 'awc involves', 'awc ).', 'approximate calculations']</t>
  </si>
  <si>
    <t>The ever increasing demands imposed on long-distance telephone channels necessitate an increase in the capacity of the telephone channel groups in radio-relay links (RRL), that is, an increase in the number of channels N in the channel groups. The carrying capacity of RRL and the quality of the telephone channels (tone-frequency (AF) channels) depend, to a considerable extent, on the parameters of the antenna-waveguide channels (AWC). The principal quality characteristic of AWC involves the crosstalk in the RRL resulting from incidental currents (echo signals) in the AWC. Equations are presented for precise and approximate calculations of the crosstalk in RRL.</t>
  </si>
  <si>
    <t>36-42</t>
  </si>
  <si>
    <t>Tartakovskiy, L. S.</t>
  </si>
  <si>
    <t>Tartakovskiy L.</t>
  </si>
  <si>
    <t>SIMPLE METHOD FOR CALCULATING THE CROSSTALK PRODUCED IN RRL CHANNELS BY INCIDENTAL CURRENTS IN THE ANTENNA-WAVEGUIDE CHANNELS.</t>
  </si>
  <si>
    <t>2-s2.0-0020495742</t>
  </si>
  <si>
    <t>['switching circuit', 'radiated power', 'power generators', 'power addition', 'connect one', 'communications reliability', 'communication systems', 'closed sectors', 'also improves']</t>
  </si>
  <si>
    <t>A summing and switching circuit is presented which can perform several functions in communication systems. First, the circuit enables one to add the powers of two coherent transmitters. Power addition is required because high-power generators are too complex to design and maintain, and also on tropospheric radio relay communication links which increase the radiated power on semi-closed sectors in order to improve communications reliability. Secondly, the circuit can be used to connect one of the two station transmitters to the antenna feeder circuit, which also improves the communications reliability.</t>
  </si>
  <si>
    <t>;;;</t>
  </si>
  <si>
    <t>7005846554;6506973256;6603785392;6506227349</t>
  </si>
  <si>
    <t>Antonenko, V. M.;Berlyavskiy, I. Z.;Model, A. M.;Chubis, V. I.</t>
  </si>
  <si>
    <t>Antonenko V.</t>
  </si>
  <si>
    <t>HIGH-POWER STRIPLINE ADDER AND SWITCH.</t>
  </si>
  <si>
    <t>2-s2.0-0020495897</t>
  </si>
  <si>
    <t>['test results', 'reflector surface', 'dimensional configuration', 'design principle', '7 refs']</t>
  </si>
  <si>
    <t>The design principle and construction of an offset bifocal reflector are discussed and some test results are presented. The reflector surface is designed in a three-dimensional configuration, and four typical bifocal reflector antennas characterized by the vertical and horizontal cross sections of the subreflector are derived. 7 refs.</t>
  </si>
  <si>
    <t>70-77</t>
  </si>
  <si>
    <t>Electronics &amp; communications in Japan</t>
  </si>
  <si>
    <t>6508234177;57201551756</t>
  </si>
  <si>
    <t>Mizugutch, Yoshihiko;Watanabe, Fumio</t>
  </si>
  <si>
    <t>Mizugutch Y.</t>
  </si>
  <si>
    <t>OFFSET BIFOCAL REFLECTOR ANTENNA.</t>
  </si>
  <si>
    <t>2-s2.0-0020495948</t>
  </si>
  <si>
    <t>['results computed', 'radiation pattern', 'dimensional problem', 'derived formulas', 'asymptotic formulas']</t>
  </si>
  <si>
    <t>The two-dimensional problem of radiation of an asymmetrical horn antenna is discussed. Asymptotic formulas are derived for the radiation pattern and for the coefficient of reflection which take into account the diffraction at the junction between the waveguide and the horn. Results computed from derived formulas are compared with experiments and with results computed by using previously known methods.</t>
  </si>
  <si>
    <t>16-20</t>
  </si>
  <si>
    <t>7003747598;6507172171</t>
  </si>
  <si>
    <t>Kaloshin, V. A.;Eydus, A. A.</t>
  </si>
  <si>
    <t>Kaloshin V.</t>
  </si>
  <si>
    <t>ON THE RADIATION OF HORN ANTENNAS.</t>
  </si>
  <si>
    <t>2-s2.0-0020496204</t>
  </si>
  <si>
    <t>['slot pair', 'radiation characteristics', 'paper describes', 'impedance antenna', 'experimental analysis', 'dimensional self', 'complementary antenna']</t>
  </si>
  <si>
    <t>This paper describes an unbalanced wideband antenna with an extremely simple structure based on the principle of the three-dimensional self-complementary antenna. A method for deriving a unidirectional and constant-impedance antenna from a three-dimensional self-complementary antenna having several symmetrical radiation lobes is proposed, and a theoretical and experimental analysis of the radiation characteristics of a monopole-slot pair with a finite ground plane is given.</t>
  </si>
  <si>
    <t>54-61</t>
  </si>
  <si>
    <t>36939433100;35598806700;7004205007</t>
  </si>
  <si>
    <t>kasahara, Takeshi;Sawaya, Kunio;Mushiake, Yasuto</t>
  </si>
  <si>
    <t>kasahara T.</t>
  </si>
  <si>
    <t>MODIFIED THREE-DIMENSIONAL SELF-COMPLEMENTARY ARRAY ANTENNA OVER A FINITE GROUND PLANE.</t>
  </si>
  <si>
    <t>2-s2.0-0020496286</t>
  </si>
  <si>
    <t>['time integration', 'optimum ratio', 'optimum intervals', 'nonoptimum systems', 'interference ratio', 'interference field', 'coherent properties', 'bistatic systems', 'antenna system']</t>
  </si>
  <si>
    <t>A method is proposed for the computation of the signal-to-interference ratio in bistatic systems. The method is based on the analysis of coherent properties of the interference field by the receiver. The obtained results allow one to find optimum configurations of the antenna system and optimum intervals of time integration. For nonoptimum systems they also allow one to calculate the losses in signal-to-interference ratio in comparison to optimum ratio.</t>
  </si>
  <si>
    <t>60-66</t>
  </si>
  <si>
    <t>6603303712;57197003762</t>
  </si>
  <si>
    <t>Karavayev, V. V.;Sazonov, V. V.</t>
  </si>
  <si>
    <t>Karavayev V.</t>
  </si>
  <si>
    <t>DETECTION OF SIGNALS RECEIVED FROM A BACKGROUND OF CHAOTIC SCATTERERS BY A BISTATIC SYSTEM.</t>
  </si>
  <si>
    <t>2-s2.0-0020496369</t>
  </si>
  <si>
    <t>['wave ratio', 'pattern characteristics', 'low sidelobes', 'electronics engineers', 'electrical characteristics', 'conical horn', 'combined horn', 'cigar antenna', 'antenna consists']</t>
  </si>
  <si>
    <t>The electrical characteristics of a combined horn/cigar antenna are described. The antenna consists of a disc-on-rod (cigar) housed in a conical horn. This antenna combination produces broad-band radiation characteristics with very low sidelobes. Measured voltage standing-wave ratio (VSWR), gain, and pattern characteristics are presented. Copyright ¬© 1983 by The Institute of Electrical and Electronics Engineers, Inc.</t>
  </si>
  <si>
    <t>183-184</t>
  </si>
  <si>
    <t>0018926X</t>
  </si>
  <si>
    <t>IEEE Transactions on Antennas and Propagation</t>
  </si>
  <si>
    <t>60029575;60029575</t>
  </si>
  <si>
    <t>7404435969;7201415361</t>
  </si>
  <si>
    <t>Wong, Jimmy L.;King, Howard E.</t>
  </si>
  <si>
    <t>El Segundo</t>
  </si>
  <si>
    <t>Aerospace Corporation, USA</t>
  </si>
  <si>
    <t>Wong J.</t>
  </si>
  <si>
    <t>A Wide-Band Low-Sidelobe Disc-o-Cone Antenna</t>
  </si>
  <si>
    <t>10.1109/TAP.1983.1143008</t>
  </si>
  <si>
    <t>2-s2.0-0020497287</t>
  </si>
  <si>
    <t>['wire approximation', 'two frequencies', 'treatment within', 'time ringing', 'specified voltage', 'reduce late', 'permits modulating', 'objects modeled', 'nonlinearity may', 'nonlinear mixing', 'nonlinear element', 'linear voltage', 'linear conditions', 'large class', 'excited antenna', 'electronics engineers', 'diodes ),', 'current functions', 'current curves', 'considered include', 'changed greatly', 'applied using']</t>
  </si>
  <si>
    <t>The behavior of an antenna or scatterer when loaded with a nonlinear element can be changed greatly from that observed under linear conditions. In some cases, the nonlinearity causes effects such as the intermodulation products arising from the nonlinear mixing of two frequencies. In other cases, the nonlinearity may be exploited, for example, to reduce late-time ringing on a pulse-excited antenna. √Ä procedure for treating general nonlinear loads is described and illustrated. This procedure is applied using a computer to several specific types of nonlinearities. The treatment within the framework of the thin-wire approximation to the electric field integral equation is developed. As such, the treatment can be applied to the large class of objects modeled by wires. The nonlinear load types that are considered include those with piecewise-linear voltage-current curves (e.g., one or more diodes), a load with a time varying resistance (which permits modulating the scattered fields), and a general nonlinear load represented by specified voltage-current functions. Copyright ¬© 1983 by The Institute of Electrical and Electronics Engineers, Inc.</t>
  </si>
  <si>
    <t>121-126</t>
  </si>
  <si>
    <t>60006164;60026175;60026175</t>
  </si>
  <si>
    <t>6602465282;7404492537;56873646700</t>
  </si>
  <si>
    <t>Landt, Jeremy A.;Miller, Edmund K.;Deadrick, Frederick J.</t>
  </si>
  <si>
    <t>Livermore;Los Alamos</t>
  </si>
  <si>
    <t>Lawrence Livermore National Laboratory;Los Alamos National Laboratory</t>
  </si>
  <si>
    <t>60026175;60006164</t>
  </si>
  <si>
    <t>Landt J.</t>
  </si>
  <si>
    <t>Time Domain Modeling of Nonlinear Loads</t>
  </si>
  <si>
    <t>10.1109/TAP.1983.1142982</t>
  </si>
  <si>
    <t>2-s2.0-0020497372</t>
  </si>
  <si>
    <t>['well understood', 'wave power', 'wave heating', 'theoretically predicted', 'stored energy', 'state plasmas', 'small reduction', 'simplified theory', 'qualitative agreement', 'power level', 'mechanism producing', 'ion heating', 'heating experiments', 'dramatic effect', 'deuteron heating', 'deuterium plasmas', 'core plasma', 'considerably greater', 'also observed', 'also heated', '50 mhz', '25 mhz', '20 kw', '15 kw']</t>
  </si>
  <si>
    <t>Heating experiments in EBT-S have been conducted in steady-state plasmas at continuous wave power levels up to 20 kW in the ion cyclotron range of frequencies (15-30 MHz). Power coupling efficiencies and wave propagation measurements have been obtained at reduced power levels over the frequency range 15-50 MHz. Wave dispersion properties are in qualitative agreement with simplified theory. Substantial ion heating is obtained in deuterium plasmas above 25 MHz, the point at which wave propagation begins. At this frequency, only the 3rd-10th ion cyclotron harmonics of deuterium are present in the core plasma. Ion heating under these circumstances is considerably greater than theoretically predicted for EBT-S parameters. A residual proton component is also heated. However, collisional energy transfer from the protons to the deuterons is too small to account for the deuteron heating. The stored energy of the relativistic electron annuli increases substantially with the application of wave power. Near the antenna, the stored energy more than doubles at a power level of 15 kW. The mechanism producing this dramatic effect is not well understood at present. A small reduction in the ambipolar electric field is also observed during wave heating. ¬© 1983 IOP Publishing Ltd.</t>
  </si>
  <si>
    <t>49-62</t>
  </si>
  <si>
    <t>Nuclear Fusion</t>
  </si>
  <si>
    <t>60030821-60024266;60030821;60024266;60024266;60024266;60024266</t>
  </si>
  <si>
    <t>7101750857;7202991457;7004436911;7402807101;6602871378;7005224335</t>
  </si>
  <si>
    <t>Owens, T. L.;Mullen, J. H.;Baity, F. W.;Davis, W. A.;Eldridge, O. C.;Hillis, D. L.</t>
  </si>
  <si>
    <t>Chicago;Oak Ridge</t>
  </si>
  <si>
    <t>Boeing Corporation;Oak Ridge National Laboratory</t>
  </si>
  <si>
    <t>60030821;60024266</t>
  </si>
  <si>
    <t>Owens T.</t>
  </si>
  <si>
    <t>Heating experiments in the ion cyclotron range of frequencies on ebt-s</t>
  </si>
  <si>
    <t>10.1088/0029-5515/23/1/005</t>
  </si>
  <si>
    <t>2-s2.0-0020497848</t>
  </si>
  <si>
    <t>['surprisingly simpler', 'requires abandonment', 'loaded dipoles', 'important feature', 'equivalent array', 'electronics engineers', 'earlier approach', 'direct derivation', 'design equations']</t>
  </si>
  <si>
    <t>An earlier design procedure, valid for arrays of longitudinal slots fed by air-filled rectangular waveguide, is generalized to apply to the increasingly used practical case that the waveguide is dielectric-filled. This requires abandonment of the model of an equivalent array of loaded dipoles, which results in a surprisingly simpler and more direct derivation of the design equations. The new generalized procedure retains an important feature of the earlier approach in that it includes the effect of external mutual coupling. Copyright ¬© 1983 by The Institute of Electrical and Electronics Engineers, Inc.</t>
  </si>
  <si>
    <t>48-53</t>
  </si>
  <si>
    <t>Elliott, Robert S.</t>
  </si>
  <si>
    <t>Los Angeles</t>
  </si>
  <si>
    <t>University of California, Los Angeles</t>
  </si>
  <si>
    <t>Elliott R.S.</t>
  </si>
  <si>
    <t>An Improved Design Procedure for Small Arrays of Shunt Slots</t>
  </si>
  <si>
    <t>10.1109/TAP.1983.1143002</t>
  </si>
  <si>
    <t>2-s2.0-0020497920</t>
  </si>
  <si>
    <t>['time constant', 'state performance', 'signal strength', 'quite good', 'performance attainable', 'noise environment', 'new open', 'loop adaptive', 'interference sources', 'electronics engineers', 'convergence rate', 'array system', 'array output', 'analog circuits']</t>
  </si>
  <si>
    <t>A new open-loop adaptive-array system with excellent transient behavior is presented. The system is constructed of analog circuits and determines complex weights without using the feedback of the array output. The performance attainable with the system is described in detail. It is shown that the convergence rate of the system does not depend on a noise environment but is determined by the time constant of the low-pass filters included. Moreover, it is shown that although the steady-state performance is quite good when the interference sources differ widely in signal strength, the steady-state performance can be far below optimum when two or more interference sources are present at roughly equal power levels. Copyright ¬© 1983 by The Institute of Electrical and Electronics Engineers, Inc.</t>
  </si>
  <si>
    <t>89-102</t>
  </si>
  <si>
    <t>AES-19</t>
  </si>
  <si>
    <t>IEEE Transactions on Aerospace and Electronic Systems</t>
  </si>
  <si>
    <t>60014652;60014652;60014652</t>
  </si>
  <si>
    <t>35516180700;6603767346;7404897527</t>
  </si>
  <si>
    <t>Ogawa, Yasutaka;Ohmiya, Manabu;Itoh, Kiyohiko</t>
  </si>
  <si>
    <t>Sapporo</t>
  </si>
  <si>
    <t>Hokkaido University</t>
  </si>
  <si>
    <t>Ogawa Y.</t>
  </si>
  <si>
    <t>An Analog Open-Loop Adaptive-Array Antenna System</t>
  </si>
  <si>
    <t>10.1109/TAES.1983.309423</t>
  </si>
  <si>
    <t>2-s2.0-0020497996</t>
  </si>
  <si>
    <t>['wave may', 'typical forests', 'three layers', 'theoretical results', 'radio losses', 'primarily determined', 'optimum inclination', 'lateral wave', 'horizontal dipoles', 'good agreement', 'electronics engineers', 'electromagnetic radiation', 'electric dipole', 'dipole inclination']</t>
  </si>
  <si>
    <t>The electromagnetic radiation of an electric dipole in a medium with three layers is examined using dyadic Green's functions. The far zone field for problems of this nature is primarily determined from the lateral wave. It is shown that the excitation of this wave may be reinforced through a dipole inclination and an optimum position may be determined. The radio losses for typical forests were calculated for vertical and horizontal dipoles and for dipoles with an optimum inclination. The theoretical results are in good agreement with the available experimental data. Copyright ¬© 1983 by The Institute of Electrical and Electronics Engineers, Inc.</t>
  </si>
  <si>
    <t>141-145</t>
  </si>
  <si>
    <t>60001890;60029570</t>
  </si>
  <si>
    <t>35564548700;7004822283</t>
  </si>
  <si>
    <t>Cavalcante, Gerv√°sio P.S.;Giarola, Attilio J.</t>
  </si>
  <si>
    <t>Brazil;Brazil</t>
  </si>
  <si>
    <t>Campinas;Belem</t>
  </si>
  <si>
    <t>Universidade Estadual de Campinas;Universidade Federal do Par√°</t>
  </si>
  <si>
    <t>60029570;60001890</t>
  </si>
  <si>
    <t>Cavalcante G.</t>
  </si>
  <si>
    <t>Optimization of Radio Communication in Media with Three Layers</t>
  </si>
  <si>
    <t>10.1109/TAP.1983.1142985</t>
  </si>
  <si>
    <t>2-s2.0-0020498019</t>
  </si>
  <si>
    <t>['‚ ààr', 'thin substrates', 'surface waves', 'substrate thickness', 'resonant length', 'relative permittivity', 'radiation properties', 'radiation efficiency', 'increasing h', 'h increases', 'electronics engineers', 'directivity decrease', 'dielectric half', 'certain values', 'beam radiation', 'beam patterns', 'apparent value', 'also examined']</t>
  </si>
  <si>
    <t>The effect of substrate thickness and relative permittivity on the radiation properties of printed circuit dipoles (PCD's) is investigated. A trade-off between substrate thickness and resonant input resistance, bandwidth, and radiation efficiency is presented for a polytetrafluorethylene (PTFE) glass random fiber substrate. It is found that for a fixed substrate thickness h, the resonant length and directivity decrease with increasing relative dielectric constant ‚ààr. The E- and H-plane normalized power pattern is also examined as a function of ‚ààr and h. It is shown that even for thin substrates, multiple-beam radiation can result for certain values of ‚ààr by the excitation of surface waves. Multiple-beam patterns can also be obtained with increasing h for a given ‚ààr. In fact as h increases it is determined that the resonant length, bandwidth, and resonant resistance approach the apparent value of a PCD on a dielectric half-space. Copyright ¬© 1983 by The Institute of Electrical and Electronics Engineers, Inc.</t>
  </si>
  <si>
    <t>34-39</t>
  </si>
  <si>
    <t>60027550;60027550</t>
  </si>
  <si>
    <t>7004624580;7004468161</t>
  </si>
  <si>
    <t>Katehi, Pisti B.;Alexopoulos, Nic√≥laos G.</t>
  </si>
  <si>
    <t>Katehi P.</t>
  </si>
  <si>
    <t>On the Effect of Substrate Thickness and Permittivity on Printed Circuit Dipole Properties</t>
  </si>
  <si>
    <t>10.1109/TAP.1983.1143003</t>
  </si>
  <si>
    <t>2-s2.0-0020498020</t>
  </si>
  <si>
    <t>['unmatched surfaces', 'total costs', 'system reliability', 'payload burden', 'multibeam antenna', 'electronics engineers', 'conventional design', 'also enhances', 'adjacent beams']</t>
  </si>
  <si>
    <t>A dielectric lens based on the shaping technique described in Part I of this communication was fabricated and tested. This lens was shaped to control the sidelobes and zoned for improved scanning characteristics. Basic antenna measurements were conducted and excellent performance results have been observed. In the prototype lens system with unmatched surfaces, a 4 dB crossover between adjacent beams of ‚Äì30 dB sidelobes was obtained. The beam was scanned up to ¬± 12¬∞ without significant coma degradations. This coma-corrected zoned lens was developed for satellite multibeam applications. The multibeam antenna so designed not only reduces the total costs and the payload burden, but also enhances the system reliability and the overall gain compared to a conventional design because no complex feed network is required. Copyright ¬© 1983 by The Institute of Electrical and Electronics Engineers, Inc.</t>
  </si>
  <si>
    <t>216-220</t>
  </si>
  <si>
    <t>60005304;116065066</t>
  </si>
  <si>
    <t>57193268489;6505653161</t>
  </si>
  <si>
    <t>Lee, J. J.;Carlise, R. L.</t>
  </si>
  <si>
    <t>Waltham;Anaheim</t>
  </si>
  <si>
    <t>Raytheon;Defense Electronics Operations</t>
  </si>
  <si>
    <t>Lee J.</t>
  </si>
  <si>
    <t>A Coma-Corrected Multibeam Shaped Lens Antenna, Part II: Experiments</t>
  </si>
  <si>
    <t>10.1109/TAP.1983.1142992</t>
  </si>
  <si>
    <t>2-s2.0-0020498098</t>
  </si>
  <si>
    <t>['surface rms', 'surface errors', 'sidelobe levels', 'required bounds', 'model rests', 'model incorporates', 'mathematical foundation', 'illumination tapers', 'gain loss', 'form expressions', 'electronics engineers', 'determine efficiently']</t>
  </si>
  <si>
    <t>Based on the works of Ruze and Vu, a novel mathematical model has been developed to determine efficiently the average power pattern degradations caused by random surface errors. In this model, both nonuniform root mean square (rms) surface errors and nonuniform illumination functions are employed. In addition, the model incorporates the dependence on F/D in the construction of the solution. The mathematical foundation of the model rests on the assumption that in each prescribed annular region of the antenna, the geometrical rms surface value is known. It is shown that closed-form expressions can then be derived, which result in a very efficient computational method for the average power pattern. Detailed parametric studies are performed with these expressions to determine the effects of different random errors and illumination tapers on parameters such as gain loss and sidelobe levels. The results clearly demonstrate that as sidelobe levels decrease, their dependence on the surface rms/Œª becomes much stronger and, for a specified tolerance level, a considerably smaller rms/Œª is required to maintain the low sidelobes within the required bounds. Copyright ¬© 1983 by The Institute of Electrical and Electronics Engineers, Inc.</t>
  </si>
  <si>
    <t>92-98</t>
  </si>
  <si>
    <t>Rahmat-Samii, Yahya</t>
  </si>
  <si>
    <t>Pasadena</t>
  </si>
  <si>
    <t>Jet Propulsion Laboratory</t>
  </si>
  <si>
    <t>Rahmat-Samii Y.</t>
  </si>
  <si>
    <t>An Efficient Computational Method for Characterizing the Effects of Random Surface Errors on the Average Power Pattern of Reflectors</t>
  </si>
  <si>
    <t>10.1109/TAP.1983.1142978</t>
  </si>
  <si>
    <t>2-s2.0-0020498099</t>
  </si>
  <si>
    <t>['wave propagation', 'systematic way', 'often applied', 'incomplete manner', 'graduate teaching', 'examples chosen', 'complex vectors']</t>
  </si>
  <si>
    <t>The algebra of complex vectors, often applied in the analysis of time-harmonic electromagnetic fields in an incomplete manner, is introduced in a systematic way, applicable in graduate or post-graduate teaching. The examples chosen to elucidate the notation are from the field of antennas and wave propagation.</t>
  </si>
  <si>
    <t>33-48</t>
  </si>
  <si>
    <t>International Journal of Electrical Engineering Education</t>
  </si>
  <si>
    <t>Lindell, Ismo V.</t>
  </si>
  <si>
    <t>Lindell I.V.</t>
  </si>
  <si>
    <t>COMPLEX VECTOR ALGEBRA IN ELECTROMAGNETICS.</t>
  </si>
  <si>
    <t>10.1177/002072098302000108</t>
  </si>
  <si>
    <t>2-s2.0-0020498221</t>
  </si>
  <si>
    <t>['uniform gtd', 'results demonstrate', 'numerical comparisons', 'near zone', 'em diffraction', 'dipole close', 'diffraction coefficients', 'asymptotic technique', '3 multiplied', '2 matrix']</t>
  </si>
  <si>
    <t>The em diffraction by a perfectly-conducting wedge illuminated by a dipole close to its edge is considered. An extension of the uniform GTD is presented which is accurate up to a significantly reduced distance between the source and the edge. Closed form expressions of the diffraction coefficients for the far-zone field due to an arbitrarily oriented dipole are given in terms of a 3 multiplied by 2 matrix. Numerical comparisons with the exact eigenfunction solution are shown. The results demonstrate that this method can be used for engineering purposes even in the very near zone of the dipole where an asymptotic technique is not expected to work.</t>
  </si>
  <si>
    <t>24-33</t>
  </si>
  <si>
    <t>Alta frequenza</t>
  </si>
  <si>
    <t>Jan-Feb</t>
  </si>
  <si>
    <t>6701648243;7102464308;57202007643</t>
  </si>
  <si>
    <t>Kouyoumjian, Robert G.;Pelosi, Giuseppe;Tiberio, Roberto</t>
  </si>
  <si>
    <t>Kouyoumjian R.</t>
  </si>
  <si>
    <t>EXTENSION OF THE UNIFORM GTD FOR THE DIFFRACTION BY A WEDGE ILLUMINATED BY A DIPOLE CLOSE TO ITS EDGE.</t>
  </si>
  <si>
    <t>2-s2.0-0020498521</t>
  </si>
  <si>
    <t>['theoretical results', 'numerical calculation', 'first approximation', 'feed pattern', 'feed efficiency', 'electronics engineers', 'define uniquely', 'combined e', 'aperture efficiency']</t>
  </si>
  <si>
    <t>The feed efficiency, a first approximation to the aperture efficiency of a paraboloid or a conventional Cassegrain antenna, is used to define uniquely a combined E- and H-plane phase center of the feed pattern. A formula for numerical calculation of the combined phase center is presented, as well as theoretical results of the feed position tolerances and the efficiency loss due to differences in the principal plane phase patterns. Copyright ¬© 1983 by The Institute of Electrical and Electronics Engineers, Inc.</t>
  </si>
  <si>
    <t>199-202</t>
  </si>
  <si>
    <t>Kildal, Per Simon</t>
  </si>
  <si>
    <t>Norway</t>
  </si>
  <si>
    <t>Trondheim</t>
  </si>
  <si>
    <t>Norges Teknisk-Naturvitenskapelige Universitet</t>
  </si>
  <si>
    <t>Kildal P.</t>
  </si>
  <si>
    <t>Combined E- and H-Plane Phase Centers of Antenna Feeds</t>
  </si>
  <si>
    <t>10.1109/TAP.1983.1143009</t>
  </si>
  <si>
    <t>2-s2.0-0020498653</t>
  </si>
  <si>
    <t>['two parameters', 'single point', 'sidelobes v', 'sidelobe cancellation', 'numerical solution', 'nulls required', 'null constraints', 'multiple nulling', 'many degrees', 'given bandwidth', 'first order', 'electronics engineers', 'conveniently estimated', 'constraints imposed', 'array antenna']</t>
  </si>
  <si>
    <t>The problem of wide-band pattern nulling for an array antenna is addressed, in particular the relation between the number of constraints imposed and the sidelobe suppression achieved. The two constraint methods considered are multiple nulling over a narrow angular sector and nulling of the pattern and its derivatives at a single point. To first order the sidelobe cancellation is shown to be independent of the actual pattern type and is determined by only two parameters: the number of null constraints M and the number of sidelobes v to be cancelled. The latter parameter directly translates into a desired nulling bandwidth Œîf. A numerical solution to the problem is offered in the form of curves, from which the number of nulls required to suppress a jammer over a given bandwidth can be conveniently estimated. This number is indicative of how many degrees of freedom a conventional adaptive antenna system must allocate to attain a specific nulling performance. Copyright ¬© 1983 by The Institute of Electrical and Electronics Engineers, Inc.</t>
  </si>
  <si>
    <t>159-163</t>
  </si>
  <si>
    <t>Steyskal, Hans</t>
  </si>
  <si>
    <t>Hanscom AFB</t>
  </si>
  <si>
    <t>Steyskal H.</t>
  </si>
  <si>
    <t>Wide-Band Nulling Performance Versus Number of Pattern Constraints for an Array Antenna</t>
  </si>
  <si>
    <t>10.1109/TAP.1983.1142993</t>
  </si>
  <si>
    <t>2-s2.0-0020498654</t>
  </si>
  <si>
    <t>['statistical analysis', 'results refer', 'numerical results', 'electronics engineers', 'desired aircraft', 'dabs ).', 'atcrbs section', 'antenna dwell', 'analyzed via', 'analytical approach']</t>
  </si>
  <si>
    <t>Performance of a monopulse air traffic control radar beacon system (ATCRBS) target data extractor is analyzed via an analytical approach. Results refer to a statistical analysis of the section of the receiver which associates replies sent by the desired aircraft during the antenna dwell-time. Some numerical results are reported which refer to the ATCRBS section to be devised in the discrete address beacon system (DABS). Copyright ¬© 1983 by The Institute of Electrical and Electronics Engineers, Inc.</t>
  </si>
  <si>
    <t>60021859;60021859;60028868</t>
  </si>
  <si>
    <t>7006020332;7006654571;55664126200</t>
  </si>
  <si>
    <t>Giuli, Dino;Fossi, Mario;Mese, Enzo Dalle</t>
  </si>
  <si>
    <t>Pisa;Florence</t>
  </si>
  <si>
    <t>Universit√† di Pisa;Universit√† degli Studi di Firenze</t>
  </si>
  <si>
    <t>60028868;60021859</t>
  </si>
  <si>
    <t>Giuli D.</t>
  </si>
  <si>
    <t>Performance Analysis of a Dwell-Time Processor for Monopulse Beacon Radars</t>
  </si>
  <si>
    <t>10.1109/TAES.1983.309415</t>
  </si>
  <si>
    <t>2-s2.0-0020498701</t>
  </si>
  <si>
    <t>['reported measurements', 'quality cross', 'provide high', 'polarized measurements', 'observed measurements', 'natural terrain', 'many years', 'inadequate measure', 'electronics engineers', 'depolarized measurements', 'antenna specification']</t>
  </si>
  <si>
    <t>The depolarization of electromagnetic energy scattered from natural terrain has been of interest to experimenters and theoreticians for many years. However, the reported measurements have not agreed with theoretically predicted results. Boresight axial ratio has commonly been used as a figure of merit to describe the polarization isolation properties of the measurement system antennas. Since depolarization measurements from terrain involve extended targets which fill the full antenna beam, boresight axial ratio is often an inadequate measure of antenna polarization purity. This paper describes antenna isolation characteristics which impact the quality of the depolarized measurements. Representative calculations demonstrate the effects of nonideal antenna systems on the observed measurements. A criterion for antenna specification is given which will provide high-quality cross-polarized measurements. Copyright ¬© 1983 by The Institute of Electrical and Electronics Engineers, Inc.</t>
  </si>
  <si>
    <t>113-117</t>
  </si>
  <si>
    <t>60020547;60020547</t>
  </si>
  <si>
    <t>7101834198;12143855200</t>
  </si>
  <si>
    <t>Blanchard, Andrew J.;Jean, Buford Randall</t>
  </si>
  <si>
    <t>Antenna Effects in Depolarization Measurements</t>
  </si>
  <si>
    <t>10.1109/TGRS.1983.350537</t>
  </si>
  <si>
    <t>2-s2.0-0020498888</t>
  </si>
  <si>
    <t>['transmission lines', 'paper reports', 'experimental results', 'automatic monitor', 'automatic detector']</t>
  </si>
  <si>
    <t>The paper reports on the development of an automatic detector for abnormal inner temperature rise in transmission lines for TV broadcasting stations, and an automatic monitor for abnormal DC resistance change in these lines. An outline of the principle of these devices and experimental results are reported.</t>
  </si>
  <si>
    <t>102-110</t>
  </si>
  <si>
    <t>Sumitomo Electric Technical Review</t>
  </si>
  <si>
    <t>;;;;;;;;</t>
  </si>
  <si>
    <t>7003912775;7201752907;55467362800;6701554837;55711696300;7003652097;7101691068;7006455753;7202627720</t>
  </si>
  <si>
    <t>Iwasaki, Jin;Ogata, Yasutaka;Ito, Yoshiharu;Akita, Naoto;Takahashi, Hiroshi;Shibano, Yoshizo;Kotani, Hiroyuki;Isono, Tomoaki;Oishi, Takashi</t>
  </si>
  <si>
    <t>Iwasaki J.</t>
  </si>
  <si>
    <t>DEVELOPMENT OF A MONITORING SYSTEM FOR ABNORMAL CONDITIONS IN COAXIAL FEEDER LINE.</t>
  </si>
  <si>
    <t>2-s2.0-0020499529</t>
  </si>
  <si>
    <t>['signal multiplier']</t>
  </si>
  <si>
    <t>Effects of the non-linearity of the error-by-signal multiplier on the performance of adaptive antenna array feed-back control loop employing the least-mean square algorithm, are analyzed. The analysis is supported by an illustrative numerical example.</t>
  </si>
  <si>
    <t>15-18</t>
  </si>
  <si>
    <t>IETE Journal of Research</t>
  </si>
  <si>
    <t>57215954611;57226074566</t>
  </si>
  <si>
    <t>Palanivelu, T. G.;Kumar, A.</t>
  </si>
  <si>
    <t>Palanivelu T.G.</t>
  </si>
  <si>
    <t>EFFECTS OF MULTIPLIER NON-LINEARITY ON ADAPTIVE ANTENNA ARRAY PERFORMANCE.</t>
  </si>
  <si>
    <t>10.1080/03772063.1983.11452917</t>
  </si>
  <si>
    <t>2-s2.0-0020499782</t>
  </si>
  <si>
    <t>['median conditions', 'experimental studies', 'earlier found', '7 db', '2 ghz', '10 db']</t>
  </si>
  <si>
    <t>Aperture-to-Medium Coupling Loss (Lgp) for 25. 5 m Antenna at 2 GHz had been earlier found to be about 10 db. Further experimental studies have been carried out on a pair of 25. 5 m antennae. Lgp for 25. 5 m-25. 5 m combination of antenna is found to be 20. 7 db at median conditions.</t>
  </si>
  <si>
    <t>28-30</t>
  </si>
  <si>
    <t>6506208407;7103190761;6602628052</t>
  </si>
  <si>
    <t>Jyotipunj, S. C.;Malhotra, M. M.;Govindarajan, P.</t>
  </si>
  <si>
    <t>Jyotipunj S.</t>
  </si>
  <si>
    <t>APERTURE-TO-MEDIUM COUPLING LOSS (GAIN DEGRADATION) OF LARGE-SIZE ANTENNAE ON 2 GHz TRANS-HORIZON PATH.</t>
  </si>
  <si>
    <t>10.1080/03772063.1983.11452921</t>
  </si>
  <si>
    <t>2-s2.0-0020500966</t>
  </si>
  <si>
    <t>['voice traffic', 'voice subframes', 'switched spot', 'separate data', 'sdma protocol', 'scheduling delays', 'point demand', 'paper identifies', 'paper demonstrates', 'new method', 'electronics engineers', 'division multiple', 'described protocol', 'data reservation', 'circuit switching', 'assignment time', 'assignment satellite']</t>
  </si>
  <si>
    <t>This paper identifies the characteristics of a point-to-point demand-assignment satellite-switched spot-beam antenna communication network for integrated data voice traffic. The described protocol is known as space-division multiple-access (SDMA) which uses an on-board central traffic controller, a fixed-assignment time-division multiple-access (TDMA) protocol for reservations, and a rigid frame structure with separate data and voice subframes. Message and circuit switching are utilized for data and voice traffic, respectively. Synchronization is maintained by a looped-back reservation burst. A detailed delay analysis of data and voice traffic is presented for an arbitrary compound arrival process. A new method for the calculation of the data reservation and scheduling delays is derived. A comparison of the performance of the SDMA protocol to other protocols is shown. This paper demonstrates the feasibility and illustrates the design of the SDMA protocol. Copyright ¬© 1983 by The Institute of Electrical and Electronics Engineers, Inc.</t>
  </si>
  <si>
    <t>126-132</t>
  </si>
  <si>
    <t>IEEE Journal on Selected Areas in Communications</t>
  </si>
  <si>
    <t>;60009512</t>
  </si>
  <si>
    <t>7202688626;7403922918</t>
  </si>
  <si>
    <t>Ko, King Tim;Davis, Bruce R.</t>
  </si>
  <si>
    <t>Australia</t>
  </si>
  <si>
    <t>Adelaide</t>
  </si>
  <si>
    <t>The University of Adelaide</t>
  </si>
  <si>
    <t>Ko K.</t>
  </si>
  <si>
    <t>A Space-Division Multiple-Access Protocol for Spot-Beam Antenna and Satellite-Switched Communication Network</t>
  </si>
  <si>
    <t>10.1109/JSAC.1983.1145891</t>
  </si>
  <si>
    <t>2-s2.0-0020502903</t>
  </si>
  <si>
    <t>['synaptic vesicles', 'synaptic network', 'stimulated electrically', 'small number', 'respond postsynaptically', 'postsynaptic responses', 'one process', 'mature morphologically', 'local interneurons', 'holometabolous insects', 'fatigue rapidly', 'excellent system', 'early synapses', 'distinct glomeruli', 'developing synapses', 'developing adult', 'day 9', 'day 5', 'day 14', 'day 13', 'day 11', 'cobalt reveals', 'clusters increases', 'circuitry needed', 'associated densities', 'antennal sensilla', 'antennal nerve', 'antennal lobes', 'already begun', 'adult levels', 'action potentials', '18 days']</t>
  </si>
  <si>
    <t>During the metamorphosis of holometabolous insects, the larval nervous system is restructured to provide the circuitry needed by the developing adult. Prominent new centers in the brain, the antennal lobes, arise to receive olfactory afferent axons from the developing adult antennae and provide an excellent system in which to study the development of synapses in a central nervous system. We have examined the anatomy and physiology of developing synapses in the antennal lobes of the moth Manduca sexta during the 18 days of metamorphic adult development. On day 5, the neuropil of the newly emerging antennal lobe condenses into distinct glomeruli, in which intercellular junctional complexes have already begun to form. Although some junctions have associated synaptic vesicles, most complexes are desmosome-like until day 9, when the number of synaptic complexes begins to increase. Early synapses are characterized by membrane-associated densities in a least two abutting cellular processes and a small number of synaptic vesicles clustered near the membrane of one process. As adult development proceeds, the membrane-associated densities become denser and more extensive, and the number of synaptic vesicles in the clusters increases. At day 14 synapses appear ultrastructurally mature, and almost all junctions in the neuropil can be identified as synaptic. Not until day 9 do antennal lobe neurons begin to respond postsynaptically when the antennal nerve is stimulated electrically, suggesting that the earliest synapses observed in the electron microscope may not be made by antennal nerve axons. At first the postsynaptic responses are graded and fatigue rapidly. By day 11, the antennal lobe neurons respond with action potentials, but the fatigability does not decline to adult levels until day 13. Filling of antennal lobe neurons with cobalt reveals that the arborizations of both local interneurons and output neurons continue to mature morphologically until about day 13. Previous work showed that antennal sensilla do not begin to be responsive to odors until day 14. Thus the establishment of the synaptic network in the antennal lobe apparently occurs in the absence of functional olfactory input to the system.</t>
  </si>
  <si>
    <t>1158-1175</t>
  </si>
  <si>
    <t>Journal of Neuroscience</t>
  </si>
  <si>
    <t>60002746;60002746;60002746</t>
  </si>
  <si>
    <t>7102144017;7404265592;7102653635</t>
  </si>
  <si>
    <t>Tolbert, L. P.;Matsumoto, S. G.;Hildebrand, J. G.</t>
  </si>
  <si>
    <t>Harvard Medical School</t>
  </si>
  <si>
    <t>Tolbert L.P.</t>
  </si>
  <si>
    <t>Development of synapses in the antennal lobes of the moth Manduca sexta during metamorphosis</t>
  </si>
  <si>
    <t>10.1523/jneurosci.03-06-01158.1983</t>
  </si>
  <si>
    <t>2-s2.0-0020529248</t>
  </si>
  <si>
    <t>['spontaneous activity', 'small amounts', 'larger amounts', 'increased sensitivity', 'dodecenyl acetate']</t>
  </si>
  <si>
    <t>Scanning electron microscopy and single unit recordings of male Trichoplusia ni antennae reveal at least two classes of pheromone-sensitive sensilla trichodea. The longer sensillum contains two receptor neurons each with small amounts of spontaneous activity. One neuron responds to large (10-microgram) doses of (Z)-7-dodecenyl acetate, a component of the female sex pheromone. The shorter sensillum contains two receptor neurons both with larger amounts of spontaneous activity and increased sensitivity to low (0.01-microgram) doses of pheromone.</t>
  </si>
  <si>
    <t>1408-1410</t>
  </si>
  <si>
    <t>60000986;60000986;60032280;60032280</t>
  </si>
  <si>
    <t>7103138825;7402445350;7402465354;7004006558</t>
  </si>
  <si>
    <t>O'Connell, Robert J.;Grant, Alan J.;Mayer, M. S.;Mankin, R. W.</t>
  </si>
  <si>
    <t>Washington, D.C.;Worcester</t>
  </si>
  <si>
    <t>United States Department of Agriculture;University of Massachusetts Medical School</t>
  </si>
  <si>
    <t>60032280;60000986</t>
  </si>
  <si>
    <t>O'Connell R.J.</t>
  </si>
  <si>
    <t>Morphological correlates of differences in pheromone sensitivity in insect sensilla</t>
  </si>
  <si>
    <t>10.1126/science.220.4604.1408</t>
  </si>
  <si>
    <t>2-s2.0-0020537357</t>
  </si>
  <si>
    <t>['windloading make', 'use large', 'spacing provides', 'solid surfaces', 'simply connecting', 'several plane', 'often used', 'narrowband fluctuations', 'linear elements', 'effective means', 'distinct resonances', 'common configuration']</t>
  </si>
  <si>
    <t>Arrays of finite conducting linear elements are often used to approximate solid reflectors in applications where weight and windloading make it impractical to use large, solid surfaces. A common configuration for such an array is achieved by simply connecting the centers of the linear elements by a single structural member such that the reflector is an array of parasitic dipoles excited by a driven element located in front of the reflector. Theoretical and experimental data obtained for several plane, corner and parabolic reflector configurations show that distinct resonances, characterized by narrowband fluctuations in the radiation pattern may seriously affect the operation of these antennas. Adjustment of the reflector element length and spacing provides an effective means of controlling these resonances.</t>
  </si>
  <si>
    <t>40-44</t>
  </si>
  <si>
    <t>Canadian electrical engineering journal</t>
  </si>
  <si>
    <t>7004680083;7006311705;7006568489</t>
  </si>
  <si>
    <t>Tranquilla, J. M.;Sutherland, P. J.;Joyce, R. H.</t>
  </si>
  <si>
    <t>Tranquilla J.</t>
  </si>
  <si>
    <t>SOME LIMITATIONS IN THE BROADBAND OPERATIONS OF SEGMENTED REFLECTORS.</t>
  </si>
  <si>
    <t>10.1109/CEEJ.1983.6591830</t>
  </si>
  <si>
    <t>2-s2.0-0020542148</t>
  </si>
  <si>
    <t>['studied comparing', 'square horn', 'specific emphasis', 'radiation characteristics', 'practical example', 'polarization levels', 'polarization characteristics', 'elliptical apertures', 'electronics engineers', 'circular polarization', 'beam antenna']</t>
  </si>
  <si>
    <t>Radiation characteristics of a symmetrical crossed rectangular horn using a solution of an integral eigenvalue equation given by Lin is described. E- and H-plane pattern symmetry and two-dimensional radiation patterns for circular polarization are studied comparing with those of a square horn, with specific emphasis on cross-polarization levels. Using a symmetrical crossed rectangular horn as a circularly polarized primary feed gain and cross-polarization characteristics of offset paraboloidal reflector antennas with circular and elliptical apertures have been investigated. A practical example of a circularly polarized multiple-beam antenna with contoured pattern using three symmetrical-crossed rectangular horns is shown. Copyright ¬© 1983 by The Institute of Electrical and Electronics Engineers, Inc.</t>
  </si>
  <si>
    <t>202-206</t>
  </si>
  <si>
    <t>Toyama, Noboru</t>
  </si>
  <si>
    <t>Nippon Hoso Kyokai</t>
  </si>
  <si>
    <t>Toyama N.</t>
  </si>
  <si>
    <t>Symmetrical Crossed Rectangular Horn for a Circularly Polarized Multiple-Beam Reflector Antenna</t>
  </si>
  <si>
    <t>10.1109/TAP.1983.1143001</t>
  </si>
  <si>
    <t>2-s2.0-0020542157</t>
  </si>
  <si>
    <t>['¬© 1983', 'satellite interference', 'pointing accuracy', 'paper describes', 'end office', 'bit rates', 'beam antennas', 'approximately correspond', '9900 30', '800 mbps', '40 ghz', '20 ghz', '119 tbps', '005 degrees', '0 db']</t>
  </si>
  <si>
    <t>This paper describes a concept of multibeam high capacity transmission possible with a 30/20 GHz and 50/40 GHz domestic satellite communication system. The relationship between satellite antenna pointing accuracy and multi-beam antenna interference, as well as the relationship between satellite antenna pointing accuracy and multi-satellite interference are looked at. The ultra high capacity domestic satellite communication system will have multi-beam antennas with a 76.0 dB at both 20 GHz and 40 GHz. These antennas will provide 4950 beams that approximately correspond to the number of end office of the Japanese telephone network, and have a pointing accuracy of 0.005 degrees. This system will be equipped with 9900 30/20 GHz and 50/40 GHz transponder channels with bit rates of 800 Mbps. Its capacity will be 119 Tbps through use of 15 large communication satellite platforms. ¬© 1983.</t>
  </si>
  <si>
    <t>43-49</t>
  </si>
  <si>
    <t>60025555;60025555;60025555;60025555</t>
  </si>
  <si>
    <t>7003864682;7004043708;6504705429;7202339631</t>
  </si>
  <si>
    <t>Iso, Akio;Kohiyama, Kenji;Odate, Hitoshi;Ishida, Noriaki</t>
  </si>
  <si>
    <t>Nippon Telegraph and Telephone Corporation</t>
  </si>
  <si>
    <t>Iso A.</t>
  </si>
  <si>
    <t>Advanced high capacity domestic satellite communications system</t>
  </si>
  <si>
    <t>0094-5765(83)90017-6</t>
  </si>
  <si>
    <t>10.1016/0094-5765(83)90017-6</t>
  </si>
  <si>
    <t>2-s2.0-0020542872</t>
  </si>
  <si>
    <t>['plane scan', 'plane perpendicular', 'plane horn', 'output edge', 'narrow beam', 'mismatch losses', 'integral equation', 'gain data', 'experimental model', 'electronics engineers', 'dome shape', 'design procedure', 'angle scanning', '7 ¬∞', '40 ghz']</t>
  </si>
  <si>
    <t>The design of a modified Rinehart metal dome antenna with a dielectric ring lens at the output edge is discussed. This antenna provides wide-angle scanning of a narrow beam. The dome shape, which provides perfect focus in the plane of scan, is determined by solving an integral equation. The dielectric lens focuses in the plane perpendicular to the plane scan, and results in a much smaller antenna than if an E-plane horn were fitted to a conventional Rinehart dome. A design procedure for minimizing phase errors and mismatch losses is discussed. The construction of an experimental model which provides a 1.7¬∞ by 10.7¬∞ beam at 40 GHz is described. Pattern and gain data for the 26.5 to 40 GHz band are included and show excellent performance. Copyright ¬© 1983 by The Institute of Electrical and Electronics Engineers, Inc.</t>
  </si>
  <si>
    <t>60-67</t>
  </si>
  <si>
    <t>60005304;60005304</t>
  </si>
  <si>
    <t>6602621821;7004086479</t>
  </si>
  <si>
    <t>Dufort, Edward C.;Uyeda, Harold</t>
  </si>
  <si>
    <t>Dufort E.</t>
  </si>
  <si>
    <t>A Wide-Angle Scanning Optical Antenna</t>
  </si>
  <si>
    <t>10.1109/TAP.1983.1143018</t>
  </si>
  <si>
    <t>2-s2.0-0020543256</t>
  </si>
  <si>
    <t>['recent paper', 'pisarenko methods', 'maximum likelihood', 'linear array', 'electronics engineers', 'algebraic characterization', 'algebraic approach', 'adaptive algorithm']</t>
  </si>
  <si>
    <t>In a recent paper we made an algebraic characterization of the problem of resolving closely spaced plane waves incident on a linear array. The characterization encompassing several superresolution processing methods and encompassed the Wiener, maximum likelihood, and Pisarenko methods as well as suggesting new procedures. In this paper we amplify the algebraic approach and extend the results to consider correlated noise. An adaptive algorithm is given for a particularly effective processing method. Copyright ¬© 1983 by The Institute of Electrical and Electronics Engineers, Inc.</t>
  </si>
  <si>
    <t>123-133</t>
  </si>
  <si>
    <t>60021378;60003892</t>
  </si>
  <si>
    <t>6602361131;56782301600</t>
  </si>
  <si>
    <t>Bronez, Thomas P.;Cadzow, James A.</t>
  </si>
  <si>
    <t>Murray;Tempe</t>
  </si>
  <si>
    <t>Nokia Bell Labs;Arizona State University</t>
  </si>
  <si>
    <t>Bronez T.P.</t>
  </si>
  <si>
    <t>An Algebraic Approach to Superresolution Array Processing</t>
  </si>
  <si>
    <t>10.1109/TAES.1983.309426</t>
  </si>
  <si>
    <t>2-s2.0-0020543430</t>
  </si>
  <si>
    <t>['unique method', 'significantly reduced', 'shaping techniques', 'shaped lenses', 'performance antennas', 'parametric trade', 'optical transformer', 'numerical techniques', 'excellent candidates', 'electronics engineers', 'design principles', 'correction zoning', 'axis beams', 'also discussed']</t>
  </si>
  <si>
    <t>Shaping techniques are applied to the design of dielectric lens antennas. By shaping the lens to serve as an optical transformer for aperture distribution control, many special antenna patterns can be achieved. For multiple beam applications, the cubic phase error for off-axis beams can be significantly reduced by a unique method of coma-correction zoning. Such shaped lenses are excellent candidates for low-cost, lightweight and high-performance antennas for extremely high frequency (EHF) systems. In this communication, the design principles and numerical techniques are given. Examples with parametric trade-offs are also discussed. Copyright ¬© 1983 by The Institute of Electrical and Electronics Engineers, Inc.</t>
  </si>
  <si>
    <t>211-216</t>
  </si>
  <si>
    <t>Lee, J. J.</t>
  </si>
  <si>
    <t>Dielectric Lens Shaping and Coma-Correction Zoning, Part I: Analysis</t>
  </si>
  <si>
    <t>10.1109/TAP.1983.1142988</t>
  </si>
  <si>
    <t>2-s2.0-0020543833</t>
  </si>
  <si>
    <t>['wide range', 'relative orientations', 'proper choice', 'polarization rotator', 'different directions']</t>
  </si>
  <si>
    <t>A quasi-optical and wide-angle (of inidence) polarization rotator is described and analyzed. It consists of three or more parallel, equispaced, wire-grid polarizers whose wires are oriented in different directions. With the proper choice of the number of grids, their spacings, and their relative orientations, such a polarization rotator is capable of operating over a broad frequency band and a wide range of angles of incidence. A seven-grid 90 degree polarization rotator was designed to operate over a 42 percent relative bandwidth for a plus or minus 60 degree range of angles of incidence with less than 0. 1 db transmission loss. Various designs based upon the authors' analysis are given.</t>
  </si>
  <si>
    <t>73-76</t>
  </si>
  <si>
    <t>AP-31</t>
  </si>
  <si>
    <t>7003808036;7202719232</t>
  </si>
  <si>
    <t>Amitay, Noach;Saleh, Adel A.M.</t>
  </si>
  <si>
    <t>Amitay N.</t>
  </si>
  <si>
    <t>BROAD-BAND WIDE-ANGLE QUASI-OPTICAL POLARIZATION ROTATORS.</t>
  </si>
  <si>
    <t>2-s2.0-0020543834</t>
  </si>
  <si>
    <t>['signal characteristics', 'received signals', 'azimuth plane', '20 db']</t>
  </si>
  <si>
    <t>The design, fabrication, and test results obtained for an electronically scanned Wullenweber array are described. The array scanned rapidly in the azimuth plane and received signals over an 8-12 GHz frequency band independent of their frequency or signal characteristics. A minimum sidelobe level of 20 db was desired. The heart of the system was the traveling-wave tube phase shifter which provided variable true time delay over the band.</t>
  </si>
  <si>
    <t>18-26</t>
  </si>
  <si>
    <t>Kummer, Wolfgang H.</t>
  </si>
  <si>
    <t>Kummer W.</t>
  </si>
  <si>
    <t>BROAD-BAND MICROWAVE ELECTRONICALLY SCANNED DIRECTION FINDER.</t>
  </si>
  <si>
    <t>2-s2.0-0020543835</t>
  </si>
  <si>
    <t>['telephone circuit', 'encoding equipment', '32 kb']</t>
  </si>
  <si>
    <t>In a small capacity omni-use terminal satellite system, a low bit rate, less than about 32 kb/s, is required for the speech encoding bit rate in satellite transmission section, so as to realize transmitting power reduction and a small diameter antenna for a portable earth base station. Overall system speech quality, including telephone sets, telephone circuit and encoding equipment, was evaluated.</t>
  </si>
  <si>
    <t>179-185</t>
  </si>
  <si>
    <t>Reports of the Electrical Communication Laboratory</t>
  </si>
  <si>
    <t>35501128000;7402554537;7102359869</t>
  </si>
  <si>
    <t>Ohta, Naohisa;Yoshikawa, Mitsutaka;Ishimaru, Kaoru</t>
  </si>
  <si>
    <t>Ohta N.</t>
  </si>
  <si>
    <t>SPEECH ENCODING FOR 6/4 GHz BAND SMALL CAPACITY OMNI-USE TERMINAL SATELLITE SYSTEM.</t>
  </si>
  <si>
    <t>2-s2.0-0020543956</t>
  </si>
  <si>
    <t>['various ports', 'theoretical analysis', 'simply setting', 'separate analysis', 'purely passive', 'output terminals', 'numerical calculations', 'negligible whether', 'mutual impedances', 'monopole elements', 'mismatched beamformer', 'main analysis', 'integrated elements', 'input impedances', 'impedance coefficients', 'general cases', 'external mutual', 'electronics engineers', 'dipole elements', 'beamforming network', 'beamformer mismatch', 'automatically excluded', 'array containing', 'arbitrary values', 'antennafiers ).', '3 wavelength', '22 wavelength', '19 wavelength']</t>
  </si>
  <si>
    <t>A theoretical analysis of circularly disposed receiving arrays of monopole or dipole elements is presented for general cases in which all the elements are purely passive or else all are integrated elements (antennafiers). The input impedances of the various ports of the beamforming network have arbitrary values in both cases. The effects of all (external) mutual impedances between any pairs of elements are included in the main analysis. Then by simply setting all of the external mutual-impedance coefficients equal to zero, they are automatically excluded in a separate analysis. Using the impedance coefficients in conjunction with two appropriate computer programs, we demonstrate, first, that the effects of all (external) mutual impedances on the normalized radiation pattern of the very broad-band practical arrays considered are negligible whether the high-input-impedance integrated amplifiers are present or not. This is true as long as the heights of the monopole elements are less than about 0.19 wavelength in the case of purely passive monopoles, and less than about 0.22 wavelength or 0.3 wavelength in the case of the particular amplifiers considered for numerical calculations when connected to monopoles of two different heights. Second, it is demonstrated that the effect of an impedance-mismatched beamformer on the normalized radiation patterns of the arrays considered first is not negligible. In particular, the effect of this beamformer mismatch on the normalized radiation pattern is often surprisingly noticeable even for an array containing the antennafiers that provide high effective isolation between the input and output terminals of their amplifiers under impedance-matched beamformer conditions. Copyright ¬© 1983 by The Institute of Electrical and Electronics Engineers, Inc.</t>
  </si>
  <si>
    <t>77-85</t>
  </si>
  <si>
    <t>60074706;60074706</t>
  </si>
  <si>
    <t>6507094723;6504813923</t>
  </si>
  <si>
    <t>Epis, James J.;Sundberg, Vernon C.</t>
  </si>
  <si>
    <t>Danvers</t>
  </si>
  <si>
    <t>Osram Sylvania North America</t>
  </si>
  <si>
    <t>Epis J.</t>
  </si>
  <si>
    <t>External and Internal Mutual Impedance Effects on the Radiation Patterns of Circularly Disposed Arrays using Antennafiers or Passive Monopoles</t>
  </si>
  <si>
    <t>10.1109/TAP.1983.1142980</t>
  </si>
  <si>
    <t>2-s2.0-0020545442</t>
  </si>
  <si>
    <t>['special properties', 'special eigenstructure', 'sensors utilizing', 'provides insight', 'procedure turns', 'line array', 'give estimates', 'estimation problem', 'electronics engineers', 'development presented']</t>
  </si>
  <si>
    <t>The problem of estimating the angles of arrival of M plane waves incident simultaneously on a line array with L + 1 (L-M) sensors utilizing the special eigenstructure of the covariance matrix C of the signal plus noise at the output of the array is addressed. A polynomial D(z) with special properties is constructed from the eigenvectors of C, the zeros of which give estimates of the angle of arrival. Although the procedure turns out to be essentially the same as that developed by Reddi, the development presented here provides insight into the estimation problem. Copyright ¬© 1983 by The Institute of Electrical and Electronics Engineers, Inc.</t>
  </si>
  <si>
    <t>134-139</t>
  </si>
  <si>
    <t>60010806;60010806</t>
  </si>
  <si>
    <t>7006294903;7006368666</t>
  </si>
  <si>
    <t>Kumaresan, Ramdas;Tufts, Donald W.</t>
  </si>
  <si>
    <t>Kingston</t>
  </si>
  <si>
    <t>University of Rhode Island</t>
  </si>
  <si>
    <t>Kumaresan R.</t>
  </si>
  <si>
    <t>Estimating the Angles of Arrival of Multiple Plane Waves</t>
  </si>
  <si>
    <t>10.1109/TAES.1983.309427</t>
  </si>
  <si>
    <t>2-s2.0-0020545591</t>
  </si>
  <si>
    <t>['wave ratio', 'voltage standing', 'shaped dielectric', 'results indicate', 'microstrip antennas', 'electronics engineers', 'considerable improvement']</t>
  </si>
  <si>
    <t>The variation of voltage standing-wave ratio (VSWR) with frequency for microstrip antennas on stepped and wedge-shaped dielectric-substrates is measured for a band of frequencies, and is compared with those of an equivalent rectangular microstrip resonator. The results indicate a considerable improvement in bandwidth. Copyright ¬© 1983 by The Institute of Electrical and Electronics Engineers, Inc.</t>
  </si>
  <si>
    <t>193-194</t>
  </si>
  <si>
    <t>60020825;60020825;60020825</t>
  </si>
  <si>
    <t>6701556104;7006723977;7201666265</t>
  </si>
  <si>
    <t>Poddar, D. R.;Chatterjee, J. S.;Chowdhury, S. K.</t>
  </si>
  <si>
    <t>Kolkata</t>
  </si>
  <si>
    <t>Jadavpur University</t>
  </si>
  <si>
    <t>Poddar D.</t>
  </si>
  <si>
    <t>On Some Broad-Band Microstrip Resonators</t>
  </si>
  <si>
    <t>10.1109/TAP.1983.1142999</t>
  </si>
  <si>
    <t>2-s2.0-0020547478</t>
  </si>
  <si>
    <t>['theoretically calculated', 'patch surface', 'electronics engineers']</t>
  </si>
  <si>
    <t>Resonant frequencies fr of a cylindrical-rectangular microstrip antenna are theoretically calculated. Comparison is made to fr for a planar rectangular patch antenna, including the simplest planar patch modes having no field variation normal to the patch surface. The validity of using planar antenna patches to characterize microstrip antennas is examined. Copyright ¬© 1983 by The Institute of Electrical and Electronics Engineers, Inc.</t>
  </si>
  <si>
    <t>194-199</t>
  </si>
  <si>
    <t>Krowne, Clifford M.</t>
  </si>
  <si>
    <t>Washington, D.C.</t>
  </si>
  <si>
    <t>Naval Research Laboratory</t>
  </si>
  <si>
    <t>Krowne C.</t>
  </si>
  <si>
    <t>Cylindrical-Rectangular Microstrip Antenna</t>
  </si>
  <si>
    <t>10.1109/TAP.1983.1143000</t>
  </si>
  <si>
    <t>2-s2.0-0020547569</t>
  </si>
  <si>
    <t>['theoretical results', 'predicting accurately', 'electronics engineers']</t>
  </si>
  <si>
    <t>An analytical method based on the uniform geometrical theory of diffraction (UGTD) for predicting accurately the collimation phase error in a planar phased array fed with a corrugated conical horn is presented. The theoretical results are compared with those based on the path length difference procedure for different FID ratios and for different flare angles of the horn. Copyright ¬© 1983 by The Institute of Electrical and Electronics Engineers, Inc.</t>
  </si>
  <si>
    <t>154-156</t>
  </si>
  <si>
    <t>Rao, K. Sudhakar</t>
  </si>
  <si>
    <t>Rao K.</t>
  </si>
  <si>
    <t>On the Collimation Phase Error Computation of a Space-Fed Planar Phased Array</t>
  </si>
  <si>
    <t>10.1109/TAP.1983.1142991</t>
  </si>
  <si>
    <t>2-s2.0-0020547570</t>
  </si>
  <si>
    <t>['reflecting element', 'new class', 'known example', 'electronics engineers', 'circular polarization']</t>
  </si>
  <si>
    <t>The effectiveness and bandwidth of a new class of diode-switched integrated antenna phase shifter are examined. A well-known example of this type of antenna is the ‚Äúspiraphase.‚Äù The operation of this type of antenna is found to be for circular polarization only. When used as a reflecting element, the effectiveness of the antenna is not broad-band. A much wider bandwidth is expected by using this antenna as a direct radiating device. Copyright ¬© 1983 by The Institute of Electrical and Electronics Engineers, Inc.</t>
  </si>
  <si>
    <t>156-159</t>
  </si>
  <si>
    <t>Wang, Johnson J.H.</t>
  </si>
  <si>
    <t>Atlanta</t>
  </si>
  <si>
    <t>Georgia Institute of Technology</t>
  </si>
  <si>
    <t>Wang J.</t>
  </si>
  <si>
    <t>Characteristics of a New Class of Diode-Switched Integrated Antenna Phase Shifter</t>
  </si>
  <si>
    <t>10.1109/TAP.1983.1143014</t>
  </si>
  <si>
    <t>2-s2.0-0020549893</t>
  </si>
  <si>
    <t>['¬© 1983', 'small microcomputer', 'rights reserved', 'radio engineers', 'principal sources', 'physical spacing', 'new analysis', 'measuring detector', 'improving wide', 'finite number', 'errors due', 'error limiting', 'elements within', 'directional elements', 'direct phase', 'convenient form', 'circular arrays', 'circular array', 'bearing measurements', 'bandwidth operation', 'automatic compensation']</t>
  </si>
  <si>
    <t>Adcock | Direction finding systems</t>
  </si>
  <si>
    <t>A new analysis of the Adcock direction finder is presented in terms of phase-mode excitations associated with circular arrays. This leads to a convenient form of processing for such a d.f. system based upon a circular array/Butler matrix configuration which employs a direct phase-measuring detector for bearing measurements. The principal sources of error limiting the physical spacing of elements within the array are highlighted and methods of improving wide-bandwidth operation are presented which entail the use of directional elements. A signal processing system based around a small microcomputer is discussed for the automatic compensation of errors due to the finite number of elements. ¬© 1983, The Institution of Electronic and Radio Engineers. All rights reserved.</t>
  </si>
  <si>
    <t>33-38</t>
  </si>
  <si>
    <t>Radio and Electronic Engineer</t>
  </si>
  <si>
    <t>60022148;60022148</t>
  </si>
  <si>
    <t>56231868400;55699254400</t>
  </si>
  <si>
    <t>Guy, J. R.F.;Davies, D. E.N.</t>
  </si>
  <si>
    <t>London</t>
  </si>
  <si>
    <t>University College London</t>
  </si>
  <si>
    <t>Guy J.</t>
  </si>
  <si>
    <t>Studies of the Adcock direction finder in terms of phase-mode excitations around circular arrays</t>
  </si>
  <si>
    <t>10.1049/ree.1983.0008</t>
  </si>
  <si>
    <t>2-s2.0-0020549934</t>
  </si>
  <si>
    <t>National Institute of Neurological Disorders and Stroke</t>
  </si>
  <si>
    <t>R01NS013559</t>
  </si>
  <si>
    <t>NINDS</t>
  </si>
  <si>
    <t>['optic nerve', 'nonneural tissue', 'high concentrations', 'fatty acids', 'carbon sphinganines']</t>
  </si>
  <si>
    <t>High concentrations of glucocerebroside (glucosylceramide) were found in the ventral nerve cord, brain, optic nerve, and antenna, but not in the nonneural tissue, of the brown shrimp Penaeus aztecus aztecus. This lipid contained unusual sphingoid bases consisting of 14-, 15-, and 16-carbon sphinganines and sphingenines. The fatty acids were mainly nonhydroxylated homologs 22 carbons long and longer, similar to those found in galactocerebroside but differing from those in glucocerebroside in mammalian nervous systems.</t>
  </si>
  <si>
    <t>1392-1393</t>
  </si>
  <si>
    <t>60001117;60001117;60001117;60001117</t>
  </si>
  <si>
    <t>7202307324;6505660599;36965196000;7201867777</t>
  </si>
  <si>
    <t>Shimomura, Koichiro;Hanjura, Sunita;Ki, Ping F.;Kishimoto, Yasuo</t>
  </si>
  <si>
    <t>Baltimore</t>
  </si>
  <si>
    <t>Johns Hopkins School of Medicine</t>
  </si>
  <si>
    <t>Shimomura K.</t>
  </si>
  <si>
    <t>An unusual glucocerebroside in the crustacean nervous system</t>
  </si>
  <si>
    <t>10.1126/science.6857257</t>
  </si>
  <si>
    <t>2-s2.0-0020575383</t>
  </si>
  <si>
    <t>['¬© 1983', 'thus anticipated', 'sensory systems', 'sensory system', 'motile elements', 'model system', 'light antenna']</t>
  </si>
  <si>
    <t>We postulate that algal photoresponse mechanisms are of relatively recent origin and represent numerous parallel evolutions. Functional differences among them are evident, and it is unlikely that any one can be taken as a "model system" representing all. It is probable that the light antenna is the only truly novel part of the apparatus in most cases, with the signal-processing and motile elements being borrowed from some other, more ancient, sensory system. It is thus anticipated that the light-antennae will show the greatest phylogenetic variation, whereas the signal-processors and motile elements will resemble those of other sensory systems in the same groups of organisms. ¬© 1983.</t>
  </si>
  <si>
    <t>31-38</t>
  </si>
  <si>
    <t>BioSystems</t>
  </si>
  <si>
    <t>60015574;60015574</t>
  </si>
  <si>
    <t>6507302061;6603078838</t>
  </si>
  <si>
    <t>Kivic, Peter A.;Walne, Patricia L.</t>
  </si>
  <si>
    <t>Knoxville</t>
  </si>
  <si>
    <t>The University of Tennessee, Knoxville</t>
  </si>
  <si>
    <t>Kivic P.</t>
  </si>
  <si>
    <t>Algal photosensory apparatus probably represent multiple parallel evolutions</t>
  </si>
  <si>
    <t>10.1016/0303-2647(83)90023-0</t>
  </si>
  <si>
    <t>2-s2.0-0020583497</t>
  </si>
  <si>
    <t>['results seem', 'modular approach', 'medium gain', 'given antenna', 'electronics engineers', 'building block', 'band antennas']</t>
  </si>
  <si>
    <t>A method for the design of medium gain (15‚Äì25 dB) microstrip array antennas is described. A modular approach is utilized in which a given antenna is used as a building block for higher gain antennas. A series of X-band antennas were built in this way, and the results seem to validate the usefulness of the method. Copyright ¬© 1983 by The Institute of Electrical and Electronics Engineers, Inc.</t>
  </si>
  <si>
    <t>190-193</t>
  </si>
  <si>
    <t>60017563;60017563;60017563</t>
  </si>
  <si>
    <t>57225229400;7003500098;7004481850</t>
  </si>
  <si>
    <t>Ashkenazy, J.;Perlmutter, P.;Treves, David</t>
  </si>
  <si>
    <t>Israel</t>
  </si>
  <si>
    <t>Rehovot</t>
  </si>
  <si>
    <t>Weizmann Institute of Science Israel</t>
  </si>
  <si>
    <t>Ashkenazy J.</t>
  </si>
  <si>
    <t>A Modular Approach for the Design of Microstrip Array Antennas</t>
  </si>
  <si>
    <t>10.1109/TAP.1983.1142998</t>
  </si>
  <si>
    <t>2-s2.0-0020587540</t>
  </si>
  <si>
    <t>['sidelobe nulling', 'involves perturbing', 'imposed nulls', 'illustrative examples', 'electronics engineers', 'chebyshev patterns', 'analytic solution']</t>
  </si>
  <si>
    <t>A method of sidelobe nulling, which involves perturbing the array illumination phase only, is presented. The general nonlinear problem is linearized by assuming the perturbations to be small, and an analytic solution is derived. Illustrative examples of sine and Chebyshev patterns with imposed nulls are given. Copyright ¬© 1983 by The Institute of Electrical and Electronics Engineers, Inc.</t>
  </si>
  <si>
    <t>163-166</t>
  </si>
  <si>
    <t>Simple Method for Pattern Nulling by Phase Perturbation</t>
  </si>
  <si>
    <t>10.1109/TAP.1983.1142994</t>
  </si>
  <si>
    <t>2-s2.0-0020587542</t>
  </si>
  <si>
    <t>['physical interpretations', 'occurs due', 'insights possible', 'infinite arrays', 'impedances across', 'free space', 'fields radiated', 'established procedure', 'electronics engineers', 'edge effects', 'dipole array', 'dielectric slab', 'arbitrarily large', 'also shown', 'admittance properties']</t>
  </si>
  <si>
    <t>A method is presented for approximating the impedance or admittance properties of arbitrarily large but finite dielectric covered phased arrays which use a plane wave expansion of the fields radiated by the elements. The method is general in its application to dipole, slot, or waveguide geometries even though results from dipoles near resonance are used in this paper. Results calculated using the method are compared to a well-established procedure for an array in free space. Further results for a dipole array in a dielectric slab are presented, and a problem which occurs due to a surface wave phenomenon is dealt with in an approximate manner using the insights possible from the physical interpretations of the method. The method is also shown to be valuable in its predictions of edge effects and behavior of impedances across the extent of large finite arrays which methods that work with infinite arrays or small finite arrays cannot accomplish. Copyright ¬© 1983 by The Institute of Electrical and Electronics Engineers, Inc.</t>
  </si>
  <si>
    <t>54-59</t>
  </si>
  <si>
    <t>60003500;60003500</t>
  </si>
  <si>
    <t>6602997105;35550481500</t>
  </si>
  <si>
    <t>Shubert, Keith A.;Munk, Benedikt A.</t>
  </si>
  <si>
    <t>Columbus</t>
  </si>
  <si>
    <t>The Ohio State University</t>
  </si>
  <si>
    <t>Shubert K.</t>
  </si>
  <si>
    <t>Matching Properties of Arbitrarily Large Dielectric Covered Phased Arrays</t>
  </si>
  <si>
    <t>10.1109/TAP.1983.1143015</t>
  </si>
  <si>
    <t>2-s2.0-0020587543</t>
  </si>
  <si>
    <t>['small vessels', 'simple method', 'sea surface', 'reflected waves', 'received signals', 'near future', 'large vessels', 'greatly influenced', 'established mainly', 'electronics engineers', 'broad beamwidth', 'antenna equipment']</t>
  </si>
  <si>
    <t>A maritime satellite communication system has been established mainly for large vessels. In the near future it will be expected to service not only large vessels but also small ones. Studies on reducing the fading of the received signals have become very important because a compact antenna designed to be mounted on small vessels has a broad beamwidth which can be greatly influenced by reflected waves from the sea surface. A simple method and antenna equipment which can reduce the fading are proposed and, further, the effects by experiments' are confirmed. Copyright ¬© 1983 by The Institute of Electrical and Electronics Engineers, Inc.</t>
  </si>
  <si>
    <t>184-187</t>
  </si>
  <si>
    <t>60092258;60092258</t>
  </si>
  <si>
    <t>35560533200;7402112984</t>
  </si>
  <si>
    <t>Ohmori, Shingo;Miura, Shuichi</t>
  </si>
  <si>
    <t>Koganei</t>
  </si>
  <si>
    <t>Ministry of Posts and Telecommunications, Japan</t>
  </si>
  <si>
    <t>Ohmori S.</t>
  </si>
  <si>
    <t>A Fading Reduction Method for Maritime Satellite Communications</t>
  </si>
  <si>
    <t>10.1109/TAP.1983.1142996</t>
  </si>
  <si>
    <t>2-s2.0-0020587811</t>
  </si>
  <si>
    <t>['various methods', 'statement may', 'solutions generated', 'solutions forms', 'numerical aspects', 'inverse operator', 'integral equation', 'excitations chosen', 'excitation function', 'copyright 1983', 'asymptotic series']</t>
  </si>
  <si>
    <t>In this paper we analyze the numerical aspects of the various methods that have been utilized to analyze thin wire antennas. First, we derive the properties of the operators for Pocklington's and Hallen's integral equation. On the basis of these properties, we discuss the various iterative methods used to find current distribution on thin wire structures. An attempt has been made to resolve the question of numerical stability associated with various entire domain and subdomain expansion functions in Galerkin's method. It has been shown that the sequence of solutions generated by the iterative methods monotonically approaches the exact solution provided the excitations chosen for these problems are in the range of the operator. Such a statement may not hold for Galerkin's methods if the inverse operator is unbounded. Moreover, if the excitation function is not in the range of the operator, then the sequence of solutions forms an asymptotic series. Examples have been presented to illustrate this point. Copyright 1983 by the American Geophysical Union.</t>
  </si>
  <si>
    <t>29-38</t>
  </si>
  <si>
    <t>January-February 1983</t>
  </si>
  <si>
    <t>Sarkar, Tapan K.</t>
  </si>
  <si>
    <t>Sarkar T.</t>
  </si>
  <si>
    <t>A study of the various methods for computing electromagnetic field utilizing thin wire integral equations</t>
  </si>
  <si>
    <t>10.1029/RS018i001p00029</t>
  </si>
  <si>
    <t>2-s2.0-0020588124</t>
  </si>
  <si>
    <t>['¬© 1983', 'transverse polarization', 'transverse plane', 'theoretical data', 'sidelobe level', 'paper measurements', 'net improvement', 'longitudinal polarization', 'longitudinal plane', '4 db', '13 db']</t>
  </si>
  <si>
    <t>In this paper measurements are presented for both a hybrid‚Äêmode feed having corrugations in two opposite walls and a modified scale‚Äêmodel pyramidal horn‚Äêreflector antenna using this feed. Comparisons of the measured and theoretical data for the hybrid‚Äêmode shielded offset parabolic antenna with the theoretical data for the standard pyramidal horn‚Äêreflector antenna show that a net improvement can be obtained in sidelobe level of about 4 dB in the transverse polarization in the transverse plane and 4 to 13 dB in the longitudinal polarization in the longitudinal plane. ¬© 1983 The Bell System Technical Journal</t>
  </si>
  <si>
    <t>111-120</t>
  </si>
  <si>
    <t>Bell System Technical Journal</t>
  </si>
  <si>
    <t>Semplak, R. A.</t>
  </si>
  <si>
    <t>Semplak R.</t>
  </si>
  <si>
    <t>Hybrid‚ÄêMode, Shielded, Offset Parabolic Antenna</t>
  </si>
  <si>
    <t>10.1002/j.1538-7305.1983.tb04382.x</t>
  </si>
  <si>
    <t>2-s2.0-0020588534</t>
  </si>
  <si>
    <t>['signal scattered', 'holds even', 'finite œé', 'finite conductivity', 'electronics engineers', 'cylindrical surface', 'analysis shows']</t>
  </si>
  <si>
    <t>The effect of motion on the signal scattered by a rotating circular cylinder with finite conductivity is investigated. The problem is solved by means of the ‚Äúinstantaneous rest-frame‚Äù hypothesis. The analysis shows that a surface current must be taken into account to calculate the jump in the tangential magnetic field at the cylindrical surface. This holds even in the case of finite conductivity. For a perfectly conducting cylinder, the influence of the motion on the fields is negligible. This is shown by considering the limit of high but finite œÉ. Copyright ¬© 1983 by The Institute of Electrical and Electronics Engineers, Inc.</t>
  </si>
  <si>
    <t>166-169</t>
  </si>
  <si>
    <t>De Zutter, Daniel</t>
  </si>
  <si>
    <t>De Zutter D.</t>
  </si>
  <si>
    <t>Scattering by a Rotating Circular Cylinder with Finite Conductivity</t>
  </si>
  <si>
    <t>10.1109/TAP.1983.1142995</t>
  </si>
  <si>
    <t>2-s2.0-0020588611</t>
  </si>
  <si>
    <t>['transmission line', 'synthetic ropes', 'stainless steel', 'physical properties', 'paper discusses', 'materials considered', 'corrosion characteristics', 'conducting wires']</t>
  </si>
  <si>
    <t>This paper discusses the performance of various materials used in the construction of conducting wires (telephone, antenna, transmission line) and structural (and messenger) materials when subjected to a severe marine atmosphere. The physical properties and corrosion characteristics of these materials are compared. The materials considered are: copper and its alloys, aluminum, copper and zinc covered steel strands, aluminum, stainless steel, epoxy-bonded glass fiber, and synthetic ropes.</t>
  </si>
  <si>
    <t>17-18</t>
  </si>
  <si>
    <t>0141061X</t>
  </si>
  <si>
    <t>Electronic technology London</t>
  </si>
  <si>
    <t>McQuarrie, P.</t>
  </si>
  <si>
    <t>McQuarrie P.</t>
  </si>
  <si>
    <t>TELECOMMUNICATIONS WIRES IN A MARINE ATMOSPHERE.</t>
  </si>
  <si>
    <t>2-s2.0-0020588642</t>
  </si>
  <si>
    <t>['theory replaces', 'resonant frequencies', 'rays making', 'radiation q', 'geometrical theory', 'first time', 'field underneath', 'extensive comparison', 'electronics engineers', 'cumbersome expressions', 'based upon']</t>
  </si>
  <si>
    <t>A geometrical theory of the resonant frequencies and radiation Q-factors of 45¬∞‚Äì45¬∞‚Äì90¬∞, 60¬∞‚Äì60¬∞‚Äì60¬∞, and 30¬∞‚Äì60¬∞‚Äì90¬∞ triangular microstrip patch antennas is developed, based upon the rereflection of rays making up the field underneath the patch. Extremely simple formulas for Qr are obtained, which enables an extensive comparison of relative radiation Q for various patch shapes to be made. This theory replaces other much more cumbersome expressions from the literature, or gives new formulas for some cases for the first time. Copyright ¬© 1983 by The Institute of Electrical and Electronics Engineers, Inc.</t>
  </si>
  <si>
    <t>27-34</t>
  </si>
  <si>
    <t>60000221;60000221</t>
  </si>
  <si>
    <t>35588296300;7403319959</t>
  </si>
  <si>
    <t>Kuester, Edward F.;Chang, David C.</t>
  </si>
  <si>
    <t>Boulder</t>
  </si>
  <si>
    <t>University of Colorado Boulder</t>
  </si>
  <si>
    <t>Kuester E.</t>
  </si>
  <si>
    <t>A Geometrical Theory for the Resonant Frequencies and Q-Factors of Some Triangular Microstrip Patch Antennas</t>
  </si>
  <si>
    <t>10.1109/TAP.1983.1143010</t>
  </si>
  <si>
    <t>2-s2.0-0020588798</t>
  </si>
  <si>
    <t>['source strengths', 'paper 2', 'numerical characteristics', 'method constrained', 'directive sources']</t>
  </si>
  <si>
    <t>Prony's method, a procedure for estimating the parameters of a sum of exponentials, is applied here to linear array pattern synthesis. Unlike most approaches to this problem, Prony's method provides source locations as well as source strengths, so that the synthesized distributions generally involve nonuniformly spaced sources. In this paper, the procedure is developed, its numerical characteristics are discussed, and its application is illustrated for several different radiation patterns. Because the unconstrained procedure discussed here can lead to a requirement for directive sources, paper 2 will treat a version of Prony's method constrained to produce isotropic sources. This paper is not subject to U.S. copyright. Published in 1983 by the American Geophysical Union.</t>
  </si>
  <si>
    <t>57-69</t>
  </si>
  <si>
    <t>7404492537;7401858823</t>
  </si>
  <si>
    <t>Miller, Edmund K.;Goodman, Dennis M.</t>
  </si>
  <si>
    <t>Miller E.</t>
  </si>
  <si>
    <t>A pole‚Äêzero modeling approach to linear array synthesis: 1. The unconstrained solution</t>
  </si>
  <si>
    <t>10.1029/RS018i001p00057</t>
  </si>
  <si>
    <t>2-s2.0-0020589536</t>
  </si>
  <si>
    <t>['unimportant unless', 'spherical wave', 'result reduces', 'kirchhoff approximation', 'interpret measurements', 'important factor', 'expression representing', 'electronics engineers', 'coherent scattering', 'based measurements', 'asphalt surfaces', 'antenna pattern', 'also derived']</t>
  </si>
  <si>
    <t>The scattering of a spherical wave from a rough surface using the Kirchhoff approximation is considered. An expression representing the measured coherent scattering coefficient is derived. It is shown that the sphericity of the wavefront and the antenna pattern can become an important factor in the interpretation of ground-based measurements. The condition under which the coherent scattering-coefficient expression reduces to that corresponding to a plane wave incidence is given. The condition under which the result reduces to the standard image solution is also derived. In general, the consideration of antenna pattern and sphericity is unimportant unless the surface-height standard deviation is small, i.e., unless the coherent scattering component is significant. An application of the derived coherent backscattering coefficient together with the existing incoherent scattering coefficient to interpret measurements from concrete and asphalt surfaces is shown. Copyright ¬© 1983 by The Institute of Electrical and Electronics Engineers, Inc.</t>
  </si>
  <si>
    <t>68-72</t>
  </si>
  <si>
    <t>60032121;60032121</t>
  </si>
  <si>
    <t>7101926785;55112893800</t>
  </si>
  <si>
    <t>Fung, Adrian K.;Eom, Hyo J.</t>
  </si>
  <si>
    <t>Fung A.</t>
  </si>
  <si>
    <t>Coherent Scattering of a Spherical Wave from an Irregular Surface</t>
  </si>
  <si>
    <t>10.1109/TAP.1983.1142979</t>
  </si>
  <si>
    <t>2-s2.0-0020590051</t>
  </si>
  <si>
    <t>['surface impedances', 'sidelobes caused', 'radiation pattern', 'polar components', 'physical optics', 'peripherical rims', 'geometrical theory', 'complete analysis', 'also referred']</t>
  </si>
  <si>
    <t>A complete analysis of radiation pattern of centered symmetric Cassegrainian antennas is carried out. The peripherical rims of both the reflector and subreflector are assumed to be loaded by material media described in terms of surface impedances. The Geometrical Theory of Diffraction (GTD), properly generalized to handle surface impedance boundary conditions, is used to compute the far-out sidelobes caused by various diffraction processes, while the Physical Optics (PO) approach is used in the main beam region. Some examples are also referred to; the patterns of co-polar and cross-polar components are exploited.</t>
  </si>
  <si>
    <t>34-41</t>
  </si>
  <si>
    <t>57201738411;7004082336</t>
  </si>
  <si>
    <t>Di Massa, Giuseppe;Savarese, Catello</t>
  </si>
  <si>
    <t>Di Massa G.</t>
  </si>
  <si>
    <t>ANALYSIS OF RIM LOADED CASSEGRAIN ANTENNAS.</t>
  </si>
  <si>
    <t>2-s2.0-0020591519</t>
  </si>
  <si>
    <t>['wave frequencies', 'use high', 'spotbeam coverage', 'radio windows', 'radio waves', 'quite feasible', 'potential interference', 'natural shield', 'intersatellite link', 'intersatellite communications', 'important role', 'gain antennas', 'case provides', 'based systems', 'attractive feature', 'absorption peaks']</t>
  </si>
  <si>
    <t>The atmospheric transfer characteristics for radio waves in the 50-70 GHz band are investigated, paying particular attention to the 'radio windows' in the oxygen absorption bands. It is shown that for practical applications phase distortions do not play an important role in limiting signal quality. Attenuation is the overriding limiting factor. Use of the windows in the oxygen absorption band for communications between aircraft and satellites will require advanced antenna technology, including relatively high-gain aircraft antennas and multiple-spotbeam coverage by the satellite. Application of the frequencies of the absorption peaks for intersatellite communications is quite feasible. The atmosphere in this case provides a natural shield, isolating the intersatellite link from any potential interference with ground-based systems. The ability to use high-gain antennas is an attractive feature of the choice of millimeter-wave frequencies for this purpose.</t>
  </si>
  <si>
    <t>25-43</t>
  </si>
  <si>
    <t>ESA Journal (European Space Agency)</t>
  </si>
  <si>
    <t>7003699934;6602715020;6508168200</t>
  </si>
  <si>
    <t>Damosso, E.;Stola, L.;Brussard, G.</t>
  </si>
  <si>
    <t>Damosso E.</t>
  </si>
  <si>
    <t>CHARACTERISATION OF THE 50-70 GHz BAND FOR SPACE COMMUNICATIONS.</t>
  </si>
  <si>
    <t>2-s2.0-0020591563</t>
  </si>
  <si>
    <t>['theoretical results', 'theoretical analysis', 'return loss', 'lower range', 'improved bandwidth', 'impedance characteristics', 'electronics engineers']</t>
  </si>
  <si>
    <t>A theoretical analysis of circular microstrip antenna on a ferrimagnetic substrate predicts significantly reduced resonant radii and improved bandwidth as compared to those of similar antennas built on purely dielectric substrates, when operated in the lower range of UHF. The impedance characteristics, return loss, and radiation pattern studied experimentally for antennas built upon a typical ferrite substrate are found to be in good agreement qualitatively with the theoretical results. Copyright ¬© 1983 by The Institute of Electrical and Electronics Engineers, Inc.</t>
  </si>
  <si>
    <t>188-190</t>
  </si>
  <si>
    <t>8356522700;56366712800;7006723977</t>
  </si>
  <si>
    <t>Das, N.;Chowdhury, S. K.;Chatterjee, J. S.</t>
  </si>
  <si>
    <t>Das N.</t>
  </si>
  <si>
    <t>Circular Microstrip Antenna on Ferrimagnetic Substrate</t>
  </si>
  <si>
    <t>10.1109/TAP.1983.1142997</t>
  </si>
  <si>
    <t>2-s2.0-0020593162</t>
  </si>
  <si>
    <t>['œ £', 'zero outside', 'sided polygon', 'shape function', 'secondary pattern', 'reflector antenna', 'noncircular aperture', 'frequency transmission', 'electronics engineers']</t>
  </si>
  <si>
    <t>The shape function S(X, y) of a planar aperture Œ£ is defined as having value one inside Œ£ and zero outside. The two-dimensional Fourier transform of s(x, y) when Œ£ is an N-sided polygon is considered, and a closed-form exact solution is presented. Applications of these results are described for 1) the calculation of the secondary pattern of a reflector antenna with a noncircular aperture, and 2) high-frequency transmission through a periodic frequency selective surface. Copyright ¬© 1983 by The Institute of Electrical and Electronics Engineers, Inc.</t>
  </si>
  <si>
    <t>99-103</t>
  </si>
  <si>
    <t>60000745;60000745</t>
  </si>
  <si>
    <t>7601396617;55197051100</t>
  </si>
  <si>
    <t>Lee, Shung Wu;Mittra, Raj</t>
  </si>
  <si>
    <t>Urbana</t>
  </si>
  <si>
    <t>University of Illinois Urbana-Champaign</t>
  </si>
  <si>
    <t>Lee S.</t>
  </si>
  <si>
    <t>Fourier Transform of a Polygonal Shape Function and its Application in Electromagnetics</t>
  </si>
  <si>
    <t>10.1109/TAP.1983.1142981</t>
  </si>
  <si>
    <t>2-s2.0-0020593164</t>
  </si>
  <si>
    <t>['numerical schemes', 'good agreement', 'extremely accurate', 'exact solution', 'electronics engineers', 'also compared']</t>
  </si>
  <si>
    <t>A simple analytical formula derived from Wu's exact solution for the transient response ofa n infiiite cylindrical antenna is found to be extremely accurate. Existing resultfsr om other numerical schemes are also compared to Wu's solution and found to be in good agreement. Copyright ¬© 1983 by The Institute of Electrical and Electronics Engineers, Inc.</t>
  </si>
  <si>
    <t>170-172</t>
  </si>
  <si>
    <t>Chen, Kenneth C.</t>
  </si>
  <si>
    <t>Albuquerque</t>
  </si>
  <si>
    <t>Sandia National Laboratories, New Mexico</t>
  </si>
  <si>
    <t>Chen K.</t>
  </si>
  <si>
    <t>Transient Response of an Infinite Cylindrical Antenna</t>
  </si>
  <si>
    <t>10.1109/TAP.1983.1142989</t>
  </si>
  <si>
    <t>2-s2.0-0020593175</t>
  </si>
  <si>
    <t>['‚ äúsuper', 'temporal frequency', 'synthetic motion', 'spatial frequency', 'spatial frequencies', 'small arrays', 'single receiver', 'significant improvement', 'receiving array', 'practical scheme', 'oscillatory motion', 'one wavelength', 'next presented', 'method described', 'less ).', 'initially developed', 'individual elements', 'fourier transform', 'electronics engineers', 'created synthetically', 'besides providing']</t>
  </si>
  <si>
    <t>The objective of the method described is to compute the Fourier transform of a function of space and time with a significant improvement in the resolution of spatial frequencies, particularly in the case of small arrays for which the size of the array is on the order of one wavelength (or less). This improvement is initially developed by considering the conversion of spatial frequency into temporal frequency through the oscillatory motion of a single receiver. A more practical scheme is next presented in which the oscillatory motion is created synthetically by the appropriate sequential sampling of individual elements in a receiving array. Both forms of this method (real and synthetic motion) besides providing some degree of ‚Äúsuper-resolution‚Äù are linear and indicative of amplitude as well as phase. Copyright ¬© 1983 by The Institute of Electrical and Electronics Engineers, Inc.</t>
  </si>
  <si>
    <t>83-93</t>
  </si>
  <si>
    <t>Dubroff, Richard E.</t>
  </si>
  <si>
    <t>Houston</t>
  </si>
  <si>
    <t>ConocoPhillips Company</t>
  </si>
  <si>
    <t>Dubroff R.</t>
  </si>
  <si>
    <t>Improved Wavenumber Resolution for Small Arrays</t>
  </si>
  <si>
    <t>10.1109/TGRS.1983.350533</t>
  </si>
  <si>
    <t>2-s2.0-0020596091</t>
  </si>
  <si>
    <t>['yr respectively', 'thermal noise', 'terrestrial transmitters', 'television receive', 'short pulse', 'reporting point', 'relay tranamission', 'problem unless', 'precise siting', 'possible source', 'occur due', 'major airport', 'locations near', 'interference times', 'interference consists', 'general aviation', 'frequency band', 'earth station', 'burst levels', '90 ms', '13 min', '05 min']</t>
  </si>
  <si>
    <t>Scattering by aircraft of radiation from terrestrial transmitters is a possible source of interference to a satellite earth station (ES) sharing the same frequency band. The interference consists of a short pulse of noise. For an earth station antenna diameter of 13 m the pulse duration varies from 60-90 ms. A study to assess the likelihood of interference to a television receive-only ES at a typical commerical site in the Northern Sydney surburbs showed that burst levels of interference much greater than the thermal noise will occur due to several 4 GHz Telecom radio-relay tranamission. The interference outage time will depend on the precise siting of the earth station. Calculations for locations near a minor commerical aircraft route, and near a reporting point for general aviation, result in interference times of 0. 13 min/yr and 0. 05 min/yr respectively. Interference to ES via aircraft scatter should not, therefore, be a problem unless the earth station antenna main beam intersects a final approach path of a major airport.</t>
  </si>
  <si>
    <t>25-31</t>
  </si>
  <si>
    <t>ATR, Australian Telecommunication Research</t>
  </si>
  <si>
    <t>Murphy, J. V.</t>
  </si>
  <si>
    <t>Murphy J.</t>
  </si>
  <si>
    <t>INTERFERENCE TO SATELLITE EARTH STATIONS DUE TO SCATTER OF TERRESTRIAL TRANSMISSIONS BY AIRCRAFT.</t>
  </si>
  <si>
    <t>2-s2.0-0020598748</t>
  </si>
  <si>
    <t>National Research Council Canada</t>
  </si>
  <si>
    <t>A-2181</t>
  </si>
  <si>
    <t>NRC</t>
  </si>
  <si>
    <t>['¬© 1983', 'two degrees', 'torsion indicates', 'studied using', 'structural designs', 'shedding frequency', 'severe even', 'secondary members', 'prove useful', 'phase substantiated', 'often used', 'cylinder motion', 'combined plunging', 'body interactions', 'antenna masts', 'angle sections', 'angle section']</t>
  </si>
  <si>
    <t>Wake-body interactions for a two-dimensional structural angle member during stationary and vortex induced oscillatory conditions are studied using a conventional low turbulence wind tunnel. The response of an angle section with combined plunging and torsion indicates that the oscillations occur essentially in one of the two degrees of freedom. The measurements of frequency and phase substantiated this observation. The plunging resonance exhibits the familiar vortex capture phenomenon where the shedding frequency is controlled by the cylinder motion over a finite wind speed range. On the other hand, the torsional vibration shows a vortex control phenomenon where the vortex shedding governs the frequency of oscillation. The vortex induced torsional resonance was found to be severe even at moderate damping levels. The results should prove useful in structural designs such as high voltage transmission towers, antenna masts, bridges, etc. where angle sections are often used as secondary members. ¬© 1983.</t>
  </si>
  <si>
    <t>321-334</t>
  </si>
  <si>
    <t>Journal of Wind Engineering and Industrial Aerodynamics</t>
  </si>
  <si>
    <t>60010365;60010365</t>
  </si>
  <si>
    <t>7102008072;7201842801</t>
  </si>
  <si>
    <t>Modi, V. J.;Slater, J. E.</t>
  </si>
  <si>
    <t>Canada</t>
  </si>
  <si>
    <t>Vancouver</t>
  </si>
  <si>
    <t>The University of British Columbia</t>
  </si>
  <si>
    <t>Modi V.</t>
  </si>
  <si>
    <t>Unsteady aerodynamics and vortex induced aeroelastic instability of a structural angle section</t>
  </si>
  <si>
    <t>0167-6105(83)90110-1</t>
  </si>
  <si>
    <t>10.1016/0167-6105(83)90110-1</t>
  </si>
  <si>
    <t>2-s2.0-0020599597</t>
  </si>
  <si>
    <t>['surface extract', 'rigid invagination', 'producing gland', 'pheromone glands', 'olfactory sensilla', 'male l', 'lasioderma serricorne', 'hexane extracts', 'genital pore', 'found attractive', 'fabricius ).']</t>
  </si>
  <si>
    <t>A pheromone-producing gland was discovered in the second abdominal segment of virgin female tobacco beetles, Lasioderma serricorne (Fabricius). The gland duct extends to an orifice below the genital pore and is supported by a rigid invagination of the integument. Hexane extracts of intact pheromone glands were found attractive to male tobacco beetles and also induced high receptor potentials in the olfactory sensilla of the antennae of male L. serricorne. A surface extract of virgin females proved to be significantly more attractive than an extract of pheromone glands. ¬© 1983 Birkh√§user Verlag.</t>
  </si>
  <si>
    <t>1095-1097</t>
  </si>
  <si>
    <t>Experientia</t>
  </si>
  <si>
    <t>60005460;60005460;60005460;60005460</t>
  </si>
  <si>
    <t>7102170884;16212286200;7007090019;7203052412</t>
  </si>
  <si>
    <t>Levinson, H. Z.;Levinson, A. R.;Kahn, G. E.;Sch√§fer, K.</t>
  </si>
  <si>
    <t>Pocking</t>
  </si>
  <si>
    <t>Max Planck Institute for Ornithology</t>
  </si>
  <si>
    <t>Occurrence of a pheromone-producing gland in female tobacco beetles</t>
  </si>
  <si>
    <t>10.1007/BF01943126</t>
  </si>
  <si>
    <t>2-s2.0-0020610991</t>
  </si>
  <si>
    <t>['using high', 'twenty mutants', 'twelve isolates', 'tetracycline suicide', 'showed reduced', 'rxcb locus', 'rxca locus', 'reaction center', 'rapid microprocedure', 'prpseb2 bears', 'prime plasmid', 'photosynthetic apparatus', 'normal synthesis', 'mutants defective', 'kilobase r', 'kilobase insert', 'kilobase fragment', 'infrared light', 'homologous organism', 'harvesting antennae', 'genes necessary', 'functional light', 'enhanced fluorescence', 'conditions nonpermissive', 'chromatophore membranes', 'also defective', 'actively transcribed', 'absent light', '20 mutants']</t>
  </si>
  <si>
    <t>After enrichment by a tetracycline suicide under conditions nonpermissive for the growth of mutants defective in photosynthesis, colonies were screened for enhanced fluorescence in near-infrared light by using high-speed infrared photography. Twenty mutants were isolated, and the chromatophore membranes were analyzed by a new, rapid microprocedure that revealed many different phenotypes among the mutants. The enhanced fluorescence mutants typically possessed a functional light-harvesting II antenna, but showed reduced or absent light-harvesting I. Twelve isolates were also defective in reaction center polypeptides. An R-prime plasmid that bears 50 kilobases of Rhodopseudomonas capsulata DNA coding for components of the photosynthetic apparatus, pRPS404, complemented all 20 enhanced fluorescence mutants as demonstrated by the quenching of fluorescence in mutants that had received the R-prime plasmid by conjugation. Fluorescence was regained upon loss of the 50-kilobase insert. Complementation of the fluorescent lesions implies that most or all of the genes necessary for the expression of the reaction center and the light-harvesting antennae are carried by the R-prime plasmid and that these genes are actively transcribed in the homologous organism. All 20 mutants are complemented by one of two pBR322 subclones of the R-prime plasmid, pRPSEB2 or pRPSE2. pRPSEB2 bears a 4.5-kilobase fragment of R. capsulata DNA including the rxcA locus, and pRPSE2 is a pBR322 derivative bearing a 7.5-kilobase R. capsulata DNA fragment bearing the rxcB locus. These fragments therefore carry sequences necessary for the normal synthesis of the light-harvesting and reaction center polypeptide complexes.</t>
  </si>
  <si>
    <t>748-755</t>
  </si>
  <si>
    <t>Journal of Bacteriology</t>
  </si>
  <si>
    <t>60025038;60025038;60025038</t>
  </si>
  <si>
    <t>7004557866;7102850269;7004519553</t>
  </si>
  <si>
    <t>Youvan, D. C.;Hearst, J. E.;Marrs, B. L.</t>
  </si>
  <si>
    <t>Berkeley</t>
  </si>
  <si>
    <t>University of California, Berkeley</t>
  </si>
  <si>
    <t>Youvan D.</t>
  </si>
  <si>
    <t>Isolation and characterization of enhanced fluorescence mutants of Rhodopseudomonas capsulata</t>
  </si>
  <si>
    <t>2-s2.0-0020623084</t>
  </si>
  <si>
    <t>['¬© 1983', 'whereas periplanone', 'various quantities', 'threshold value', 'sex pheromones', 'male antennae', 'females even', 'eag response', 'behavioral response', 'american cockroach', 'also evaluated', 'adult males', 'adult male', '5 œºg', '4 œºg', '3 œºg']</t>
  </si>
  <si>
    <t>1. 1. In order to evaluate threshold dose values, electroantennogram (EAG) responses to various quantities of the sex pheromones, periplanone-A and periplanone-B, of the American cockroach were recorded from the antennae of adult male and female of the insect. 2. 2. The threshold dose values of the pheromones were also evaluated in behavioral response of the males. 3. 3. In the EAG response, both of the pheromones induced significant responses from the male antennae at 1 √ó 10-4Œºg, but extremely weak responses from the females even at 1 √ó 10-3 Œºg. 4. 4. Periplanone-B was observed to have a threshold value at 1 √ó 10-5 Œºg in the behavioral response, whereas periplanone-A at 1 √ó 10-4 Œºg. 5. 5. In our experiments with the pheromones, the adult males were more sensitive in behavioral response than in EAG response. ¬© 1983.</t>
  </si>
  <si>
    <t>909-914</t>
  </si>
  <si>
    <t>Comparative Biochemistry and Physiology -- Part A: Physiology</t>
  </si>
  <si>
    <t>60002443;60002443</t>
  </si>
  <si>
    <t>24377844500;24514363300</t>
  </si>
  <si>
    <t>Chikao, Nishino;Kyoko, Kuwabara</t>
  </si>
  <si>
    <t>Machida</t>
  </si>
  <si>
    <t>Mitsubishi Kasei Institute of Life Sciences</t>
  </si>
  <si>
    <t>Chikao N.</t>
  </si>
  <si>
    <t>Threshold dose values for sex pheromones of the American cockroach in electroantennogram and behavioral responses</t>
  </si>
  <si>
    <t>10.1016/0300-9629(83)90367-5</t>
  </si>
  <si>
    <t>2-s2.0-0020631564</t>
  </si>
  <si>
    <t>['resonant frequency', 'radiation pattern', 'plane alignment', 'mutual coupling', 'extensive results', 'electronics engineers', 'also given']</t>
  </si>
  <si>
    <t>Theory and numerically computed results are presented for mutual coupling between two rectangular microstrip antenna patches, E-plane alignment and H-plane alignment are the two patch orientations considered. The s-parameter matrix element s11 is used to study the mutual coupling. Extensive results are provided for s11 covering several relative substrate dielectric constants, antenna patch widths, and antenna patch separations. Results are also given for resonant frequency, resonant impedance behavior, and radiation pattern at resonance. Copyright ¬© 1983 by The Institute of Electrical and Electronics Engineers, Inc.</t>
  </si>
  <si>
    <t>39-47</t>
  </si>
  <si>
    <t>Dielectric and Width Effect on H-Plane and E-Plane Coupling between Rectangular Microstrip Antennas</t>
  </si>
  <si>
    <t>10.1109/TAP.1983.1143011</t>
  </si>
  <si>
    <t>2-s2.0-0020632546</t>
  </si>
  <si>
    <t>['terminal comprises', 'system feasibility', 'simple one', 'rf receiver', 'output equipment', 'facsimile equipment', 'experiments using', 'experimental one', 'electronics engineers', 'effective diameter', 'digital facsimile', 'different speeds', 'channel selector', '64 kbits', '60 cm']</t>
  </si>
  <si>
    <t>An experimental one-way multiaddress data communication system accommodating many small receive-only terminals is described. In this system, a digital facsimile is used as the output equipment. A simple one-way transmission protocol adopting the flag synchronization method has been developed so that facsimile equipment of different speeds can be used. The receive-only terminal comprises an antenna, an RF receiver, a demodulator, and a channel selector. The antenna is an offset parabolic type with an effective diameter of 60 cm and uses a printed spiral type primary radiator. Dimensions of the terminal are 70 cm wide, 88 cm deep, and 126 cm high. The satellite channel bit rate is 64 kbits/s in order to transmit multiple facsimile data simultaneously. Experiments using the Japanese ‚ÄúCS‚Äù satellite have been carried out to verify the system feasibility. The normal bit error rate was less than 10&lt;sup&gt;‚Äì6&lt;/sup&gt; and line errors occurred less than once in three facsimile transmissions. Copyright ¬© 1983 by The Institute of Electrical and Electronics Engineers, Inc.</t>
  </si>
  <si>
    <t>118-125</t>
  </si>
  <si>
    <t>60025555;60025555;60025555;60025555;60025555</t>
  </si>
  <si>
    <t>6603693894;7501389649;35564404500;26650860400;55709829000</t>
  </si>
  <si>
    <t>Samejima, Shuichi;Inoue, Takeo;Kagoshima, Kenichi;Inoue, Masayoshi;Suzuki, Mikio</t>
  </si>
  <si>
    <t>Samejima S.</t>
  </si>
  <si>
    <t>One-Way Multiaddress Satellite Data Communication System</t>
  </si>
  <si>
    <t>10.1109/JSAC.1983.1145903</t>
  </si>
  <si>
    <t>2-s2.0-0020635560</t>
  </si>
  <si>
    <t>['¬© 1983', 'time spent', 'thus immobility', 'significant reduction', 'results indicate', 'resting state', 'rest period', 'prior activity', 'new environment', 'many insects', 'immobility corresponds', 'h rest', 'forced locomotion', 'forced activity', 'first hours', 'dark period', 'continuously recorded', 'brief handling', 'antenna movements', 'activity states', 'activity rhythms', 'activity rhythm', 'active behaviors']</t>
  </si>
  <si>
    <t>cockroach | forced locomotion | rest-activity cycle</t>
  </si>
  <si>
    <t>Many insects are known to exhibit clear circadian rest-activity rhythms. Attention has focussed more on active behaviors such as locomotion than on rest. I investigated the consequences of disturbances of the rest period on activity states of the cockroach Leucophea maderae. The 24-h rest-activity rhythm of individual animals maintained under a 12 h light-12 h dark schedule was continuously recorded by timelapse video recording. Three activity states were scored: locomotion, immobility, and limb or antenna movements without locomotion. The effect of (i) 3 h forced activity; and of (ii) handling and a new environment was studied. Forced activity during the last 3 h of the light period caused a significant reduction of locomotion, and of limb or antenna movements; and an enhancement of immobility in the first hours of the dark period. However, over the entire 12 h dark period, these parameters did not differ from control. Brief handling in conjunction with a change in environment during the last 3 h of the dark period, was followed by similar, though smaller changes in locomotion as seen after forced locomotion. The results indicate that the time spent in immobility corresponds to a resting state which is regulated as a function of prior activity. Thus immobility in an invertebrate may exhibit similar regulating mechanisms as rest or sleep in vertebrates. ¬© 1983.</t>
  </si>
  <si>
    <t>351-360</t>
  </si>
  <si>
    <t>Behavioural Brain Research</t>
  </si>
  <si>
    <t>Tobler, Irene</t>
  </si>
  <si>
    <t>Switzerland</t>
  </si>
  <si>
    <t>Zurich</t>
  </si>
  <si>
    <t>University of Zurich</t>
  </si>
  <si>
    <t>Tobler I.</t>
  </si>
  <si>
    <t>Effect of forced locomotion on the rest-activity cycle of the cockroach</t>
  </si>
  <si>
    <t>0166-4328(83)90180-8</t>
  </si>
  <si>
    <t>10.1016/0166-4328(83)90180-8</t>
  </si>
  <si>
    <t>2-s2.0-0020638211</t>
  </si>
  <si>
    <t>95-110</t>
  </si>
  <si>
    <t>Proceedings of the Royal Society of London - Biological Sciences</t>
  </si>
  <si>
    <t>100357046;100357046</t>
  </si>
  <si>
    <t>7006646532;36846139200</t>
  </si>
  <si>
    <t>Vedel, J. P.;Monnier, S.</t>
  </si>
  <si>
    <t>Marseille</t>
  </si>
  <si>
    <t>CNRS-INP 4</t>
  </si>
  <si>
    <t>Vedel J.</t>
  </si>
  <si>
    <t>A new muscle receptor organ in the antenna of the rock lobster Palinurus vulgaris: Mechanical, muscular and proprioceptive organization of the two proximal joints J0 and J1</t>
  </si>
  <si>
    <t>10.1098/rspb.1983.0028</t>
  </si>
  <si>
    <t>2-s2.0-0020638513</t>
  </si>
  <si>
    <t>['turbulence structures', 'millstone hill', 'mhz radar', 'detailed evolution', 'antenna downwind', '4 cm', '12 hz']</t>
  </si>
  <si>
    <t>The 440-MHz radar at Millstone Hill (42.6oN, 71.5oW) was employed to examine the detailed evolution of turbulence structures in the tropostratosphere with a very fine Doppler resolution of 0.12 Hz, corresponding to 4 cm s-1 radial velocity resolution. The measurement technique involved directing the antenna downwind at a low elevation angle (15o or 20o) and processing the echoes from a range where the background wind shear was high. -from Authors</t>
  </si>
  <si>
    <t>3851-3857</t>
  </si>
  <si>
    <t>C6</t>
  </si>
  <si>
    <t>Journal of Geophysical Research</t>
  </si>
  <si>
    <t>60015009;60015009;60015009;60015009</t>
  </si>
  <si>
    <t>6603951723;7006839428;7101768791;36777911100</t>
  </si>
  <si>
    <t>Wand, R. H.;Rastogi, P. K.;Watkins, B. J.;Loriot, G. B.</t>
  </si>
  <si>
    <t>Westford</t>
  </si>
  <si>
    <t>MIT Haystack Observatory</t>
  </si>
  <si>
    <t>Wand R.</t>
  </si>
  <si>
    <t>Fine Doppler resolution observations of thin turbulence structures in the tropostratosphere at Millstone Hill.</t>
  </si>
  <si>
    <t>10.1029/JC088iC06p03851</t>
  </si>
  <si>
    <t>2-s2.0-0020641881</t>
  </si>
  <si>
    <t>['wind speed', 'transmitter powers', 'sea state', 'retrieval accuracy', 'remotely sensed', 'numerical simulation', 'frequencies near', 'francis ltd', 'antenna size', 'active instrument', '1 mb']</t>
  </si>
  <si>
    <t>Atmospheric surface pressure can be remotely sensed from a satellite by an active instrument which measures return echoes from the ocean at frequencies near the 60 GHz oxygen absorption band. We optimize the instrument by selecting its frequencies of operation, transmitter powers and antenna size through a new procedure based on numerical simulation which maximizes the retrieval accuracy. The predicted standard deviation error in the retrieved surface pressure is 1 mb. In addition the measurements can be used to retrieve water vapour, cloud liquid water and sea state, which is related to wind speed. ¬© 1983 Taylor and Francis Ltd.</t>
  </si>
  <si>
    <t>465-478</t>
  </si>
  <si>
    <t>International Journal of Remote Sensing</t>
  </si>
  <si>
    <t>60019656;60019656;60009037</t>
  </si>
  <si>
    <t>7003340114;57039897600;7005706036</t>
  </si>
  <si>
    <t>Peckham, G. E.;Gatley, C.;Flower, D. A.</t>
  </si>
  <si>
    <t>United Kingdom;United States</t>
  </si>
  <si>
    <t>Edinburgh;Pasadena</t>
  </si>
  <si>
    <t>Heriot-Watt University;Jet Propulsion Laboratory</t>
  </si>
  <si>
    <t>60019656;60009037</t>
  </si>
  <si>
    <t>Peckham G.E.</t>
  </si>
  <si>
    <t>Optimizing a remote sensing instrument to measure atmospheric surface pressure</t>
  </si>
  <si>
    <t>10.1080/01431168308948561</t>
  </si>
  <si>
    <t>2-s2.0-0020642263</t>
  </si>
  <si>
    <t>['vertex loops', 'vca system', 'vca ).', 'receiving system', 'point need', 'phase jitter', 'paper includes', 'outer planets', 'one way', 'noise analysis', 'nearly equal', 'loop damping', 'loop bandwidths', 'geometric center', 'exhibits formulas', 'electronics engineers', 'center loop', 'actual antennas']</t>
  </si>
  <si>
    <t>One way to increase the amount of data that can be received from weak signal sources (such as spacecraft in the vicinity of the outer planets) is to array several ground antennas in such a way as to increase the total effective aperture of the receiving system. One such method is virtual center arraying (VCA). In VCA, a combined carrier reference is derived at a point that is, conceptually, the geometric center of the array. This point need not coincide with any of the actual antennas of the array. This paper includes a noise analysis of the VCA system and exhibits formulas for the phase jitter as a function of loop bandwidths and the amount of loop damping. If the ratio of the loop bandwidths of the center loop to the vertex loops is greater than 100, then the jitter is very nearly equal to that expected for ideal combined carrier referencing. Copyright ¬© 1983, by The Institute of Electrical and Electronics Engineers. Inc.</t>
  </si>
  <si>
    <t>145-149</t>
  </si>
  <si>
    <t>IEEE Transactions on Communications</t>
  </si>
  <si>
    <t>60009037;60009037;60009037</t>
  </si>
  <si>
    <t>7006524205;6602345604;55493264400</t>
  </si>
  <si>
    <t>Deutsch, L. J.;Lipes, R. G.;Miller, R. L.</t>
  </si>
  <si>
    <t>Deutsch L.</t>
  </si>
  <si>
    <t>Virtual Center Arraying</t>
  </si>
  <si>
    <t>10.1109/TCOM.1983.1095738</t>
  </si>
  <si>
    <t>2-s2.0-0020647921</t>
  </si>
  <si>
    <t>['¬© 1983', 'work indicates', 'vitro cataracts', 'unexpected finding', 'two days', 'temperature elevation', 'sem ).', 'sar value', 'sar equal', 'pulsed irradiation', 'previously reported', 'potential hazards', 'physical damage', 'parametric study', 'lenses exposed', 'large globules', 'immediately fixed', 'holes could', 'equatorial areas', 'electromagnetic field', 'continued incubation', 'capsule observed', 'capsular damage', 'buffered saline', 'apparent examples', 'additional effects', '400 mw', '120 mw']</t>
  </si>
  <si>
    <t>globular degeneration | in vitro cataractogenesis | pressure wave | pulsed microwaves | radar | thermoacoustic effect | tissue culture</t>
  </si>
  <si>
    <t>A parametric study of heat and pulsed microwave energy was performed on murine ocular lens in vitro. Adult rat lenses were placed in a specially designed chamber with thermostat in which temperature was maintained by the circulation of thermostatically regulated phosphate-buffered saline, during irradiation with 915 MHz microwaves. Irradiation in pulsed (Pu) mode was used. Lenses exposed at 37¬∞C to pulsed irradiation at specific absorption rates (SAR) equal to or greater than 400 mW/g, and immediately fixed, showed numerous small holes (not previously reported for other in vitro cataracts) in the equatorial cell surfaces, when examined by scanning electron microscopy (SEM). At 39¬∞C with SAR equal to or greater than 120 mW/g similar holes appeared. On continued incubation for two days the holes could not be seen as easily because globular degeneration appeared to advance into the equatorial areas where holes had originally been seen. In lenses exposed to 120 mW/g at 37¬∞C globular degeneration and equatorial subcapsular foam were observed. At SAR values equal to or above 400 mW/g at 39¬∞C and 1¬∑2 W/g at 37¬∞C, large globules characteristic of temperature elevation to 47 or 50¬∞C were observed, indicating that the effect of the electromagnetic field itself in the absence of any comparable temperature elevation, was equivalent to a 10¬∞C rise in temperature. An unexpected finding was the apparent fragmentational stretching of the capsule observed by SEM, in lenses fixed immediately after irradiation at 37¬∞C at an SAR value of 1¬∑2 W/g. These effects: holes, foam, large globules and capsular damage are apparent examples of physical damage to the lens. Modern radars using directional antennas can deliver pulse power densities many times higher than those employed in these experiments. This work indicates that additional effects of microwave irradiation dependent on modulation should also be considered as potential hazards in setting safety standards. ¬© 1983.</t>
  </si>
  <si>
    <t>75-90</t>
  </si>
  <si>
    <t>Experimental Eye Research</t>
  </si>
  <si>
    <t>;60010884;60012786;60012786;;;106043425;106043425;60010884</t>
  </si>
  <si>
    <t>6602347100;7004220447;7202023446;7005821139;7201411278;6603558770;7201788464;7401967477;10140687100</t>
  </si>
  <si>
    <t>Stewart-DeHaan, P. Jill;Creighton, M. O.;Larsen, L. E.;Jacobi, J. H.;Ross, W. M.;Sanwal, Madhu;Guo, Theodore C.;Guo, Wendy W.;Trevithick, J. R.</t>
  </si>
  <si>
    <t>United States;Canada;United States</t>
  </si>
  <si>
    <t>Silver Spring;London;Annapolis</t>
  </si>
  <si>
    <t>Walter Reed Army Institute of Research;The University of Western Ontario;I.I.T. Research Institute</t>
  </si>
  <si>
    <t>60012786;60010884;106043425</t>
  </si>
  <si>
    <t>Stewart-DeHaan P.</t>
  </si>
  <si>
    <t>In vitro studies of microwave-induced cataract: Separation of field and heating effects</t>
  </si>
  <si>
    <t>001448358390091X</t>
  </si>
  <si>
    <t>10.1016/0014-4835(83)90091-X</t>
  </si>
  <si>
    <t>2-s2.0-0020656012</t>
  </si>
  <si>
    <t>['static deflection', 'modelling gravity', 'ispm satellite', 'distributed load', 'bernouilli beam', 'bending stiffness', 'axial antenna']</t>
  </si>
  <si>
    <t>The differential equations describing the static deflection of a Bernouilli beam under gravity and a concentrated tip load are derived and solved. The solutions are used to predict tip deflections as a function of bending stiffness for a constant tip load. This relationship is then applied to the results of the static bending tests performed on the ISPM satellite's axial antenna to determine its bending stiffness. The results show clearly the importance of modelling gravity as a distributed load, even for light structural elements.</t>
  </si>
  <si>
    <t>195-208</t>
  </si>
  <si>
    <t>Janssens, F.</t>
  </si>
  <si>
    <t>Janssens F.</t>
  </si>
  <si>
    <t>MATHEMATICAL MODELLING OF A FLEXIBLE BEAM UNDER GRAVITY.</t>
  </si>
  <si>
    <t>2-s2.0-0020669031</t>
  </si>
  <si>
    <t>['wide class', 'solution constructed', 'numerical study', 'high efficiency', 'free space', 'exact solutions', 'engineering calculations', 'diffraction problem', 'dielectric rods', 'develop algorithms', 'approximate solutions', 'algorithm developed', '9 ].', '15 ],']</t>
  </si>
  <si>
    <t>1) Numerical study of the convergence of approximate solutions of the diffraction problem and comparison of the numerical results obtained with exact solutions for a number of special cases indicate the high efficiency of the algorithm developed. 2) The results obtained may be used for engineering calculations of a wide class of devices containing periodic dielectric structures. In particular, in combination with the results of [15], the solution constructed can be used to develop algorithms for calculation of phased waveguide antenna lattices, matched to free space by dielectric rods [9]. ¬© 1983 Plenum Publishing Corporation.</t>
  </si>
  <si>
    <t>63-69</t>
  </si>
  <si>
    <t>Radiophysics and Quantum Electronics</t>
  </si>
  <si>
    <t>57213898470;6701386575</t>
  </si>
  <si>
    <t>Krekhtunov, V. M.;Tyulin, V. A.</t>
  </si>
  <si>
    <t>Krekhtunov V.</t>
  </si>
  <si>
    <t>Electromagnetic wave diffraction on a two-dimensionally periodic lattice of semiinfinite dielectric rods</t>
  </si>
  <si>
    <t>10.1007/BF01038776</t>
  </si>
  <si>
    <t>2-s2.0-0020669227</t>
  </si>
  <si>
    <t>['unimodal olfactory', 'unimodal information', 'thus individual', 'soma groups', 'single unimodal', 'represented individually', 'represented elsewhere', 'protocerebrum directly', 'projection regions', 'output neurons', 'one glomerulus', 'multiple branching', 'multimodal neurons', 'multimodal information', 'morphological types', 'microelectrode recording', 'male deutocerebrum', 'local interneurons', 'lateral lobe', 'form microglomeruli', 'fine structure', 'e .,', 'dye injection', 'deutocerebral glomerulus', 'deutocerebral glomeruli', 'deutocerebral axons', 'cp calyces', 'corpora pedunculata', 'characterized functionally', 'antennal lobe', 'american cockroach']</t>
  </si>
  <si>
    <t>Insect brain | Insect olfaction | Olfactory pathways | Periplaneta americana</t>
  </si>
  <si>
    <t>1. Single unimodal (olfactory) or multimodal (olfactory and mechanosensory) neurons in the antennal lobe of the deutocerebrum of the American cockroach were characterized functionally by microelectrode recording, and their morphological types and positions in the brain were established by dye injection. Thus individual, physiologically identified neurons of known shape could be mapped in reference to the areas of soma groups, glomeruli, tracts and their projection regions in the brain. 2. All of these neurons send processes to deutocerebral glomeruli, i.e., the regions in which the axons of antennal sensory cells terminate. Output neurons have axons that leave the deutocerebrum whereas local interneurons are anaxonic. 3. An output neuron innervates only one glomerulus, sending its axon into the calyces of the corpora pedunculata (CP) in the protocerebrum, where by multiple branching they reach many CP neurons. The same axons send collaterals into the lateral lobe of the protocerebrum. Because of this arrangement, each deutocerebral glomerulus is represented individually and separately in the two projection regions. The fine structure of the endings of the deutocerebral axons in the protocerebrum is described. In the CP calyces they form microglomeruli with typical divergent connectivity. 4. A local interneuron innervates many glomeruli without sending processes to other parts of the brain. 5. Unimodal olfactory and multimodal neurons can be either output neurons or local interneurons; multimodal information is sent to the protocerebrum directly, in parallel with the unimodal information. 6. At least one glomerulus - the macroglomerulus of the male deutocerebrum - is specialized so as to provide an exclusive topographic representation of certain olfactory stimuli not represented elsewhere (female sexual pheromone). ¬© 1983 Springer-Verlag.</t>
  </si>
  <si>
    <t>0302766X</t>
  </si>
  <si>
    <t>Cell and Tissue Research</t>
  </si>
  <si>
    <t>60030807;60030807</t>
  </si>
  <si>
    <t>7102631545;6701782875</t>
  </si>
  <si>
    <t>Ernst, K. D.;Boeckh, J.</t>
  </si>
  <si>
    <t>Regensburg</t>
  </si>
  <si>
    <t>Universit√§t Regensburg</t>
  </si>
  <si>
    <t>Ernst K.</t>
  </si>
  <si>
    <t>A neuroanatomical study on the organization of the central antennal pathways in insects - III. Neuroanatomical characterization of physiologically defined response types of deutocerebral neurons in Periplaneta americana</t>
  </si>
  <si>
    <t>10.1007/BF00217877</t>
  </si>
  <si>
    <t>2-s2.0-0020674924</t>
  </si>
  <si>
    <t>902-908</t>
  </si>
  <si>
    <t>Journal of Biological Chemistry</t>
  </si>
  <si>
    <t>60025038;60025038</t>
  </si>
  <si>
    <t>7003870096;7101844846</t>
  </si>
  <si>
    <t>Lundell, D. J.;Glazer, A. N.</t>
  </si>
  <si>
    <t>Lundell D.J.</t>
  </si>
  <si>
    <t>Molecular architecture of a light-harvesting antenna. Core substructure in Synechococcus 6310 phycobilisomes: Two new allophycocyanin and allophycocyanin B complexes</t>
  </si>
  <si>
    <t>2-s2.0-0020683752</t>
  </si>
  <si>
    <t>['two half', 'sommerfeld solution', 'model used', 'fields caused', 'electronics engineers', 'brought close']</t>
  </si>
  <si>
    <t>Some results are presented for horizontal and vertical electric dipole antennas as they are brought close to, or penetrate, the interface between two half-spaces. The model used is an electric-field integral equation together with the Sommerfeld solution for the fields caused by the interface. Copyright ¬© 1983 by The Institute of Electrical and Electronics Engineers, Inc.</t>
  </si>
  <si>
    <t>174-175</t>
  </si>
  <si>
    <t>Proceedings of the IEEE</t>
  </si>
  <si>
    <t>60026175;60026175;60026175</t>
  </si>
  <si>
    <t>7203060346;7404847472;7404492537</t>
  </si>
  <si>
    <t>Burke, G. J.;Johnson, W. A.;Miller, E. K.</t>
  </si>
  <si>
    <t>Livermore</t>
  </si>
  <si>
    <t>Lawrence Livermore National Laboratory</t>
  </si>
  <si>
    <t>Burke G.</t>
  </si>
  <si>
    <t>Modeling of Simple Antennas Near to and Penetrating an Interface</t>
  </si>
  <si>
    <t>10.1109/PROC.1983.12539</t>
  </si>
  <si>
    <t>2-s2.0-0020684676</t>
  </si>
  <si>
    <t>['value problem', 'single cell', 'propagation coefficients', 'present time', 'constructed solution', 'approximate calculation']</t>
  </si>
  <si>
    <t>1. The constructed solution of the bounary-value problem can be generalized to the case of more complicated periodic structures containing a system of rectangular gyromagnetic rods in a single cell which differ in the dimensions of the transverse cross section and the parameters of the medium. 2. The computational algorithm developed can also be investigated for the approximate calculation of the propagation coefficients of the lowest natural waves of a rectangular longitudinally magnetized ferrite rod, the theory of which has not been developed up to the present time. ¬© 1983 Plenum Publishing Corporation.</t>
  </si>
  <si>
    <t>98-103</t>
  </si>
  <si>
    <t>57213898470;57197206623</t>
  </si>
  <si>
    <t>Krekhtunov, V. M.;Lavrov, A. V.</t>
  </si>
  <si>
    <t>Natural waves of a periodic array of rectangular longitudinally magnetized ferrite rods</t>
  </si>
  <si>
    <t>10.1007/BF01038781</t>
  </si>
  <si>
    <t>2-s2.0-0020687654</t>
  </si>
  <si>
    <t>['¬© 1983', 'usually ignored', 'straight position', 'rights reserved', 'quite disabling', 'normal contour', 'nail deformity', 'nail bed', 'full thickness', 'fingertip amputations', 'distal phalanx', 'defect created', 'american society']</t>
  </si>
  <si>
    <t>The hook-nail deformity is a relatively common problem after fingertip amputations. It is usually ignored but can be quite disabling. This deformity can be corrected by a carefully planned operation. Most of the curved nail plate is removed, the pulp is reflected from the distal phalanx out to a normal contour, and then the full thickness of the nail bed is elevated off the distal phalanx and splinted by multiple small Kirschner pins in a straight position. The defect created is covered with a cross finger flap. ¬© 1983, American Society for Surgery of the Hand. All rights reserved.</t>
  </si>
  <si>
    <t>55-58</t>
  </si>
  <si>
    <t>Journal of Hand Surgery</t>
  </si>
  <si>
    <t>60022286;60022286;60022286</t>
  </si>
  <si>
    <t>6701375813;57216029760;6701792176</t>
  </si>
  <si>
    <t>Atasoy, Erdogan;Godfrey, Alan;Kalisman, Michael</t>
  </si>
  <si>
    <t>Louisville</t>
  </si>
  <si>
    <t>University of Louisville Health Sciences Center</t>
  </si>
  <si>
    <t>Atasoy E.</t>
  </si>
  <si>
    <t>The ‚Äúantenna‚Äù procedure for the ‚Äúhook-nail‚Äù deformity</t>
  </si>
  <si>
    <t>S0363502383800537</t>
  </si>
  <si>
    <t>10.1016/S0363-5023(83)80053-7</t>
  </si>
  <si>
    <t>2-s2.0-0020696010</t>
  </si>
  <si>
    <t>894-901</t>
  </si>
  <si>
    <t>Molecular architecture of a light-harvesting antenna. Structure of the 18 S core-rod subassembly of the synechococcus 6301 phycobilisome</t>
  </si>
  <si>
    <t>2-s2.0-0020697111</t>
  </si>
  <si>
    <t>['wireless communications', 'sale terminals', 'parabolic reflectors', 'intended application', 'central controller']</t>
  </si>
  <si>
    <t>An antenna is described for transmitting optical signals omnidirectionally (over a 360 degree field of view) but in a relatively thin plane. Conical and quasi-parabolic reflectors are employed. The intended application is wireless communications between point-of-sale terminals and central controller.</t>
  </si>
  <si>
    <t>4536-4537</t>
  </si>
  <si>
    <t>IBM technical disclosure bulletin</t>
  </si>
  <si>
    <t>Feb</t>
  </si>
  <si>
    <t>6505869812;7202526538</t>
  </si>
  <si>
    <t>Harbour, E. E.;Jackson, E. B.</t>
  </si>
  <si>
    <t>Harbour E.</t>
  </si>
  <si>
    <t>PLANAR OMNIDIRECTIONAL OPTICAL ANTENNA.</t>
  </si>
  <si>
    <t>2-s2.0-0020702818</t>
  </si>
  <si>
    <t>['scattering characteristics', 'dynamic studies']</t>
  </si>
  <si>
    <t>The actual target aspect relative to the radar antenna radiation pattern is found, and a method is given for ensuring a wide dynamic range of signal amplitude measurement in dynamic studies of scattering characteristics.</t>
  </si>
  <si>
    <t>72-74</t>
  </si>
  <si>
    <t>6508357196;7004195237;6506226455</t>
  </si>
  <si>
    <t>Beskid, P. P.;Bubnov, A. A.;Leont'yev, V. V.</t>
  </si>
  <si>
    <t>Beskid P.</t>
  </si>
  <si>
    <t>DYNAMIC MEASUREMENTS OF THE EFFECTIVE SCATTERING AREA OF A TARGET.</t>
  </si>
  <si>
    <t>2-s2.0-0020702868</t>
  </si>
  <si>
    <t>['specific waveguide', 'slot arrays', 'phase distribution', 'field amplitude']</t>
  </si>
  <si>
    <t>The problem of synthesizing antenna arrays when the field amplitude or phase distribution is fixed over part of the aperture is considered. A method of solving the problem is proposed, and examples of the simulation of specific waveguide-slot arrays are given.</t>
  </si>
  <si>
    <t>98-100</t>
  </si>
  <si>
    <t>6603900630;6603948218;6603244472;6507538077</t>
  </si>
  <si>
    <t>Bulkin, V. M.;Kleimenov, V. A.;Kremenetskiy, S. D.;Novosartov, M. T.</t>
  </si>
  <si>
    <t>Bulkin V.</t>
  </si>
  <si>
    <t>SYNTHESIS OF AN ARRAY WITH A FIXED FIELD AMPLITUDE OR PHASE DISTRIBUTION OVER PART OF THE APERTURE.</t>
  </si>
  <si>
    <t>2-s2.0-0020702890</t>
  </si>
  <si>
    <t>['quantitative estimates', 'operating efficiency', 'extended short', 'experimental comparison', 'different number']</t>
  </si>
  <si>
    <t>The results of an experimental comparison of the operating efficiency of an extended short-wave radio link using in-phase transmitting antennas with a different number of stories are presented. Quantitative estimates are given.</t>
  </si>
  <si>
    <t>96-98</t>
  </si>
  <si>
    <t>6603042257;6602209365</t>
  </si>
  <si>
    <t>Zhil'tsov, A. U.;Korolenkov, A. V.</t>
  </si>
  <si>
    <t>Zhil'tsov A.</t>
  </si>
  <si>
    <t>INVESTIGATION OF THE EFFECT OF THE ANTENNA RADIATION PATTERNS ON THE OPERATION OF AN EXTENDED SHORT-WAVE RADIO LINK.</t>
  </si>
  <si>
    <t>2-s2.0-0020703033</t>
  </si>
  <si>
    <t>['rectenna system', 'dipole density', '10 degree']</t>
  </si>
  <si>
    <t>Optimization of dipole density in a rectenna system is investigated. It is shown that for a beamwidth of 10 degree the dipole density can be decreased to 80 pieces per square meter.</t>
  </si>
  <si>
    <t>119-122</t>
  </si>
  <si>
    <t>6603418988;7004652700;6603472575</t>
  </si>
  <si>
    <t>Boyakhchyan, G. P.;Vanke, V. A.;Lesota, S. K.</t>
  </si>
  <si>
    <t>Boyakhchyan G.</t>
  </si>
  <si>
    <t>CHOICE OF OPTIMUM DENSITY OF DIPOLES IN A RECTENNA.</t>
  </si>
  <si>
    <t>2-s2.0-0020703218</t>
  </si>
  <si>
    <t>['grooved reflector', 'electromagnetic waves', 'dimensional problem', '1 ref']</t>
  </si>
  <si>
    <t>The two-dimensional problem of the radiation of electromagnetic waves by a rectilinear current filament located close to a grooved reflector (GR) is discussed. 1 ref.</t>
  </si>
  <si>
    <t>134-135</t>
  </si>
  <si>
    <t>7007013967;7801333733</t>
  </si>
  <si>
    <t>Pimenov, Yu V.;Salakh, A. K.</t>
  </si>
  <si>
    <t>Pimenov Y.</t>
  </si>
  <si>
    <t>EFFECT OF A GROOVED REFLECTOR ON THE RADIATION PATTERN OF A LINEAR RADIATOR.</t>
  </si>
  <si>
    <t>2-s2.0-0020703247</t>
  </si>
  <si>
    <t>['recommendations concerning', 'radio links', 'practical use', 'paper selects', 'optimum parameters', 'cases one', 'another principle']</t>
  </si>
  <si>
    <t>A television broadcasting network uses repeaters, installed at intermediate relay points of radio links, and converters, which shift the TV signal spectrum from one frequency channel to another. In some cases one can also use repeaters which are based on another principle of operation that does not involve any shifting of the TV signal spectrum. Such repeaters are microcircuit amplifier repeaters. The paper selects the optimum parameters of such repeaters and makes some recommendations concerning their practical use.</t>
  </si>
  <si>
    <t>6602335623;6507593543</t>
  </si>
  <si>
    <t>Reushkin, N. A.;Kodaneva, T. A.</t>
  </si>
  <si>
    <t>Reushkin N.</t>
  </si>
  <si>
    <t>OPTIMIZATION OF MICROREPEATER-AMPLIFIER PARAMETERS.</t>
  </si>
  <si>
    <t>2-s2.0-0020703488</t>
  </si>
  <si>
    <t>['synthesized antenna', 'statistical characteristics', 'radar stations', 'radar picture', 'geometric distortion']</t>
  </si>
  <si>
    <t>Radar stations with a synthesized antenna (RSA) have fairly low measuring properties with respect to the aircraft motion coordinate. The statistical characteristics of the geometric distortion of the radar picture of an RSA, due to signal phase fluctuations, are found.</t>
  </si>
  <si>
    <t>67-70</t>
  </si>
  <si>
    <t>6506262479;7003433810</t>
  </si>
  <si>
    <t>Shkol'nyi, L. A.;Morozov, L. M.</t>
  </si>
  <si>
    <t>Shkol'nyi L.</t>
  </si>
  <si>
    <t>INFLUENCE OF SIGNAL PHASE FLUCTUATIONS ON THE MEASURING PROPERTIES OF A RADAR STATION WITH A SYNTHESIZED ANTENNA.</t>
  </si>
  <si>
    <t>2-s2.0-0020703749</t>
  </si>
  <si>
    <t>['steerable antenna', 'spherical aberration', 'results suggest', 'new technique', 'mathematical programming', 'main reflector', 'experimental antenna', 'excellent performance', 'electric characteristics', 'designing procedure', 'asymmetrical distortion', 'aperture distribution']</t>
  </si>
  <si>
    <t>A newly devised beam-steerable antenna which is capable of steering its radiation beam without moving a main reflector is presented. This is the offset type spherical reflector antenna with two specific subreflectors. With the application of mathematical programming, a new technique to determine the shapes of the subreflectors is proposed in order to compensate for the spherical aberration and the asymmetrical distortion of the aperture distribution, which deteriorates the electric characteristics. An experimental antenna has demonstrated its excellent performance and supported the adequacy and availability of designing procedure. The results suggest the feasibility of the beam-steerable antenna for satellite communication use.</t>
  </si>
  <si>
    <t>108-115</t>
  </si>
  <si>
    <t>E66</t>
  </si>
  <si>
    <t>0387236X</t>
  </si>
  <si>
    <t>Transactions of the Institute of Electronics and Communication Engineers of Japan. Section E</t>
  </si>
  <si>
    <t>57201551756;6508234177</t>
  </si>
  <si>
    <t>Watanabe, Fumio;Mizugutch, Yoshihiko</t>
  </si>
  <si>
    <t>Watanabe F.</t>
  </si>
  <si>
    <t>OFFSET SPHERICAL TRI-REFLECTOR ANTENNA.</t>
  </si>
  <si>
    <t>2-s2.0-0020703977</t>
  </si>
  <si>
    <t>['sufficient information', 'permit anybody', 'ns duration', 'next step', 'investigate antennas', 'greatest difficulty', 'generally accepted', 'electronics engineers', 'antennas pose']</t>
  </si>
  <si>
    <t>large relative bandwidth | Nonsinusoidal waves | sequency theory</t>
  </si>
  <si>
    <t>During the last years numerous applications of nonsinusoidal electromagnetic waves have been discussed in this TRANSACTIONS. The next step is the implementation of these applications. It is generally accepted that the antennas pose the greatest difficulty. In a series of papers on radiators, sensors, and arrays, we will investigate antennas, both theoretically and experimentally. Sufficient information is provided to permit anybody who is equiped for work with pulses of about 1-ns duration to build simple radiators and sensors. Copyright ¬© 1983 by The Institute of Electrical and Electronics Engineers, Inc.</t>
  </si>
  <si>
    <t>13-24</t>
  </si>
  <si>
    <t>EMC-25</t>
  </si>
  <si>
    <t>1558187X</t>
  </si>
  <si>
    <t>IEEE Transactions on Electromagnetic Compatibility</t>
  </si>
  <si>
    <t>60020444;60013789</t>
  </si>
  <si>
    <t>7005064847;6506901119</t>
  </si>
  <si>
    <t>Harmuth, Henning F.;Ding-Rong, Shao</t>
  </si>
  <si>
    <t>United States;China</t>
  </si>
  <si>
    <t>Washington, D.C.;Beijing</t>
  </si>
  <si>
    <t>Catholic University of America;Beihang University</t>
  </si>
  <si>
    <t>Harmuth H.</t>
  </si>
  <si>
    <t>Antennas for Nonsinusoidal Waves. I. Radiators</t>
  </si>
  <si>
    <t>10.1109/TEMC.1983.304147</t>
  </si>
  <si>
    <t>2-s2.0-0020704080</t>
  </si>
  <si>
    <t>['two subsystems', 'site effects', 'practical designs', 'limitations imposed', 'array platform', 'antenna array', 'adaptive processor', 'adaptive arrays']</t>
  </si>
  <si>
    <t>Practical designs for adaptive arrays for communications are considered and the limitations imposed on the design by the array platform, communication signal characteristics and, by propagation and site effects are considered. Two subsystems, the antenna array and adaptive processor, are explored, and their relevance to communications is discussed. Several practical examples are described.</t>
  </si>
  <si>
    <t>26-29</t>
  </si>
  <si>
    <t>7202507945;7203010942</t>
  </si>
  <si>
    <t>Fielding, J. G.;Raymond, G.</t>
  </si>
  <si>
    <t>Fielding J.</t>
  </si>
  <si>
    <t>ADAPTIVE ARRAYS FOR COMMUNICATIONS.</t>
  </si>
  <si>
    <t>2-s2.0-0020704178</t>
  </si>
  <si>
    <t>['passive stabilisation', 'combines active', 'actively locked', '5 khz']</t>
  </si>
  <si>
    <t>A superconducting-cavity stabilised oscillator has been constructed which combines active and passive stabilisation of a 9.6 GHz klystron to obtain a phase noise power spectral density between -170 dB Hz-1 and -180 dB Hz-1 at 5 kHz from the carrier, which represents about 40 dB improvement over the state-of-the-art. The device has been developed for use as a low noise pump for a superconducting parametric upconverter transducer on a gravitational radiation antenna. An RF modulated reflex klystron is actively locked to a TE011 niobium cavity operated at 2K with a loaded Q approximately 108. Power is extracted from the cavity which acts as a high Q filter.</t>
  </si>
  <si>
    <t>105-113</t>
  </si>
  <si>
    <t>Journal of Physics D: Applied Physics</t>
  </si>
  <si>
    <t>60031806;60031806</t>
  </si>
  <si>
    <t>7201627826;22974326500</t>
  </si>
  <si>
    <t>Mann, A. G.;Blair, D. G.</t>
  </si>
  <si>
    <t>Perth</t>
  </si>
  <si>
    <t>The University of Western Australia</t>
  </si>
  <si>
    <t>Mann A.</t>
  </si>
  <si>
    <t>Ultra-low phase noise superconducting-cavity stabilised microwave oscillator with application to gravitational radiation detection</t>
  </si>
  <si>
    <t>10.1088/0022-3727/16/2/008</t>
  </si>
  <si>
    <t>2-s2.0-0020704343</t>
  </si>
  <si>
    <t>['radiation characteristics', 'integral equation', 'frequency characteristics', 'experimentally investigated', 'conventional bifilar', 'back ratio', 'also shown']</t>
  </si>
  <si>
    <t>The frequency characteristics of a modified backfire bifilar helical antenna are numerically and experimentally investigated and those of a conventional bifilar and conical bifilar helical are also shown for comparison. The radiation characteristics are evaluated from the current distribution determined by an integral equation. It is found that tapering only the feed end greatly contributes to the improvement of front to back ratio over a wide band frequency range.</t>
  </si>
  <si>
    <t>279-286</t>
  </si>
  <si>
    <t>International Journal of Electronics</t>
  </si>
  <si>
    <t>55633340100;56405174700;7003298527;36819908500</t>
  </si>
  <si>
    <t>Nakano, Hisamatsu;Yamauchi, Junji;Mimaki, Hiroaki;Iio, Shin'ichi</t>
  </si>
  <si>
    <t>Nakano H.</t>
  </si>
  <si>
    <t>BACKFIRE BIFILAR HELICAL ANTENNA WITH TAPERED FEED END.</t>
  </si>
  <si>
    <t>10.1080/00207218308938723</t>
  </si>
  <si>
    <t>2-s2.0-0020704347</t>
  </si>
  <si>
    <t>['¬© 1983', 'type signals', 'rights reserved', 'performance advantages', 'loop system', 'loop canceller', 'experimental equipment', 'electrical engineers', 'bench tests']</t>
  </si>
  <si>
    <t>Antennas | Radar and radionavigation</t>
  </si>
  <si>
    <t>The paper describes experimental work to investigate the feasibility of applying the open-loop interference cancellation technique to radar-type signals. Design of experimental equipment is described, and results of bench tests are presented. It is concluded that the open-loop system has some performance advantages over the closed-loop canceller but, with currently available components, lacks dynamic range and good wideband performance. ¬© 1983, The Institution of Electrical Engineers. All rights reserved.</t>
  </si>
  <si>
    <t>109-113</t>
  </si>
  <si>
    <t>IEE Proceedings F: Communications Radar and Signal Processing</t>
  </si>
  <si>
    <t>Bristow, T. A.</t>
  </si>
  <si>
    <t>Munich</t>
  </si>
  <si>
    <t>Siemens AG</t>
  </si>
  <si>
    <t>Bristow T.</t>
  </si>
  <si>
    <t>Experimental open-loop canceller for radar</t>
  </si>
  <si>
    <t>10.1049/ip-f-1.1983.0017</t>
  </si>
  <si>
    <t>2-s2.0-0020704588</t>
  </si>
  <si>
    <t>['separately indexed', 'radar equipment', 'radar antennas', 'pp 3', 'part f', 'n 1', 'main topic', 'feb 1983', 'electric filters', 'aircraft applications']</t>
  </si>
  <si>
    <t>This joint special issue contains 22 papers also published in IEE Proc v 130, part F, n 1, Feb 1983, pp 3-151, under which they are all separately indexed and abstracted. The main topic of discussion are adaptive antenna arrays. Additional topics considered include: antenna radiation patterns, electric filters, radar antennas and interference, radio direction finding, radio air navigation, sonar as well as antenna and radar equipment for aerospace and aircraft applications.</t>
  </si>
  <si>
    <t>IEE Proceedings H: Microwaves Optics and Antennas</t>
  </si>
  <si>
    <t>Griffiths, J. W.R.</t>
  </si>
  <si>
    <t>Griffiths J.W.R.</t>
  </si>
  <si>
    <t>JOINT SPECIAL ISSUE ON ADAPTIVE ARRAYS.</t>
  </si>
  <si>
    <t>10.1049/ip-h-1.1983.0003</t>
  </si>
  <si>
    <t>2-s2.0-0020704825</t>
  </si>
  <si>
    <t>['¬© 1983', 'suboptimum substitute', 'suboptimum approach', 'rights reserved', 'require sampling', 'platform motion', 'paper presents', 'optimum space', 'new results', 'favourable properties', 'electrical engineers', 'echo field', 'doppler frequency', 'doppler characteristics', 'dimensional spectra', 'dimensional filters', 'dimensional filter', 'clutter suppression', 'clutter returns', 'clutter background', 'based radars']</t>
  </si>
  <si>
    <t>The problem of clutter suppression is more serious for airborne than for ground-based radars because the ground returns become Doppler coloured owing to platform motion. Therefore the clutter power depends on both the azimuth and the Doppler frequency. Such two-dimensional spectra can only be suppressed by two-dimensional filters, which require sampling of the echo field in both space and time. This is verified by a phased array radar using coherent pulse trains. The platform motion causes the clutter background to change with time, and any change of the platform velocity results in a change of the Doppler characteristics of the clutter returns. Therefore the two-dimensional filter has to be adaptive. The paper presents some new results on optimum adaptive clutter suppression. For comparison, a suboptimum approach (beamformer plus adaptive temporal filter) is presented. It turns out that the favourable properties of the optimum space-time clutter filter can hardly be achieved by any suboptimum substitute. ¬© 1983, The Institution of Electrical Engineers. All rights reserved.</t>
  </si>
  <si>
    <t>125-132</t>
  </si>
  <si>
    <t>Klemm, R.</t>
  </si>
  <si>
    <t>Fraunhofer-Gesellschaft</t>
  </si>
  <si>
    <t>Klemm R.</t>
  </si>
  <si>
    <t>Adaptive clutter suppression for airborne phased array radars</t>
  </si>
  <si>
    <t>10.1049/ip-f-1.1983.0020</t>
  </si>
  <si>
    <t>2-s2.0-0020704833</t>
  </si>
  <si>
    <t>['¬© 1983', 'unwanted interference', 'rights reserved', 'phased array', 'paper addresses', 'often used', 'nulling resolution', 'nulling bandwidth', 'independent weighting', 'geosynchronous altitude', 'fundamental antenna', 'following topics', 'factors affecting', 'electrical engineers', 'earth seen', 'dependent weighting', 'antennas located', 'antenna types']</t>
  </si>
  <si>
    <t>Antennas | Satellite links and space communication</t>
  </si>
  <si>
    <t>Satellite communication systems must often be designed to operate in the presence of interfering signal sources. Conventionally, bandspreading via signal modulation is often used to combat such unwanted interference. Recently, interest has been focused on supplementing the conventional interference reduction achieved via bandspreading by using antenna radiation pattern shaping achievable with adaptive nulling antennas. Because of the well defined field of view of the earth seen by a satellite at geosynchronous altitude (i.e. a ¬± 9¬∞ cone angle) and the relatively ‚Äòclean‚Äô multipath environment seen by the high-gain ‚Äòearth-looking‚Äô antennas which must be used (as compared with low-gain adaptive antennas on aircraft, or antennas located in a terrestrial environment), it is possible to determine several useful trends unique to this class of adaptive antenna systems. The paper addresses the general considerations inherent in choosing the fundamental antenna and adaptive processor design parameters relative to geosynchronous satellite adaptive systems. The following topics are developed in detail: (a) Choice of antenna types: Phased array against the multiple beam antenna (b) Nulling resolution: Minimum tolerable separation between interference and signal (user) sources (c)Nulling bandwidth: Frequency-independent weighting against frequency-dependent weighting (for example tapped delay lines) (d) Factors affecting the performance of adaptive antenna systems: Channel tracking errors, weighting circuit imperfections etc. ¬© 1983, The Institution of Electrical Engineers. All rights reserved.</t>
  </si>
  <si>
    <t>98-108</t>
  </si>
  <si>
    <t>Mayhan, Joseph T.</t>
  </si>
  <si>
    <t>Massachusetts Institute of Technology</t>
  </si>
  <si>
    <t>Mayhan J.</t>
  </si>
  <si>
    <t>Adaptive antenna design considerations for satellite communication antennas</t>
  </si>
  <si>
    <t>10.1049/ip-f-1.1983.0016</t>
  </si>
  <si>
    <t>2-s2.0-0020704834</t>
  </si>
  <si>
    <t>['¬© 1983', 'tracking performance', 'stationary filter', 'samples required', 'rights reserved', 'nonstationary case', 'iterative solution', 'filter forming', 'electrical engineers', 'digital implementation', 'computer simulation']</t>
  </si>
  <si>
    <t>Antennas | Filters and Filtering</t>
  </si>
  <si>
    <t>Directional interference suppression is based on a recursive estimation procedure of the state of a filter forming the directional interference spectrum. For the stationary filter, this leads to an iterative solution of the Wiener-Hopf matrix equation. It can be shown that the number of samples required for convergence is related to the number of degrees of freedom of the filter. The nonstationary case of a changing interference environment is treated by an appropriate deterministic dynamic process model. Tracking performance and problems of digital implementation are studied by computer simulation. ¬© 1983, The Institution of Electrical Engineers. All rights reserved.</t>
  </si>
  <si>
    <t>36-40</t>
  </si>
  <si>
    <t>Kr√ºcker, K.</t>
  </si>
  <si>
    <t>Kr√ºcker K.</t>
  </si>
  <si>
    <t>Rapid interference suppression using a Kalman filter technique</t>
  </si>
  <si>
    <t>10.1049/ip-f-1.1983.0007</t>
  </si>
  <si>
    <t>2-s2.0-0020704955</t>
  </si>
  <si>
    <t>['¬© 1983', 'stochastic steepest', 'rights reserved', 'methods used', 'gradient techniques', 'example antennas', 'electrical engineers', 'descent algorithm', 'defined manner', 'covariance matrix', 'adaptive manner', 'acoustic transducers']</t>
  </si>
  <si>
    <t>Antennas</t>
  </si>
  <si>
    <t>An array is defined as a set of sensors, for example antennas or acoustic transducers. The outputs from these sensors can be processed in an adaptive manner to respond to an unknown interference environment in an attempt to optimise the performance of the system in some defined manner. The paper is intended as an introduction to, and to some extent a survey of, some of the methods used in adaptive array processing. It has, however, no pretence to be comprehensive. Some of the topics covered include the use of constraints, gradient techniques, including the stochastic steepest-descent algorithm, properties of the covariance matrix, the power inversion algorithm and the use of weight purturbation techniques. ¬© 1983, The Institution of Electrical Engineers. All rights reserved.</t>
  </si>
  <si>
    <t>Loughborough</t>
  </si>
  <si>
    <t>Loughborough University</t>
  </si>
  <si>
    <t>Adaptive array processing A tutorial</t>
  </si>
  <si>
    <t>10.1049/ip-f-1.1983.0002</t>
  </si>
  <si>
    <t>2-s2.0-0020704956</t>
  </si>
  <si>
    <t>['system capacity', 'switched diversity', 'relatively simple', 'reduce substantially', 'received signal', 'percent probability', 'one antenna', 'mobile radio', 'mobile informs', 'flat fading', 'fixed level', 'first described', 'electronics engineers', 'base station', '126 two']</t>
  </si>
  <si>
    <t>Switched diversity with feedback for differential phase shift keying (DPSK) mobile radio is discussed. The technique uses multiple transmit antennas at the base station but only one receive antenna at the mobile. The base station transmits with one antenna that is switched when the mobile informs the base station that the received signal has fallen below a fixed level. The implementation of switched diversity with feedback in a digital mobile radio system is first described, and then the bit error rate performance of the system is analyzed with fading as a function of several design parameters. Implementation of the system is shown to be relatively simple, yet the system is shown to reduce substantially the required received E&lt;inf&gt;b&lt;/inf&gt;/N&lt;inf&gt;0&lt;/inf&gt; for a given error rate at the mobile as compared to a system without diversity. For example, with five transmit antennas the required received E&lt;inf&gt;b&lt;/inf&gt;/N&lt;inf&gt;0&lt;/inf&gt; for a 10&lt;sup&gt;‚Äì3&lt;/sup&gt; bit error rate is 13 dB less. The system capacity and availability assuming 32 kb/s audio and flat fading is then discussed. It is shown that with three-corner base station diversity and four transmit antennas at each base station, 126 two-way circuits per cell can be used in a fully loaded 40-MHz bandwidth system with a ten-percent probability that the error rate exceeds 10-3. Copyright ¬© 1983 by The Institute of Electrical and Electronics Engineers. Inc.</t>
  </si>
  <si>
    <t>134-150</t>
  </si>
  <si>
    <t>IEEE Transactions on Vehicular Technology</t>
  </si>
  <si>
    <t>Winters, Jack H.</t>
  </si>
  <si>
    <t>Murray</t>
  </si>
  <si>
    <t>Nokia Bell Labs</t>
  </si>
  <si>
    <t>Winters J.</t>
  </si>
  <si>
    <t>Switched Diversity with Feedback for DPSK Mobile Radio Systems</t>
  </si>
  <si>
    <t>10.1109/T-VT.1983.23953</t>
  </si>
  <si>
    <t>2-s2.0-0020705028</t>
  </si>
  <si>
    <t>['¬© 1983', 'rights reserved', 'rhombic antennas', 'radio engineers', 'power h', 'power densities', 'periodic antennas', 'particular reference', 'far fields', 'curtain arrays']</t>
  </si>
  <si>
    <t>Antenna arrays | Field strength</t>
  </si>
  <si>
    <t>The types of antenna array commonly used in the UK in conjunction with high-power h.f. transmitters and their principles of operation are outlined. Methods of predicting field strengths and power densities in both the near and far fields of such arrays are discussed. Particular reference is made to curtain arrays, log-periodic antennas, and rhombic antennas. Typical field strength patterns are illustrated for each type. An application is the prediction of the external radio frequency environment in which aircraft and flight weapons systems have to operate. ¬© 1983, The Institution of Electronic and Radio Engineers. All rights reserved.</t>
  </si>
  <si>
    <t>75-80</t>
  </si>
  <si>
    <t>60018829;60018829;60011561</t>
  </si>
  <si>
    <t>7006557224;7202800461;7402682115</t>
  </si>
  <si>
    <t>Davenport, Elizabeth M.;Frank, P. J.;Thomson, J. M.</t>
  </si>
  <si>
    <t>United Kingdom;United Kingdom</t>
  </si>
  <si>
    <t>Farnborough;Farnborough</t>
  </si>
  <si>
    <t>BAE Systems plc;Royal Aircraft Establishment</t>
  </si>
  <si>
    <t>60018829;60011561</t>
  </si>
  <si>
    <t>Davenport E.</t>
  </si>
  <si>
    <t>Prediction of field strengths near h.f. transmitters</t>
  </si>
  <si>
    <t>10.1049/ree.1983.0019</t>
  </si>
  <si>
    <t>2-s2.0-0020705694</t>
  </si>
  <si>
    <t>['transmission lines', 'production unit', 'predicted values', 'physical description', 'particular customer', 'frequency channel', 'design procedure', 'compact design', 'combining unit']</t>
  </si>
  <si>
    <t>A high-frequency channel-combining unit for use with 250kW broadcast transmitters is described. A compact design has been achieved by the use of lumped-component circuit elements rather than transmission lines, and the ability to combine adjacent hf channels allows the use of a single wideband array to radiate two independent programs at the same time. The design procedure and technical solutions reached to meet a particular customer's requirement are discussed, together with a physical description of the unit. The results and performance of a production unit now in service with the BBC are given, and their agreement with predicted values is discussed.</t>
  </si>
  <si>
    <t>17-20</t>
  </si>
  <si>
    <t>Communication and Broadcasting</t>
  </si>
  <si>
    <t>Galloway, Donald</t>
  </si>
  <si>
    <t>Galloway D.</t>
  </si>
  <si>
    <t>250kW h. f Combining Unit.</t>
  </si>
  <si>
    <t>2-s2.0-0020705902</t>
  </si>
  <si>
    <t>['time domain', 'straight wire', 'single transient', 'resolution exploration', 'radiation waveforms', 'radiation efficiency', 'radiation characteristics', 'pulse current', 'previous results', 'practical example', 'nonsinusoidal currents', 'nonsinusoidal current', 'measured data', 'electronics engineers', 'domain analysis', 'analytic expressions', 'also pointed']</t>
  </si>
  <si>
    <t>analysis | nonsinusoidal current excitation | radiation characteristics | time domain | Traveling-wave antennas</t>
  </si>
  <si>
    <t>In this paper, the idea about traveling-wave antennas excited by nonsinusoidal currents for high-resolution exploration is advanced. First the analytic expressions of the radiation waveforms in the far zone produced by a single transient of current traveling along a straight wire are derived in time domain. Then the radiation characteristics of traveling-wave antennas excited by nonsinusoidal current, such as the mean-power pattern functions and the directivity, are given, and the space waveform control and radiation efficiency are discussed. Based on previous results, the radiation waveforms of dipole antennas excited by pulse current are obtained from time-domain analysis. In a practical example, comparing these waveforms with corresponding waveforms obtained from frequency-domain analysis and measured data in [4] and [13], good agreements are obtained in various radiation directions. Some errors in [14] are also pointed out and corrected. Copyright ¬© 1983 by The Institute of Electrical and Electronics Engineers, Inc.</t>
  </si>
  <si>
    <t>24-31</t>
  </si>
  <si>
    <t>Zaiping, Nie</t>
  </si>
  <si>
    <t>China</t>
  </si>
  <si>
    <t>Chengdu</t>
  </si>
  <si>
    <t>University of Electronic Science and Technology of China</t>
  </si>
  <si>
    <t>Zaiping N.</t>
  </si>
  <si>
    <t>Radiation Characteristics of Traveling-Wave Antennas Excited by Nonsinusoidal Currents</t>
  </si>
  <si>
    <t>10.1109/TEMC.1983.304148</t>
  </si>
  <si>
    <t>2-s2.0-0020705963</t>
  </si>
  <si>
    <t>['¬© 1983', 'wave signals', 'usually designed', 'spectral matrix', 'signal suppression', 'rights reserved', 'reject interference', 'paper compares', 'optimum weights', 'optimum beamformers', 'noise cross', 'main beam', 'ill conditioning', 'ideal assumptions', 'examples considered', 'electrical engineers', 'directions outside', 'directional constraints', 'based upon', 'acceptance angle']</t>
  </si>
  <si>
    <t>Optimum beamformers with multiple linear constraints are usually designed under the assumptions of plane-wave signals and an ideal propagation medium. In acutal operating conditions these ideal assumptions do not hold; for example, signal suppression can arise from beam steering angle errors if the optimum weights are calculated from the signal-plus-noise cross-spectral matrix. To overcome this, it is desirable to broaden the signal acceptance angle (i.e. the width of the main beam) while preseving the beamformer's ability to reject interference from directions outside this acceptance angle. This can be accomplished by the use of multiple directional constraints or a single directional constraint combined with multiple derivative constraints. The paper compares the performance of these two constraint systems and shows that the signal suppression of a directional constraint system approaches that of a derivative constraint system as the angle between the directional constraints is decreased. The comparison is based upon the analysis of signal suppression effects and the ill conditioning of the equations for the optimum weight vectors. In the examples considered the derivative constraints avoid the ill conditioning problems associated with the use of multiple directional constraints. ¬© 1983, The Institution of Electrical Engineers. All rights reserved.</t>
  </si>
  <si>
    <t>41-45</t>
  </si>
  <si>
    <t>Steele, A. K.</t>
  </si>
  <si>
    <t>Defence Research Centre</t>
  </si>
  <si>
    <t>Steele A.</t>
  </si>
  <si>
    <t>Comparison of directional and derivative constraints for beamformers subject to multiple linear constraints</t>
  </si>
  <si>
    <t>10.1049/ip-f-1.1983.0008</t>
  </si>
  <si>
    <t>2-s2.0-0020706182</t>
  </si>
  <si>
    <t>['‚ àà', 'wave region', 'wave materials', 'typical millimeter', 'radiation pattern', 'radiating structure', 'procedure utilizes', 'phase constant', 'leakage constant', 'infinite width', 'field distribution', 'electronics engineers', 'directivity gain', 'dielectric constant', 'beam radiation', 'antenna structure', 'antenna characteristics', 'antenna aperture']</t>
  </si>
  <si>
    <t>A theoretical procedure well suited for generating design data on dielectric grating antennas for the millimeter-wave region is presented. The procedure utilizes the effective dielectric constant (EDC) method to determine the phase constant of the leaky modes supported by the antenna structure of finite lateral width. The radiation or leakage constant of these modes is obtained from the relatively simple boundary value problem of dielectric grating antennas of infinite width. For single-beam radiation, the practically interesting case, the phase and leakage constants completely determine the field distribution in the antenna aperture, from which the directivity gain and radiation pattern are then calculated. The dependence of the antenna characteristics on the dimensions of the radiating structure is presented and discussed for ‚àà = 12, the dielectric constant of typical millimeter-wave materials, such as silicon and GaAs. Copyright ¬© 1983 by The Institute of Electrical and Electronics Engineers, Inc.</t>
  </si>
  <si>
    <t>199-209</t>
  </si>
  <si>
    <t>IEEE Transactions on Microwave Theory and Techniques</t>
  </si>
  <si>
    <t>60011199;60108318</t>
  </si>
  <si>
    <t>7003541666;7403589710</t>
  </si>
  <si>
    <t>Schwering, Felix K.;Peng, Song Tsuen</t>
  </si>
  <si>
    <t>New York;Fort Monmouth</t>
  </si>
  <si>
    <t>NYU Tandon School of Engineering;U.S. Army Communications and Electronics Command</t>
  </si>
  <si>
    <t>60108318;60011199</t>
  </si>
  <si>
    <t>Schwering F.K.</t>
  </si>
  <si>
    <t>Design of Dielectric Grating Antennas for Millimeter-Wave Applications</t>
  </si>
  <si>
    <t>10.1109/TMTT.1983.1131458</t>
  </si>
  <si>
    <t>2-s2.0-0020706212</t>
  </si>
  <si>
    <t>['¬© 1983', 'wide variety', 'timevarying environments', 'time shifted', 'suboptimal processing', 'stationary data', 'six octaves', 'sensor errors', 'sensor data', 'sensor amplitude', 'rights reserved', 'reasonable level', 'processing time', 'phase errors', 'particular processing', 'output beam', 'octave bands', 'noise environments', 'gradient constraints', 'general conclusion', 'frequency bands', 'fairly complex', 'electrical engineers', 'domain processor', 'conventional beamformer', 'certain types', 'broadband environment', 'array response', 'array gain']</t>
  </si>
  <si>
    <t>Acoustics | Antennas</t>
  </si>
  <si>
    <t>The paper is a study of a time-domain adaptive array processor operating in a broadband environment. The processor is a variant of that due to Widrow; in particular processing is carried out in octave bands and sensor data are not time shifted. The constraint system consists of four to seven linear point and gradient constraints, together with a soft norm constraint. Computations assume full adaptation, stationary data and sensor amplitude and phase errors. Calculations are made of array gain, array response and of the detectability of wanted-signal spectral lines in the output beam. Comparison is made between the performance of this processor and that of a conventional beamformer and of a frequency-domain adaptive processor. A wide variety of noise environments are selected, some fairly complex. Frequency bands are taken to cover a range of six octaves. The general conclusion is that the time-domain processor is both economical on processing time and has a reasonable level of robustness against sensor errors and timevarying environments. The performance loss due to suboptimal processing is normally not great, but for certain types of noise environments it can be significant. ¬© 1983, The Institution of Electrical Engineers. All rights reserved.</t>
  </si>
  <si>
    <t>139-146</t>
  </si>
  <si>
    <t>Nunn, D.</t>
  </si>
  <si>
    <t>Southampton</t>
  </si>
  <si>
    <t>University of Southampton</t>
  </si>
  <si>
    <t>Nunn D.</t>
  </si>
  <si>
    <t>Performance assessments of a time-domain adaptive processor in a broadband environment</t>
  </si>
  <si>
    <t>10.1049/ip-f-1.1983.0022</t>
  </si>
  <si>
    <t>2-s2.0-0020706378</t>
  </si>
  <si>
    <t>['¬© 1983', 'weights using', 'sidelobe canceller', 'sidelobe cancellation', 'sample size', 'rights reserved', 'radar antenna', 'paper describes', 'mti filters', 'main beam', 'loop approach', 'loop algorithm', 'included concerned', 'hybrid analogue', 'experimental system', 'experimental results', 'electrical engineers', 'digital solution', 'clutter contamination', 'cancellation performance', 'analogue convertors', 'also presented', '12 db']</t>
  </si>
  <si>
    <t>The application of adaptivity in the form of a sidelobe canceller to a rotating radar antenna requires that the adaptive weights employed should be updated at a rate high enough to avoid degradation due to movement of the main beam. The paper describes the design and performance of an experimental sidelobe canceller using a hybrid analogue/digital solution. A dedicated digital processor computes the weights using an open-loop algorithm and applies the results to the analogue signal path via multiplying digital-to-analogue convertors. The open-loop algorithm was chosen in order to avoid convergence problems associated with the closed-loop approach to sidelobe cancellation. A Section is included concerned with the setting-up techniques for the experimental system. Experimental results are presented, including some demonstrating effective use of MTI filters as a means of minimising the clutter contamination of samples. The use of sidelobe cancellation is shown to reduce interference entering via the 23 dB sidelobes of the radar antenna by at least some 12 dB. Data are also presented on the effects of sample size and weight revision frequency on cancellation performance. ¬© 1983, The Institution of Electrical Engineers. All rights reserved.</t>
  </si>
  <si>
    <t>114-117</t>
  </si>
  <si>
    <t>Stone, D.</t>
  </si>
  <si>
    <t>Farnborough</t>
  </si>
  <si>
    <t>BAE Systems plc</t>
  </si>
  <si>
    <t>Stone D.</t>
  </si>
  <si>
    <t>Open-loop adaptivity for rotating antennas</t>
  </si>
  <si>
    <t>10.1049/ip-f-1.1983.0018</t>
  </si>
  <si>
    <t>2-s2.0-0020706379</t>
  </si>
  <si>
    <t>['¬© 1983', 'transient response', 'statistical investigation', 'rights reserved', 'performance available', 'particular array', 'general terms', 'electrical engineers', 'computer program', 'adaptive arrays']</t>
  </si>
  <si>
    <t>A computer program has been written for the statistical investigation of the transient response of adaptive arrays of the radar sidelobe cancellation type, using multiple parallel feedback correlation loops. The expressions for the response are derived, the program is described in general terms, and some results are presented for a particular array, giving an indication of the performance available from these systems. ¬© 1983, The Institution of Electrical Engineers. All rights reserved.</t>
  </si>
  <si>
    <t>46-56</t>
  </si>
  <si>
    <t>Brandwood, D. H.</t>
  </si>
  <si>
    <t>Brandwood D.</t>
  </si>
  <si>
    <t>Convergence time of sidelobe cancellation systems</t>
  </si>
  <si>
    <t>10.1049/ip-f-1.1983.0009</t>
  </si>
  <si>
    <t>2-s2.0-0020706416</t>
  </si>
  <si>
    <t>['wave frequencies', 'structures designed', 'ring antenna', 'mixer structure', 'electronics engineers', 'band model', 'accurate theory', '5 db']</t>
  </si>
  <si>
    <t>An integrated planar antenna-mixer structure for use at millimeter-wave frequencies is described. A simple but accurate theory of the slot-ring antenna is applied to several experimental devices. Mixer conversion loss of about 6.5 dB was obtained from an X-band model. Measured radiation patterns of structures designed for 65 GHz agree reasonably well with theory. Copyright ¬© 1983 by The Institute of Electrical and Electronics Engineers, Inc.</t>
  </si>
  <si>
    <t>164-170</t>
  </si>
  <si>
    <t>60013372;60013372;60013372</t>
  </si>
  <si>
    <t>7102375534;7004380165;36041035600</t>
  </si>
  <si>
    <t>Stephan, Karl D.;Camilleri, Natalino;Itoh, Tatsuo</t>
  </si>
  <si>
    <t>Stephan K.D.</t>
  </si>
  <si>
    <t>A Quasi-Optical Polarization-Duplexed Balanced Mixer for Millimeter-Wave Applications</t>
  </si>
  <si>
    <t>10.1109/TMTT.1983.1131452</t>
  </si>
  <si>
    <t>2-s2.0-0020706433</t>
  </si>
  <si>
    <t>['¬© 1983', 'time series', 'time domains', 'signals received', 'shows clearly', 'rights reserved', 'nonstationary statistics', 'generalised form', 'fundamentally responsible', 'essential differences', 'electrical engineers', 'different elements', 'cascade structure', 'basic similarities', 'antenna array']</t>
  </si>
  <si>
    <t>The basic similarities and essential differences between adaptive processing structures in the space and time domains are considered. Attention is focused on the fact that a cascade structure is required to decorrelate the signals received from different elements of an antenna array, while a very different and more efficient lattice filter structure may be used to decorrelate successive samples of a time series. The difference is explained by examining the Levinson-Durbin recursion algorithm, which essentially gives rise to the lattice filter structure. The algorithm is presented in a generalised form which takes into account the effect of nonstationary statistics and shows clearly how the use of recursion in time is fundamentally responsible for its efficiency. The algorithm is clearly not appropriate for antenna array decorrelation or in the spatial domain generally. ¬© 1983, The Institution of Electrical Engineers. All rights reserved.</t>
  </si>
  <si>
    <t>17-21</t>
  </si>
  <si>
    <t>60026242;60026242</t>
  </si>
  <si>
    <t>7006283363;57124508800</t>
  </si>
  <si>
    <t>McWhirter, J. G.;Shepherd, T. J.</t>
  </si>
  <si>
    <t>Salisbury</t>
  </si>
  <si>
    <t>Defence Science and Technology Laboratory</t>
  </si>
  <si>
    <t>McWhirter J.</t>
  </si>
  <si>
    <t>Adaptive algorithms in the space and time domains</t>
  </si>
  <si>
    <t>10.1049/ip-f-1.1983.0004</t>
  </si>
  <si>
    <t>2-s2.0-0020706716</t>
  </si>
  <si>
    <t>['¬© 1983', 'spectral estimation', 'spatial filter', 'short arrays', 'second utilises', 'rights reserved', 'resolution methods', 'proved useful', 'possible targets', 'paper discusses', 'high resolution', 'first step', 'filters based', 'electrical engineers', 'data received', 'conventional high', 'certain eigenvectors', 'called cigenfilters', 'array data']</t>
  </si>
  <si>
    <t>High-resolution methods of spectral estimation have recently found application in the processing of data received by spatially distributed arrays of sensors. These techniques have been used for estimation of the directional power illuminating the array and have proved useful as a first step in the analysis and classification of possible targets. Several desirable qualities are offered by these spatial spectral analysis techniques: high resolution for short arrays, low sidelobe levels, ability to work with arbitrary array geometries, and tolerance to correlated (multipath) targets being but a few. Spectral estimators based on certain eigenvectors of the data covariancc matrix have these properties. The paper discusses the use of filters based on these eigenvectors (called cigenfilters) in adaptive array processing, and two different estimation algorithms are compared. The first algorithm involves a simple gradient descent approach, while the second utilises a decomposition of the array data by a spatial filter which leads to a triangular structured lattice filter. Comparisons are made between these algorithms and with other conventional high-resolution spectral estimators. ¬© 1983, The Institution of Electrical Engineers. All rights reserved.</t>
  </si>
  <si>
    <t>22-28</t>
  </si>
  <si>
    <t>56897622400;7003573626</t>
  </si>
  <si>
    <t>Durrani, T. S.;Sharman, K. C.</t>
  </si>
  <si>
    <t>Durrani T.</t>
  </si>
  <si>
    <t>Eigenfilter approaches to adaptive array processing</t>
  </si>
  <si>
    <t>10.1049/ip-f-1.1983.0005</t>
  </si>
  <si>
    <t>2-s2.0-0020706752</t>
  </si>
  <si>
    <t>['¬© 1983', 'use justified', 'three examples', 'rights reserved', 'frequently arises', 'electrical engineers', 'complex vector']</t>
  </si>
  <si>
    <t>Antennas | Mathematical techniques</t>
  </si>
  <si>
    <t>The problem of minimising a real scalar quantity (for example array output power, or mean square error) as a function of a complex vector (the set of weights) frequently arises in adaptive array theory. A complex gradient operator is defined in the paper for this purpose and its use justified. Three examples of its application to array theory problems are given. ¬© 1983, The Institution of Electrical Engineers. All rights reserved.</t>
  </si>
  <si>
    <t>A complex gradient operator and its application in adaptive array theory</t>
  </si>
  <si>
    <t>10.1049/ip-f-1.1983.0003</t>
  </si>
  <si>
    <t>2-s2.0-0020706753</t>
  </si>
  <si>
    <t>['steerable antenna', 'spacecraft technology', 'sensing instruments', 'project galileo', 'planetary mission', 'particles instruments', 'next u', 'major advance', 'late spring', 'jupiter system', 'electromechanically despun', 'comprehensive investigation', 'carries remote', '3 rpm']</t>
  </si>
  <si>
    <t>Project Galileo, the next U. S. planetary mission, will be launched by Shuttle/Centaur in the late spring of 1986 to perform a far more intensive and comprehensive investigation of the Jupiter system than was possible with Voyager. The Galileo planetary spacecraft represents a major advance in spacecraft technology - it is the first planetary dual-spinner. Galileo will have two major separate structures in constant relative motion. One will spin at 3 rpm to provide attitude stabilization and a continuously revolving platform for the fields-and-particles instruments. The other, electromechanically despun to provide a three-axis inertially stable platform, carries remote-sensing instruments on an orthogonally hinged scan platform. The despun section likewise mounts a steerable antenna for receiving probe data.</t>
  </si>
  <si>
    <t>Astronautics &amp; aeronautics New York, N.Y.</t>
  </si>
  <si>
    <t>7201946583;6602345236</t>
  </si>
  <si>
    <t>Diaz, Al;Casani, John R.</t>
  </si>
  <si>
    <t>Diaz A.</t>
  </si>
  <si>
    <t>GALILEO 1986 ON CENTAUR.</t>
  </si>
  <si>
    <t>2-s2.0-0020707476</t>
  </si>
  <si>
    <t>['time derivative', 'matched load', 'electronics engineers', 'electric field', 'conical surface', 'characteristic impedance', 'angle subtended', '82 rad', '50œ ©.', '47 ¬∞']</t>
  </si>
  <si>
    <t>Conical antenna | frequency-related properties | probe</t>
  </si>
  <si>
    <t>The electrically small wide-angled spherically capped conical monopole is shown to have frequency-related properties closely resembling those of the electrically thin cylindrical dipole. It is frequency-independent when used to measure the time derivative of the electric field when it is connected to a matched load and kL = kl(1 + Œ∏&lt;inf&gt;0&lt;/inf&gt;) ‚â§ 1. Here is the radius of the conical surface and Œ∏&lt;inf&gt;0&lt;/inf&gt; is half of the angle subtended by the cone. Graphs are shown for Œ∏&lt;inf&gt;0&lt;/inf&gt; = 47¬∞ = 0.82 rad for which the characteristic impedance is 50Œ©. Copyright ¬© 1983 by The Institute of Electrical and Electronics Engineers, Inc.</t>
  </si>
  <si>
    <t>King, Ronold W.P.</t>
  </si>
  <si>
    <t>King R.W.P.</t>
  </si>
  <si>
    <t>The Conical Antenna as a Sensor or Probe</t>
  </si>
  <si>
    <t>10.1109/TEMC.1983.304146</t>
  </si>
  <si>
    <t>2-s2.0-0020707637</t>
  </si>
  <si>
    <t>['type problems', 'making use', 'electronics engineers', 'applied electromagnetics', 'antenna theory']</t>
  </si>
  <si>
    <t>A senior/first-year graduate elective course is described, which uses the subject of antenna theory and design as a vehicle for stimulating student interest in applied electromagnetics as an area of study and, possibly, as a career. This goal was attained by making use of demonstrations, optional student papers, and design-type problems. Copyright ¬© 1983 by The Institute of Electrical and Electronics Engineers, Inc.</t>
  </si>
  <si>
    <t>16-21</t>
  </si>
  <si>
    <t>IEEE Transactions on Education</t>
  </si>
  <si>
    <t>Pozar, David M.</t>
  </si>
  <si>
    <t>Amherst MA</t>
  </si>
  <si>
    <t>University of Massachusetts Amherst</t>
  </si>
  <si>
    <t>Pozar D.</t>
  </si>
  <si>
    <t>A Modern Course in Antenna Theory and Design</t>
  </si>
  <si>
    <t>10.1109/TE.1983.4321585</t>
  </si>
  <si>
    <t>2-s2.0-0020707830</t>
  </si>
  <si>
    <t>['¬© 1983', 'unity response', 'theoretical values', 'strong interference', 'rights reserved', 'reasonable agreement', 'phase errors', 'one case', 'marked discrepancy', 'look direction', 'frequency domain', 'electrical engineers', 'convergence rates', 'adaptive beamforming']</t>
  </si>
  <si>
    <t>Using sonar data characterised by the presence of a strong interference, adaptive beamforming is performed by the stochastic gradient descent algorithm in the frequency domain. The weights are constrained to have a unity response in the look direction. Convergence rates are estimated from averaged adaption curves, and, in most cases, these are found to be in reasonable agreement with theoretical values. It is conjectured that a marked discrepancy in one case is due to phase errors in the data covariance matrix. ¬© 1983, The Institution of Electrical Engineers. All rights reserved.</t>
  </si>
  <si>
    <t>147-151</t>
  </si>
  <si>
    <t>Sweet, D. R.</t>
  </si>
  <si>
    <t>Sweet D.</t>
  </si>
  <si>
    <t>Performance of stochastic gradient descent adaptive beamforming using sonar data</t>
  </si>
  <si>
    <t>10.1049/ip-f-1.1983.0023</t>
  </si>
  <si>
    <t>2-s2.0-0020707898</t>
  </si>
  <si>
    <t>['¬© 1983', 'time averaging', 'signals received', 'rights reserved', 'received signals', 'received data', 'null widths', 'null tracker', 'made narrower', 'experimental work', 'element array', 'electrical engineers', 'direction finding', 'conventional methods', 'beam formed']</t>
  </si>
  <si>
    <t>Antennas | Radionavigation</t>
  </si>
  <si>
    <t>Signals received by a multiple-element array can be processed by an adaptive null steering algorithm which treats the ‚Äòsignals‚Äô as ‚Äòjammers‚Äô, thereby potentially forming discrete nulls in the directions of arrival of individual signal components. Use of a null tracker can therefore be proposed as a means of direction finding, and, since the null widths can be made narrower than the width of a beam formed by the same aperture, it can be asserted that such a technique will achieve better resolution than conventional methods. The improved performance potentially available with the technique is compared with an exemplary convention method. The extent to which this potential can be approached is assessed in the light of receiver channel errors, finite-time averaging of the received data and the degree of correlation between received signals. Some results of experimental work are included. ¬© 1983, The Institution of Electrical Engineers. All rights reserved.</t>
  </si>
  <si>
    <t>78-83</t>
  </si>
  <si>
    <t>Barton, P.</t>
  </si>
  <si>
    <t>Harlow</t>
  </si>
  <si>
    <t>Standard Telecommunication Laboratories Ltd.</t>
  </si>
  <si>
    <t>Barton P.</t>
  </si>
  <si>
    <t>Direction finding using an adaptive null tracker</t>
  </si>
  <si>
    <t>10.1049/ip-f-1.1983.0013</t>
  </si>
  <si>
    <t>2-s2.0-0020707899</t>
  </si>
  <si>
    <t>['¬© 1983', 'wave bands', 'rights reserved', 'problems encountered', 'lower short', 'ionospheric reflection', 'experimental performance', 'electrical engineers', 'deleterious effects', 'algorithmic details']</t>
  </si>
  <si>
    <t>Antennas | Radio communication</t>
  </si>
  <si>
    <t>Algorithmic details and the experimental performance of a large-scale HF adaptive antenna array implemented on a computer-controlled beam steering system are described. The results are obtained in the medium-wave and lower short-wave bands and show that ionospheric reflection can have deleterious effects on the ability to cancel interference sources. Some of the problems encountered in developing the software are discussed. ¬© 1983, The Institution of Electrical Engineers. All rights reserved.</t>
  </si>
  <si>
    <t>91-97</t>
  </si>
  <si>
    <t>60000891;60012471;60010571</t>
  </si>
  <si>
    <t>7402565933;7103141412;7005144794</t>
  </si>
  <si>
    <t>Hudson, J. E.;Ratner, A. S.;Cantoni, A. C.</t>
  </si>
  <si>
    <t>United States;Australia;United Kingdom</t>
  </si>
  <si>
    <t>;Callaghan;Loughborough</t>
  </si>
  <si>
    <t>United States Department of Defense;The University of Newcastle, Australia;Loughborough University</t>
  </si>
  <si>
    <t>60012471;60010571;60000891</t>
  </si>
  <si>
    <t>Hudson J.E.</t>
  </si>
  <si>
    <t>Coefficient perturbation adaptive HF array</t>
  </si>
  <si>
    <t>10.1049/ip-f-1.1983.0015</t>
  </si>
  <si>
    <t>2-s2.0-0020708026</t>
  </si>
  <si>
    <t>['¬© 1983', 'well established', 'rights reserved', 'passive detection', 'optimal performance', 'noise ratio', 'noise gain', 'mismatch occurs', 'important case', 'ideal conditions', 'give near', 'electrical engineers', 'domain technique', 'algorithm enhances']</t>
  </si>
  <si>
    <t>Adaptive array techniques which seek to optimise the passive detection of an acoustic narrowband source under ideal conditions are well established. The paper gives details of a frequency-domain technique which has modest hardware requirements and yet is capable of operation in a highly nonstationary environment. In addition, the algorithm enhances both signal/noise gain and detectability when mismatch occurs, particularly for the important case of low input signal/noise ratio. The suggested technique includes linear interpolation, and yet is shown to give near-optimal performance. ¬© 1983, The Institution of Electrical Engineers. All rights reserved.</t>
  </si>
  <si>
    <t>133-138</t>
  </si>
  <si>
    <t>60025225;60025225</t>
  </si>
  <si>
    <t>7003406984;7102917970</t>
  </si>
  <si>
    <t>Farrier, D. R.;Hicks, T. J.</t>
  </si>
  <si>
    <t>Farrier D.</t>
  </si>
  <si>
    <t>Detection of narrowband sources by an array</t>
  </si>
  <si>
    <t>10.1049/ip-f-1.1983.0021</t>
  </si>
  <si>
    <t>2-s2.0-0020708137</t>
  </si>
  <si>
    <t>['¬© 1983', 'weight control', 'transient response', 'small perturbations', 'simulation shows', 'rights reserved', 'resulting system', 'reference signal', 'processor behaviour', 'particular advantages', 'microprocessor allows', 'low cost', 'lms algorithm', 'larger perturbations', 'interesting examples', 'great flexibility', 'element array', 'electrical engineers', 'described uses', 'dedicated hardware', 'complicated features', 'clamped weight', 'adaptive processor']</t>
  </si>
  <si>
    <t>The adaptive processor here described uses a perturbation algorithm embodied in a microprocessor, and has been used with a four-element array. The resulting system is of low cost and great flexibility, with particular advantages for installation in aircraft. The transient response is shown to be of the same form as that of an LMS algorithm for small perturbations, and a simulation shows the deviations from this form for larger perturbations. The simulation also provided some interesting examples of processor behaviour, as well as being used to determine several design parameters. The use of a microprocessor allows more complicated features to be used than is possible with dedicated hardware. An example is the weight rescaling process which takes the place of the clamped weight or reference signal. The hardware description includes the highly successful weight linearisation technique used. Good linearity keeps to a minimum the word length used for weight control, and is essential to the weight rescaling process. ¬© 1983, The Institution of Electrical Engineers. All rights reserved.</t>
  </si>
  <si>
    <t>84-90</t>
  </si>
  <si>
    <t>Kilvington, J.</t>
  </si>
  <si>
    <t>Royal Aircraft Establishment</t>
  </si>
  <si>
    <t>Kilvington J.</t>
  </si>
  <si>
    <t>Perturbation adaptive array processor for airborne application</t>
  </si>
  <si>
    <t>10.1049/ip-f-1.1983.0014</t>
  </si>
  <si>
    <t>2-s2.0-0020708138</t>
  </si>
  <si>
    <t>['¬© 1983', 'thresholding performance', 'suitable choice', 'straightforward discussion', 'severe implications', 'rights reserved', 'resultant degradation', 'received signals', 'problems associated', 'paper presents', 'nulling characteristics', 'multiple signals', 'many applications', 'integration loss', 'hardware design', 'gradient estimate', 'electrical engineers', 'correlation process', 'adjustable threshold', 'adaptive process', 'adaptive antennas']</t>
  </si>
  <si>
    <t>There are many applications of adaptive antennas where it is desirable to set an adjustable threshold below which received signals are not nulled by the adaptive process. This may be achieved with a gradient descent adaptive control algorithm by a suitable choice of integration loss and update gain factors. Generally, the gradient estimate is obtained by a correlation process, and the hardware design can be simplified by incorporating some form of signal limiting prior to the correlator. However, it is known that this can also have severe implications on the thresholding performance in the presence of multiple signals. The paper presents a straightforward discussion of the problems associated with the use of limiting and analyses the resultant degradation of the nulling characteristics of the array. ¬© 1983, The Institution of Electrical Engineers. All rights reserved.</t>
  </si>
  <si>
    <t>63-66</t>
  </si>
  <si>
    <t>60082676;60082676</t>
  </si>
  <si>
    <t>7401533615;7005457527</t>
  </si>
  <si>
    <t>Ward, C. R.;Hargrave, P. J.</t>
  </si>
  <si>
    <t>Ward C.</t>
  </si>
  <si>
    <t>Problems associated with correlation-loop adaptive antennas employing hard limiting</t>
  </si>
  <si>
    <t>10.1049/ip-f-1.1983.0011</t>
  </si>
  <si>
    <t>2-s2.0-0020708324</t>
  </si>
  <si>
    <t>['¬© 1983', 'work performed', 'weight values', 'transversal filter', 'tap weighting', 'tap system', 'roke manor', 'rights reserved', 'residual power', 'practical work', 'potential improvement', 'paper covers', 'paper begins', 'matrix equation', 'evaluations show', 'electrical engineers', 'correlation loop', 'conventional system', 'broadband cancellation']</t>
  </si>
  <si>
    <t>The performance of current cancellation systems is limited when broadband cancellation is required. The paper covers some of the work performed at Plessey (Roke Manor) to overcome these problems by using an adaptive transversal filter. The paper begins by considering some of the effects which limit broadband performance of current cancellation equipment. Secondly, assuming that each tap weighting of the transversal filter is controlled by a correlation loop, a matrix equation is derived for these weight values. From this the residual signal level can be found. The paper then explains the computer program used to solve the matrix equation for given input signal conditions. This result is then used to find the residual power. These evaluations show the potential improvement of an ATF cancellation system compared with a conventional system. Finally, practical work with a four-tap system is discussed, and an improved cancellation performance is demonstrated using low-cost cancellation loops. ¬© 1983, The Institution of Electrical Engineers. All rights reserved.</t>
  </si>
  <si>
    <t>29-35</t>
  </si>
  <si>
    <t>Scott, K. K.</t>
  </si>
  <si>
    <t>Scott K.</t>
  </si>
  <si>
    <t>Transversal filter techniques for adaptive array applications</t>
  </si>
  <si>
    <t>10.1049/ip-f-1.1983.0006</t>
  </si>
  <si>
    <t>2-s2.0-0020708325</t>
  </si>
  <si>
    <t>['¬© 1983', 'wide range', 'wanted signal', 'several types', 'rights reserved', 'electrical engineers', 'design equations', 'design approach', 'control law', 'compact processor', 'choice enables', 'avoid cancellation']</t>
  </si>
  <si>
    <t>The design and operation of a compact processor for small adaptive arrays is described. The control law is based on the minimisation of the array output power subject to a linear weight constraint. This choice enables the processor to be used in a wide range of applications using relatively simple control techniques to avoid cancellation of the wanted signal. Practical results supporting many of the design equations are provided, and several types of application are discussed. The design approach has been chosen to facilitate a future VLSI implementation. ¬© 1983, The Institution of Electrical Engineers. All rights reserved.</t>
  </si>
  <si>
    <t>57-62</t>
  </si>
  <si>
    <t>7102976911;7401533615</t>
  </si>
  <si>
    <t>Searle, J. G.;Ward, C. R.</t>
  </si>
  <si>
    <t>Searle J.</t>
  </si>
  <si>
    <t>Multifunction adaptive processor for small antenna arrays</t>
  </si>
  <si>
    <t>10.1049/ip-f-1.1983.0010</t>
  </si>
  <si>
    <t>2-s2.0-0020708431</t>
  </si>
  <si>
    <t>['¬© 1983', 'wanted signals', 'unwanted interference', 'standard receivers', 'special encoding', 'simple form', 'rights reserved', 'real time', 'philosophy behind', 'paper describes', 'level interference', 'electronically steering', 'electrical engineers', 'directional properties', 'brief details']</t>
  </si>
  <si>
    <t>Antennas | Radiocommunication | Signal processing</t>
  </si>
  <si>
    <t>The paper describes an experimental wideband antenna and adaptive signal processing system which has the ability to exhibit an omnidirectional azimuth radiation pattern which can be modified in real time to minimise the effects of unwanted interference. The philosophy behind the use of circular antenna arrays for this system and brief details of their directional properties are given. To enable the adaptive signal processing system to be used in existing communication links, with standard receivers and no extra-special encoding of wanted signals, a simple form of open-loop adaptive control has been devised. This concept has been implemented in an experimental system based upon a four-element circular array and capable of electronically steering a single directional null against high-level interference. Finally, results from an experimental array operating over the 200‚Äì400 MHz band are presented to illustrate and qualify the concepts and theoretically predicted results. ¬© 1983, The Institution of Electrical Engineers. All rights reserved.</t>
  </si>
  <si>
    <t>67-77</t>
  </si>
  <si>
    <t>UHF circular arrays incorporating open-loop null steering for communications</t>
  </si>
  <si>
    <t>10.1049/ip-f-1.1983.0012</t>
  </si>
  <si>
    <t>2-s2.0-0020708808</t>
  </si>
  <si>
    <t>['¬© 1983', 'theoretical aspects', 'rights reserved', 'published concerning', 'practical results', 'phased array', 'partial adaptivity', 'electrical engineers', 'although much']</t>
  </si>
  <si>
    <t>Although much has been published concerning the theoretical aspects of adaptive antenna arrays, practical results are scarce. A phased array with partial adaptivity is described, and preliminary experimental results showing its performance against multiple noise jammers are presented and discussed. The factors which limit the cancellation which can be achieved by such an adaptive phased array are outlined. ¬© 1983, The Institution of Electrical Engineers. All rights reserved.</t>
  </si>
  <si>
    <t>118-124</t>
  </si>
  <si>
    <t>Wardrop, B.</t>
  </si>
  <si>
    <t>Wardrop B.</t>
  </si>
  <si>
    <t>Experimental linear phased array with partial adaptivity</t>
  </si>
  <si>
    <t>10.1049/ip-f-1.1983.0019</t>
  </si>
  <si>
    <t>2-s2.0-0020708938</t>
  </si>
  <si>
    <t>['various modes', 'signal processing', 'scr triggers', 'locked loop', 'elevation axes', 'controller uses', 'compensation filters', 'bit microprocessor', 'also discussed']</t>
  </si>
  <si>
    <t>A microprocessor-based Digital Controller providing complete control of the antenna in both azimuth and elevation axes of a tracking system like Radar or Telecommand or Telemetry, in the various modes of tracking, positioning and acquisition is presented. The controller uses a single Zilog Z-8002-16-bit Microprocessor for signal processing and controlling of antenna in both axes. The controller incorporates digital signal processing and control functions like error generation in various modes, compensation filters, current and rate feed backs and digitally-controlled SCR power amplifiers incorporating phase-locked loop (PLL) technique for synchronization of SCR triggers. Adaptive bandwidth control for excellent tracking accuracy under different target situations is also discussed.</t>
  </si>
  <si>
    <t>57-61</t>
  </si>
  <si>
    <t>57220644902;57197006902</t>
  </si>
  <si>
    <t>Raghavan, S. V.;Satyanarayana, T.</t>
  </si>
  <si>
    <t>Raghavan S.V.</t>
  </si>
  <si>
    <t>MICROPROCESSOR-BASED DIGITAL CONTROLLER FOR ANTENNA POINTING SYSTEMS.</t>
  </si>
  <si>
    <t>10.1080/03772063.1983.11452943</t>
  </si>
  <si>
    <t>2-s2.0-0020711671</t>
  </si>
  <si>
    <t>['wave microwaves', 'significant effect', 'represent rates', 'power density', 'power densities', 'parameter investigated', 'min exposures', 'mhz microwaves', 'forced convection', 'far field', 'exposure duration', 'early minutes', 'cooler environment', 'control levels', 'animals learned', 'anechoic chamber', 'air temperature', 'air sources', '4 mw', '20 mw', '150 min', '0 w']</t>
  </si>
  <si>
    <t>During 10-min exposures to 2450-MHz microwaves at a power density of 6-8 m W/cm2, squirrel monkeys reliably select a cooler environment. Exposure duration, at power densities above and below this threshold, was the parameter investigated in these experiments. Monkeys were restrained in the far field of a horn antenna inside a 1.8 x 1.8 x 2.5 m anechoic chamber which was heated and cooled by forced convection. The animals learned to control the temperature of the circulating chamber air by selecting between cold (10-15 degrees C) and warm (50-55 degrees C) air sources. During the experiments, they were exposed to 12.4-cm (2450-MHz) continuous-wave microwaves for periods from 5 to 150 min. Microwave power densities explored were 4, 10, and 20 mW/cm2 which represent rates of whole-body energy absorption that range from approximately, .6 to 3.0 W/kg. No microwaves were present during 4-hr control experiments. The 4 mW/cm2 microwave exposure did not modify thermoregulatory behavior, no matter how long it lasted. The 10 and 20 mW/cm2 exposures stimulated the monkeys to select ambient temperatures 1.5 and 3.0 degrees C cooler than control levels, respectively. Except during the first microwave presentation of a series, or during the early minutes of a single long exposure, duration had no significant effect on selection of air temperature or on the body temperatures achieved thereby.</t>
  </si>
  <si>
    <t>49-61</t>
  </si>
  <si>
    <t>Behavioral neuroscience</t>
  </si>
  <si>
    <t>7005831657;7202518964</t>
  </si>
  <si>
    <t>Adair, E. R.;Adams, B. W.</t>
  </si>
  <si>
    <t>Adair E.</t>
  </si>
  <si>
    <t>Behavioral thermoregulation in the squirrel monkey: adaptation processes during prolonged microwave exposure.</t>
  </si>
  <si>
    <t>10.1037/0735-7044.97.1.49</t>
  </si>
  <si>
    <t>2-s2.0-0020713771</t>
  </si>
  <si>
    <t>['ultradirectional emitters', 'transparent cryostat', 'tested experimentally', 'moderate degree', 'major contribution', 'effectively limit', 'different types', 'cryostat material']</t>
  </si>
  <si>
    <t>A superconducting quadrupole emitter which possesses a moderate degree of ultradirectivity is used to analyze the different types of loss which effectively limit the use of superconductivity in the design of compact ultradirectional emitters. The quantitative results indicate that the major contribution to losses in an ultradirectional superconducting emitter may be due to the rf-transparent cryostat. Particular attention must therefore be given to selecting the cryostat material and design when ultradirectional emitters are tested experimentally.</t>
  </si>
  <si>
    <t>348-349</t>
  </si>
  <si>
    <t>Soviet physics. Technical physics</t>
  </si>
  <si>
    <t>Mar</t>
  </si>
  <si>
    <t>7005950428;7005803318;6506312656</t>
  </si>
  <si>
    <t>Vendik, O. G.;Kozyrev, A. B.;Krivetskov, S. E.</t>
  </si>
  <si>
    <t>Vendik O.</t>
  </si>
  <si>
    <t>CONTRIBUTION FROM VARIOUS TYPES OF LOSSES TO TOTAL DAMPING IN AN ULTRADIRECTIONAL EMITTER.</t>
  </si>
  <si>
    <t>2-s2.0-0020715097</t>
  </si>
  <si>
    <t>['various types', 'temporal structure', 'special features', 'nonstationary excitation', 'exact solution', 'electromagnetic field', 'arbitrary time']</t>
  </si>
  <si>
    <t>An exact solution to the problem is obtained for an arbitrary time-dependence of the source. The spatial-temporal structure of various types of waves is discussed. Special features of the transient for nonstationary excitation of the electromagnetic field are discussed.</t>
  </si>
  <si>
    <t>Borisov, V. V.</t>
  </si>
  <si>
    <t>Borisov V.</t>
  </si>
  <si>
    <t>NONPERIODIC ELECTROMAGNETIC FIELDS IN A SECTORAL HORN.</t>
  </si>
  <si>
    <t>2-s2.0-0020715285</t>
  </si>
  <si>
    <t>['great severity', 'frequency band', '766 mhz']</t>
  </si>
  <si>
    <t>Antennas for the reception of TV broadcast signals from satellites are considered. They operate in the frequency band from 742 to 766 MHz and are suitable for operation in regions where icing conditions occur frequently and with great severity. The results of the development of antennas, which satisfy these requirements, are presented in the discussion.</t>
  </si>
  <si>
    <t>57192441006;7006181069;6506387175</t>
  </si>
  <si>
    <t>Kuznetsov, V. D.;Paramonov, V. K.;Soshnikova, N. V.</t>
  </si>
  <si>
    <t>Kuznetsov V.</t>
  </si>
  <si>
    <t>NEW RECEIVING ANTENNAS FOR THE 'EKRAN' SYSTEM.</t>
  </si>
  <si>
    <t>2-s2.0-0020715307</t>
  </si>
  <si>
    <t>['specific factors', 'rpr using', 'rpr ),', 'radiation patterns', 'performance characteristics', 'paper calculates', 'multibeam propagation', 'geometrical theory', 'field scattered']</t>
  </si>
  <si>
    <t>When radio relay links (RRL) are designed with reflector-type passive repeaters (RPR), it is necessary to take into consideration a number of specific factors which affect the performance characteristics of a RRL as the result of the properties of the radiation patterns (RP) of the repeater and the possibility of multibeam propagation of the signal over the hops using RPR. The paper calculates the level of the field scattered by a RPR using the geometrical theory of diffraction.</t>
  </si>
  <si>
    <t>Nafikov, Yu I.</t>
  </si>
  <si>
    <t>Nafikov Y.</t>
  </si>
  <si>
    <t>DIRECTIONAL PROPERTIES OF PASSIVE REFLECTOR-TYPE REPEATERS.</t>
  </si>
  <si>
    <t>2-s2.0-0020715325</t>
  </si>
  <si>
    <t>['signal amplitudes', 'quasioptimum algorithm', 'polynomial expansion', 'obtained algorithm', 'equidistant array']</t>
  </si>
  <si>
    <t>A quasioptimum algorithm is synthesized for measuring the coefficients of the polynomial expansion of the distribution of signal amplitudes and phases at the outputs of the elements of a equidistant array. A comparison is made between the accuracy of the phase measurement using the obtained algorithm and the accuracy of the measurements using autonomous automatic phase control (APC) circuits in the channels of the individual array elements.</t>
  </si>
  <si>
    <t>65-73</t>
  </si>
  <si>
    <t>7103225019;6505936754</t>
  </si>
  <si>
    <t>Maslov, A. F.;Nesterov, K. P.</t>
  </si>
  <si>
    <t>Maslov A.</t>
  </si>
  <si>
    <t>QUASIOPTIMUM ALGORITHM FOR MEASURING THE AMPLITUDES AND PHASES OF SIGNALS AT THE OUTPUTS OF ELEMENTS OF A RECEIVER ANTENNA ARRAY, OPERATING IN AN INHOMOGENEOUS MEDIUM.</t>
  </si>
  <si>
    <t>2-s2.0-0020715450</t>
  </si>
  <si>
    <t>['wiley company', 'theoretical values', 'theoretical data', 'radiation pattern', 'radiation efficiency', 'propagation constant', 'main beam', 'm2 shifts', 'leaky wave', 'inc .,', 'given analytically', 'complex perturbation', '5 degrees', '1 wb']</t>
  </si>
  <si>
    <t>A theoretical analysis based on the multiple scale method is presented for the behavior of the leaky wave in a corrugated ferrite image guide. the attenuation of the guided mode due to leakage is given analytically as a complex perturbation of the propagation constant. As an application of this structure, a millimeter wave leaky wave antenna has been considered and its radiation efficiency and directivity have been studied. Next, experiments are carried out for a leaky wave antenna using a poly‚Äêcrystalline YIG slab. the radiation pattern has been measured in the 40‚ÄêGHz band and compared with theoretical values. A change in dc magnetic bias by 1 Wb/m2 shifts the main beam to be scanned by 17.5 degrees. the experimental results agree well with theoretical data. Copyright ¬© 1983 Wiley Periodicals, Inc., A Wiley Company</t>
  </si>
  <si>
    <t>70-79</t>
  </si>
  <si>
    <t>60024322;60024322;60024322;60024322</t>
  </si>
  <si>
    <t>35511585800;7203046419;7201754934;35567682900</t>
  </si>
  <si>
    <t>Ohira, Takashi;Yuasa, Tetsuji;Tsutsumi, Makoto;Kumagai, Nobuaki</t>
  </si>
  <si>
    <t>Suita</t>
  </si>
  <si>
    <t>Osaka University</t>
  </si>
  <si>
    <t>Ohira T.</t>
  </si>
  <si>
    <t>Radiation of millimeter waves from a corrugated ferrite‚Äêslab waveguide</t>
  </si>
  <si>
    <t>10.1002/ecja.4400660310</t>
  </si>
  <si>
    <t>2-s2.0-0020715621</t>
  </si>
  <si>
    <t>['wiley company', 'upper limit', 'theoretical analysis', 'sufficiently useful', 'small g', 'reasonably large', 'often impractical', 'numerical calculations', 'interference power', 'inc .,', 'important criteria', 'desired snr', 'desired signal', 'communication system', 'arrival angle', 'array design', 'angular error', 'angle error', 'amplifier gain', 'accurately known']</t>
  </si>
  <si>
    <t>When a Howells‚ÄêApplebaum adaptive array is used in a communication system, the receiving side must know the frequency and arrival angle of the desired signal. However, it is often impractical to assume that the arrival angle is accurately known. It is of importance to determine the degradation of output characteristics due to the angular error in arrival angle of the desired signal. This paper first presents a theoretical analysis of the steady‚Äêstate performance of the array when only the desired signal exists and angular error is contained in it. A condition is found under which the desired SNR is obtainable from the angle error profile. A formula is derived by which the upper limit of the amplifier gain or the allowable upper limit in the angle error is obtained. These limits are important criteria in the array design. Some numerical calculations are conducted for angle error characteristics in the presence of interference and the effectiveness of the derived design criteria. It is found that these criteria are sufficiently useful if the amplifier gain g normalized by the thermal noise power is larger than unity or if for a small g the interference power is reasonably large. This is because the angle error characteristics are better than those in the absence of interference. Copyright ¬© 1983 Wiley Periodicals, Inc., A Wiley Company</t>
  </si>
  <si>
    <t>80-88</t>
  </si>
  <si>
    <t>6603767346;35516180700;7404897527</t>
  </si>
  <si>
    <t>Ohmiya, Manabu;Ogawa, Yasutaka;Itoh, Kiyohiko</t>
  </si>
  <si>
    <t>Ohmiya M.</t>
  </si>
  <si>
    <t>Effects of desired signal arrival angle errors on the steady‚Äêstate performance of a howells‚Äêapplebaum adaptive array</t>
  </si>
  <si>
    <t>10.1002/ecja.4400660311</t>
  </si>
  <si>
    <t>2-s2.0-0020715670</t>
  </si>
  <si>
    <t>['vlbi ).', 'video bandwidth', 'system parameters', 'study reviews', 'physical quantities', 'phase fluctuations', 'noise ratio', 'loss due', 'loss caused', 'integration time', 'improvement factor', 'important factor', 'formal error', 'clock offsets', 'baseline interferometry', 'baseline components', 'bandwidth synthesis', 'antenna gain', 'also presented', '3 system']</t>
  </si>
  <si>
    <t>This study reviews a signal-to-noise ratio (SNR) in Very-Long-Baseline Interferometry (VLBI). The SNR is an important factor to estimate a delay observation error and a formal error on solved-for parameters, such as baseline components, clock offsets and other physical quantities. The SNR is expressed as a function of system parameters, such as antenna gain, system noise temperature, video bandwidth and integration time, etc. Delay observation error is given in terms of the SNR and an 'improvement factor' of bandwidth synthesis by taking coherence loss into account. Also presented is the estimation of the loss caused in a K-3 VLBI system, i. e. Japanese VLBI system developed for Japan-US joint VLBI experiments starting early in 1984, and the estimation of the loss due to the phase fluctuations under the worst, the best and typical weather conditions. The phase fluctuations under the typical weather condition is based on experimental results obtained by using a K-2 VLBI system, which is a real-time VLBI system developed before the K-3 system.</t>
  </si>
  <si>
    <t>59-87</t>
  </si>
  <si>
    <t>Journal of the Radio Research Laboratory</t>
  </si>
  <si>
    <t>Kawaguchi, Noriyuki</t>
  </si>
  <si>
    <t>Kawaguchi N.</t>
  </si>
  <si>
    <t>COHERENCE LOSS AND DELAY OBSERVATION ERROR IN VERY-LONG-BASELINE INTERFEROMETRY.</t>
  </si>
  <si>
    <t>2-s2.0-0020715769</t>
  </si>
  <si>
    <t>['superconducting emitters', 'receiving antennas', 'practical implementation', 'overall size', 'oscillators increases', 'optimal conditions', 'noise receiver', 'maximum reduction', 'great interest', 'fourfold reduction', 'four elements', 'cryostat ).']</t>
  </si>
  <si>
    <t>The design of compact, superconducting emitters (including ultradirectional emitters) is of great interest with regard to reducing the size of receiving antennas. It is shown that the maximum reduction in the dimensions of an ultradirectional emitter obtainable by cooling the low-noise receiver and using superconducting components decreases as the total number N of oscillators increases. Practical implementation of a circular ultradirectional superconducting array with more than four elements is therefore not advisable. A fourfold reduction in overall size is possible for a four-component array excited under optimal conditions (neglecting the size of the cryostat).</t>
  </si>
  <si>
    <t>346-348</t>
  </si>
  <si>
    <t>USE OF SUPERCONDUCTIVITY TO REDUCE THE SIZE OF AN ULTRADIRECTIONAL EMITTER.</t>
  </si>
  <si>
    <t>2-s2.0-0020715781</t>
  </si>
  <si>
    <t>['weighting factors', 'tuning rate', 'stochastic equation', 'sinusoidal signal', 'gain coefficient', 'feedback circuit', 'certain ratio', 'carrier frequency', 'averaging procedure', 'also valid', 'adaptive filters']</t>
  </si>
  <si>
    <t>The tuning rate of the parameters (weighting factors) of adaptive filters in the presence of quasiharmonic input signals is investigated. The analysis is carried out on the basis of a solution of the stochastic equation for the filter weighting factors without using a time-averaging procedure. It is shown that for a certain ratio between the input signal power, the gain coefficient and the filter time constant in the feedback circuit as well as the carrier frequency of the sinusoidal signal it is possible for the tuning rate of the weighting factors to decrease. It is pointed out that this conclusion is also valid for adaptive antenna arrays in the presence of narrow-band interference compensation.</t>
  </si>
  <si>
    <t>45-49</t>
  </si>
  <si>
    <t>57220358034;6602965096</t>
  </si>
  <si>
    <t>Mal'tsev, A. A.;Pozumentov, I. Ye</t>
  </si>
  <si>
    <t>Mal'tsev A.A.</t>
  </si>
  <si>
    <t>PARAMETER TUNING RATE OF ADAPTIVE FILTERS IN THE PRESENCE OF QUASIHARMONIC INPUT SIGNALS.</t>
  </si>
  <si>
    <t>2-s2.0-0020715886</t>
  </si>
  <si>
    <t>['time processing', 'signal processing', 'frequency domain', 'discrete algorithms', 'coherent systems']</t>
  </si>
  <si>
    <t>Coherent systems for space-time processing of signals, in which phased antenna arrays (PAA) are used, may include one, two, or more space-diversity reception points. The efficiencies of one- and two-position reception systems in internal and external noise conditions are compared. Discrete algorithms are devised, and a method of estimating the efficiency for signal processing by multiposition reception systems in the frequency domain is developed.</t>
  </si>
  <si>
    <t>75-81</t>
  </si>
  <si>
    <t>6603712016;6506954111;6504539992</t>
  </si>
  <si>
    <t>Manzhos, V. N.;Zinevich, E. P.;Karasev, F. V.</t>
  </si>
  <si>
    <t>Manzhos V.</t>
  </si>
  <si>
    <t>EFFICIENCY OF TWO-POSITION RECEPTION USING DISCRETE ALGORITHMS IN THE FREQUENCY DOMAIN.</t>
  </si>
  <si>
    <t>2-s2.0-0020715968</t>
  </si>
  <si>
    <t>['tvts ).', 'television stations', 'standing towers', 'selected depending', 'relay links', 'operating wavelength', 'mw transmitters', 'mw antenna', 'electromagnetic compatibility', 'broadcast signals', 'actual case']</t>
  </si>
  <si>
    <t>Incorporation of medium-wave (MW) transmitters in the 5 to 50 kw range with television stations is considered. One of the tasks, related to the solution of the electromagnetic compatibility (EMC) problem, involves the installation of antennas for MW transmitters. Both free-standing towers and masts with guy wires fastened to the ground are used as supports for the installation of antennas for television and frequency-modulated (FM) ultra-short-wave (USW) radio-broadcast signals as well as for radio-relay links (RRL) used in conjunction with high-power television transmitting stations (TVTS). In each actual case, the arrangement of the MW antenna is selected depending on the type and height of the support, the operating wavelength, and the required radiation pattern.</t>
  </si>
  <si>
    <t>29-34</t>
  </si>
  <si>
    <t>Taravkov, A. N.</t>
  </si>
  <si>
    <t>Taravkov A.</t>
  </si>
  <si>
    <t>MEDIUM-WAVE ANTENNA INSTALLATION IN CONJUNCTION WITH TELEVISION TRANSMITTING STATIONS.</t>
  </si>
  <si>
    <t>2-s2.0-0020715969</t>
  </si>
  <si>
    <t>['special instruments', 'reasonable simplicity', 'minimum weight', 'md facilitate', 'maximum sensitivity', 'electrical breakdowns', 'communication cables']</t>
  </si>
  <si>
    <t>The problem of finding the location of low electrical insulating strength (LLIS) in communication cables is addressed. It is essential to use receiving antennas, so-called magnetic detectors (MD), made in the form of multiturn inductance coils which have maximum sensitivity with minimum weight. The equations are derived which enable the parameters of multiturn ring shaped magnetic detectors to be found with reasonable simplicity and accuracy. The availability of such MD facilitate not only the design of special instruments for finding the locations of electrical breakdowns in the insulation of communication cables, but also the use of these MD in cable run locating devices.</t>
  </si>
  <si>
    <t>52-56</t>
  </si>
  <si>
    <t>Oisgelt, M. G.</t>
  </si>
  <si>
    <t>Oisgelt M.</t>
  </si>
  <si>
    <t>SELECTION OF THE OPTIMUM PARAMETERS OF MAGNETIC DETECTORS FOR CABLE RUN LOCATION DEVICES.</t>
  </si>
  <si>
    <t>2-s2.0-0020716117</t>
  </si>
  <si>
    <t>['studied theoretically']</t>
  </si>
  <si>
    <t>The effect of random phase errors on the loss and the resultant inherent noise of passive scanning antenna arrays is studied theoretically and experimentally, allowing for interaction between the radiators.</t>
  </si>
  <si>
    <t>81-86</t>
  </si>
  <si>
    <t>7006520805;55412285800;6506069083</t>
  </si>
  <si>
    <t>Babenko, A. I.;Zaitsev, E. F.;Nuzhin, V. K.</t>
  </si>
  <si>
    <t>Babenko A.</t>
  </si>
  <si>
    <t>EFFECT OF RANDOM PHASE ERRORS ON LOSS INHERENT NOISE OF PHASED ANTENNA ARRAYS.</t>
  </si>
  <si>
    <t>2-s2.0-0020716134</t>
  </si>
  <si>
    <t>['uniquely determined', 'radiation pattern', 'mutual intensity']</t>
  </si>
  <si>
    <t>It is shown that the radiation pattern of a random quasimonochromatic electromagnetic radiation is uniquely determined by the function of mutual intensity of the field in the radiator aperture plane.</t>
  </si>
  <si>
    <t>Shevchenko, V. V.</t>
  </si>
  <si>
    <t>Shevchenko V.</t>
  </si>
  <si>
    <t>DIRECTIVITY OF ELECTROMAGNETIC RADIATION AND CROSS INTENSITY FUNCTION.</t>
  </si>
  <si>
    <t>2-s2.0-0020716344</t>
  </si>
  <si>
    <t>['wind speed', 'venera 14', 'venera 13', 'telemetry information', 'method used', 'latitudes 7', 'equatorial zone', 'directly measured', 'atmospheric probing', '5 degree', '2 degree']</t>
  </si>
  <si>
    <t>The atmospheric probing was carried out in the equatorial zone of Venus, at latitudes 7. 5 degree S for Venera 13 and 13. 2 degree S for Venera 14. To measure the speed of the wind, a relay microwave link was used to transmit the telemetry information from the lander to the orbiter and from there to Earth. The signal was received by a 70-m antenna at the Center of the deep space link. The quantity which is directly measured is the Doppler frequency shift. The method used for deriving the wind speed is described, and the results are discussed.</t>
  </si>
  <si>
    <t>155-161</t>
  </si>
  <si>
    <t>Cosmic Research (English translation of Kosmicheskie Issledovaniya)</t>
  </si>
  <si>
    <t>Mar-Apr</t>
  </si>
  <si>
    <t>;;;;;;;;;;</t>
  </si>
  <si>
    <t>6603964608;6507419344;6506753207;7102066489;6507634266;6507218900;7201463472;24384783700;7103083955;6603690807;6506840043</t>
  </si>
  <si>
    <t>Kerzhanovich, V. V.;Antsibor, N. M.;Kustodiev, V. D.;Makarov, Yu F.;Matsygorin, I. A.;Molotov, E. P.;Sorokin, V. P.;Sukhanov, K. G.;Tikhonov, V. F.;Karyagin, V. P.;Mottsulev, B. I.</t>
  </si>
  <si>
    <t>Kerzhanovich V.</t>
  </si>
  <si>
    <t>VERTICAL PROFILE OF THE WIND SPEED IN THE ATMOSPHERE OF VENUS FROM DOPPLER MEASUREMENTS ON VENERA 13 AND VENERA 14.</t>
  </si>
  <si>
    <t>2-s2.0-0020716379</t>
  </si>
  <si>
    <t>['usually installed', 'using reflector', 'type repeaters', 'special manner', 'sight hops', 'sight conditions', 'relay link', 'provide line', 'passive repeaters', 'paper investigates', 'energy characteristics', 'active repeaters']</t>
  </si>
  <si>
    <t>One of the methods of increasing the energy characteristics of a hop of a radio-relay link (RRL) is the use of passive repeaters and, in particular, reflector-type repeaters. These repeaters are usually installed in order to provide line-of-sight conditions between the active repeaters. The paper investigates the feasibility and the advisability of using reflector-type repeaters, designed in a special manner, on the line-of-sight hops of a RRL.</t>
  </si>
  <si>
    <t>18-21</t>
  </si>
  <si>
    <t>6507946639;6508127972;6603585162;6504434058</t>
  </si>
  <si>
    <t>Kamayev, R. R.;Orozobakov, T.;Heide, E. K.;Dalbayev, E. K.</t>
  </si>
  <si>
    <t>Kamayev R.</t>
  </si>
  <si>
    <t>USE OF REFLECTOR-TYPE PASSIVE REPEATERS ON LINE-OF-SIGHT RADIO-RELAY LINKS.</t>
  </si>
  <si>
    <t>2-s2.0-0020716517</t>
  </si>
  <si>
    <t>['sloping section', 'rp ).', 'reflector antenna', 'primary radiator', 'main lobe', 'include waveguides', 'horn antennas', 'generating elements', 'effective method', 'certain amount', 'broken line']</t>
  </si>
  <si>
    <t>The most effective method of increasing the efficiency of a single-reflector antenna is based on using a primary radiator with a near optimum radiation pattern (RP). Radiators with a RP, which approaches, to some extent, the optimum with respect to the shape of the main lobe, include waveguides and horn antennas with a sloping section for the plane of the aperture. The use of a sloping section makes it possible to obtain a main lobe with a certain amount of asymmetry in the plane of symmetry of the antenna but, as a whole, these radiators are far from being optimum. The results of developing a radiator are presented which is a modification of a horn with phase dispersion properties formed by using a broken line as the generating elements.</t>
  </si>
  <si>
    <t>6602887692;6701715041</t>
  </si>
  <si>
    <t>Timofeyeva, A. A.;Yampol'skiy, V. G.</t>
  </si>
  <si>
    <t>Timofeyeva A.</t>
  </si>
  <si>
    <t>RADIATOR FOR AXIALLY UNSYMMETRICAL REFLECTOR ANTENNAS WITH A CIRCULAR APERTURE.</t>
  </si>
  <si>
    <t>2-s2.0-0020716783</t>
  </si>
  <si>
    <t>['slot system', 'power may', 'interesting result', 'equivalent circuit', 'electronics engineers', 'electromagnetic coupling', 'copyright 1983']</t>
  </si>
  <si>
    <t>The problem of electromagnetic coupling to a long wire behind a slot-perforated conducting plane is considered by the method of moments. An equivalent circuit is obtained for the transmission line mode of the wire-slot system. An interesting result of the analysis is that, when the wire is terminated in loads for maximum power transfer, orders of magnitude more power may be transferred through the slot when the wire is present than when the wire is absent. Copyright 1983 by The Institute of Electrical and Electronics Engineers, Inc.</t>
  </si>
  <si>
    <t>310-316</t>
  </si>
  <si>
    <t>60030551-112934667;60030551</t>
  </si>
  <si>
    <t>6507793967;7201653432</t>
  </si>
  <si>
    <t>Naiheng, Yang;Harrington, Roger F.</t>
  </si>
  <si>
    <t>Syracuse;Nanjing</t>
  </si>
  <si>
    <t>Syracuse University;Nanjing Research Institute of Electrinic Technology</t>
  </si>
  <si>
    <t>60030551;112934667</t>
  </si>
  <si>
    <t>Naiheng Y.</t>
  </si>
  <si>
    <t>Electromagnetic Coupling to an Infinite Wire Through a Slot in a Conducting Plane</t>
  </si>
  <si>
    <t>10.1109/TAP.1983.1143025</t>
  </si>
  <si>
    <t>2-s2.0-0020716843</t>
  </si>
  <si>
    <t>['would obtain', 'theoretical results', 'theoretical concept', 'theoretical bandwidth', 'successful comparison', 'special attention', 'one hand', 'multimode array', 'good agreement', 'electronics engineers', 'copyright 1983', 'array must', 'another waveguide']</t>
  </si>
  <si>
    <t>The multimode radiation patterns due to a waveguide periodically coupled on the one hand with another waveguide and, on the other hand, with unidentical radiating slots were studied. The aim of the study was to calculate and realize a prescribed current distribution which would obtain a low sidelobe level in a multimode array. First, the theoretical concept is justified after a successful comparison with experiments. Secondly, optimum array parameters are taken into account in order to deduce the theoretical bandwidth and efficiency of the multimode array. Theoretical results and experiments are in good agreement. The optimum array parameters are critical and special attention is paid to the accuracy with which the array must be realized. Copyright 1983 by The Institute of Electrical and Electronics Engineers, Inc.</t>
  </si>
  <si>
    <t>280-285</t>
  </si>
  <si>
    <t>115552814;115552814;105236216</t>
  </si>
  <si>
    <t>7006052449;6508021299;6507405034</t>
  </si>
  <si>
    <t>Dubost, G.;Gueho, S.;Beguin, D.</t>
  </si>
  <si>
    <t>France;France</t>
  </si>
  <si>
    <t>Rennes;Velizy-Villacoublay</t>
  </si>
  <si>
    <t>Laboratoire Antennes et Rayonnement Facult√© des Sciences de l'Universit√© de Rennes;Laboratoire Central de T√©l√©communications</t>
  </si>
  <si>
    <t>115552814;105236216</t>
  </si>
  <si>
    <t>Dubost G.</t>
  </si>
  <si>
    <t>Bandwidth of a Low Sidelobe Level Multimode Radiating Coupled Waveguide Array</t>
  </si>
  <si>
    <t>10.1109/TAP.1983.1143045</t>
  </si>
  <si>
    <t>2-s2.0-0020716868</t>
  </si>
  <si>
    <t>['various forms', 'undesired resonances', 'target response', 'signal associated', 'measured signals', 'electronics engineers', 'copyright 1983']</t>
  </si>
  <si>
    <t>Measured signals from underground scatterers using video pulse radars are corrupted by undesired resonances such as those associated with the antenna and various forms of clutter. Techniques are introduced to remove or suppress the signal associated with these resonances in an effort to enhance the target response. The resonances are suppressed by using a difference equation requiring the knowledge only of the poles of the original scattered signal, which are independent of excitation. Copyright 1983 by The Institute of Electrical and Electronics Engineers, Inc.</t>
  </si>
  <si>
    <t>334-340</t>
  </si>
  <si>
    <t>60003537;60003500</t>
  </si>
  <si>
    <t>7102576479;7202838408</t>
  </si>
  <si>
    <t>Volakis, John L.;Peters, Leon</t>
  </si>
  <si>
    <t>Canoga Park;Columbus</t>
  </si>
  <si>
    <t>Rockwell International;The Ohio State University</t>
  </si>
  <si>
    <t>Volakis J.</t>
  </si>
  <si>
    <t>Improved Identification of Underground Targets Using Video Pulse Radars by Elimination of Undesired Natural Resonances</t>
  </si>
  <si>
    <t>10.1109/TAP.1983.1143039</t>
  </si>
  <si>
    <t>2-s2.0-0020716892</t>
  </si>
  <si>
    <t>['useful observations', 'reflectors illuminated', 'pyramidal horns', 'physical optics', 'offset reflector', 'horn illuminating', 'field patterns', 'electronics engineers', 'copyright 1983', 'constructed using', 'carefully studied', 'best location']</t>
  </si>
  <si>
    <t>An efficient computational method is demonstrated for determining the far-field patterns of reflectors illuminated by pyramidal horns. A uniform geometrical theory of diffraction (GTD) formulation is used to determine the near- and far-fields of the horn. The far-field patterns of the offset reflector are constructed using the physical optics (PO) formulation in conjunction with the Jacobi-Bessel expansion method. Many representative results are shown for the far-field patterns of the reflector. In particular, the concept of the optimum phase center for the best location of a horn illuminating a reflector is carefully studied and some useful observations are made. Copyright 1983 by The Institute of Electrical and Electronics Engineers, Inc.</t>
  </si>
  <si>
    <t>305-309</t>
  </si>
  <si>
    <t>7408102852;56873640200;7202573242</t>
  </si>
  <si>
    <t>Huang, John;Rahmat-Samu, Yahya;Woo, K.</t>
  </si>
  <si>
    <t>Huang J.</t>
  </si>
  <si>
    <t>A GTD Study of Pyramidal Horns for Offset Reflector Antenna Applications</t>
  </si>
  <si>
    <t>10.1109/TAP.1983.1143051</t>
  </si>
  <si>
    <t>2-s2.0-0020716893</t>
  </si>
  <si>
    <t>['possible structures', 'performance achievable', 'new technique', 'former output', 'electronics engineers', 'detailed comparison', 'detailed analysis', 'copyright 1983', 'controllable weights', 'computer studies', 'cases coherence', 'briefly reviewed', 'array weights', 'array channels', 'adaptively controlling']</t>
  </si>
  <si>
    <t>Conventional adaptive antenna array processing employing gradient descent requires access to signals on all the antenna array elements. The processing can be carried out at the radio frequency stage, an intermediate frequency stage, and in some cases at baseband. In all cases coherence of the array element signals must be maintained. For situations where access to all the array channels is not possible or not economical, a new technique for adaptively controlling the array weights has been developed. The technique requires access to the controllable weights and the beam-former output. Detailed analysis of the performance of the technique has been carried out. A number of possible structures which can be used are briefly reviewed, and the results of analysis of the performance achievable with some of these structures are presented. A detailed comparison of the performance of the new technique with that of a system in which all signals are available is given. Ways of optimizing the performance of the new technique are considered. Results of computer studies of the performance of the new technique are presented. Copyright 1983 by The Institute of Electrical and Electronics Engineers, Inc.</t>
  </si>
  <si>
    <t>268-279</t>
  </si>
  <si>
    <t>60010571;60010571</t>
  </si>
  <si>
    <t>7003446625;7005144794</t>
  </si>
  <si>
    <t>Godara, Land C.;Cantoni, Antonio</t>
  </si>
  <si>
    <t>Callaghan</t>
  </si>
  <si>
    <t>The University of Newcastle, Australia</t>
  </si>
  <si>
    <t>Godara L.C.</t>
  </si>
  <si>
    <t>Analysis of the Performance of Adaptive Beam Forming Using Perturbation Sequences</t>
  </si>
  <si>
    <t>10.1109/TAP.1983.1143054</t>
  </si>
  <si>
    <t>2-s2.0-0020716894</t>
  </si>
  <si>
    <t>['various values', 'possible cases', 'perspective plots', 'elliptical apertures', 'electronics engineers', 'discussed briefly', 'derive expressions', 'copyright 1983', 'axis ratio', '168 computer']</t>
  </si>
  <si>
    <t>A Fourier transform technique is applied to derive expressions for the diffraction field due to elliptical apertures and its annulli. Perspective plots of the intensity distribution diagrams are generated for various values of the axis ratio with the help of an IBM-370/168 computer. All possible cases are discussed briefly. Copyright 1983 by The Institute of Electrical and Electronics Engineers, Inc.</t>
  </si>
  <si>
    <t>360-364</t>
  </si>
  <si>
    <t>Kathuria, Y. P.</t>
  </si>
  <si>
    <t>Hamburg</t>
  </si>
  <si>
    <t>Institute for Applied Physics</t>
  </si>
  <si>
    <t>Kathuria Y.P.</t>
  </si>
  <si>
    <t>Far-Field Radiation Patterns of Elliptical Apertures and Its Annulli</t>
  </si>
  <si>
    <t>10.1109/TAP.1983.1143040</t>
  </si>
  <si>
    <t>2-s2.0-0020716918</t>
  </si>
  <si>
    <t>['wide range', 'presented showing', 'phase currents', 'particular attention', 'lpda ).', 'feedline termination', 'feeder currents', 'far field', 'experimental data', 'electronics engineers', 'design data', 'coupled log', 'copyright 1983', 'calculations show', 'band reduction', 'back ratio', 'antenna parameters']</t>
  </si>
  <si>
    <t>A simple theoretical model is described to analyze the loop-coupled log-periodic dipole antenna (LPDA). Computed and experimental data are presented, comprising an investigation into both the far field and the dipole and feeder currents, for a wide range of antenna parameters. Particular attention is paid to a class of parasitic resonances characterized in the swept-frequency radiation pattern by a narrow-band reduction in front-to-back ratio. The calculations show that these resonances involve high out-of-phase currents in adjacent dipole elements, and also predict correctly their dependence on the nature and location of the feedline termination. Design data are presented showing how gain and front-to-back ratio can be optimized and parasitic resonance effects minimized. Copyright 1983 by The Institute of Electrical and Electronics Engineers, Inc.</t>
  </si>
  <si>
    <t>253-260</t>
  </si>
  <si>
    <t>60016983;60016849</t>
  </si>
  <si>
    <t>7004680083;7003913442</t>
  </si>
  <si>
    <t>Tranquilla, James M.;Balmain, Keith G.</t>
  </si>
  <si>
    <t>Fredericton;Toronto</t>
  </si>
  <si>
    <t>University of New Brunswick;University of Toronto</t>
  </si>
  <si>
    <t>Analysis of the Loop-Coupled Log-Periodic Dipole Array</t>
  </si>
  <si>
    <t>10.1109/TAP.1983.1143055</t>
  </si>
  <si>
    <t>2-s2.0-0020716919</t>
  </si>
  <si>
    <t>['series converges', 'radiation patterns', 'radiation fields', 'present authors', 'langer transformations', 'known results', 'kf less', 'input admittance', 'free space', 'focal length', 'even diverges', 'electronics engineers', 'copyright 1983', 'circumferential slot', 'c greater', 'asymptotic characteristics', 'airy functions']</t>
  </si>
  <si>
    <t>Stratton, Chu, Flammer, and others have dealt with spheroidal wave functions and expanded them into series of Legendre or spherical Hankel functions for frequency parameters c = kf less than about ten, where k is the wavenumber in free space and f is the focal length of the spheroid. However, when c is greater than ten, the series converges very slowly and even diverges. A method is devised by the present authors to calculate the spheroidal wave functions asymptotically for any value of c greater than ten using Wentzel-Kramer-Brillouin (WKB) and Langer transformations and the asymptotic characteristics of Airy functions. By means of the functions thus obtained, we calculated the radiation fields and input admittance of a metallic prolate spheroid of any length uniformly excited by any circumferential slot on the spheroid. The radiation patterns and input admittance obtained for some special cases conform very closely with known results. Copyright 1983 by The Institute of Electrical and Electronics Engineers, Inc.</t>
  </si>
  <si>
    <t>382-389</t>
  </si>
  <si>
    <t>60010421;109490017</t>
  </si>
  <si>
    <t>7004364432;56286892600</t>
  </si>
  <si>
    <t>Jen, Lang;Hu, Chuan Shui</t>
  </si>
  <si>
    <t>China;China</t>
  </si>
  <si>
    <t>Chengdu;Xi'an</t>
  </si>
  <si>
    <t>Southwest Jiaotong University;Xian Research Institute of Hi-Tech</t>
  </si>
  <si>
    <t>Jen L.</t>
  </si>
  <si>
    <t>Spheroidal Wave Functions of Large Frequency Parameters c = kf and the Radiation Fields of a Metallic Prolate Spheroid Excited by any Circumferential Slot</t>
  </si>
  <si>
    <t>10.1109/TAP.1983.1143042</t>
  </si>
  <si>
    <t>2-s2.0-0020717003</t>
  </si>
  <si>
    <t>['unit width', 'unit frequency', 'small antenna', 'pass band', 'matching efficiency', 'matching area', 'fundamental limitation', 'electronics engineers', 'corresponding limit', 'copyright 1983', 'band matching', 'approach 2', '1 ).']</t>
  </si>
  <si>
    <t>A special frequency scale is proposed for use in describing the fundamental limitation on wide-band matching of a small antenna by means of a fixed reactive network. This scale is Œº = ‚Äì 1/œâ3, normalized to unit frequency (œâ1 = 1). It has unit width for the high-pass band above this frequency. In terms of the familiar matching exponent Œº = 1n 1/|œÅ|, the matching area over this scale is limited to 33œÄp1, where p1 is the (small) radiation power factor at œâ1. The corresponding limit on matching efficiency is 6œÄp1. A double-tuned matching network can approach 2/ œÄ this area over any bandwidth on this scale. Copyright 1983 by The Institute of Electrical and Electronics Engineers, Inc.</t>
  </si>
  <si>
    <t>364-367</t>
  </si>
  <si>
    <t>Wheeler, Harold A.</t>
  </si>
  <si>
    <t>Wheeler H.</t>
  </si>
  <si>
    <t>The Wide-Band Matching Area for a Small Antenna</t>
  </si>
  <si>
    <t>10.1109/TAP.1983.1143030</t>
  </si>
  <si>
    <t>2-s2.0-0020717022</t>
  </si>
  <si>
    <t>['yield readily', 'sum mode', 'sidelobe level', 'performance indices', 'performance index', 'objective function', 'multiple minima', 'maximum directivity', 'incorporated using', 'gradient methods', 'electronics engineers', 'difference mode', 'copyright 1983', 'circular blockage', 'aperture blockage', 'angular sensitivity']</t>
  </si>
  <si>
    <t>A method of synthesizing aperture antenna excitations to obtain optimum performance in the presence of aperture blockage is presented. The problem of optimizing the performance indices such as directivity and angular sensitivity is formulated as an N-dimensional minimization problem, with constraint on the sidelobe level. In most cases, the objective function is nonlinear with multiple minima which does not yield readily to gradient methods. A simplex search method is used in the study for optimizing the performance index. The sidelobe level (SLL) constraint has been incorporated using the penalty function method. The method is applied to circular monopulse aperture distribution with circular blockage to obtain maximum directivity factor (DF) in the sum mode and maximum angular sensitivity factor (ASF) in the difference mode, with sidelobe level constraint. The effect of blockage on the maximum directivity and maximum angular sensitivity is studied for various sidelobe level constraints. Copyright 1983 by The Institute of Electrical and Electronics Engineers, Inc.</t>
  </si>
  <si>
    <t>286-293</t>
  </si>
  <si>
    <t>60014097;60014097</t>
  </si>
  <si>
    <t>6603942863;35918145900</t>
  </si>
  <si>
    <t>Sachidananda, M.;Ramakrishna, S.</t>
  </si>
  <si>
    <t>Bengaluru</t>
  </si>
  <si>
    <t>Indian Institute of Science</t>
  </si>
  <si>
    <t>Sachidananda M.</t>
  </si>
  <si>
    <t>Constrained Optimization of Monopulse Circular Aperture Distribution in the Presence of Blockage</t>
  </si>
  <si>
    <t>10.1109/TAP.1983.1143049</t>
  </si>
  <si>
    <t>2-s2.0-0020717098</t>
  </si>
  <si>
    <t>['space wavelength', 'shield compared', 'probably tolerable', 'power transfer', 'much shorter', 'icrf heating', 'fusion experiment', 'frequency range', 'electronics engineers', 'coupling efficiency', 'coupling efficiencies', 'best conditions', 'antenna without', 'antenna used', '90 percent']</t>
  </si>
  <si>
    <t>The effects of electrostatic shields around the antenna used for ICRF heating in the EBT-S fusion experiment on the efficiency of power transfer from the antenna to the plasma were studied in bench tests using resonant coupling loops placed near the antenna to simulate plasma behavior. For the frequency range of interest in these experiments, the length of the antenna was much shorter than the free-space wavelength. Coupling efficiencies in excess of 90 percent were obtained under best conditions. There was a reduction in coupling efficiency due to the presence of the shield, which was found to be dependent on the proximity of the loop to the antenna and on the Q of the loop. The change in coupling efficiency of the antenna with the shield compared to the antenna without a shield was greater the farther the loop was removed from the antenna and the lower the Q of the loop. In general, the reduction in coupling efficiency due to the shield is probably tolerable, with the advantages of having an electrostatic shield outweighing the disadvantage of a lower power coupling efficiency. Copyright ¬© 1983 by The Institute of Electrical and Electronics Engineers, Inc.</t>
  </si>
  <si>
    <t>19-23</t>
  </si>
  <si>
    <t>IEEE Transactions on Plasma Science</t>
  </si>
  <si>
    <t>60024266;60030821</t>
  </si>
  <si>
    <t>7004436911;7101750857</t>
  </si>
  <si>
    <t>Baity, F. W.;Owens, T. L.</t>
  </si>
  <si>
    <t>Baity F.W.</t>
  </si>
  <si>
    <t>Study of Power Coupling Through an Electrostatic Shield on a Loop Antenna for ICRF Heating of EBT-S</t>
  </si>
  <si>
    <t>10.1109/TPS.1983.4316211</t>
  </si>
  <si>
    <t>2-s2.0-0020717154</t>
  </si>
  <si>
    <t>['stationary position', 'prechosen locations', 'mirror rotation', 'electronics engineers', 'appropriate mixture', 'allows one']</t>
  </si>
  <si>
    <t>Passive, inverted-dish shaped communications mirrors made of a thin wire mesh may be maintained in a stationary position above most of the atmosphere by the pressure of reflected radiation beamed at the mirror from the ground. We show that by beaming at the mirror an appropriate mixture of linearly and circularly polarized radiation, and by inducing small periodic variations of the plane of polarization, one can monitor and sufficiently control wire orientation in the mirror, which allows one to reduce mirror weight and/or set the mirror in rotation. Mirror rotation in turn can modify mirror shape, open up flaps, and allow synchronized messages to be sent to prechosen locations. Copyright ¬© 1983 by The Institute of Electrical and Electronics Engineers, Inc.</t>
  </si>
  <si>
    <t>215-220</t>
  </si>
  <si>
    <t>Csonka, Paul L.</t>
  </si>
  <si>
    <t>Eugene</t>
  </si>
  <si>
    <t>University of Oregon</t>
  </si>
  <si>
    <t>Csonka P.</t>
  </si>
  <si>
    <t>Rotation and Shape of High Altitude Reflectors Controlled from the Ground</t>
  </si>
  <si>
    <t>10.1109/TAES.1983.309440</t>
  </si>
  <si>
    <t>2-s2.0-0020717406</t>
  </si>
  <si>
    <t>['woodyard condition', 'waveguide antennas', 'waveguide antenna', 'transmitting mode', 'test slow', 'power flow', 'phase velocity', 'phase velocities', 'phase lag', 'optimum length', 'good agreement', 'cylindrical tube', 'cylindrical rod', 'attenuation constant', 'acoustic slow']</t>
  </si>
  <si>
    <t>The propagation of axially symmetric guided sound waves in acoustic slow-waveguide antennas for a cylindrical rod and cylindrical tube is investigated both theoretically and experimentally. The phase velocity, axial wave number cut-off frequency, power flow and attenuation constant are calculated for the cylindrical rod, while the phase velocity and axial wave number are calculated for the cylindrical tube. the Hansen-Woodyard condition is discussed in relation to the applicability of the rule on the optimum length of the dielectric rod antenna, to that of the acoustic slow-waveguide antenna. The two-test slow-waveguides of the cylindrical rod and cylindrical tube are constructed by molding a mixture of RTV silicone rubber and electrolytic iron powder. Both slow-waveguides are operated in the transmitting mode and their phase velocities are determined from the measurements of the phase lag of the guided sound waves. It is shown that the theory and experiment are in good agreement.</t>
  </si>
  <si>
    <t>237-245</t>
  </si>
  <si>
    <t>Acustica</t>
  </si>
  <si>
    <t>Hasegawa, A.</t>
  </si>
  <si>
    <t>Hasegawa A.</t>
  </si>
  <si>
    <t>PROPAGATION OF GUIDED SOUND WAVES IN ACOUSTIC SLOW-WAVEGUIDES.</t>
  </si>
  <si>
    <t>2-s2.0-0020717507</t>
  </si>
  <si>
    <t>['slots proposed', 'single pair', 'simplified calculations', 'previous work', 'fundamental structure', 'frequency antenna', 'desired dual', 'characteristics may', 'basic properties', 'antenna consists']</t>
  </si>
  <si>
    <t>A dual-frequency circularly polarised printed antenna is obtained by modifying the printed antenna composed of strips and slots proposed in previous work. The fundamental structure of the antenna consists of two different length strips and a slot, which are excited through a microstrip feed line. Simplified calculations are made for a single pair of a strip and a slot in order to investigate the basic properties of the antenna. Based on the calculations, the configuration of a desired dual-frequency antenna can be determined, and some of the characteristics may be predicted.</t>
  </si>
  <si>
    <t>170-174</t>
  </si>
  <si>
    <t>57225859664;7201747933</t>
  </si>
  <si>
    <t>Ito, K.;Goto, N.</t>
  </si>
  <si>
    <t>Ito K.</t>
  </si>
  <si>
    <t>DUAL-FREQUENCY CIRCULARLY POLARISED PRINTED ANTENNA COMPOSED OF STRIPS AND SLOTS.</t>
  </si>
  <si>
    <t>10.1049/ip-h-1.1983.0028</t>
  </si>
  <si>
    <t>2-s2.0-0020717548</t>
  </si>
  <si>
    <t>['specular metallic', 'space ships', 'process requires', 'problems encountered', 'photographic models', 'new approach', 'multiple passes', 'glossy paint']</t>
  </si>
  <si>
    <t>A new approach to the production of motion picture traveling matte photography is described. A solution is demonstrated to overcome the problems encountered when photographic models, i. e. , aircraft, space ships, etc. , when these incorporate surface finishes such as specular metallic or glossy paint, or when they include thin sections such as struts or antennae. The process requires a sophisticated motion control system capable of multiple passes in registration.</t>
  </si>
  <si>
    <t>268-275</t>
  </si>
  <si>
    <t>SMPTE Journal</t>
  </si>
  <si>
    <t>Erland, Jonathan</t>
  </si>
  <si>
    <t>Erland J.</t>
  </si>
  <si>
    <t>REVERSE OR NEGATIVE BLUESCREEN TRAVELING MATTE PROCESS.</t>
  </si>
  <si>
    <t>10.5594/J00180</t>
  </si>
  <si>
    <t>2-s2.0-0020717583</t>
  </si>
  <si>
    <t>['truncation process', 'real axis', 'present method', 'lossy earth', 'asymptotic terms', '2 mhz']</t>
  </si>
  <si>
    <t>Change of variables and subtraction of asymptotic terms are used to aid in the integration of Sommerfeld integrands along the real axis. The change of variables smooths oscillations which would otherwise become densely packed at the associated branch point. Subtraction of asymptotic terms is used to speed up the truncation process of an otherwise infinite integration interval. Interest is restricted to practical earth parameters and frequencies above 2 MHz. Comparison with a complex contour technique shows the present method to be particularly well suited for the analysis of a vertical, thin‚Äêwire antenna in the presence of a lossy earth. This paper is not subject to U.S. copyright. Published in 1983 by the American Geophysical Union.</t>
  </si>
  <si>
    <t>175-186</t>
  </si>
  <si>
    <t>March-April 1983</t>
  </si>
  <si>
    <t>7404847472;35612588200</t>
  </si>
  <si>
    <t>Johnson, W. A.;Dudley, D. G.</t>
  </si>
  <si>
    <t>Johnson W.</t>
  </si>
  <si>
    <t>Real axis integration of Sommerfeld integrals: Source and observation points in air</t>
  </si>
  <si>
    <t>10.1029/RS018i002p00175</t>
  </si>
  <si>
    <t>2-s2.0-0020717724</t>
  </si>
  <si>
    <t>['rapid calculations', 'radiation conductance', 'presented formula', 'microwaves opt', 'last term', 'inverse power', 'iee proc']</t>
  </si>
  <si>
    <t>Reference is made to a paper by E. Lier (published in IEE Proc. H, Microwaves Opt. &amp; Antennas, 1982, 129, (4), pp. 161-164. In that paper an approximation to the radiation conductance of a circular microstrip antenna was given. The presented formula was a three term Taylor expansion in inverse power of epsilon //r. Unfortunately, the presented formula was incorrect in the last term. Because such a formula is useful for rapid calculations, it is corrected and a five term formula is presented.</t>
  </si>
  <si>
    <t>7005413512;55884538900</t>
  </si>
  <si>
    <t>Jakobsen, K.;Lier, E.</t>
  </si>
  <si>
    <t>Jakobsen K.</t>
  </si>
  <si>
    <t>CORRECTION TO IMPROVED FORMULAS FOR INPUT IMPEDANCE OF COAX-FED MICROSTRIP PATCH ANTENNAS.</t>
  </si>
  <si>
    <t>10.1049/ip-h-1.1983.0031</t>
  </si>
  <si>
    <t>2-s2.0-0020717761</t>
  </si>
  <si>
    <t>['¬© 1983', 'standby substitute', 'single occasion', 'possible use', 'optical system', 'optical signal', 'optical path', 'optical beam', 'obstruction fading', 'microwave system', 'microwave radio', 'beam diameter', 'automatically reacquired', 'atmospheric scattering', 'allow comparison', '60 db', '32 feet', '27 db', '20 db', '17 db', '11 ghz', '10 percent', '10 db']</t>
  </si>
  <si>
    <t>This paper reports measurements made on a 23‚Äêmile, experimental, atmospheric, optical‚Äêtransmission link for possible use as a standby substitute for microwave radio when the radio suffers severe multipath or obstruction fading. To allow comparison of transmission on a microwave and on an optical path, we used two parallel systems. One, a microwave system at 11 GHz, allowed frequency‚Äêselective fading to be measured, and the other, an optical system at 6328√Ö, allowed amplitude changes of the received optical signal to be obtained. The measured clear‚Äêair loss on the optical path is 27 dB. This measurement is made up of 17 dB of atmospheric scattering and 10 dB due to the receiving antennas intercepting only 10 percent of the beam at the receiver. The signal‚Äêto‚Äênoise ratio, calculated using measured background sky‚Äênoise and measured received power, is about 60 dB for a 100‚ÄêMHz band. The beam diameter was measured to be 32 feet where the signal is down 20 dB. On the single occasion when frequency‚Äêselective microwave fading was observed, there was no fading of the optical signal. We find that it is necessary to control the transmitter elevation angle with a servo error signal from the receiver; the azimuth angle needs only occasional manual correction. The optical beam can be automatically reacquired after severe atmospheric attenuation, and that scintillation is usually several decibels, and occasionally as much as 10 dB. ¬© 1983 The Bell System Technical Journal</t>
  </si>
  <si>
    <t>607-629</t>
  </si>
  <si>
    <t>56220107100;7202233244;55434185600</t>
  </si>
  <si>
    <t>King, B. G.;Fitzgerald, P. J.;Stein, H. A.</t>
  </si>
  <si>
    <t>King B.</t>
  </si>
  <si>
    <t>An Experimental Study of Atmospheric Optical Transmission</t>
  </si>
  <si>
    <t>10.1002/j.1538-7305.1983.tb04407.x</t>
  </si>
  <si>
    <t>2-s2.0-0020718350</t>
  </si>
  <si>
    <t>['¬© 1983', 'transverse polarization', 'transverse plane', 'several modifications', 'reflector surface', 'reductions obtained', 'main beam', 'good reductions', 'effective means', 'data obtained', 'corresponding improvements', 'angular region', '6 degrees', '4 db', '10 db']</t>
  </si>
  <si>
    <t>This paper describes measurements of a simple but effective means for reducing selective near‚Äêin sidelobe levels of a pyramidal horn‚Äêreflector antenna by using microwave absorber to modify the electric field across the reflector surface of the horn‚Äêreflector antenna. Examples of several modifications (made in the transverse plane for transverse polarization) are discussed and compared with data obtained before modification. Good reductions are achieved in the region of 2 to 6 degrees from the main beam. For example, an improvement was obtained on the order of 4 dB in the first sidelobe level with corresponding improvements of 8 and 10 dB in the angular region of the second and third sidelobe levels. One would expect some of the far‚Äêout sidelobe regions to increase; however, the reductions obtained in the levels of the near‚Äêin sidelobes could warrant a trade‚Äêoff. ¬© 1983 The Bell System Technical Journal</t>
  </si>
  <si>
    <t>595-605</t>
  </si>
  <si>
    <t>Measurements of Selective Near‚ÄêIn Sidelobe Reduction of a Pyramidal, Horn‚ÄêReflector Antenna</t>
  </si>
  <si>
    <t>10.1002/j.1538-7305.1983.tb04406.x</t>
  </si>
  <si>
    <t>2-s2.0-0020718483</t>
  </si>
  <si>
    <t>['transmitted power', 'soot deposition', 'smut emission', 'radar testing', 'paper discusses', 'gating facility', 'chimney exit', 'also described', '3 cm', '10 mw']</t>
  </si>
  <si>
    <t>Smut emission from the chimney of an oil-fired power station has been successfully monitored using a microwave Doppler radar working at a wavelength of 3 cm and a transmitted power of 10 mW. This paper discusses the theory of operation of a radar, the problem of soot deposition on the antenna, and radar testing. The development of a simple robust radar, suitable for power station use which has no range-gating facility, and which can be connected to a low gain antenna just below the chimney exit is also described.</t>
  </si>
  <si>
    <t>45-51</t>
  </si>
  <si>
    <t>Journal of the Institute of Energy</t>
  </si>
  <si>
    <t>Benyon, A.</t>
  </si>
  <si>
    <t>Benyon A.</t>
  </si>
  <si>
    <t>The monitoring of smut emission from oil-fired boilers using microwave Doppler radar</t>
  </si>
  <si>
    <t>2-s2.0-0020718537</t>
  </si>
  <si>
    <t>['tuned antenna', 'system parameters', 'system identification', 'signals may', 'sensitive receiver', 'selected families', 'rf signal', 'raster display', 'output signal', 'nmr imaging', 'local fluctuations', 'internal image', 'inputs may', 'imaging equation', 'gradient fields', 'give rise', 'emerging technology', 'electronics engineers', 'directly interpreted', 'component functions', 'bloch equation', 'almost synonymous']</t>
  </si>
  <si>
    <t>The emerging technology of NMR imaging is introduced here as a problem in system identification. We show how selected families of signals may be input into the system (‚Äúsystem,‚Äù in this case, is almost synonymous with ‚Äúpatient‚Äù) in order that the system's responses to these inputs may be directly interpreted in terms of the system parameters. Once identified, a raster display of the system parameters provides an internal image of the patient. Inputs to the system are four-component functions of time. One component describes the strength of an RF signal, and the other three components govern the strength of three spatially varying, independently controlled magnetic fields (the gradient fields) in which the patient is immersed. In response to these inputs some of the protons in the patient, acting in concordance with the Bloch equation, give rise to local fluctuations in the magnetization which are detected with a tuned antenna and a sensitive receiver. The relationship between this output signal and the system parameters is summarized in the imaging equation. Copyright ¬© 1983 by The Institute of Electrical and Electronics Engineers, Inc.</t>
  </si>
  <si>
    <t>338-350</t>
  </si>
  <si>
    <t>100351121;100351121</t>
  </si>
  <si>
    <t>22975566600;7003615377</t>
  </si>
  <si>
    <t>Hinshaw, Waldo S.;Lent, Arnold H.</t>
  </si>
  <si>
    <t>Solon</t>
  </si>
  <si>
    <t>Technicare Corporation</t>
  </si>
  <si>
    <t>Hinshaw W.</t>
  </si>
  <si>
    <t>An Introduction to NMR Imaging: From the Bloch Equation to the Imaging Equation</t>
  </si>
  <si>
    <t>10.1109/PROC.1983.12592</t>
  </si>
  <si>
    <t>2-s2.0-0020718567</t>
  </si>
  <si>
    <t>['small loop', 'measurements made', 'low frequency', 'high frequency', 'electronics engineers', 'electromagnetic field', 'cylindrical core', 'copyright 1983']</t>
  </si>
  <si>
    <t>The electromagnetic field of an electrically small loop antenna with a cylindrical core is investigated. The infinitely long cylinder may be conducting or insulating. With the help of the principle of similitude, measurements made with a small loop at a high frequency with cylinders of water with widely different conductivities are applied to a very large loop around a mountain at a very low frequency. An approximate equivalent circuit for the loop with a core is described and tested. Copyright 1983 by The Institute of Electrical and Electronics Engineers, Inc.</t>
  </si>
  <si>
    <t>225-231</t>
  </si>
  <si>
    <t>60010265;60009982;60009982</t>
  </si>
  <si>
    <t>7402130355;35586046100;7404816148</t>
  </si>
  <si>
    <t>Burton, Robert W.;King, Ronold W.P.;Wu, Tai T.</t>
  </si>
  <si>
    <t>Colorado Springs;Cambridge</t>
  </si>
  <si>
    <t>University of Colorado at Colorado Springs;Harvard University</t>
  </si>
  <si>
    <t>60010265;60009982</t>
  </si>
  <si>
    <t>Burton R.W.</t>
  </si>
  <si>
    <t>The Loop Antenna with a Cylindrical Core: Theory and Experiment</t>
  </si>
  <si>
    <t>10.1109/TAP.1983.1143052</t>
  </si>
  <si>
    <t>2-s2.0-0020718596</t>
  </si>
  <si>
    <t>['unique feature', 'tvlf facility', 'transmitter facility', 'radiated power', 'new zealand', 'magnetospheric wave', 'kw transportable', 'injection experiments', 'ground plane', 'electronics engineers', 'copyright 1983', 'balloon tether', '6 khz', '5 w', '21 khz', '100 w', '10 kw', '1 khz']</t>
  </si>
  <si>
    <t>A 100-kW transportable very low-frequency (TVLF) transmitter facility has been used for magnetospheric wave-injection experiments from sites in Alaska, New Zealand, and Norway. A unique feature of the TVLF facility is the antenna which is a conducting cable lofted to an altitude of 1500 m by a 1000-m3 helium balloon. The antenna is driven at its base as a monopole above a ground plane. The antenna cable also serves as the balloon tether. The lowest operating frequency in this configuration is 6.6 kHz, at which the radiated power is 100 W. At the highest operating frequency used in the experiments, 21 kHz, the radiated power is 10 kW. In Norway power lines were used as antennas. The minimum operating frequency was then 1 kHz and the radiated power is estimated to be about 0.5 W. The components and performance of the TVLF facility used with the balloon lofted antenna are described. Copyright 1983 by The Institute of Electrical and Electronics Engineers, Inc.</t>
  </si>
  <si>
    <t>243-248</t>
  </si>
  <si>
    <t>6701751133;6508018205</t>
  </si>
  <si>
    <t>Koons, Harry C.;Dazey, Mitchell H.</t>
  </si>
  <si>
    <t>Koons H.</t>
  </si>
  <si>
    <t>High-Power VLF Transmitter Facility Utilizing a Balloon Lofted Antenna</t>
  </si>
  <si>
    <t>10.1109/TAP.1983.1143044</t>
  </si>
  <si>
    <t>2-s2.0-0020718731</t>
  </si>
  <si>
    <t>['various radii', 'usually neglected', 'theory based', 'space wave', 'radiation patterns', 'radiation pattern', 'order approximation', 'obtained using', 'much dependent', 'first obtained', 'electronics engineers', 'dyadic green', 'dielectric layer', 'cylindrical surface', 'copyright 1983', 'cavity model', 'calculated values', 'asymptotic expression', 'also shown', '0 ghz']</t>
  </si>
  <si>
    <t>The radiation pattern of microstrip wraparound antennas was obtained here using a theory based on dyadic Green's functions for concentric-cylindrical layered media. The dielectric layer that is usually neglected as a first-order approximation was considered here. An asymptotic expression for the dyadic Green's function that takes into account only the space wave is first obtained. Radiation patterns for various radii, permittivities, and thicknesses of the dielectric layer of a microstrip wraparound antenna were obtained using as a source a uniform annular magnetic current obtained by means of a cavity model with conducting magnetic walls. The calculated values of the percent pattern coverage decreases as the thickness and the permittivity of the dielectric layer increase. The influence of the dielectric layer is more pronounced for radiation direction near that of the axis of the cylindrical surface. It is also shown that the radiation patterns at a frequency of 2.0 GHz are not much dependent on the diameter of the antenna for values from 3 to 120 in. Copyright 1983 by The Institute of Electrical and Electronics Engineers, Inc.</t>
  </si>
  <si>
    <t>248-253</t>
  </si>
  <si>
    <t>60024989;60029570</t>
  </si>
  <si>
    <t>56873629500;7004822283</t>
  </si>
  <si>
    <t>de Assis, Fonseca Sergio Barroso;Giarola, Attilio J.</t>
  </si>
  <si>
    <t>Campinas;Brasilia</t>
  </si>
  <si>
    <t>Universidade Estadual de Campinas;Universidade de Bras√≠lia</t>
  </si>
  <si>
    <t>60029570;60024989</t>
  </si>
  <si>
    <t>de Assis F.</t>
  </si>
  <si>
    <t>Analysis of Microstrip Wraparound Antennas Using Dyadic Green's Functions</t>
  </si>
  <si>
    <t>10.1109/TAP.1983.1143043</t>
  </si>
  <si>
    <t>2-s2.0-0020719233</t>
  </si>
  <si>
    <t>['using either', 'smaller steady', 'relative performance', 'reasonable criteriol', 'pole filter', 'perfect integrator', 'nonlimiter configuration', 'minimum possible', 'latter filter', 'electronics engineers', 'either implementation', 'digital saturation', 'digital implementations', 'digital implementation', 'correlation mixer', 'commonly used']</t>
  </si>
  <si>
    <t>The performance of a digital implementation of an Applebaum- Howells type adaptive processor is analyzed for both a limiter and nonlimiter configuration. The performance is evaluated in terms of steady-state residue power, using either a single-pole filter or a perfect integrator to smooth the output of the correlation mixer. The latter filter is the more commonly used for digital implementations. It is shown that when using the perfect integrator filter for both the limiter and linear digital implementations, the steady-state average weight vector equals the optimum weight vector. Thus, for this filter, the steady-state residue power is the minimum possible for either implementation. When using the single-pole filter, neither implementation achieves the minimum possible steady-state residue power. The relative performance of the two implementations depends upon the relative gain settings. When the gains are adjusted to give comparable servo stability for the design maximum jammer power, a reasonable criteriol) for digital implementations because of analog to digital saturation, the limiter configuration always has smaller steady-state residue power. Copyright ¬© 1983 by The Institute of Electrical and Electronics Engineers, Inc.</t>
  </si>
  <si>
    <t>168-173</t>
  </si>
  <si>
    <t>Nitzberg, R.</t>
  </si>
  <si>
    <t>Nitzberg R.</t>
  </si>
  <si>
    <t>Performance of Digital Implementations of an Adaptive Processor</t>
  </si>
  <si>
    <t>10.1109/TAES.1983.309435</t>
  </si>
  <si>
    <t>2-s2.0-0020719281</t>
  </si>
  <si>
    <t>['theoretical value', 'significant effect', 'several existing', 'present techniques', 'moment methods', 'input impedance', 'impedance data', 'ideal ground', 'guy wires', 'ground screen', 'electronics engineers', 'easily predicted', 'broadcast towers']</t>
  </si>
  <si>
    <t>Measurements to determine the effect of metallic guy wires on the input impedance of a quarter wave monopole over a ground screen are described. Impedance data from several existing AM broadcast towers has shown great variation from the theoretical value for a monopole over an ideal ground. Experimental results show that in the commonly used configuration, the guy wires have a significant effect that is not easily predicted by present techniques. In addition, it is shown that taking the ‚Äúbase capacitance‚Äù into account greatly improves theoretical results obtained with moment methods. Copyright ¬© 1983 by The Institute of Electrical and Electronics Engineers, Inc.</t>
  </si>
  <si>
    <t>22-30</t>
  </si>
  <si>
    <t>BC-29</t>
  </si>
  <si>
    <t>IEEE Transactions on Broadcasting</t>
  </si>
  <si>
    <t>60000745;60000745;</t>
  </si>
  <si>
    <t>7404005178;6701575217;6505526193</t>
  </si>
  <si>
    <t>Wright, Steven M.;Klock, Paul W.;Jubera, J. Dane</t>
  </si>
  <si>
    <t>Wright S.</t>
  </si>
  <si>
    <t>The impedance of the guyed quarter wave monopole</t>
  </si>
  <si>
    <t>10.1109/TBC.1983.266477</t>
  </si>
  <si>
    <t>2-s2.0-0020719286</t>
  </si>
  <si>
    <t>['vital role', 'total number', 'system parameters', 'subjective effect', 'nominal home', 'neighboring satellites', 'important parameter', 'definitively determined', 'consideration must', 'channels available', 'antenna size', 'agreed upon']</t>
  </si>
  <si>
    <t>The plans to construct direct broadcast satellites (DBS) for direct TV service to homes are considered. Some of the system parameters have indeed been agreed upon, for example, polarization (circular), channel spacing (26 MHz), and nominal home-antenna size (0. 75 m). Others, however, have still not been definitively determined. Among these are the roll-off of the antenna sidelobe pattern and the subjective effect of interference from neighboring satellites. These play a vital role in determining satellite spacing in orbit and, therefore, the total number of channels available. Finally, much more consideration must be given to what is probably the most important parameter of all; namely, the design of a low-cost home terminal.</t>
  </si>
  <si>
    <t>58-63</t>
  </si>
  <si>
    <t>RCA engineer</t>
  </si>
  <si>
    <t>7801381965;57214395113;6507985340</t>
  </si>
  <si>
    <t>Klensch, Dick J.;Knight, Stanley P.;Staras, Harold</t>
  </si>
  <si>
    <t>Klensch D.J.</t>
  </si>
  <si>
    <t>CRITICAL SYSTEM PARAMETERS IN THE DBS SERVICE.</t>
  </si>
  <si>
    <t>2-s2.0-0020719372</t>
  </si>
  <si>
    <t>['technique involves', 'simultaneously estimate', 'received signal', 'intermediate step', 'greater numbers', 'finding system', 'electronics engineers', 'correlation matrix', 'continuous signals', 'conceptually straightforward', 'arrival angles']</t>
  </si>
  <si>
    <t>A direction-finding system was built that can simultaneously estimate the arrival angles of two incident signals. It is conceptually straightforward to extend the system to cases with greater numbers of signals. The system is designed to work with uncorrelated signals whose form is unknown, e.g., two communications signals residing in the same bandwidth. Pulsed as well as continuous signals can be handled. The technique involves the determination of the received signal's correlation matrix as an intermediate step. Pattern range tests were performed to determine angle estimate bias and accuracy. Copyright ¬© 1983 by The Institute of Electrical and Electronics Engineers, Inc.</t>
  </si>
  <si>
    <t>174-181</t>
  </si>
  <si>
    <t>Berni, A. J.</t>
  </si>
  <si>
    <t>Berni A.</t>
  </si>
  <si>
    <t>Test Results with an Experimental Direction-Finding System</t>
  </si>
  <si>
    <t>10.1109/TAES.1983.309436</t>
  </si>
  <si>
    <t>2-s2.0-0020719887</t>
  </si>
  <si>
    <t>['used via', 'twtas ),', 'satcom bus', 'implementation discussed', 'coverage area', 'broadcast satellite', 'available technology', 'antenna concepts']</t>
  </si>
  <si>
    <t>The effective isotropic radiated power (EIRP) requirements for a direct-broadcast satellite (DBS) spacecraft are reviewed, and means of implementation discussed. The two principal means are (1) increased rf power generation through use of high-power traveling wave tube amplifiers (TWTAs), and (2) use of antenna concepts that maximize the efficiency of an antenna by providing a more nearly uniform illumination over the coverage area than by conventional techniques employing elliptical shaped beams. Available technology has been used via a series of modifications to a Satcom bus to accomplish the transformation into a high-power direct broadcast satellite.</t>
  </si>
  <si>
    <t>54-57</t>
  </si>
  <si>
    <t>Buntschuh, Bob F.</t>
  </si>
  <si>
    <t>Buntschuh B.</t>
  </si>
  <si>
    <t>DIRECT-BROADCAST SATELLITE CONSIDERATIONS.</t>
  </si>
  <si>
    <t>2-s2.0-0020719893</t>
  </si>
  <si>
    <t>['source needed', 'paper presents', 'extreme separation', 'case study']</t>
  </si>
  <si>
    <t>Great difficulties arise in measuring large antennas because of the extreme separation from the source needed for far field conditions. One possible solution is to use the emissions from a satellite. The paper presents as a case study the measurement of the Parkes Radiotelescope using a geostationary meteorological satellite.</t>
  </si>
  <si>
    <t>Journal of Electrical and Electronics Engineering, Australia</t>
  </si>
  <si>
    <t>Green, Harry E.</t>
  </si>
  <si>
    <t>Green H.E.</t>
  </si>
  <si>
    <t>ANTENNA PATTERN MEASUREMENT WITH A GEOSTATIONARY SATELLITE.</t>
  </si>
  <si>
    <t>2-s2.0-0020720018</t>
  </si>
  <si>
    <t>['wideband operation', 'submillimetric range', 'semiconductor devices', 'input impedance', 'examined structure', 'coaxial line']</t>
  </si>
  <si>
    <t>The coupling between an overmoded rectangular waveguide and a coaxial line is computed in terms of the input impedance. The examined structure is used in connection with semiconductor devices at frequencies in the millimetric and submillimetric range. The reported results show the possibility of wideband operation for these structures.</t>
  </si>
  <si>
    <t>108-111</t>
  </si>
  <si>
    <t>;;;;</t>
  </si>
  <si>
    <t>36874963100;6507810942;7005817996;7005639455;57189885371</t>
  </si>
  <si>
    <t>Cazzola, Roberto;Poncino, Gian Piero;Bava, Elio;Godone, Aldo;Bava, Gian Paolo</t>
  </si>
  <si>
    <t>Cazzola R.</t>
  </si>
  <si>
    <t>COUPLING BETWEEN A THIN WIRE ANTENNA AND AN OVERMODED RECTANGULAR GUIDE.</t>
  </si>
  <si>
    <t>2-s2.0-0020720073</t>
  </si>
  <si>
    <t>['zero angle', 'wave ratio', 'voltage standing', 'small antenna', 'reference value', 'logarithmic chart', 'log coordinates', 'log chart', 'impedance variation', 'hemisphere chart', 'extreme values', 'especially useful', 'equal flattening', 'electronics engineers', 'crowding near', 'copyright 1983', 'constant reflection', 'constant impedance', 'associated wide', 'angle variation']</t>
  </si>
  <si>
    <t>A logarithmic chart is proposed to offer some advantages over the familiar hemisphere chart of Carter and Smith. On log-log coordinates, the scales are the voltage standing-wave ratio (VSWR), respectively, of impedance variation with zero angle and of angle variation with constant impedance. A locus of constant reflection or VSWR then has two equal diameters but departs from a circle by equal flattening in all quadrants. A locus of impedance variation with frequency has the same shape for any reference value of impedance. The log chart is unbounded so it avoids the crowding near the rim which occurs with extreme values on the hemisphere chart. It is especially useful in presenting the impedance of a small antenna and an associated wide-band matching network. Copyright 1983 by The Institute of Electrical and Electronics Engineers, Inc.</t>
  </si>
  <si>
    <t>352-355</t>
  </si>
  <si>
    <t>A Logarithmic Reflection Chart for Presentation of Antenna Impedance</t>
  </si>
  <si>
    <t>10.1109/TAP.1983.1143026</t>
  </si>
  <si>
    <t>2-s2.0-0020720350</t>
  </si>
  <si>
    <t>['reflector antenna', 'preliminary announcement', 'pertinent highlights', 'inform us', 'full report', 'electronics engineers', 'copyright 1983', 'brief note', 'better claims', 'aperture efficiency', 'antenna community']</t>
  </si>
  <si>
    <t>This communication is our preliminary announcement and claim for achievement of 85 percent aperture efficiency using a dual reflector antenna. We are aware of no other reflector antenna having such aperture efficiency, and we invite the antenna community to comment, critique, or inform us of equal or better claims. A full report will be forthcoming; this brief note will supply only pertinent highlights. Copyright 1983 by The Institute of Electrical and Electronics Engineers, Inc.</t>
  </si>
  <si>
    <t>341-342</t>
  </si>
  <si>
    <t>60009037;60009037</t>
  </si>
  <si>
    <t>57193752819;6602718391</t>
  </si>
  <si>
    <t>Cha, Alan G.;Bathker, D. A.</t>
  </si>
  <si>
    <t>Cha A.</t>
  </si>
  <si>
    <t>Preliminary Announcement of an 85 Percent Efficient Reflector Antenna</t>
  </si>
  <si>
    <t>10.1109/TAP.1983.1143028</t>
  </si>
  <si>
    <t>2-s2.0-0020720444</t>
  </si>
  <si>
    <t>['slot arrays', 'resonant modes', 'proper set', 'periodic arrays', 'linear antennas', 'large two', 'frequency response', 'electronics engineers', 'dimensional dipole', 'current distribution', 'copyright 1983', 'computed results', 'complementary arrays', 'certain modes', 'based upon', 'band scattering']</t>
  </si>
  <si>
    <t>A technique for computing the broad-band scattering from periodic arrays of linear antennas is presented. This technique is based upon the expansion of the current distribution on each element in the array into a set of resonant modes. With the proper set of modes this technique is capable of interpreting the frequency response of many periodic arrays. This implies that resonances can be attributed to certain modes on the elements while antiresonances are caused by the interaction between two or more modes. The scope of this paper will be limited to arrays of dipoles and complementary arrays of slots. It will be shown that this technique is capable of giving good agreement between measured and computed results of the scattering in both amplitude and phase of large two-dimensional dipole or slot arrays. Copyright 1983 by The Institute of Electrical and Electronics Engineers, Inc.</t>
  </si>
  <si>
    <t>261-267</t>
  </si>
  <si>
    <t>60002959;60002959</t>
  </si>
  <si>
    <t>7202648006;35550481500</t>
  </si>
  <si>
    <t>Larson, Clayton J.;Munk, Benedikt A.</t>
  </si>
  <si>
    <t>Bethesda</t>
  </si>
  <si>
    <t>Lockheed Martin Corporation</t>
  </si>
  <si>
    <t>Larson C.</t>
  </si>
  <si>
    <t>The Broad-Band Scattering Response of Periodic Arrays</t>
  </si>
  <si>
    <t>10.1109/TAP.1983.1143047</t>
  </si>
  <si>
    <t>2-s2.0-0020720445</t>
  </si>
  <si>
    <t>['inverse powers', 'galerkin technique', 'electronics engineers', 'electromagnetic scattering', 'eigenvalue problem', 'eigenvalue equation', 'cylinder length', 'copyright 1983', 'conducting surfaces', 'asymptotic series', 'approach consists']</t>
  </si>
  <si>
    <t>The eigenvalue problem for the integro-differential operator associated with the electromagnetic scattering by conducting surfaces is solved for the case of long finite circular cylinders. The approach consists of reducing the eigenvalue equation to matrix form using the Galerkin technique, expanding the resulting matrix elements in an asymptotic series in inverse powers of the cylinder length, and then applying perturbation theory. Copyright 1983 by The Institute of Electrical and Electronics Engineers, Inc.</t>
  </si>
  <si>
    <t>325-333</t>
  </si>
  <si>
    <t>60030821;60030821</t>
  </si>
  <si>
    <t>6603949635;6603683809</t>
  </si>
  <si>
    <t>Eftimiu, Cornel;Huddleston, P. L.</t>
  </si>
  <si>
    <t>Chicago</t>
  </si>
  <si>
    <t>Boeing Corporation</t>
  </si>
  <si>
    <t>Eftimiu C.</t>
  </si>
  <si>
    <t>Cylindrical Eigencurrents</t>
  </si>
  <si>
    <t>10.1109/TAP.1983.1143053</t>
  </si>
  <si>
    <t>2-s2.0-0020720622</t>
  </si>
  <si>
    <t>['reflected pulse', 'pulse reflected', 'part associated', 'numerical evaluation', 'mathematical modeling', 'integral describing', 'feed point', 'emp vulnerability', 'electronics engineers', 'electronic systems', 'copyright 1983', 'approximation used', 'approximate solution']</t>
  </si>
  <si>
    <t>Applications of transient electromagnetics include nonnuclear electromagnetic pulse (EMP) effects on electronic systems to evaluate system vulnerability. A basic component used in the mathematical modeling of systems for EMP vulnerability is the linear dipole antenna. Wu has derived an approximate analytical solution for the pulse reflected from the feed point of a linear dipole antenna for an incident ideal step function of current. The solution does not include the part associated with the very high frequency components because of an approximation used in evaluating the integral describing the reflected pulse. The approximation is eliminated and a simple analytical solution is given that describes that portion of the step function response associated with the very high frequency components. Numerical evaluation of the solution demonstrates convergence with Wu's approximate solution. Copyright 1983 by The Institute of Electrical and Electronics Engineers, Inc.</t>
  </si>
  <si>
    <t>369-371</t>
  </si>
  <si>
    <t>Kasevich, Raymond S.</t>
  </si>
  <si>
    <t>Kasevich R.</t>
  </si>
  <si>
    <t>Pulse Response of Linear Dipole Antenna</t>
  </si>
  <si>
    <t>10.1109/TAP.1983.1143033</t>
  </si>
  <si>
    <t>2-s2.0-0020720666</t>
  </si>
  <si>
    <t>['known frequency', 'heuristic definition', 'fraunhofer approximations', 'fourier transforming', 'far field', 'ensuing simplifications', 'electronics engineers', 'domain two', 'domain result', 'domain expressions', 'dimensional scattering', 'copyright 1983', 'approximate time']</t>
  </si>
  <si>
    <t>A heuristic definition of far field is given for time-domain two-dimensional scattering that simplifies the expression of the scattered far field as an integral over the sources. The meaning of this definition and of the ensuing simplifications is clarified by Fourier transforming the approximate time-domain result to compare it with well-known frequency-domain expressions in the Fresnel and Fraunhofer approximations. Copyright 1983 by The Institute of Electrical and Electronics Engineers, Inc.</t>
  </si>
  <si>
    <t>367-369</t>
  </si>
  <si>
    <t>101136477;101136477;60027561</t>
  </si>
  <si>
    <t>6603466927;57197192927;7004462124</t>
  </si>
  <si>
    <t>Damaskos, N. J.;Brown, R. T.;Uslenghi, P. L.E.</t>
  </si>
  <si>
    <t>Chicago;</t>
  </si>
  <si>
    <t>University of Illinois at Chicago;N. J. Damaskos Inc</t>
  </si>
  <si>
    <t>60027561;101136477</t>
  </si>
  <si>
    <t>Damaskos N.</t>
  </si>
  <si>
    <t>Far Field in Transient Two-Dimensional Scattering</t>
  </si>
  <si>
    <t>10.1109/TAP.1983.1143031</t>
  </si>
  <si>
    <t>2-s2.0-0020720779</t>
  </si>
  <si>
    <t>['snr ).', 'readily extend', 'proposed algorithms', 'noise ratio', 'low signal', 'electronics engineers', 'diverse polarizations', 'directional characteristics', 'determine bearings', 'copyright 1983', 'bearing accuracy', 'band signals', 'antenna outputs', 'aar ),']</t>
  </si>
  <si>
    <t>The advantages of using diversely polarized antennas to determine bearings of multiple cochannel narrow-band signals are shown. Three bearing estimation algorithms‚Äîmaximum likelihood (ML), adapted angular response (AAR), and Music (multiple signal classification)‚Äîare extended to handle antenna arrays with diverse polarizations; the maximum entropy method does not readily extend. The proposed algorithms are applicable to arbitrary antenna locations and directional characteristics and arbitrary noise correlations between the antenna outputs. The algorithms are compared on the basis of multiple signal resolution and bearing accuracy in the presence of noise. The Music algorithm exhibits superior performance at moderate to low signal-to-noise ratio (SNR). Copyright 1983 by The Institute of Electrical and Electronics Engineers, Inc.</t>
  </si>
  <si>
    <t>231-236</t>
  </si>
  <si>
    <t>60025209;60025209</t>
  </si>
  <si>
    <t>7005472135;7102981817</t>
  </si>
  <si>
    <t>Ferrara, Earl R.;Parks, Terry M.</t>
  </si>
  <si>
    <t>Northrop Grumman corporation</t>
  </si>
  <si>
    <t>Ferrara E.</t>
  </si>
  <si>
    <t>Direction Finding with an Array of Antennas Having Diverse Polarizations</t>
  </si>
  <si>
    <t>10.1109/TAP.1983.1143038</t>
  </si>
  <si>
    <t>2-s2.0-0020720780</t>
  </si>
  <si>
    <t>['wave propagation', 'statified media', 'spatial green', 'sommerfeld integrals', 'quantitative discussion', 'potentials created', 'numerical methods', 'mode theory', 'microstrip structure', 'interesting situation', 'functions associated', 'dielectric interface']</t>
  </si>
  <si>
    <t>The mode theory of wave propagation in statified media is used to establish the spatial Green's functions associated with a microstrip structure. They correspond to the fields and potentials created by a horizontal electric dipole placed on the air/dielectric interface and are expressed as Sommerfeld integrals. Near- and far-field approximate analytical evaluations of these integrals are derived. They allow a quantitative discussion of the scope and limitations of the static microstrip theory, and point out the relevance of surface wave effects in microstrip. The most interesting situation when both source and observer are in the air/dielectric interface is studied. Numerical methods to evaluate Sommerfeld integrals in such situations are reviewed, and several new accurate techniques are introduced.</t>
  </si>
  <si>
    <t>175-182</t>
  </si>
  <si>
    <t>7006665188;35609196900</t>
  </si>
  <si>
    <t>Mosig, J. R.;Gardiol, F. E.</t>
  </si>
  <si>
    <t>Mosig J.</t>
  </si>
  <si>
    <t>ANALYTICAL AND NUMERICAL TECHNIQUES IN THE GREEN'S FUNCTION TREATMENT OF MICROSTRIP ANTENNAS AND SCATTERERS.</t>
  </si>
  <si>
    <t>10.1049/ip-h-1.1983.0029</t>
  </si>
  <si>
    <t>2-s2.0-0020720910</t>
  </si>
  <si>
    <t>['various types', 'thermal distortions', 'test results', 'structural requirements', 'specific materials', 'reflector systems', 'mechanical design', 'different types', 'composites applications', 'composite reflectors', 'built satellites']</t>
  </si>
  <si>
    <t>Advanced-composites applications to communications-antenna reflectors used on RCA-built satellites are discussed. Various types of reflector systems and their specific materials and structural requirements are reviewed. The mechanical design, analysis and test results for the different types of advanced-composite reflectors are presented. The specific problems associated with deployable, frequency-reuse, gridded Kevlar reflectors and large, deployable, high-frequency graphite reflectors are discussed. Novel design concepts for the control of thermal distortions in deployable, composite reflectors are presented.</t>
  </si>
  <si>
    <t>43-47</t>
  </si>
  <si>
    <t>6701893127;7004082043;7006794865</t>
  </si>
  <si>
    <t>Gounder, Raj N.;Talley, Eric;Ino, Sari</t>
  </si>
  <si>
    <t>Gounder R.</t>
  </si>
  <si>
    <t>THERMALLY STABLE, PRECISION ANTENNA REFLECTORS FOR SATELLITE COMMUNICATIONS.</t>
  </si>
  <si>
    <t>2-s2.0-0020721126</t>
  </si>
  <si>
    <t>['scattering theory', 'cumulative distribution', 'averaging effect', 'antenna aperture', '575 ghz']</t>
  </si>
  <si>
    <t>Results are summarized of amplitude scintillation measurements using the OTS-TM/(TM-bar) beacon at 11. 575 GHz. The presented probability density function, cumulative distribution and power density spectrum justify the use of weak-scattering theory. The averaging effect of the 8 m receive-antenna aperture is demonstrated.</t>
  </si>
  <si>
    <t>130-132</t>
  </si>
  <si>
    <t>AEU. Archiv fur Elektronik und Ubertragungstechnik</t>
  </si>
  <si>
    <t>Herben, Mathieu H.A.J.</t>
  </si>
  <si>
    <t>Herben M.</t>
  </si>
  <si>
    <t>AMPLITUDE SCINTILLATIONS ON THE OTS-TM/(TM-bar) BEACON.</t>
  </si>
  <si>
    <t>2-s2.0-0020721192</t>
  </si>
  <si>
    <t>['¬© 1983', 'storage capacity', 'rights reserved', 'radio engineers', 'processed image', 'limitations imposed', 'hardware realization', 'great detail', 'briefly described', 'block diagram', 'additional processes']</t>
  </si>
  <si>
    <t>Antennas | Data Processing</t>
  </si>
  <si>
    <t>The basis for processing synthetic aperture radar signals is derived and the limitations imposed by unwanted platform motion discussed. The hardware realization of both unfocused and focused SAR processing is briefly described in terms of a block diagram and of the required complex multiplication time and storage capacity. Some additional processes are also briefly outlined. It is not possible to describe in great detail the full processing required to produce SAR images. Each application has its own priorities and problems. Instead an attempt has been made to present an overview of the requirements and the likely limitations affecting the processed image. ¬© 1983, The Institution of Electronic and Radio Engineers. All rights reserved.</t>
  </si>
  <si>
    <t>107-114</t>
  </si>
  <si>
    <t>Ellis, A. B.E.</t>
  </si>
  <si>
    <t>Ellis A.</t>
  </si>
  <si>
    <t>The processing of synthetic aperture radar signals</t>
  </si>
  <si>
    <t>10.1049/ree.1983.0024</t>
  </si>
  <si>
    <t>2-s2.0-0020721305</t>
  </si>
  <si>
    <t>['¬© 1983', 'spatial orientation', 'rights reserved', 'rayleigh volume', 'rank zero', 'rank one', 'principal dimensions', 'one transmitting', 'monostatic case', 'monostatic acoustic', 'moments tensors', 'moments tensor', 'electromagnetic low', 'complete set', 'characteristic function', 'bistatic generalization', 'bistatic case', 'bistatic acoustic', 'antennas propag', 'acoustical society', '0082 report']</t>
  </si>
  <si>
    <t>41.10. Hv 43.20. Bi | 43.20. Fn | PACS numbers</t>
  </si>
  <si>
    <t>The monostatic acoustic and electromagnetic low-frequency inverse scattering solutions of this author [Office of Naval Research Contract N00014-76-C-0082 Report (25 July 1982); IEEE Trans. Antennas Propag. AP-30 (4), 775‚Äì778 (July 1982)] are generalized to the bistatic case. Specifically, derived are bistatic acoustic and electromagnetic low-frequency direct scattering approximations in terms of the characteristic function of a scatterer. These bistatic approximations satisfy the principle of reciprocity, and consist of a generalization of the monostatic-bistatic equivalence theorem, valid for wide bistatic angles. Unlike the monostatic case, for which the acoustic and electromagnetic low-frequency direct scattering approximations are identical, and for which the electromagnetic low-frequency direct scattering approximation fails to yield depolarization information, the bistatic acoustic and electromagnetic low-frequency direct scattering approximations are different, and the electromagnetic bistatic low-frequency direct scattering approximation does yield depolarization information. An inverse scattering solution for the complete set of moments tensors of this characteristic function is obtained. It is shown that this bistatic inverse scattering solution is a bistatic generalization of Rayleigh's monostatic volume law, yielding the Rayleigh volume of the scatterer for the moments tensor of rank zero. The moments tensors of rank one and two are shown to be the spatial position centroid and the principal dimensions (and their spatial orientation) of the scatterer, respectively. It is shown that the inverse scattering solution can be implemented with one transmitting and one receiving location, and a modest spatial spread in one, the other, or both locations. ¬© 1983, Acoustical Society of America. All Rights Reserved</t>
  </si>
  <si>
    <t>733-735</t>
  </si>
  <si>
    <t>NA</t>
  </si>
  <si>
    <t>Journal of the Acoustical Society of America</t>
  </si>
  <si>
    <t>Bojarski, Norbert N.</t>
  </si>
  <si>
    <t>Bojarski N.</t>
  </si>
  <si>
    <t>Bistatic low-frequency inverse scattering</t>
  </si>
  <si>
    <t>10.1121/1.389038</t>
  </si>
  <si>
    <t>2-s2.0-0020721545</t>
  </si>
  <si>
    <t>['year lifetime', 'wide range', 'service areas', 'satellite antenna', 'reconfigurable communications', 'proposed design', 'orbit reconfigurability', 'orbit positions', 'include modest', 'gstar ),', 'gives details', 'communications satellite', 'attractive capability', 'also desirable']</t>
  </si>
  <si>
    <t>A communications satellite with antenna whose radiation pattern could be adjusted in-orbit would clearly offer an attractive capability. In-orbit reconfigurability is also desirable to accommodate changing traffic demands during the satellite's 10-year lifetime. This paper describes several current examples of RCA-designed communications satellites that include modest in-orbit reconfigurability (namely Satcom G, Spacenet, and GSTAR), and gives details of a proposed design for a reconfigurable communications-satellite antenna with commandable beam shapes matched to a wide range of orbit positions and service areas.</t>
  </si>
  <si>
    <t>36-41</t>
  </si>
  <si>
    <t>Balcewicz, Joseph F.</t>
  </si>
  <si>
    <t>Balcewicz J.</t>
  </si>
  <si>
    <t>IN-ORBIT RECONFIGURABLE COMMUNICATIONS-SATELLITE ANTENNAS.</t>
  </si>
  <si>
    <t>2-s2.0-0020721809</t>
  </si>
  <si>
    <t>['substrate thickness', 'resonant frequency', 'readily available', 'input impedance', 'electronics engineers', 'copyright 1983']</t>
  </si>
  <si>
    <t>The effect of substrate thickness on the characteristics of a circular-disk microstrip antenna is examined. In the literature this effect has been dealt with theoretically, but experimental results explicitly showing the effect of substrate thickness on resonant frequency, input impedance, and bandwidth do not seem to be readily available. Copyright 1983 by The Institute of Electrical and Electronics Engineers, Inc.</t>
  </si>
  <si>
    <t>358-360</t>
  </si>
  <si>
    <t>60002798;60002798</t>
  </si>
  <si>
    <t>7003504220;7501501369</t>
  </si>
  <si>
    <t>Dahele, J. S.;Lee, Kai F.</t>
  </si>
  <si>
    <t>Hong Kong</t>
  </si>
  <si>
    <t>Chinese University of Hong Kong</t>
  </si>
  <si>
    <t>Dahele J.S.</t>
  </si>
  <si>
    <t>Effect of Substrate Thickness on the Performance of a Circular-Disk Microstrip Antenna</t>
  </si>
  <si>
    <t>10.1109/TAP.1983.1143037</t>
  </si>
  <si>
    <t>2-s2.0-0020721980</t>
  </si>
  <si>
    <t>['two types', 'slightly different', 'second type', 'legs supporting', 'integration study', 'electronics engineers', 'determine conditions', 'copyright 1983', 'aperture efficiency']</t>
  </si>
  <si>
    <t>Earlier minimum blocking conditions (MBC's) for paraboloidal reflector antennas formulated by Hannan and Gillitzer did not take into acount the significant blocking contribution of the shadow of the legs supporting the feed or subreflector. A numerical-integration study to determine conditions under which the combined blocking shadow of the subreflector and its supports are minimized is described. Two types of MBC's are found: one which is based on the sidelobe level‚Äîmore important in radioastronomy (polarization measurements)‚Äîand a second type which is related to the aperture efficiency (directivity)‚Äîmore important for spectroscopy and telecommunications. Both MBC's are compared and it is shown that they are only slightly different from each other. Copyright 1983 by The Institute of Electrical and Electronics Engineers, Inc.</t>
  </si>
  <si>
    <t>342-346</t>
  </si>
  <si>
    <t>60001754;</t>
  </si>
  <si>
    <t>6602118486;7102769421</t>
  </si>
  <si>
    <t>Wohlleben, Rudolf;Koehler, Johannes</t>
  </si>
  <si>
    <t>Bonn</t>
  </si>
  <si>
    <t>Max Planck Institute for Radio Astronomy</t>
  </si>
  <si>
    <t>Wohlleben R.</t>
  </si>
  <si>
    <t>A New Minimum Blocking Condition Including Subreflector and Quadrupod Shadow for the Design of Dual Reflector Systems</t>
  </si>
  <si>
    <t>10.1109/TAP.1983.1143027</t>
  </si>
  <si>
    <t>2-s2.0-0020721981</t>
  </si>
  <si>
    <t>['scan angles', 'planar arrays', 'network parameters', 'matching networks', 'marked improvement', 'general relationships', '2 dipoles', '0 db']</t>
  </si>
  <si>
    <t>A linear phased array has properties that are different from those of the planar phased array. General relationships for linear array element gain are derived in this paper. The effects of interconnecting and matching networks on linear array performance are studied to show how the network parameters can be optimized to produce near flat response over a wide scan angle. Arrays of lambda /2 dipoles or slots are analyzed, with the result that the realized element gains may be designed to be about 0 dB above isotropic for all scan angles in marked improvement over the ideal cos theta variation of planar arrays.</t>
  </si>
  <si>
    <t>71-86</t>
  </si>
  <si>
    <t>COMSAT Technical Review</t>
  </si>
  <si>
    <t>Spring</t>
  </si>
  <si>
    <t>Zaghloul, A. I.</t>
  </si>
  <si>
    <t>Zaghloul A.</t>
  </si>
  <si>
    <t>MATCHING NETWORKS IN LINEAR PHASED ARRAYS.</t>
  </si>
  <si>
    <t>2-s2.0-0020722327</t>
  </si>
  <si>
    <t>['radiating slot', 'nonreciprocal four']</t>
  </si>
  <si>
    <t>Some results of the theory of a radiating slot in a waveguide are generalized to the case when the waveguide is not interchangeable. Relations are obtained for the scattering matrix elements of the nonreciprocal four-pole network equivalent to the slot.</t>
  </si>
  <si>
    <t>35-41</t>
  </si>
  <si>
    <t>Apr</t>
  </si>
  <si>
    <t>6602686170;6506507770</t>
  </si>
  <si>
    <t>Zaytsev, E. F.;Yavon, Yu P.</t>
  </si>
  <si>
    <t>Zaytsev E.</t>
  </si>
  <si>
    <t>PARAMETERS OF A RADIATING SLOT, CUT IN THE WALL OF A NONRECIPROCAL WAVEGUIDE.</t>
  </si>
  <si>
    <t>2-s2.0-0020732352</t>
  </si>
  <si>
    <t>['numerical results', 'dielectric losses', 'computational methods', 'characteristic impedance']</t>
  </si>
  <si>
    <t>Computational methods and numerical results for the characteristic impedance and the resistive and dielectric losses in a cylindrical slotted transmission line are presented.</t>
  </si>
  <si>
    <t>41-46</t>
  </si>
  <si>
    <t>56962710300;7005559067</t>
  </si>
  <si>
    <t>Nosich, A. I.;Shestopalov, V. P.</t>
  </si>
  <si>
    <t>Nosich A.I.</t>
  </si>
  <si>
    <t>CHARACTERISTIC IMPEDANCE AND ENERGY LOSSES IN A CYLINDRICAL SLOTTED TRANSMISSION LINE.</t>
  </si>
  <si>
    <t>2-s2.0-0020732606</t>
  </si>
  <si>
    <t>['time modulator', 'suppression level', 'input device', 'experimental setup', 'crystal transparency', 'antenna arrays', 'achieved experimentally', '20 db']</t>
  </si>
  <si>
    <t>Results of experiments on the suppression of interfering spatial signals in antenna arrays by means of coherent optical processing are presented. The experimental setup, using an LiTaO//3 space-time modulator as the input device and an optically controllable liquid-crystal transparency as the filter, is described. A suppression level of 20 db has been achieved experimentally.</t>
  </si>
  <si>
    <t>139-145</t>
  </si>
  <si>
    <t>7006802217;7003370436;6603600348;57192925963;6602268203</t>
  </si>
  <si>
    <t>Grinev, A. Yu;Kompanets, I. N.;Temchenko, V. S.;Vasil'yev, A. A.;Yezhov, V. A.</t>
  </si>
  <si>
    <t>Grinev A.</t>
  </si>
  <si>
    <t>ANTENNA ARRAYS THAT FILTER OUT INTERFERING SPATIAL RADIO SIGNALS BY COHERENT OPTICAL METHODS USING CONTROLLABLE LIQUID-CRYSTAL TRANSPARENCIES.</t>
  </si>
  <si>
    <t>2-s2.0-0020732889</t>
  </si>
  <si>
    <t>['wiley company', 'small due', 'shaped beam', 'service area', 'satellite antenna', 'rf sensor', 'radiation characteristic', 'practical configuration', 'paper clarifies', 'one reflector', 'multiple horns', 'multiple beams', 'multiple beam', 'main features', 'japanese territory', 'inc .,', 'horn cluster', 'high gain', 'fabricated antenna', 'designed value', 'design method', 'combined multiple', 'beacon station']</t>
  </si>
  <si>
    <t>This paper clarifies the design method and radiation characteristic of a satellite antenna (which covers Japanese territory by multiple beams) and a shaped beam simultaneously. This antenna is an offset paraboloidal reflector antenna fed by multiple horns. the main features are the realization of a multiple beam which covers 4‚Äêdivided Japanese territory and a shaped beam which is adapted to the form of Japanese territory by one reflector, and the addition of an RF sensor which enables high‚Äêprecision pointing direction control. First, a multiple beam antenna and a shaped beam antenna covering the same service area are discussed. It is shown that the optimum reflector parameters are different and a combined multiple/shaped beam antenna covering most of the service area with high gain can be constructed. Next, the RF sensor needed for antenna pointing direction detection is considered. It is shown that the RF sensor can be admitted into the horn cluster for some positions of a beacon station. Finally, from the measurement at the fabricated antenna it is ensured that the increase in primary radiator loss is small due to the multiple/shaped beam sharing and the antenna gain agrees well with designed value. It is clarified that the practical configuration of multiple/shaped beam antenna can actually be realized. Copyright ¬© 1983 Wiley Periodicals, Inc., A Wiley Company</t>
  </si>
  <si>
    <t>65-74</t>
  </si>
  <si>
    <t>115552146;115552146;115552146</t>
  </si>
  <si>
    <t>7403134314;35495699200;7102235358</t>
  </si>
  <si>
    <t>Ueno, Kenji;Ando, Makoto;Kumazawa, Hiroyuki</t>
  </si>
  <si>
    <t>Yokosuka</t>
  </si>
  <si>
    <t>Yokosuka Electrical Communication Lab</t>
  </si>
  <si>
    <t>Ueno K.</t>
  </si>
  <si>
    <t>30/20 GHz multiple/shaped beam satellite antenna</t>
  </si>
  <si>
    <t>10.1002/ecja.4400660409</t>
  </si>
  <si>
    <t>2-s2.0-0020733110</t>
  </si>
  <si>
    <t>['vector parameter', 'random antenna', 'maximum accuracy', 'gaussian noise', 'angular coodinates']</t>
  </si>
  <si>
    <t>A method is proposed for calculating the maximum accuracy of estimates of the vector parameter of a signal that maximizes the a posteriori probability density of a mixture of a signal and noise. An example of the method is given for Gaussian noise in the problem of measuring the angular coodinates of a source of a deterministic signal received by a random antenna.</t>
  </si>
  <si>
    <t>94-100</t>
  </si>
  <si>
    <t>Reshetov, L. A.</t>
  </si>
  <si>
    <t>Reshetov L.</t>
  </si>
  <si>
    <t>METHOD OF CALCULATING THE MAXIMUM ACCURACY OF ESTIMATING THE VECTOR PARAMETER IN THE PRESENCE OF RANDOM INTERFERING PARAMETERS.</t>
  </si>
  <si>
    <t>2-s2.0-0020733195</t>
  </si>
  <si>
    <t>['thus eliminating', 'resistively terminated', 'otherwise obtained', 'operating frequency', 'lossy material', 'given size']</t>
  </si>
  <si>
    <t>It is shown how a planar, cavity-backed spiral antennas can be resistively terminated, thus eliminating the need for coating the active radiating surface with lossy material. This extends the operating frequency below that otherwise obtained with a spiral of given size.</t>
  </si>
  <si>
    <t>5714-5715</t>
  </si>
  <si>
    <t>Goldstone, L. L.</t>
  </si>
  <si>
    <t>Goldstone L.L.</t>
  </si>
  <si>
    <t>TERMINATION FOR A SPIRAL ANTENNA.</t>
  </si>
  <si>
    <t>2-s2.0-0020733440</t>
  </si>
  <si>
    <t>['wiley company', 'space diversity', 'reflected waves', 'receiving point', 'radiation field', 'prevent fading', 'polygonal cylinder', 'plane waves', 'phase distribution', 'passive repeaters', 'paper discusses', 'method modifies', 'inc .,', 'improved reliability', 'effective improvement', 'economical construction', 'best suited', 'antenna side', 'amplitude distribution']</t>
  </si>
  <si>
    <t>For economical construction of general microwave communication channels passive repeaters are used. Effective improvement in avoiding momentary interruptions cannot be expected unless measures are adopted to prevent fading at passive repeaters and space diversity is employed at the antenna side. The radiation field of an aperture type antenna is represented by the product of the amplitude distribution and the phase distribution of the field at the aperture. Amplitude distribution has been the main area considered in analyses to date. This paper discusses a method for controlling the phase distribution and shows that this method is best suited to prevent fading. the method modifies the shape of a conventional flat reflector excited by plane waves into a polygonal cylinder which inscribes a shallow parabolic cylinder, so that a near‚Äêaxis directional beam is formed in even the direction of the first null point of the reflected waves. the level at the first null point of a polygonal cylindrical reflector designed to keep the gain reduction directly on the axis below about 1 dB agrees well with the predicted mean field intensity due to fading at a receiving point. the use of a polygonal cylinder reflector is economical and prevents momentary interruptions due to fading so that the communication channels remain stable and possess high quality with improved reliability. Copyright ¬© 1983 Wiley Periodicals, Inc., A Wiley Company</t>
  </si>
  <si>
    <t>45-55</t>
  </si>
  <si>
    <t>Numano, Yuji</t>
  </si>
  <si>
    <t>Saitama</t>
  </si>
  <si>
    <t>Denki Kogyo Co., Ltd</t>
  </si>
  <si>
    <t>Numano Y.</t>
  </si>
  <si>
    <t>Anti‚Äêfading polygonal cylinder passive repeater</t>
  </si>
  <si>
    <t>10.1002/ecja.4400660407</t>
  </si>
  <si>
    <t>2-s2.0-0020733556</t>
  </si>
  <si>
    <t>['vor system', 'vertical plane', 'two dimensions', 'radiation patterns', 'optimal choice', 'diffraction caused', 'analytical method']</t>
  </si>
  <si>
    <t>An analytical method to study the effects of size and location of the counterpoise in a VOR system is presented. Methods of making an optimal choice of these two dimensions are discussed. Radiation patterns in the vertical plane are obtained and shown for a VOR with and without a countepoise, to highlight the effects of the counterpoise. Diffraction caused at the edges of the counterpoise is incorporated to make the patterns more realistic. The uniform geometrical theory of diffraction and the equivalent current approach for caustics have been employed for this purpose.</t>
  </si>
  <si>
    <t>117-121</t>
  </si>
  <si>
    <t>Journal of the Institution of Engineers. India. Electronics and telecommunication engineering division</t>
  </si>
  <si>
    <t>6603823434;7402668582</t>
  </si>
  <si>
    <t>Mouly, M. C.Chandra;Reddy, G. R.</t>
  </si>
  <si>
    <t>Mouly M.</t>
  </si>
  <si>
    <t>RADIATION PATTERNS OF VOR ANTENNA WITH COUNTERPOISE: GTD ANALYSIS.</t>
  </si>
  <si>
    <t>2-s2.0-0020733730</t>
  </si>
  <si>
    <t>['transfer factors', 'sensitivity characteristics', 'receiving system', 'multichannel section', 'known formulas', 'independent noise']</t>
  </si>
  <si>
    <t>Sensitivity and dynamic range characteristics are discussed of an antenna-receiving system that is multichannel with respect to the input and single-channel with respect to the output under the condition that all the system's elements are matched, that there are no intercouplings between the radiators and good isolating properties of the amplifiers. It is shown that the sensitivity characteristics can be calculated from the well-known formulas for a single-channel system using the transfer factors of segments of the multichannel section for independent noise. The concepts of local and total dynamic ranges of the system are introduced.</t>
  </si>
  <si>
    <t>64-68</t>
  </si>
  <si>
    <t>6602812886;6505886989;6504828260</t>
  </si>
  <si>
    <t>Ratynskiy, M. V.;Shekhovtsev, V. V.;Bychikhin, Yu Z.</t>
  </si>
  <si>
    <t>Ratynskiy M.</t>
  </si>
  <si>
    <t>DESIGN OF CHARACTERISTICS OF MULTICHANNEL ANTENNA-RECEIVING SYSTEMS.</t>
  </si>
  <si>
    <t>2-s2.0-0020733765</t>
  </si>
  <si>
    <t>['urban communication', 'ultimate destination', 'relay consists', 'receive elements', 'practical systems', 'power transmit', 'point characteristics', 'organizing properties', 'communications relay', 'arrive coherently', 'additive noise']</t>
  </si>
  <si>
    <t>A sparse random array with self-organizing properties is proposed as a communications relay. The relay consists of N randomly deployed, low-power transmit/receive elements with capabilities for phasing their retransmissions to arrive coherently at the ultimate destination. Signal-to-noise ratio results for conventional modulation schemes corrupted with additive noise are given, together with possible system block diagrams. It is concluded that, in spite of the complexity, practical systems can be built with extremely low electromagnetic radiation densities with point-to-point characteristics at least as good as with conventional systems employing high power relays. The novel characteristics make the proposed system particularly suitable for tactical military communication, and variants thereof may find application in urban communication. ¬© 1983 IEEE</t>
  </si>
  <si>
    <t>484-492</t>
  </si>
  <si>
    <t>115709417;60102562;60102562;60085421</t>
  </si>
  <si>
    <t>6507602957;7003848370;7201352148;7003531669</t>
  </si>
  <si>
    <t>Vespoli, Jorge B.;Haber, Fred;Berkowitz, Raymond S.;Yavuz, Davras</t>
  </si>
  <si>
    <t>United States;Netherlands;Argentina</t>
  </si>
  <si>
    <t>Philadelphia;The Hague;</t>
  </si>
  <si>
    <t>School of Engineering and Applied Science;NATO Consultation, Command and Control Agency;Harris Corporation</t>
  </si>
  <si>
    <t>60102562;60085421;115709417</t>
  </si>
  <si>
    <t>Vespoli J.B.</t>
  </si>
  <si>
    <t>A Self-Organizing Random Array Communications Relay</t>
  </si>
  <si>
    <t>10.1109/TCOM.1983.1095848</t>
  </si>
  <si>
    <t>2-s2.0-0020734018</t>
  </si>
  <si>
    <t>['unit located', 'tv receiver', 'scant attention', 'practical use', 'mass scale', 'baseband unit']</t>
  </si>
  <si>
    <t>Scant attention has been paid to the problem of satellite aerial installation on a mass scale, and particularly to the need for precise aerial alignment. Methods of alignment are examined which will be of both economic and practical use to the installation engineer using current technologies. It is assumed that the TV receiver to be used is a complete unit incorporating a downconverter and baseband unit. Further, that thought has been given to either a low noise amplifier (LNA) or low noise converter (LNC) unit located with the aerial.</t>
  </si>
  <si>
    <t>Cresdee, N. L.H.</t>
  </si>
  <si>
    <t>Cresdee N.</t>
  </si>
  <si>
    <t>SATELLITE TV AERIAL ALIGNMENT.</t>
  </si>
  <si>
    <t>2-s2.0-0020734514</t>
  </si>
  <si>
    <t>['spectral support', 'spectral estimation', 'solved using', 'simplex method', 'problem involves', 'positive spectrum', 'noise component', 'multidimensional frequency', 'mathematical framework', 'impulses plus', 'given set', 'extendibility question', 'exactly matches', 'electronics engineers', 'correlation samples', 'correlation function', 'briefly discussed']</t>
  </si>
  <si>
    <t>The array processing problem is briefly discussed and an abstract spectral estimation problem is formulated. This problem involves the estimation of a multidimensional frequency-wave vector power spectrum from measurements of the correlation function and knowledge of the spectral support. The investigation of correlation-matching spectral estimates leads to the extendibility question: does there exist any positive spectrum on the spectral support that exactly matches a given set of correlation samples? In answering this question, a mathematical framework is developed in which to analyze and design spectral estimation algorithms. Pisarenko's method of spectral estimation, which models the spectrum as a sum of impulses plus a noise component, is extended from the time series case to the more general array processing case. Pisarenko's estimate is obtained as the solution of a linear optimization problem, which can be solved using a linear programming algorithm such as the simplex method. Copyright ¬© 1983 by The Institute of Electrical and Electronics Engineers, Inc.</t>
  </si>
  <si>
    <t>349-358</t>
  </si>
  <si>
    <t>IEEE Transactions on Acoustics, Speech, and Signal Processing</t>
  </si>
  <si>
    <t>60077590;60074308</t>
  </si>
  <si>
    <t>7401701311;7101811574</t>
  </si>
  <si>
    <t>Lang, Stephen W.;Mcclellan, James H.</t>
  </si>
  <si>
    <t>Cambridge;Sugar Land</t>
  </si>
  <si>
    <t>Schlumberger-Doll Research Center;Schlumberger Limited</t>
  </si>
  <si>
    <t>Lang S.W.</t>
  </si>
  <si>
    <t>Spectral Estimation for Sensor Arrays</t>
  </si>
  <si>
    <t>10.1109/TASSP.1983.1164080</t>
  </si>
  <si>
    <t>2-s2.0-0020734818</t>
  </si>
  <si>
    <t>['receiving system', 'paper introduces', 'channel receiver', '7 db']</t>
  </si>
  <si>
    <t>A 12 GHz band satellite receiver featuring high sensitivity of G/T 18. 7 db/K and suitable for receiving a low power satellite of 47 dbW EIRP or lower, or for application to CATV, was developed. This paper introduces the receiving system that consists of the 1. 8 meter antenna, the 3. 5 db NF and 24-channel receiver.</t>
  </si>
  <si>
    <t>0547051X</t>
  </si>
  <si>
    <t>NEC Research and Development</t>
  </si>
  <si>
    <t>57198357816;57207236075;6506814325;7102017421;57201101873;7406799970</t>
  </si>
  <si>
    <t>Yoshida, Hiroshi;Watanabe, Hiroshi;Shizume, Yasumichi;Tomoda, Katsuaki;Kurokawa, Yasushi;Yamamoto, Tsuguo</t>
  </si>
  <si>
    <t>Yoshida H.</t>
  </si>
  <si>
    <t>12 GHz BROADCASTING SATELLITE RECEIVER.</t>
  </si>
  <si>
    <t>2-s2.0-0020734835</t>
  </si>
  <si>
    <t>['¬© 1983', 'wave equation', 'toroidal eigenmodes', 'theoretical conclusions', 'rights reserved', 'observed even', 'includes density', 'dimensional model']</t>
  </si>
  <si>
    <t>The propagation of the fast magnetosonic wave is studied, taking into account the effect of the two-ion hybrid layer. Using a one-dimensional model, which includes density and magnetic field gradients, the wave equation is solved in the cold plasma approximation. The existence of radial eigenmodes confined between the two-ion hybrid layer and the low field side wall is predicted. Comparison with experimental data obtained on the TFR tokamak confirms the theoretical conclusions. Toroidal eigenmodes are observed even in the mode conversion regime when the antenna is on the low magnetic field side. ¬© 1983, Cambridge University Press. All rights reserved.</t>
  </si>
  <si>
    <t>223-241</t>
  </si>
  <si>
    <t>Journal of Plasma Physics</t>
  </si>
  <si>
    <t>Lapierre, Y.</t>
  </si>
  <si>
    <t>Gif-sur-Yvette</t>
  </si>
  <si>
    <t>CEA Saclay</t>
  </si>
  <si>
    <t>Lapierre Y.</t>
  </si>
  <si>
    <t>Magnetosonic wave propagation in the mode conversion regime</t>
  </si>
  <si>
    <t>10.1017/S0022377800000726</t>
  </si>
  <si>
    <t>2-s2.0-0020734907</t>
  </si>
  <si>
    <t>['waveform analysis', 'test facility', 'sparking signals', 'sparking detection', 'sensitive parameter', 'investigative results', 'electronics engineers', 'early detection', 'continuous monitoring', 'collector rings']</t>
  </si>
  <si>
    <t>Continuous monitoring techniques are described for sparking detection of collector rings on generators. An antenna is used as a detector which senses radio waves generated by the sparking. From investigative results of waveform analysis, it was seen that the most sensitive parameter in monitoring is the area of sparking signals. Using the monitor in a test facility, it was confirmed that continuous monitoring and early detection of sparking are possible. Copyright ¬© 1983 by The Institute of Electrical and Electronics Engineers, Inc.</t>
  </si>
  <si>
    <t>928-933</t>
  </si>
  <si>
    <t>PAS-102</t>
  </si>
  <si>
    <t>IEEE Transactions on Power Apparatus and Systems</t>
  </si>
  <si>
    <t>60003381;60003381;60003381;60003381;60003381</t>
  </si>
  <si>
    <t>6603646240;6506161476;56252311100;57191368604;6602982140</t>
  </si>
  <si>
    <t>Michiguchi, Yoshihiro;Tanisaka, Satoshi;Izumi, Shigeru;Watanabe, Takashi;Miyashita, Ikuro</t>
  </si>
  <si>
    <t>Hitachi, Ltd.</t>
  </si>
  <si>
    <t>Michiguchi Y.</t>
  </si>
  <si>
    <t>Development of a Collector Ring Monitor for Sparking Detection on Generators</t>
  </si>
  <si>
    <t>10.1109/TPAS.1983.317805</t>
  </si>
  <si>
    <t>2-s2.0-0020735096</t>
  </si>
  <si>
    <t>['weather conditions', 'wave radiometry', 'typical examples', 'tropopause height', 'system operating', 'rights reserved', 'radio wavelengths', 'liquid measurements', 'inc .,', 'continuously profiles']</t>
  </si>
  <si>
    <t>A system operating at radio wavelengths, which continuously profiles the winds, temperature, and humidity of the troposphere, is discussed. Fixed-beam Doppler radar is used for measurement of the winds and tropopause height; millimeter-wave radiometry with antenna beams fixed-pointed to the zenith is used for temperature, humidity, and liquid measurements. The system operates unattended during almost all weather conditions; typical examples of data are presented. ¬© American Institute of Aeronautics and Astronautics, Inc., 1981. All rights reserved. ¬© 1983 American Institute of Aeronautics and Astronautics, Inc., All rights reserved.</t>
  </si>
  <si>
    <t>359-362</t>
  </si>
  <si>
    <t>Journal of Aircraft</t>
  </si>
  <si>
    <t>60027716;60027716;60027716</t>
  </si>
  <si>
    <t>7004520527;35936317000;36345591700</t>
  </si>
  <si>
    <t>Strauch, R. G.;Decker, M. T.;Hogg, D. C.</t>
  </si>
  <si>
    <t>National Oceanic and Atmospheric Administration</t>
  </si>
  <si>
    <t>Strauch R.</t>
  </si>
  <si>
    <t>Automated profiling of the troposphere</t>
  </si>
  <si>
    <t>10.2514/3.44876</t>
  </si>
  <si>
    <t>2-s2.0-0020735727</t>
  </si>
  <si>
    <t>['radiation performance', 'peculiar nature', 'middle gain', 'good matching', 'first requirement', 'currently used', 'background radiation']</t>
  </si>
  <si>
    <t>The ‚Ä≥3 degree K Blackbody‚Ä≥ study requires antennas quite different from those currently used for standard radioastronomical observations, because of the peculiar nature of Background Radiation. A first requirement is a main beamwidth 10-15 degree HPB (Half Power Beam Width). Then extremely low sidelobes and backlobes and very good matching at the input of the antenna are necessary in order to minimize the antenna noise contribution. First investigation showed the possibility of improving the radiation performance of a horn reflector antenna by corrugating the feeding conical waveguide. The final solution consists in a corrugated conical horn which presents excellent radiative characteristics as a middle gain and low noise antenna.</t>
  </si>
  <si>
    <t>79-83</t>
  </si>
  <si>
    <t>CSELT Rapporti Tecnici (Centro Studi e Laboratori Telecomunicazioni)</t>
  </si>
  <si>
    <t>7003337338;6602149280;7006084404</t>
  </si>
  <si>
    <t>Bielli, Paolo;Pagana, Enrico;Sironi, Giorgio</t>
  </si>
  <si>
    <t>Bielli P.</t>
  </si>
  <si>
    <t>RADIO-ASTRONOMY ANTENNAS FOR 3 degree K COSMIC RADIATION MEASUREMENTS.</t>
  </si>
  <si>
    <t>2-s2.0-0020736969</t>
  </si>
  <si>
    <t>['wave tube', 'test results', 'tapered helix', 'stage collector', 'saturated gain', 'overall efficiency', 'output power', 'impregnated cathode', 'frequency range', 'experimental tube', 'cooled four', 'broadcasting satellites', '44 db', '260 w', '2 ghz']</t>
  </si>
  <si>
    <t>A 12 GHz band, 200 w class helix traveling-wave tube (TWT) for broadcasting satellites is presented. This tube is now under development for future broadcasting satellites. It operates in the frequency range from 11. 7 to 12. 2 GHz, and an output power of 260 w, saturated gain of 44 db and overall efficiency of 49% have been obtained with an experimental tube. It is provided with an impregnated cathode, gold-plated and tapered helix, and radiation-cooled four-stage collector. An outline is given of the design and test results.</t>
  </si>
  <si>
    <t>95-101</t>
  </si>
  <si>
    <t>7405709390;6503903974;7202522091;7402811483;6602829610;6507215384</t>
  </si>
  <si>
    <t>Kimura, Toshikazu;NEC, Electron Device Div;Hamada, Sadanori;Kubo, Hideichi;Tsutaki, Kunio;Ohrui, Ryuzo</t>
  </si>
  <si>
    <t>Kimura T.</t>
  </si>
  <si>
    <t>12 GHz, 200 w HELIX TRAVELING-WAVE TUBE FOR BROADCASTING SATELLITES.</t>
  </si>
  <si>
    <t>2-s2.0-0020737063</t>
  </si>
  <si>
    <t>['wide range', 'system applications', 'specific polarizations', 'sidelobe levels', 'reduced bandwidth', 'radiation pattern', 'polarization control', 'performance limitations', 'new configuration', 'microstrip series', 'microstrip arrays', 'measured results', 'may make', 'high dielectric', 'grating lobes', 'geometry required', 'four arrays', 'form expressions', 'design technique', 'design limitations', 'current interest', 'crosspolarization levels', 'constant substrates', 'cases indicates', 'array consists', 'angle bends']</t>
  </si>
  <si>
    <t>A new configuration of microstrip series-fed linear array is presented, in which the choice of the specific array geometry permits selection of the dominant radiated polarization from a wide range. The array consists of a series of right-angle bends in a microstrip line whose spacing determines the polarization. Using an equivalent magnetic current analysis, closed-form expressions are derived for the geometry required for specific polarizations. Design limitations are noted and, in particular, the appearance of grating lobes in the radiation pattern in some cases indicates the use of high dielectric-constant substrates. Measured results for four arrays, having polarizations of current interest, verify the design technique for crosspolarization levels down to minus 25 db and sidelobe levels down to minus 20 db. The performance limitations are assessed. It is concluded that the new configuration will result in arrays having reduced bandwidth, or efficiency, with radiation-pattern control comparable to other microstrip arrays, combined with polarization control which may make them attractive in some system applications.</t>
  </si>
  <si>
    <t>215-224</t>
  </si>
  <si>
    <t>Hall, P. S.</t>
  </si>
  <si>
    <t>Hall P.</t>
  </si>
  <si>
    <t>MICROSTRIP LINEAR ARRAY WITH POLARISATION CONTROL.</t>
  </si>
  <si>
    <t>10.1049/ip-h-1.1983.0037</t>
  </si>
  <si>
    <t>2-s2.0-0020737156</t>
  </si>
  <si>
    <t>['metropolitan areas', 'first batch', 'discriminator detection', 'attached directly']</t>
  </si>
  <si>
    <t>A 40 GHz transmitter-receiver for short-hop, light density digital transmission in metropolitan areas has been developed utilizing FSK modulation and discriminator detection. In order to minimize connection losses, the transmitter-receiver is attached directly at the back of the antenna, which is mounted on the rooftop of a building. The first batch of this equipment has been in operation as a central disaster prevention radio network for linking central government offices in Tokyo.</t>
  </si>
  <si>
    <t>102-107</t>
  </si>
  <si>
    <t>56221712000;6602154338;55438725800;55209433100;6701769821</t>
  </si>
  <si>
    <t>Minami, Syogo;Kasuga, Osamu;Kaneko, Kunio;Miura, Hajime;Ohsako, Masahiko</t>
  </si>
  <si>
    <t>Minami S.</t>
  </si>
  <si>
    <t>40 GHz PCM-FSK TRANSMITTER-RECEIVER.</t>
  </si>
  <si>
    <t>2-s2.0-0020737214</t>
  </si>
  <si>
    <t>['spun technology', 'spun spacecraft', 'spacecraft would', 'solar array', 'proven wrong', 'practical solution', 'pointing capability', 'paper traces', 'made possible', 'applicable body']</t>
  </si>
  <si>
    <t>High electrical power and accurate antenna pointing for geosynchronous satellite missions in the 1980s will be provided by both spin-stabilized and 3-axis spacecraft designs. The long held premise that body-spun (spin-stabilized) spacecraft would not provide a practical solution to meeting these requirements has been proven wrong. Body-spun spacecraft have been selected for missions in the 1980s requiring kilowatts of power and hundredths of a degree pointing accuracy. This paper traces the evolution in applicable body-spun technology over the past 20 years to show how this growth in power and pointing capability was made possible. Solar array and antenna pointing systems on two modern body-spun spacecraft are then described.</t>
  </si>
  <si>
    <t>65-71</t>
  </si>
  <si>
    <t>Space Communication and Broadcasting</t>
  </si>
  <si>
    <t>Durling, G. W.</t>
  </si>
  <si>
    <t>Durling G.</t>
  </si>
  <si>
    <t>HIGH POWER AND POINTING ACCURACY FROM BODY-SPUN SPACECRAFT.</t>
  </si>
  <si>
    <t>2-s2.0-0020737479</t>
  </si>
  <si>
    <t>['wavelengths 0', 'sea roughness', 'scale model', 'satellite two', 'radiometric measurements', 'radiation averaged', 'microwave radiation', 'known results', 'infrared measurements', 'experimental measurements', 'electronics engineers', 'cloudy atmosphere', 'atmospheric parameters', '70 percent', '35 cm']</t>
  </si>
  <si>
    <t>A discussion of the influence of sea roughness and spatial atmospheric inhomogeneities on the precision of satellite microwave radiometric measurements of the atmospheric parameters is presented. The two-scale model for microwave radiation of the ruffled sea surface without foam and spray is confirmed by experimental measurements. Investigations of the brightness temperature fluctuations of the clear and cloudy atmosphere are made using aircraft experimental measurements at the wavelengths 0.8 and 1.35 cm. Calculations of the radiation averaged over a satellite antenna footprint are carried out on the basis of these results and of well-known results of optical and infrared measurements. It is shown that sea roughness and the non-uniformity of clouds may result in errors in the integrated atmosphere water vapor and cloud liquid water content determination by satellite two-wavelength (0.8 and 1.35 cm) radiometric measurements up to 30 and 70 percent, respectively. Copyright ¬© 1983 by The Institute of Electrical and Electronics Engineers, Inc.</t>
  </si>
  <si>
    <t>62-70</t>
  </si>
  <si>
    <t>IEEE Journal of Oceanic Engineering</t>
  </si>
  <si>
    <t>60029225;60029225</t>
  </si>
  <si>
    <t>7102949376;6701811465</t>
  </si>
  <si>
    <t>Gagarin, Sergey P.;Kutuza, Boris G.</t>
  </si>
  <si>
    <t>Russian Federation</t>
  </si>
  <si>
    <t>Moscow</t>
  </si>
  <si>
    <t>Kotelnikov Institute of Radioengineering and Electronics (IRE) of Russian Academy of Sciences</t>
  </si>
  <si>
    <t>Gagarin S.</t>
  </si>
  <si>
    <t>Influence of Sea Roughness and Atmospheric Inhomogeneities on Microwave Radiation of the Atmosphere‚ÄìOcean System</t>
  </si>
  <si>
    <t>10.1109/JOE.1983.1145553</t>
  </si>
  <si>
    <t>2-s2.0-0020737487</t>
  </si>
  <si>
    <t>Johnson Space Center</t>
  </si>
  <si>
    <t>JSC</t>
  </si>
  <si>
    <t>['¬© 1983', 'spin table', 'slender beam', 'representative maneuvers', 'paper addresses', 'orbital base', 'orbit autopilot', 'flexible payload', 'flexible antennas', 'first payload', 'compact satellites', 'behavior analyzed']</t>
  </si>
  <si>
    <t>The Space Shuttle Orbiter will be used as an orbital base for near-term space operations. Its payloads will range from compact satellites to large, flexible antennas. This paper addresses the problem of the dynamics and control of the Orbiter with a flexible payload. Two different cases are presented as examples. The first is a long, slender beam which might be used as an element in a large orbiting structure. The second is a compact satellite mounted on a spin table in the Orbiter payload bay. The closed loop limit cycles are determined for the first payload and the open loop eigenvalues are calculated for the second. Models of both payloads are mechanized in a simulation with the Shuttle on-orbit autopilot. The vehicle is put through a series of representative maneuvers and its behavior analyzed. The degree of interaction for each payload is determined and strategies are discussed for its reduction. ¬© 1983.</t>
  </si>
  <si>
    <t>163-178</t>
  </si>
  <si>
    <t>Paluszek, Michael</t>
  </si>
  <si>
    <t>Charles Stark Draper Lab Inc</t>
  </si>
  <si>
    <t>Paluszek M.</t>
  </si>
  <si>
    <t>The dynamics of the space shuttle orbiter with a flexible payload</t>
  </si>
  <si>
    <t>10.1016/0094-5765(83)90039-5</t>
  </si>
  <si>
    <t>2-s2.0-0020737694</t>
  </si>
  <si>
    <t>['theoretical findings', 'slightly depressing', 'resonant frequency', 'practical antennas', 'much higher', 'modified form', 'little change', 'experimental observations']</t>
  </si>
  <si>
    <t>A modified form of a microstrip circular patch antenna is presented by slightly depressing the patch configuration conically into the substrate. The theoretical analysis predicts the bandwidth of such an antenna to be much higher than that of an identical circular patch antenna with little change in the resonant frequency. The theoretical findings are supported by experimental observations. Theoretical and observed radiation patterns of practical antennas are presented.</t>
  </si>
  <si>
    <t>193-196</t>
  </si>
  <si>
    <t>8356522700;7006723977</t>
  </si>
  <si>
    <t>Das, N.;Chatterjee, J. S.</t>
  </si>
  <si>
    <t>CONICALLY DEPRESSED MICROSTRIP PATCH ANTENNA.</t>
  </si>
  <si>
    <t>10.1049/ip-h-1.1983.0033</t>
  </si>
  <si>
    <t>2-s2.0-0020737714</t>
  </si>
  <si>
    <t>['two frequency', 'transmission coefficients', 'significant functions', 'restricted wavebands', 'reflection resonance', 'principal planes', 'plane arm', 'modal technique', 'main resonance', 'jerusalem crosses', 'higher frequencies', 'experimental values', 'entire structure', 'element current', 'confined largely', 'calculated plane', 'asymmetrical resonances', 'analyzed using', '50 degree', '40 ghz']</t>
  </si>
  <si>
    <t>Two frequency-selective surfaces consisting of arrays of Jerusalem crosses have been analyzed using a modal technique. Calculated plane-wave-transmission coefficients are compared with experimental values in the frequency range 1-40 GHz, for incidence up to 50 degree in the principal planes. At each reflection resonance the calculated element current distribution is illustrated. At the main resonance the current is confined largely to the E-plane arm of the cross, whereas, at higher frequencies, asymmetrical resonances of the entire structure are observed. 22 basis functions are required to represent the element current over the entire frequency range, but computer processing time can be reduced by identifying the significant functions in restricted wavebands.</t>
  </si>
  <si>
    <t>203-208</t>
  </si>
  <si>
    <t>7201840709;7004104010;56020461500</t>
  </si>
  <si>
    <t>Parker, E. A.;Hamdy, S. M.A.;Langley, R. J.</t>
  </si>
  <si>
    <t>Parker E.</t>
  </si>
  <si>
    <t>MODES OF RESONANCE OF THE JERUSALEM CROSS IN FREQUENCY-SELECTIVE SURFACES.</t>
  </si>
  <si>
    <t>10.1049/ip-h-1.1983.0035</t>
  </si>
  <si>
    <t>2-s2.0-0020737746</t>
  </si>
  <si>
    <t>['principal e', 'polar angle', 'general expression']</t>
  </si>
  <si>
    <t>A general expression for the phase center locations in the principal E- and H-planes, defined at any polar angle, of a paraboloidal reflector antenna is developed. Dependence of these phase center locations on the polar angle and various antenna parameters is studied and the results are presented as graphs.</t>
  </si>
  <si>
    <t>515-521</t>
  </si>
  <si>
    <t>Ja, Y. H.</t>
  </si>
  <si>
    <t>Ja Y.</t>
  </si>
  <si>
    <t>PHASE CENTRE LOCATION OF PARABOLOIDAL REFLECTOR ANTENNAS.</t>
  </si>
  <si>
    <t>10.1080/00207218308938749</t>
  </si>
  <si>
    <t>2-s2.0-0020737815</t>
  </si>
  <si>
    <t>['transverse phase', 'relative permittivity', 'radiation characteristics', 'lens surface', 'foam lenses', 'experimental results', 'corrugated horn', 'conical horns', 'aperture amplitude', 'amplitude distribution']</t>
  </si>
  <si>
    <t>The radiation characteristics of conical horns with plastics-foam lenses are studied. The use of a plastics-foam lens enables the aperture amplitude and phase to be controlled by changing the shape of the lens surface and the relative permittivity of the foam. Theoretical and experimental results for a conical-corrugated horn with double-refraction lens shows that uniform-transverse phase and amplitude distribution can be obtained, giving high aperture efficiency with a relatively compact antenna.</t>
  </si>
  <si>
    <t>197-202</t>
  </si>
  <si>
    <t>7006827241;7005998387</t>
  </si>
  <si>
    <t>Olver, A. D.;Saleeb, A. A.</t>
  </si>
  <si>
    <t>Olver A.</t>
  </si>
  <si>
    <t>IMPROVED RADIATION CHARACTERISTICS OF CONICAL HORNS WITH PLASTICS-FOAM LENSES.</t>
  </si>
  <si>
    <t>10.1049/ip-h-1.1983.0034</t>
  </si>
  <si>
    <t>2-s2.0-0020737883</t>
  </si>
  <si>
    <t>['singular part', 'excited modes', 'current induced']</t>
  </si>
  <si>
    <t>Two-dimensional wave scattering by open thin scatterers is studied. The current induced on the scatterer is expanded in modes, which are eigenfunctions of the singular part of the Green's function. The number of excited modes is a monotonic increasing function of the length of the scatterer and its curvature. An efficient numerical scheme for calculating the induced current emerges, with an explicit convergence criterion.</t>
  </si>
  <si>
    <t>209-214</t>
  </si>
  <si>
    <t>Frenkel, A.</t>
  </si>
  <si>
    <t>Frenkel A.</t>
  </si>
  <si>
    <t>EXTERNAL MODES OF TWO-DIMENSIONAL THIN SCATTERERS.</t>
  </si>
  <si>
    <t>10.1049/ip-h-1.1983.0036</t>
  </si>
  <si>
    <t>2-s2.0-0020738075</t>
  </si>
  <si>
    <t>['performance parameters']</t>
  </si>
  <si>
    <t>New dynamic performance parameters namely sensitivity, controllability and observability for adaptive control loops are introduced. Computer-aided dynamic performance analysis has been carried out using these performance parameters.</t>
  </si>
  <si>
    <t>149-154</t>
  </si>
  <si>
    <t>SENSITIVITY ANALYSIS OF ADAPTIVE ANTENNA CONTROL LOOPS.</t>
  </si>
  <si>
    <t>10.1080/03772063.1983.11452989</t>
  </si>
  <si>
    <t>2-s2.0-0020739381</t>
  </si>
  <si>
    <t>['uhf antenna', 'top face', 'single monopole', 'simultaneous operation', 'receive transmissions', 'onboard vhf', 'modifed feed', 'improved version', 'different frequencies', 'communication packages', 'bhaskara missions', '400mhz band', '150mhz band']</t>
  </si>
  <si>
    <t>The Onboard VHF and UHF Antenna Systems flown successfully in Bhaskara Missions are described. The VHF antenna system used for Telemetry, Tracking and Command (TT&amp;C) purposes in 136-150MHz band is an improved version of the Aryabhata Antenna System with better radiation characteristics and modifed feed for simultaneous operation of all communication packages at different frequencies. The UHF Antenna is a single monopole on the top face of the satellite which will receive transmissions from unattended data collection platforms (DCP) in 400MHz band.</t>
  </si>
  <si>
    <t>154-159</t>
  </si>
  <si>
    <t>7402277666;55701310200;6603641531;57198159368;7007185648;55455254900</t>
  </si>
  <si>
    <t>Pal, S.;Reddy, P. K.;Lakshmeesha, V. K.;Mahadevan, V.;Nicholas, L.;Rao, V. Sambasiva</t>
  </si>
  <si>
    <t>Pal S.</t>
  </si>
  <si>
    <t>ONBOARD ANTENNA SYSTEMS FOR BHASKARA MISSIONS.</t>
  </si>
  <si>
    <t>10.1080/03772063.1983.11452990</t>
  </si>
  <si>
    <t>2-s2.0-0020741573</t>
  </si>
  <si>
    <t>['vary slowly', 'two phi', 'theoretical analysis', 'tabular form', 'radii r', 'placed horizontally', 'operative wavelength', 'negligible throughout', 'input impedances', 'input impedance', 'ground reflection', 'four combinations', 'four cases', 'five half', 'dipole radiators', 'different radiators']</t>
  </si>
  <si>
    <t>A theoretical analysis of the input impedance and vertical radiation patterns of a three-turn helical array of twenty-five half-wave dipole antennae is presented. The dipole radiators are placed horizontally and are parallel to each other. The ground reflection is assumed to be negligible throughout the analysis. Four combinations of the radii r of the helices and separation between consecutive turns h of the helices are considered in terms of the operative wavelength. The input impedances in the above four cases are given in a tabular form. The input impedances of the different radiators are found to vary slowly from radiator to radiator. The sharp vertical radiation patterns for the two phi -planes for the four combinations of r and h are plotted and discussed.</t>
  </si>
  <si>
    <t>35321975100;7005770188</t>
  </si>
  <si>
    <t>Chakraborty, B.;Dey, K. K.</t>
  </si>
  <si>
    <t>Chakraborty B.</t>
  </si>
  <si>
    <t>HELICAL-SHAPED ANTENNA ARRAY - STUDY OF INPUT IMPEDANCES AND RADIATION PATTERNS.</t>
  </si>
  <si>
    <t>10.1080/03772063.1983.11452991</t>
  </si>
  <si>
    <t>2-s2.0-0020742223</t>
  </si>
  <si>
    <t>['optical processor', 'mechanical deflector', 'lithium tantalate', 'device included', 'combined coupling', 'antenna arrays']</t>
  </si>
  <si>
    <t>A study was made of the use of a combined coupling-in device in a coherent-optical processor for signals from antenna arrays. This device included a multichannel electrooptic light modulator made of lithium tantalate, a mechanical deflector, and an optically controlled transparency in the form of a Pockels readout optical memory.</t>
  </si>
  <si>
    <t>656-658</t>
  </si>
  <si>
    <t>Soviet journal of quantum electronics</t>
  </si>
  <si>
    <t>May</t>
  </si>
  <si>
    <t>7006802217;7003461461;6603600348;6505882738</t>
  </si>
  <si>
    <t>Grinev, A. Yu;Trukhin, V. F.;Temchenko, V. S.;Yankovskii, O. F.</t>
  </si>
  <si>
    <t>COHERENT-OPTICAL SIGNAL PROCESSOR BASED ON A SPATIAL LIGHT MODULATOR WITH MULTICHANNEL OPTICAL ADDRESSING.</t>
  </si>
  <si>
    <t>10.1070/QE1983v013n05ABEH004253</t>
  </si>
  <si>
    <t>2-s2.0-0020746052</t>
  </si>
  <si>
    <t>['weighting function', 'vector nature', 'problems concerning', 'near field', 'efficient algorithm', 'antenna based']</t>
  </si>
  <si>
    <t>The resolution of the 'focusing method,' an efficient algorithm for diagnostics of currents in an antenna based on measurements of the antenna's near field, is analyzed. The relation between the resolution of the method and the weighting function of the volume of measurements of the near field used is determined. The effect of the vector nature of the near field is investigated. Problems concerning the spacing of the measurements and the dependence of the volume of measurements on distance to the antenna are examined.</t>
  </si>
  <si>
    <t>25-34</t>
  </si>
  <si>
    <t>6603710799;55885976600;57214034502</t>
  </si>
  <si>
    <t>Kinber, B. E.;Anyutin, A. P.;Martynov, A. M.</t>
  </si>
  <si>
    <t>Kinber B.</t>
  </si>
  <si>
    <t>DIAGNOSTICS OF FAULTY PHASE ARRAY ELEMENTS BY THE FOCUSING METHOD.</t>
  </si>
  <si>
    <t>2-s2.0-0020746267</t>
  </si>
  <si>
    <t>['wiley company', 'small fss', 'realized equivalently', 'plane containing', 'onboard antenna', 'method permits', 'k bands', 'inc .,', 'fss size', 'evaluate scattering', 'design method', 'antenna design', '5 ghz', '1 db']</t>
  </si>
  <si>
    <t>A K(30/20 CHz)/C(6/4 GHz)/S(2.6/2.5 GHz) bands offset satellite antenna with an S/C bands feed horn and a low pass frequency selective surface (FSS) covering only part of a whole aperture angle, is designed, reproduced, its characteristic as an onboard antenna is confirmed and a design method and characteristic evaluation method for this type of antenna are established. In this antenna, three different frequency bands with different optimum aperture diameters share one reflector. the optimum aperture diameters peculiar for respective frequency bands (1.8 m for S, 1 m for C, K bands) are realized equivalently by choosing the diameter of the S/C bands feed horn and the size of FSS. the decrease in service area edge gain due to frequency bands sharing is about 1 dB, a satisfactory result compared to the case in which respective frequency band antennas are on board. the efficient analysis method assuming equivalent currents on the plane containing the FSS is derived to evaluate scattering from the small FSS. This method permits an antenna design with FSS size as a parameter; this was not considered before. the design and analysis of the antenna are confirmed by measurements. Copyright ¬© 1983 Wiley Periodicals, Inc., A Wiley Company</t>
  </si>
  <si>
    <t>57-66</t>
  </si>
  <si>
    <t>115552146;115552146;115552146;115552146</t>
  </si>
  <si>
    <t>35495699200;7403134314;7102235358;35564404500</t>
  </si>
  <si>
    <t>Ando, Makoto;Ueno, Kenji;Kumazawa, Hiroyuki;Kagoshima, Kenichi</t>
  </si>
  <si>
    <t>Ando M.</t>
  </si>
  <si>
    <t>A K/C/S bands satellite antenna with frequency selective surface</t>
  </si>
  <si>
    <t>10.1002/ecja.4400660508</t>
  </si>
  <si>
    <t>2-s2.0-0020746349</t>
  </si>
  <si>
    <t>['spatial waves', 'slit emitter', 'shield covered', 'radiation patterns', 'lm waves', 'dielectric layer']</t>
  </si>
  <si>
    <t>Based on expansion of fields in terms of LE and LM waves, expressions are obtained for the transmission of radiation by a narrow rectangular slit in a shield covered with a dielectric layer. The contribution of surface and spatial waves to the conductivity is investigated. The radiation patterns of a slit emitter are determined.</t>
  </si>
  <si>
    <t>50-54</t>
  </si>
  <si>
    <t>6701772560;16025300900</t>
  </si>
  <si>
    <t>Panchenko, B. A.;Shabunin, S. N.</t>
  </si>
  <si>
    <t>Panchenko B.</t>
  </si>
  <si>
    <t>RADIATION EFFICIENCY OF A SLIT IN A CONDUCTING SHIELD COVERED WITH A DIELECTRIC LAYER.</t>
  </si>
  <si>
    <t>2-s2.0-0020746497</t>
  </si>
  <si>
    <t>['transparency distribution', 'selective antennas', 'resonant antenna', 'open resonator', 'low transparency']</t>
  </si>
  <si>
    <t>An open resonator, bounded by a surface with low transparency, is a resonant antenna. By selecting the shape of the surface and the transparency distribution on the surface, it is possible to create a resonator, one of whose characteristic oscillations will have the form of an outgoing wave outside the resonator with fixed radiation pattern. Such frequency-selective antennas can form, in particular, radiation patterns without lobes, i. e. , monotonically decreasing patterns.</t>
  </si>
  <si>
    <t>35-43</t>
  </si>
  <si>
    <t>7003706658;7003498132;6506315779;7004714672</t>
  </si>
  <si>
    <t>Katsenelenbaum, B. Z.;Korshunova, E. N.;Pangonis, L. I.;Sivov, A. N.</t>
  </si>
  <si>
    <t>Katsenelenbaum B.</t>
  </si>
  <si>
    <t>SYNTHESIS OF A RESONANT ANTENNA.</t>
  </si>
  <si>
    <t>2-s2.0-0020746785</t>
  </si>
  <si>
    <t>['receiving antenna', 'radiation pattern', 'mismatched polarization', 'matched polarizations', 'finding characteristics', 'angular coordinates', 'amplitude single']</t>
  </si>
  <si>
    <t>A method is presented of calculating the direction-finding characteristics when finding the direction of a source of radiation with any polarization. The method is based on the representation of a complex radiation pattern of the receiving antenna in the form of the product of the radiation pattern for matched polarizations of the antenna and signal by the polarization matching function. This method is applied to an amplitude single-pulse position indicator. The large errors previously observed experimentally in measurements of the angular coordinates of a source of radiation with mismatched polarization are explained.</t>
  </si>
  <si>
    <t>66-71</t>
  </si>
  <si>
    <t>Sergiyevskii, B. D.</t>
  </si>
  <si>
    <t>Sergiyevskii B.</t>
  </si>
  <si>
    <t>VARIATION IN THE DIRECTION-FINDING CHARACTERISTIC WHEN FINDING THE DIRECTION OF A SOURCE OF SIGNAL WITH MISMATCHED POLARIZATION.</t>
  </si>
  <si>
    <t>2-s2.0-0020747221</t>
  </si>
  <si>
    <t>['ssps optimization', 'cost parameters']</t>
  </si>
  <si>
    <t>The problem of choosing the optimum antenna dimensions of a space solar power station (SSPS) in terms of cost parameters is discussed. Two possible problem solutions are considered. An example of SSPS optimization is given.</t>
  </si>
  <si>
    <t>143-149</t>
  </si>
  <si>
    <t>57221304671;16503665000;6701513705;6506984125</t>
  </si>
  <si>
    <t>Vasil'yev, A. V.;Klassen, V. I.;Laskin, N. N.;Tobolev, A. K.</t>
  </si>
  <si>
    <t>Vasil'yev A.V.</t>
  </si>
  <si>
    <t>COST OPTIMIZATION OF THE ANTENNA DIMENSIONS OF A SOLAR POWER STATION IN SPACE.</t>
  </si>
  <si>
    <t>2-s2.0-0020747451</t>
  </si>
  <si>
    <t>['numerical solution', 'electrodynamic analysis', 'additional bends']</t>
  </si>
  <si>
    <t>By means of a numerical solution of the Pocklington integral equation, and electrodynamic analysis is carried out of a bifilar equiangular conical helical antenna made of a conductor with additional bends in the form of a log-periodic meander line. Recommendations are made on choosing the optimum geometrical parameters of the antenna.</t>
  </si>
  <si>
    <t>112-113</t>
  </si>
  <si>
    <t>Demidchik, V. I.</t>
  </si>
  <si>
    <t>Demidchik V.</t>
  </si>
  <si>
    <t>SELECTION OF THE OPTIMUM GEOMETRICAL PARAMETERS OF CONICAL HELICAL ANTENNAS MADE OF A CONDUCTOR WITH ADDITIONAL BEDS.</t>
  </si>
  <si>
    <t>2-s2.0-0020747612</t>
  </si>
  <si>
    <t>['square error', 'maximum probability', 'equal distances', 'constant probing']</t>
  </si>
  <si>
    <t>An estimate is obtained of the maximum probability of the Toplitz covariation matrix of interference, which enables the efficiency of moving target selection systems to be increased for a constant probing-signal repetition frequency and linear antenna arrays with equal distances between the elements. The effect of the rate of convergence of the estimate on the efficiency of an adaptive rejector filter which minimizes the mean-square error is considered.</t>
  </si>
  <si>
    <t>103-105</t>
  </si>
  <si>
    <t>6603378089;6508122829</t>
  </si>
  <si>
    <t>Lifanov, E. I.;Likharev, V. A.</t>
  </si>
  <si>
    <t>Lifanov E.</t>
  </si>
  <si>
    <t>ESTIMATE OF THE COVARIATION MATRIX OF STATIONARY INTERFERENCE.</t>
  </si>
  <si>
    <t>2-s2.0-0020747853</t>
  </si>
  <si>
    <t>['theoretically analyzed', 'switching rate', 'simultaneous fades', 'signal transmission', 'serious problems', 'scanning diversity', 'multipath fading', 'field tests', 'diversity effect', 'basic difference']</t>
  </si>
  <si>
    <t>Multipath fading is one of the most serious problems for signal transmission in land mobile radio. To combat this problem, the application of advanced scanning diversity to a digital FM land mobile radio with limiter discriminator detection is described. The basic difference between advanced scanning diversity and conventional scanning diversity is in the switching rate when two diversity antennas are in simultaneous fades. In advanced scanning diversity, the switching rate is set to the optimum switching rate for the periodic switching diversity. The diversity effect on average BER performance is theoretically analyzed. The diversity effect on average BER performance in a 600 bps Manchester coded digital FM signal is verified by laboratory and field tests. The experimental tests prove that the advanced scanning diversity is superior to both scanning diversity and periodic switching diversity.</t>
  </si>
  <si>
    <t>283-289</t>
  </si>
  <si>
    <t>Adachi, Fumiyuki</t>
  </si>
  <si>
    <t>Adachi F.</t>
  </si>
  <si>
    <t>ADVANCED SCANNING DIVERSITY FOR A DIGITAL FM LAND MOBILE RADIO.</t>
  </si>
  <si>
    <t>2-s2.0-0020748169</t>
  </si>
  <si>
    <t>['tracking could', 'step procedure', 'signal processing', 'rotating stage', 'precision improves', 'precisely located', 'positioning accuracy', 'nearest row', 'lens placed', 'focused onto', 'first located', 'fast two', 'electronics engineers', 'differential mode', 'back side', '9 arcsec', '38 mm', '26 arcmin']</t>
  </si>
  <si>
    <t>A two-dimensional monolithic array has been developed that gives the elevation and azimuth of point source targets. The array is an arrangement of rows and columns of antennas and bismuth bolometer detectors on a fused quartz substrate. Energy is focused onto the array through a lens placed on the back side of the substrate. At 1.38 mm with a 50 mm diameter objective lens, the array has demonstrated a positioning accuracy of 26 arcmin. In a differential mode this precision improves to 9 arcsec, limited by the mechanics of the rotating stage. This tracking could be automated to a fast two-step procedure where a source is first located to the nearest row and column, and then precisely located by scanning. With signal processing the array should be able to track multiple sources. Copyright ¬© 1983 by The Institute of Electrical and Electronics Engineers, Inc.</t>
  </si>
  <si>
    <t>512-515</t>
  </si>
  <si>
    <t>60031581;60031581;60031581;60031581;60031581;60027550</t>
  </si>
  <si>
    <t>7102333102;7006694199;23016251300;7102803490;7402542285;57198839279</t>
  </si>
  <si>
    <t>Tong, Peter P.;Neikirk, Dean P.;Psaltis, Demetri;Rutledge, David B.;Wagner, Kelvin;Young, Peter E.</t>
  </si>
  <si>
    <t>Pasadena;Los Angeles</t>
  </si>
  <si>
    <t>California Institute of Technology;University of California, Los Angeles</t>
  </si>
  <si>
    <t>60031581;60027550</t>
  </si>
  <si>
    <t>Tong P.</t>
  </si>
  <si>
    <t>Tracking Antenna Arrays for Near-Millimeter Waves</t>
  </si>
  <si>
    <t>10.1109/TAP.1983.1143076</t>
  </si>
  <si>
    <t>2-s2.0-0020748270</t>
  </si>
  <si>
    <t>['used extensively', 'radiated power', 'nonsymmetric e', 'form expression', 'excellent agreement', 'etz ).', 'electronics engineers', 'array feed', 'antennas theoretically', 'accurately computed', 'account polarization']</t>
  </si>
  <si>
    <t>Array-fed reflector antennas are used extensively in today's contour and multiple beam satellite antennas. To determine the directivity of these antennas theoretically, the total radiated power of the array feed must be accurately computed. In this paper, a closed-form expression for the radiated power is obtained for arrays with the well-known (cos Œ∏)q-type element patterns. The formulation is general, and takes into account polarization, nonsymmetric E- and H-plane element patterns, nonuniform element spacings and arbitrary complex excitation coefficients. Selective numerical data are presented to demonstrate the usefulness of this result. Comparisons are made with the available results obtained using direct numerical integration techniques, and with other available data based on less general formulations. Excellent agreement is observed for all cases. In particular, data are presented on the directivity of seven-element cluster feeds used in multiple beam designs, and an array feed for producing a contour beam covering the United States Eastern Time Zone (ETZ). Copyright ¬© 1983 by The Institute of Electrical and Electronics Engineers, Inc.</t>
  </si>
  <si>
    <t>463-470</t>
  </si>
  <si>
    <t>60009037;60000745</t>
  </si>
  <si>
    <t>7102110120;7601396617</t>
  </si>
  <si>
    <t>Rahmat-Samii, Yahya;Lee, Shung Wu</t>
  </si>
  <si>
    <t>Pasadena;Urbana</t>
  </si>
  <si>
    <t>Jet Propulsion Laboratory;University of Illinois Urbana-Champaign</t>
  </si>
  <si>
    <t>Directivity of Planar Array Feeds for Satellite Reflector Applications</t>
  </si>
  <si>
    <t>10.1109/TAP.1983.1143061</t>
  </si>
  <si>
    <t>2-s2.0-0020748271</t>
  </si>
  <si>
    <t>['typically implemented', 'sinusoidal waves', 'sensor works', 'radiation resistance', 'maximum energy', 'load impedance', 'field strength', 'emitter follower', 'electronics engineers', 'effective aperture', 'concept used', 'basic large']</t>
  </si>
  <si>
    <t>large-current radiator | Nonsinusoidal waves | sequency theory</t>
  </si>
  <si>
    <t>The use of the basic large-current radiator‚Äîdiscussed in a previous paper‚Äîand the Hertzian electric dipole as sensor is investigated. If the sensor works into a large resistive load, typically implemented by an emitter follower, its output voltage varies like the electric field strength, while a capacitive load produces an output voltage proportionate to the integral of the field strength. The maximum energy is transferred to a load impedance that is equal to the radiation resistance of the antenna. This is the same result as in the case of sinusoidal waves, but the radiation resistance for nonsinusoidal waves differs from that for sinusoidal waves. An effective aperture can be defined, which is again analogous, but not equal, to the same concept used for sinusoidal waves. Copyright ¬© 1983 by The Institute of Electrical and Electronics Engineers, Inc.</t>
  </si>
  <si>
    <t>107-115</t>
  </si>
  <si>
    <t>60020444;60013789-60020444</t>
  </si>
  <si>
    <t>Harmuth H.F.</t>
  </si>
  <si>
    <t>Antennas for Nonsinusoidal Waves: II‚ÄîSensors</t>
  </si>
  <si>
    <t>10.1109/TEMC.1983.304152</t>
  </si>
  <si>
    <t>2-s2.0-0020748286</t>
  </si>
  <si>
    <t>['systems within', 'may 1984', 'japanese archipelago', 'geostationary orbits', 'february 1984', 'cape canaveral', 'basically similar', 'august 1985']</t>
  </si>
  <si>
    <t>The US, Germany and France are all planning to orbit Direct Broadcasting Satellite (DBS) systems within the next few years. But the first operational DBS will be launched from the southern Japanese island of Tanegashima. In May 1984. Japan will begin direct TV transmissions to household dish antennae throughout the Japanese archipelago. The Japan Broadcasting Corporation (NHK) and Japan's major space organization, the National Space Development Agency (NASDA), conducted tests with the ‚Ä≥Broadcasting Satellite Experimental‚Ä≥ after its launch in 1978 from Cape Canaveral. The BS-2a, to be launched in February 1984, and the back-up BS-2b, scheduled for August 1985, are basically similar to BSE. Similarly, they will be placed in geostationary orbits at 110 degree C East. BSE was used to test out the technology for an operational DBS system, and NASDA can now launch these 350 kg craft instead of relying upon foreign rockets.</t>
  </si>
  <si>
    <t>Spaceflight</t>
  </si>
  <si>
    <t>Davis, Neil W.</t>
  </si>
  <si>
    <t>Davis N.W.</t>
  </si>
  <si>
    <t>JAPAN: FIRST WITH DBS.</t>
  </si>
  <si>
    <t>2-s2.0-0020748481</t>
  </si>
  <si>
    <t>['two methods', 'transverse electric', 'three methods', 'surface current', 'one method', 'electronics engineers', 'efie ).', 'differ signifcantly', 'aperture fields', 'aperture e', 'also shown']</t>
  </si>
  <si>
    <t>A comparison of three methods of solution for the problem of scattering and diffraction of a transverse electric (TE) polarized plane wave by an infinite circular cylinder having an infinite axial slot is presented. In one method of solution, the aperture field integral equation (AFIE) method, the fields in and around the cylinder are found from the aperture E-field and the Green's functions for the interior and exterior of a cylinder. In the other two methods, the fields are determined from the surface current, which is obtained by solution of the H-field integral equation (HFIE) or the E-field integral equation (EFIE). The field in the aperture of the cylinder is found from the three methods, and the advantages and disadvantages of each method of solution are discussed. In addition, it is also shown that for shell thickness less than 1/20 of a wavelength, the aperture fields do not differ signifcantly from those of an infinitely thin shell cylinder. Copyright ¬© 1983 by The Institute of Electrical and Electronics Engineers, Inc.</t>
  </si>
  <si>
    <t>419-425</t>
  </si>
  <si>
    <t>Beren, Jeffrey A.</t>
  </si>
  <si>
    <t>Beaverton</t>
  </si>
  <si>
    <t>Tektronix Incorporated</t>
  </si>
  <si>
    <t>Beren J.</t>
  </si>
  <si>
    <t>Diffraction of an H-Polarized Electromagnetic Wave by a Circular Cylinder with an Infinite Axial Slot</t>
  </si>
  <si>
    <t>10.1109/TAP.1983.1143072</t>
  </si>
  <si>
    <t>2-s2.0-0020748523</t>
  </si>
  <si>
    <t>['worldwide locations', 'vertical gradients', 'seasonal variation', 'refractive fading', 'path length', 'particularly vulnerable', 'palmetto distributions', 'observed fading', 'least precipitation', 'interpreted meteorologically', 'humid season', 'given location', 'geographical location', 'fading occurrence', 'fading expected', 'fade threshold', 'early autumn', 'correlation coefficient', 'copyright 1983', 'better tailoring', 'antenna height', '10 mbars']</t>
  </si>
  <si>
    <t>Refractive fading can significantly impair service on terrestrial line‚Äêof‚Äêsight microwave transmission systems. Digital radio systems are particularly vulnerable to this fading which is produced by vertical gradients in the microwave refractive index. A characterization of the seasonal variation in fading and its dependence upon meteorological parameters provides the potential to improve transmission performance by better tailoring of transmission equipment design and usage to the amount of fading expected at a given location and time of year. In this work we study the seasonal variation in fading occurrence at Palmetto, Georgia, over a 28‚Äêmonth period. The changes in the shapes of seasonal fading distributions as a function of fade threshold, path length, and antenna height are examined and interpreted meteorologically. The Palmetto distributions are compared with those measured at other worldwide locations and the year‚Äêto‚Äêyear fading variability for Palmetto is estimated. The Palmetto studies show that mean monthly wind speed V is the best meteorological predictor of monthly accumulated time that signal is below ‚àí20 dB, t20, at Palmetto. The predictor is t20 = 17600 (12/V ‚Äê 1)2 and has a correlation coefficient of 0.88. Year‚Äêto‚Äêyear variability in observed fading is greatest in early autumn when monthly accumulated 20 dB fading time differs by about 6000 s between years. Seasonal distribution shapes depend strongly on geographical location. The studies comparing different worldwide distributions show that 95% of the total annual fading occurs during the season experiencing monthly water vapor pressures &gt; 10 mbars and that the peak in the seasonal fading distributions, outside of low latitude coastal regions, is associated with the months in the humid season when there is the least precipitation. Copyright 1983 by the American Geophysical Union.</t>
  </si>
  <si>
    <t>369-380</t>
  </si>
  <si>
    <t>May-June 1983</t>
  </si>
  <si>
    <t>Schiavone, James A.</t>
  </si>
  <si>
    <t>Schiavone J.A.</t>
  </si>
  <si>
    <t>Microwave radio meteorology: Seasonal fading distributions</t>
  </si>
  <si>
    <t>10.1029/RS018i003p00369</t>
  </si>
  <si>
    <t>2-s2.0-0020748934</t>
  </si>
  <si>
    <t>['experimental measurements', 'existing antennas', 'electronics engineers', 'angular sectors', 'angular filters', 'angular filter', 'allowing radiation']</t>
  </si>
  <si>
    <t>The synthesis, analysis, and experimental measurements of a metal grid angular filter are described. Angular filters are devices that can be added to existing antennas in order to reduce the radiation over a specified angular region while allowing radiation over other angular sectors to pass relatively unaffected. The behavior of this angular filter, both in frequency and angle, is analyzed in this paper, and these results are compared with measurements. Copyright ¬© 1983 by The Institute of Electrical and Electronics Engineers, Inc.</t>
  </si>
  <si>
    <t>445-450</t>
  </si>
  <si>
    <t>60001247;60001247</t>
  </si>
  <si>
    <t>7004598322;55951888900</t>
  </si>
  <si>
    <t>Franchi, Peter R.;Mailloux, Robert J.</t>
  </si>
  <si>
    <t>Franchi P.</t>
  </si>
  <si>
    <t>Theoretical and Experimental Study of Metal Grid Angular Filters for Sidelobe Suppression</t>
  </si>
  <si>
    <t>10.1109/TAP.1983.1143079</t>
  </si>
  <si>
    <t>2-s2.0-0020748992</t>
  </si>
  <si>
    <t>['various types', 'various sensors', 'transverse electromagnetic', 'transfer functions', 'time derivative', 'terminal ports', 'reciprocity theorem', 'radiators discussed', 'primary standards', 'original pulse', 'major requirements', 'improved directivity', 'improved characteristics', 'g .,', 'electronics engineers', 'electromagnetic quantity', 'conical antenna', 'analog devices']</t>
  </si>
  <si>
    <t>Discussion of various sensors and radiators commonly used for time domain antenna measurements is presented. The sensors and radiators discussed here are passive and analog devices which convert the electromagnetic quantity of interest to a voltage or current at their terminal ports. Moreover they are primary standards in the sense that their transfer functions can be calculated from their geometries and are flat (constant) across a wide frequency range. One of the major requirements for these sensors and radiators is that the electromagnetic far field, transmitted or received, is a replica or high fidelity derivative of the original pulse. Note that the transmitting transfer function of an antenna is proportional to the time derivative of the receiving transfer function of the same antenna, which follows from the reciprocity theorem. For electric field strength measurements, linear antennas loaded nonuniformly and continuously with resistance, or with both resistance and capacitance are discussed. Also, a conical antenna and an asymptotic conical antenna are discussed from the standpoint of improved characteristics. For an improved directivity, various types of transverse electromagnetic (TEM) horns are considered, e.g., a conducting TEM horn, and a resistively loaded TEM horn. Copyright ¬© 1983 by The Institute of Electrical and Electronics Engineers, Inc.</t>
  </si>
  <si>
    <t>438-444</t>
  </si>
  <si>
    <t>Kanda, Motohisa</t>
  </si>
  <si>
    <t>Kanda M.</t>
  </si>
  <si>
    <t>Time Domain Sensors for Radiated Impulsive Measurements</t>
  </si>
  <si>
    <t>10.1109/TAP.1983.1143057</t>
  </si>
  <si>
    <t>2-s2.0-0020749083</t>
  </si>
  <si>
    <t>['¬© 1983', 'toeplitz matrices', 'special properties', 'received vector', 'paper presents', 'linear array', 'covariance matrix']</t>
  </si>
  <si>
    <t>antenna arrays | eigenvalues/eigenvectors | signal processing | Source location | Toeplitz matrices</t>
  </si>
  <si>
    <t>This paper presents a simple computational scheme for locating multiple sources with a linear array of equally spaced antenna elements. The scheme is applicable when the sources are not correlated (and hence the covariance matrix of the received vector is Toeplitz) and the internal antenna noise variances are known a priori. The scheme has a complexity of O(m2) operations for m sources and uses the special properties of Toeplitz matrices for an efficient recursive procedure. ¬© 1983.</t>
  </si>
  <si>
    <t>287-289</t>
  </si>
  <si>
    <t>Signal Processing</t>
  </si>
  <si>
    <t>Reddi, S. S.</t>
  </si>
  <si>
    <t>Reddi S.</t>
  </si>
  <si>
    <t>Simplified multiple source location for uncorrelated sources</t>
  </si>
  <si>
    <t>10.1016/0165-1684(83)90075-0</t>
  </si>
  <si>
    <t>2-s2.0-0020749185</t>
  </si>
  <si>
    <t>['square permits', 'practical application', 'overlapping ordinary', 'numerical separation', 'measure amplitude', 'iteration algorithm', 'high precision', 'given together', 'extraordinary echoes']</t>
  </si>
  <si>
    <t>Modern digital ionosondes have the capability to measure amplitude and phase of each echo with high precision. Recording these quantities at four antennas located at the corners of a square permits the numerical separation of overlapping ordinary and extraordinary echoes. The formulation of the nonlinear equation system to do this is given together with an iteration algorithm for its solution. The practical application of this process is demonstrated. This paper is not subject to U.S. copyright. Published in 1983 by the American Geophysical Union.</t>
  </si>
  <si>
    <t>416-420</t>
  </si>
  <si>
    <t>Paul, A. K.</t>
  </si>
  <si>
    <t>Paul A.</t>
  </si>
  <si>
    <t>Numerical separation of overlapping ordinary and extraordinary echoes in digital ionograms</t>
  </si>
  <si>
    <t>10.1029/RS018i003p00416</t>
  </si>
  <si>
    <t>2-s2.0-0020749225</t>
  </si>
  <si>
    <t>542-544</t>
  </si>
  <si>
    <t>Program for Three-Dimensional Pola Plots</t>
  </si>
  <si>
    <t>10.1109/TAP.1983.1143077</t>
  </si>
  <si>
    <t>2-s2.0-0020749304</t>
  </si>
  <si>
    <t>['substrate thickness', 'strip width', 'resonant frequency', 'radiation resistance', 'investigated experimentally', 'input impedance', 'electronics engineers', 'antiphase currents', '5 œª']</t>
  </si>
  <si>
    <t>The characteristics of microstrip monopoles fed at the center with antiphase currents are investigated experimentally. First the impedance is measured as a function of frequency. It is found that the radiation resistance at the resonance near L ‚âÉ 0.5 Œª is very low while the radiation resistance at the resonance near L ‚âÉ Œª is very high. For a given physical length of the monopole, the resonant frequency is dependent on the strip width and the substrate thickness. The effect of substrate thickness and strip width on the input impedance and bandwidth has also been studied. Finally the E-plane radiation pattern is found to contain two maxima, occurring at approximately ¬±40¬∞ from broadside. Copyright ¬© 1983 by The Institute of Electrical and Electronics Engineers, Inc.</t>
  </si>
  <si>
    <t>527-530</t>
  </si>
  <si>
    <t>60002798;60002798;60002798</t>
  </si>
  <si>
    <t>7003504220;7501501369;7102672313</t>
  </si>
  <si>
    <t>Dahele, J. S.;Lee, Kai Fong;Chau, Lap Chung</t>
  </si>
  <si>
    <t>Experimental Study of the Characteristics of Top-Loaded Microstrip Monopoles</t>
  </si>
  <si>
    <t>10.1109/TAP.1983.1143069</t>
  </si>
  <si>
    <t>2-s2.0-0020749305</t>
  </si>
  <si>
    <t>['thin plate', 'electronics engineers', 'either side', 'e .,']</t>
  </si>
  <si>
    <t>The solution of electric and magnetic field type integral equations is investigated for a simple open surface, i.e., a thin plate. By combining the electric and magnetic field formnlations, a set of coupled integral equations is obtained which can be solved for the currents on either side of the plate. Numerical results illustrate these currents for different size plates. Copyright ¬© 1983 by The Institute of Electrical and Electronics Engineers, Inc.</t>
  </si>
  <si>
    <t>515-518</t>
  </si>
  <si>
    <t>7203066664;6506712920</t>
  </si>
  <si>
    <t>Newman, Edward H.;Schrote, Mark R.</t>
  </si>
  <si>
    <t>Newman E.</t>
  </si>
  <si>
    <t>On the Current Distribution for Open Surfaces</t>
  </si>
  <si>
    <t>10.1109/TAP.1983.1143082</t>
  </si>
  <si>
    <t>2-s2.0-0020749306</t>
  </si>
  <si>
    <t>['spurious frequencies', 'speed effects', 'specific examples', 'sidelobe level', 'relatively free', 'performance deterioration', 'linear array', 'frequency scanning', 'electronics engineers', 'circular array', 'beam amplitude']</t>
  </si>
  <si>
    <t>The performance deterioration that sets is when a circular array is scanned fast using the method of frequency scanning is considered. The high-speed effects are a loss in the main-beam amplitude and a change in sidelobe level. However, in contrast with the case of a linear array, the circular array is relatively free from variations in the beam-width or generation of spurious frequencies. Specific examples in radar and sonar are discussed. Copyright ¬© 1983 by The Institute of Electrical and Electronics Engineers, Inc.</t>
  </si>
  <si>
    <t>509-512</t>
  </si>
  <si>
    <t>60032730;60032730</t>
  </si>
  <si>
    <t>7202894438;7403721202</t>
  </si>
  <si>
    <t>Arora, Rajendra K.;Patel, M. R.</t>
  </si>
  <si>
    <t>New Delhi</t>
  </si>
  <si>
    <t>Indian Institute of Technology Delhi</t>
  </si>
  <si>
    <t>Arora R.</t>
  </si>
  <si>
    <t>Performance Degradation in Fast Frequency-Scanned Circular Arrays</t>
  </si>
  <si>
    <t>10.1109/TAP.1983.1143078</t>
  </si>
  <si>
    <t>2-s2.0-0020749498</t>
  </si>
  <si>
    <t>['variational method', 'resulting integrals', 'numerical results', 'input admittance', 'given width', 'final expression', 'evaluated asymptotically', 'electrical radius']</t>
  </si>
  <si>
    <t>The input admittance of a long hollow conducting cylindrical antenna with an infinitely long dielectric sleeve surrounding it, and excited by a uniform field applied across a gap of a given width at the center, is determined by a variational method. A suitable trial field is chosen and the resulting integrals are evaluated asymptotically with the assumptions that the electrical radius of the antenna is small and its length is large. The final expression is easy to evaluate and some numerical results are presented.</t>
  </si>
  <si>
    <t>691-702</t>
  </si>
  <si>
    <t>Canadian journal of physics</t>
  </si>
  <si>
    <t>24295974500;7103051886</t>
  </si>
  <si>
    <t>Rao, T. C.K.;Hamid, M. A.K.</t>
  </si>
  <si>
    <t>Rao T.C.K.</t>
  </si>
  <si>
    <t>INPUT ADMITTANCE OF A THIN DIELECTRIC-SLEEVED FINITE ANTENNA EXCITED BY A UNIFORM FIELD.</t>
  </si>
  <si>
    <t>10.1139/p83-088</t>
  </si>
  <si>
    <t>2-s2.0-0020749612</t>
  </si>
  <si>
    <t>['thermal deformation', 'rms sense', 'rights reserved', 'paraboloid shape', 'paper describes', 'inc .,', 'discrete sensors', 'developed previously', 'desired shape', 'controlled implementation', 'control law', 'continuous shape', 'construction errors', 'communications antenna']</t>
  </si>
  <si>
    <t>The development of large, flexible space structures has carried with it the requirement for precision shape control‚Äìfor example, maintaining the paraboloid shape of a communications antenna against the effects of thermal deformation and construction errors. Mathematically, the problem can be stated as follows: given a set of discrete sensors and actuators, select the control law which produces the "best" (in an rms sense) continuous shape as compared to some desired shape. The solution to the static shape control problem has been developed previously. This paper describes the results of a microprocessor-controlled implementation of static shape control using a flexible beam experiment. ¬© 1983 American Institute of Aeronautics and Astronautics, Inc., All rights reserved.</t>
  </si>
  <si>
    <t>188-192</t>
  </si>
  <si>
    <t>Journal of Guidance, Control, and Dynamics</t>
  </si>
  <si>
    <t>6602620092;57192290402</t>
  </si>
  <si>
    <t>Eldred, Daniel;Schaechtert, David</t>
  </si>
  <si>
    <t>Eldred D.</t>
  </si>
  <si>
    <t>Experimental demonstration of static shape control</t>
  </si>
  <si>
    <t>10.2514/3.19814</t>
  </si>
  <si>
    <t>2-s2.0-0020749659</t>
  </si>
  <si>
    <t>['¬© 1983', 'torsional vibrations', 'thus avoiding', 'simple antenna', 'proposed method', 'physical implementation', 'mechanically decouple', 'mathematical model', 'flexible boom', 'designing antenna', 'could undergo', 'boom dynamics', 'basic idea', 'approach leads']</t>
  </si>
  <si>
    <t>A simple practical method for designing antenna-feed attitude control systems for large deployable spaceborne antenna systems with long flexible booms is proposed. The basic idea is to mechanically decouple the antenna-feed from the boom so that the feed-attitude control system can be designed without taking the boom dynamics into consideration, thus avoiding a complex control problem involving an infinite-dimensional distributed parameter system. The validity of the proposed method is substantiated by analytical and numerical studies using a mathematical model for the flexible boom which could undergo both bending and torsional vibrations. This approach leads to simple antenna-feed attitude control systems which are amenable to physical implementation. ¬© 1983.</t>
  </si>
  <si>
    <t>469-493</t>
  </si>
  <si>
    <t>Journal of the Franklin Institute</t>
  </si>
  <si>
    <t>Wang, P. K.C.</t>
  </si>
  <si>
    <t>Wang P.</t>
  </si>
  <si>
    <t>Control of large spaceborne antenna systems with flexible booms by mechanical decoupling</t>
  </si>
  <si>
    <t>10.1016/0016-0032(83)90064-9</t>
  </si>
  <si>
    <t>2-s2.0-0020749863</t>
  </si>
  <si>
    <t>['various users', 'traffic supported', 'statistical results', 'satellite eirp', 'satcom systems', 'output eirp', 'link power', 'link fades', 'link availability', 'less complexity', 'important one', 'higher frequencies', 'ground commands', 'general limits', 'former constraint', 'electronics engineers', 'efficient use', 'dynamically allocated', 'common pool', 'available bandwidth', 'adaptive allocation']</t>
  </si>
  <si>
    <t>The output EIRP or the available bandwidth of a satellite in general limits the amount of traffic which can be handled by SATCOM systems. As the frequency congestion drives future SATCOM systems to higher frequencies, the former constraint will be the more important one because of the severe fades caused by precipitation. Rather than using fixed fade margins, the link power can be dynamically allocated from a common pool of satellite EIRP. By judicious, adaptive allocation of the satellite EIRP among the various users, the traffic supported can be maximized while maintaining the link availability. This paper reports techniques and statistical results of four different ways of allocating the EIRP. By using adaptive centralized control of the terminals transmit power and a variable satellite transmit antenna adaptively controlled by ground commands to compensate for link fades, most efficient use of the satellite EIRP is made. The performance of this technique is derived and compared with others of less complexity and that of a system with fixed satellite antenna and transmit power levels. Copyright ¬© 1983 by The Institute of Electrical and Electronics Engineers, Inc.</t>
  </si>
  <si>
    <t>726-734</t>
  </si>
  <si>
    <t>100518274;100518274</t>
  </si>
  <si>
    <t>6701795099;6603811121</t>
  </si>
  <si>
    <t>Bakken, P. M.;Maseng, T.</t>
  </si>
  <si>
    <t>Electronics Research Laboratory</t>
  </si>
  <si>
    <t>Bakken P.M.</t>
  </si>
  <si>
    <t>Adaptive Control of Satellite EIRP to Reduce Outage Caused by Fading</t>
  </si>
  <si>
    <t>10.1109/TCOM.1983.1095865</t>
  </si>
  <si>
    <t>2-s2.0-0020750229</t>
  </si>
  <si>
    <t>['electronics engineers']</t>
  </si>
  <si>
    <t>The maximum transmission cross section of an electrically small aperture reported by Harrington is derived from a power conservation law. Copyright ¬© 1983 by The Institute of Electrical and Electronics Engineers, Inc.</t>
  </si>
  <si>
    <t>518-519</t>
  </si>
  <si>
    <t>Lee, K. S.H.</t>
  </si>
  <si>
    <t>Lee K.</t>
  </si>
  <si>
    <t>Maximum Power Penetration Through an Electrically Small Aperture</t>
  </si>
  <si>
    <t>10.1109/TAP.1983.1143065</t>
  </si>
  <si>
    <t>2-s2.0-0020750262</t>
  </si>
  <si>
    <t>['voltage output', 'two sensors', 'system consists', 'standard 50', 'passively loading', 'one h', 'one e', 'made proportional', 'laboratory instrumentation', 'incident field', 'engine compartment', 'electronics engineers', 'band amplifier', 'appropriate elements', '1000 mhz']</t>
  </si>
  <si>
    <t>broad-band | E-field | H-field | Sensors | surface fields</t>
  </si>
  <si>
    <t>An automotive under-hood radiation antenna system (AURAS) has been developed for measuring the electric and magnetic fields produced in the engine compartment of a vehicle by nanosecond impulse signals radiating from an automotive ignition system. The system consists of two sensors (one E-and one H-field) and a wide-band amplifier which is capable of operation between 200 and 1000 MHz. Standard 50-Œ© coaxial transmission lines are used to interface the sensors with laboratory instrumentation. The sensors are designed to measure surface field quantities and their voltage output is made proportional to the incident field by passively loading the sensors with appropriate elements. Copyright ¬© 1983 by The Institute of Electrical and Electronics Engineers, Inc.</t>
  </si>
  <si>
    <t>61-69</t>
  </si>
  <si>
    <t>107993754;60011533;</t>
  </si>
  <si>
    <t>7101947729;7203045720;56615038500</t>
  </si>
  <si>
    <t>Spiegel, Ronald J.;Booth, Charles A.;Bronaugh, Edwin L.</t>
  </si>
  <si>
    <t>San Antonio;Research Triangle Park</t>
  </si>
  <si>
    <t>Southwest Research Institute;U.S. Enviromental Protection Agency</t>
  </si>
  <si>
    <t>60011533;107993754</t>
  </si>
  <si>
    <t>Spiegel R.J.</t>
  </si>
  <si>
    <t>A Radiation Measuring System with Potential Automotive Under-Hood Application</t>
  </si>
  <si>
    <t>10.1109/TEMC.1983.304149</t>
  </si>
  <si>
    <t>2-s2.0-0020750274</t>
  </si>
  <si>
    <t>['uda array', 'three 1', 'straight conductors', 'optimum shapes', 'optimized yagi', 'optimization process', 'moment method', 'maximum directivity', 'example shows', 'electronics engineers', 'array elements', '8 db']</t>
  </si>
  <si>
    <t>A method is presented for the maximization of the directivity of Yagi-Uda arrays whose elements are not straight conductors. The optimum shapes as well as the positions of the array elements are determined, both of which depend on the radius of the conductors. The moment method is used in the optimization process. An example shows that an optimized Yagi-Uda array of three 1.5 X elements can achieve a maximum directivity of 11.8 dB. Copyright ¬© 1983 by The Institute of Electrical and Electronics Engineers, Inc.</t>
  </si>
  <si>
    <t>522-525</t>
  </si>
  <si>
    <t>60030551;60030551</t>
  </si>
  <si>
    <t>57212993806;55712837400</t>
  </si>
  <si>
    <t>Liang, Changhong;Cheng, David K.</t>
  </si>
  <si>
    <t>Syracuse</t>
  </si>
  <si>
    <t>Syracuse University</t>
  </si>
  <si>
    <t>Liang C.</t>
  </si>
  <si>
    <t>Directivity Optimization for Yagi-Uda Arrays of Shaped Dipoles</t>
  </si>
  <si>
    <t>10.1109/TAP.1983.1143085</t>
  </si>
  <si>
    <t>2-s2.0-0020750459</t>
  </si>
  <si>
    <t>['utilizes gabriel', 'three subapertures', 'superresolution processing', 'seven subapertures', 'many instances', 'lie within', 'five subapertures', 'especially difficult', 'electronics engineers', 'easily resolved', 'corresponding number', 'completely resolvable', 'antenna subapertures', 'accurately located']</t>
  </si>
  <si>
    <t>The superresolution of external noise sources that lie within the beamwidth of an adaptive array antenna becomes increasingly more difficult as the number of sources and corresponding number of antenna subapertures are increased. This difficulty was demonstrated with a digital computer simulation of a particular array antenna that utilizes Gabriel's thermal noise algorithm to accomplish the superresolution processing. Two closely spaced sources are easily resolved when the antenna is divided into three subapertures. It is not as easy to resolve four sources when the antenna is divided into five subapertures, and it is especially difficult to resolve six sources when the antenna is divided into seven subapertures. When the sources are not completely resolvable, however, the two outermost sources in the cluster are accurately located in many instances, and at least precise bounds on the cluster are established. Copyright ¬© 1983 by The Institute of Electrical and Electronics Engineers, Inc.</t>
  </si>
  <si>
    <t>456-462</t>
  </si>
  <si>
    <t>Gatlin, B. J.</t>
  </si>
  <si>
    <t>Pittsburgh</t>
  </si>
  <si>
    <t>Westinghouse Electric Company</t>
  </si>
  <si>
    <t>Gatlin B.</t>
  </si>
  <si>
    <t>Superresolution of Multiple Noise Sources in Antenna Beam</t>
  </si>
  <si>
    <t>10.1109/TAP.1983.1143064</t>
  </si>
  <si>
    <t>2-s2.0-0020750460</t>
  </si>
  <si>
    <t>['various types', 'thermal distortion', 'test results', 'structures requirements', 'specific materials', 'reflector systems', 'mechanical design', 'greater detail', 'different types', 'composite reflectors', 'built satellites']</t>
  </si>
  <si>
    <t>This paper discusses advanced composites application to communications antenna reflectors used on RCA-built satellites. Various types of reflector systems and their specific materials and structures requirements are reviewed. The mechanical design, analysis, and test results for the different types of advanced composite reflectors are presented. The specific problems associated with deployable, frequency-reuse, gridded Kevlar reflectors and large, deployable, high-frequency graphite reflectors are discussed in greater detail. Novel design concepts for the control of thermal distortion in deployable, composite reflectors are presented.</t>
  </si>
  <si>
    <t>SAMPE Journal</t>
  </si>
  <si>
    <t>Gounder, Raj N.</t>
  </si>
  <si>
    <t>ADVANCED COMPOSITE ANTENNA REFLECTORS FOR COMMUNICATIONS SATELLITES.</t>
  </si>
  <si>
    <t>2-s2.0-0020750572</t>
  </si>
  <si>
    <t>['small loss', 'shaped dual', 'reflectors designed', 'reflector diameter', 'reflector configuration', 'paraboloidal antenna', 'optimum performance', 'focus operation', 'electronics engineers', '100 œª']</t>
  </si>
  <si>
    <t>Primary-focus operation of reflectors designed for optimum performance in a shaped dual-reflector configuration is considered. Provided the reflector diameter is &lt; 100 Œª, only a small loss in efficiency is suffered in comparison with a paraboloidal antenna. Copyright ¬© 1983 by The Institute of Electrical and Electronics Engineers, Inc.</t>
  </si>
  <si>
    <t>537-538</t>
  </si>
  <si>
    <t>James, Graeme L.</t>
  </si>
  <si>
    <t>Melbourne</t>
  </si>
  <si>
    <t>Commonwealth Scientific and Industrial Research Organization</t>
  </si>
  <si>
    <t>James G.</t>
  </si>
  <si>
    <t>Primary-Focus Operation of Shaped Dual-Reflector Antennas</t>
  </si>
  <si>
    <t>10.1109/TAP.1983.1143073</t>
  </si>
  <si>
    <t>2-s2.0-0020750587</t>
  </si>
  <si>
    <t>['resonant frequencies', 'radiation patterns', 'measured results', 'input impedance', 'experimental investigation', 'electronics engineers', 'dielectric constants', 'correlate well', 'circuit properties']</t>
  </si>
  <si>
    <t>An experimental investigation of the radiation and circuit properties of a resonant cylindrical dielectric cavity antenna has been undertaken. The radiation patterns and input impedance have been measured for structures of various geometrical aspect ratios, dielectric constants, and sizes of coaxial feed probes. A simple theory utilizing the magnetic wall boundary condition is shown to correlate well with measured results for radiation patterns and resonant frequencies. Copyright ¬© 1983 by The Institute of Electrical and Electronics Engineers, Inc.</t>
  </si>
  <si>
    <t>406-412</t>
  </si>
  <si>
    <t>60005837;60005837;60005837</t>
  </si>
  <si>
    <t>7402507033;7102448153;57216596359</t>
  </si>
  <si>
    <t>Long, Stuart A.;McAllister, Mark W.;Shen, Liang C.</t>
  </si>
  <si>
    <t>University of Houston</t>
  </si>
  <si>
    <t>Long S.A.</t>
  </si>
  <si>
    <t>The Resonant Cylindrical Dielectric Cavity Antenna</t>
  </si>
  <si>
    <t>10.1109/TAP.1983.1143080</t>
  </si>
  <si>
    <t>2-s2.0-0020750667</t>
  </si>
  <si>
    <t>['wavefront arrivals', 'transient field', 'sem resonances', 'sem ),', 'rigorous basis', 'resonances thus', 'ray formulations', 'present investigation', 'observation times', 'navefront arrivals', 'hybrid formulations', 'entirer ange', 'electronics engineers', 'early arrivals', 'direct application', 'creeping waves', 'complex resonances', 'collective summation', 'characteristic green', 'canonical model', 'analyzed either']</t>
  </si>
  <si>
    <t>Scattering by smooth convex objects, excited by a transient field with broad spectral content, has been analyzed either by ray formulations, which are useful at observation times descriptive of the early arrivals, or by the complex resonances of the singularity expansion method (SEM), which are most appropriate at intermediate and late observation times. Within the framework of SEM, efforts have recently been made to show that in a grouping of the resonances along ‚Äúlayers‚Äù rather than along the conventional ‚Äúarcs‚Äù based on an angular harmonic field representation, the higher order resonances behave collectively like a wave traveling circumferentially around the object. This observation has provided the stimulus for the present investigation in which the relation between the wavefront arrivals (creeping waves) and the SEM resonances is placed on a rigorous basis. Using a perfectly conducting circular cylinder as a canonical model, this is done by direct application of the theory of characteristic Green's functions to construct alternative field solutions, and by collective summation of groups of navefront arrivals or groups of resonances. The connection between creeping waves and resonances thus having been established, hybrid formulations are developed which combine the creeping waves and the SEM resonances within a single rigorous framework so as to maximize the utility of each over the entirer ange of observation times. These results are then geoeralized to smooth cylindrical objects with noncircular convex shape. Copyright ¬© 1983 by The Institute of Electrical and Electronics Engineers, Inc.</t>
  </si>
  <si>
    <t>426-437</t>
  </si>
  <si>
    <t>60108318;60108318</t>
  </si>
  <si>
    <t>7004468199;56883021600</t>
  </si>
  <si>
    <t>Heyman, Ehud;Felsen, Leopold B.</t>
  </si>
  <si>
    <t>New York</t>
  </si>
  <si>
    <t>NYU Tandon School of Engineering</t>
  </si>
  <si>
    <t>Heyman E.</t>
  </si>
  <si>
    <t>Creeping Waves and Resonances in Transient Scattering by Smooth Convex Objects</t>
  </si>
  <si>
    <t>10.1109/TAP.1983.1143087</t>
  </si>
  <si>
    <t>2-s2.0-0020750726</t>
  </si>
  <si>
    <t>['large portion', 'electronics engineers', 'electromagnetic transducer', 'cohering techniques']</t>
  </si>
  <si>
    <t>By distributing antenna elements or small subarrays throughout the skin of an aircraft, a large portion of the airframe can act as an electromagnetic transducer. The basic problem associated with such a design is that uncertainties in element locations due to the nonrigidness of the airframe induce phase errors. Self-cohering techniques are required to compensate for those errors. Four such techniques are presented here. Copyright ¬© 1983 by The Institute of Electrical and Electronics Engineers, Inc.</t>
  </si>
  <si>
    <t>483-490</t>
  </si>
  <si>
    <t>60102562;</t>
  </si>
  <si>
    <t>7102870158;6603730124</t>
  </si>
  <si>
    <t>Steinberg, Bernard D.;Yadin, Eli</t>
  </si>
  <si>
    <t>Philadelphia</t>
  </si>
  <si>
    <t>School of Engineering and Applied Science</t>
  </si>
  <si>
    <t>Steinberg B.D.</t>
  </si>
  <si>
    <t>Self-Cohering an Airborne Radio Camera‚Äì</t>
  </si>
  <si>
    <t>10.1109/TAES.1983.309330</t>
  </si>
  <si>
    <t>2-s2.0-0020750847</t>
  </si>
  <si>
    <t>['technical reports', 'tdma systems', 'system design', 'orbital inclination', 'following effects', 'electronics engineers']</t>
  </si>
  <si>
    <t>Starting from the analysis of recommendations and technical reports of the International Telecommunications Union on the stationkeeping and pointing accuracy requirements of quasi-geostationary communications satellites, the following effects of orbital inclination and yaw control error on the system design are discussed: (1) the excursion in longitude during a 24 h period; (2) the efficiency of the geostationary orbit utilization for systems with frequency reuse using linear orthogonal polarizations; (3) the angular tracking requirements of Earth station antennas; and (4) the performance of TDMA systems. Copyright ¬© 1983 by The Institute of Electrical and Electronics Engineers, Inc.</t>
  </si>
  <si>
    <t>447-453</t>
  </si>
  <si>
    <t>6602445788;6603955886</t>
  </si>
  <si>
    <t>Quaglione, Giuseppe;Giovannoni, Mario</t>
  </si>
  <si>
    <t>Quaglione G.</t>
  </si>
  <si>
    <t>Orbital Inclination Effects on Communications Satellite System Design</t>
  </si>
  <si>
    <t>10.1109/TAES.1983.309325</t>
  </si>
  <si>
    <t>2-s2.0-0020750848</t>
  </si>
  <si>
    <t>['well adapted', 'technique appears', 'similar fades', 'scattering volume', 'scattered power', 'large antennas', 'irregularity pattern', 'horizontal variations', 'follows directly', 'drifts data', 'copyright 1983', 'calculated drift', 'aspect sensitivity', 'also cause']</t>
  </si>
  <si>
    <t>A spaced antenna drifts experiment was implemented for the Jicamarca mesosphere‚Äêstratosphere‚Äêtroposphere radar. The whole radar antenna was used to transmit a radio signal vertically, and three separate quarters of the antenna were used to receive the scattered radio signal. Drifts data from the mesosphere were analyzed by the method of similar fades. This technique appears not to be as well adapted to measure horizontal velocities as the Doppler beam swinging technique usually used at Jicamarca. It was shown that for large antennas the error in the estimated horizontal velocity increases with increasing antenna dimensions. It follows directly from this finding that an increase in aspect sensitivity of the scattered power will also cause an increase in the error in the measured horizontal velocity. It was shown that short‚Äêperiod (&lt;15 min) oscillations in the calculated drift of the irregularity pattern over the ground are most likely to be caused by horizontal variations in the vertical velocity within the scattering volume in the mesosphere. Copyright 1983 by the American Geophysical Union.</t>
  </si>
  <si>
    <t>461-476</t>
  </si>
  <si>
    <t>R√∏yrvik, Ola</t>
  </si>
  <si>
    <t>R√∏yrvik O.</t>
  </si>
  <si>
    <t>Spaced antenna drift at Jicamarca, mesospheric measurements</t>
  </si>
  <si>
    <t>10.1029/RS018i003p00461</t>
  </si>
  <si>
    <t>2-s2.0-0020750915</t>
  </si>
  <si>
    <t>['sidelobe level', 'resonator antennas', 'new antenna', 'narrower beam', 'mic components', 'line antenna', 'electronics engineers', 'easily integrated', 'antenna operates', '6 db', '10 db']</t>
  </si>
  <si>
    <t>The design and performance of a new microwave integrated circuit (MIC) slot-line antenna is presented. The new antenna has a narrower beam for the same order of gain as that of the conventional MIC dipole and resonator antennas. The antenna operates in Y-band with a gain of 6 dB and a sidelobe level of 10 dB. It can be easily integrated with other MIC components. Copyright ¬© 1983 by The Institute of Electrical and Electronics Engineers, Inc.</t>
  </si>
  <si>
    <t>525-527</t>
  </si>
  <si>
    <t>60032179;60076051</t>
  </si>
  <si>
    <t>57217395565;56220339300</t>
  </si>
  <si>
    <t>Prasad, S. N.;Mahapatra, S.</t>
  </si>
  <si>
    <t>India;United States</t>
  </si>
  <si>
    <t>Mumbai;Madison</t>
  </si>
  <si>
    <t>Advanced Centre for Research in Electronics;University of Wisconsin-Madison</t>
  </si>
  <si>
    <t>60076051;60032179</t>
  </si>
  <si>
    <t>Prasad S.N.</t>
  </si>
  <si>
    <t>A New MIC Slot-Line Aerial</t>
  </si>
  <si>
    <t>10.1109/TAP.1983.1143084</t>
  </si>
  <si>
    <t>2-s2.0-0020751044</t>
  </si>
  <si>
    <t>['using cavities', 'two transmitters', 'resistive load', 'previously dissipated', 'omnidirectional pattern', 'omnidirectional antenna', 'new technique', 'minimum separation', 'measurements show', 'matched load', 'insertion loss', 'hybrid combining', 'frequency stability', 'frequency onto', 'electronics engineers', 'combined using', 'combine transmitters', 'combine signals', 'closely spaced', 'cavity combining', 'adjacent channels', 'additional tranmitters', '5 mhz', '35 db', '3 db']</t>
  </si>
  <si>
    <t>Historically, it has been difficult to combine transmitters which are closely spaced in frequency onto the same omnidirectional antenna. Two principal techniques have been used: cavity combining and transmission line hybrid combining. When using cavities, the minimum separation is limited by the amount of insertion loss that is acceptable and by the frequency stability of the cavities. In the 800-MHz land mobile frequency band, cavity combining has been used to combine transmitters as closely spaced as 0.5 MHz with 3 dB of insertion loss. When combining transmitters separated less than 0.5 MHz, hybrid combining has been used. When two transmitters are combined using this technique, half of the power of each is dissipated into a matched load. Further, each time the number of transmitters being combined is doubled, an additional 3 dB is added to the insertion loss. A new technique has been developed which utilizes transmission line hybrids to combine the transmitters, but which does not suffer from large insertion loss. The power that was previously dissipated in the resistive load is radiated in a manner that produces an omnidirectional pattern. The antenna and network that accomplish this combine signals with 90¬∞ phase shifts. Measurements show that it is possible to combine eight transmitters arbitrarily close in frequency with 35 dB of isolation between adjacent channels, less than 0.5 dB insertion loss, and with horizontal pattern circularity better than ¬± 3 dB. Additionally, this technique can be combined with cavity combining to maintain high isolation between additional tranmitters. Copyright ¬© 1983 by The Institute of Electrical and Electronics Engineers, Inc.</t>
  </si>
  <si>
    <t>201-205</t>
  </si>
  <si>
    <t>Davidson, Allen L.</t>
  </si>
  <si>
    <t>Schaumburg</t>
  </si>
  <si>
    <t>Motorola</t>
  </si>
  <si>
    <t>Davidson A.</t>
  </si>
  <si>
    <t>Omnidirectional Transmitter Combining Antenna</t>
  </si>
  <si>
    <t>10.1109/T-VT.1983.23961</t>
  </si>
  <si>
    <t>2-s2.0-0020751185</t>
  </si>
  <si>
    <t>['worst performance', 'several examples', 'possible scenarios', 'planar arrays', 'parametric values', 'output signal', 'noise ratio', 'jammer locations', 'exhaustive search', 'examples include', 'electronics engineers', 'direct relationship', 'desired signal', 'conventional properties', 'conventional pattern', 'array performance', 'adaptive mode', 'adaptive array']</t>
  </si>
  <si>
    <t>A direct relationship between the conventional properties of an array and the array performance in an adaptive mode is given. Expressions are provided to obtain the output signal-to-interferenceplus-noise ratio (SINR) of an adaptive array in terms of its conventional pattern and the locations of the desired signal and jammers. These expressions permit one to evaluate the performance of an adaptive array without an exhaustive search for all possible scenarios and parametric values to ascertain that the required performance levels be met. In fact, one can predict the jammer locations for which the array will provide its best and worst performance by observing the conventional pattern. Several examples are provided to demonstrate the relationship between the conventional pattern and the adaptive array performance. The examples include both linear and planar arrays. Copyright ¬© 1983 by The Institute of Electrical and Electronics Engineers, Inc.</t>
  </si>
  <si>
    <t>380-388</t>
  </si>
  <si>
    <t>7102202358;6602247520</t>
  </si>
  <si>
    <t>Gupta, Inder J.;Ksienski, Aharon A.</t>
  </si>
  <si>
    <t>Gupta I.</t>
  </si>
  <si>
    <t>Prediction of Adaptive Array Performance</t>
  </si>
  <si>
    <t>10.1109/TAES.1983.309318</t>
  </si>
  <si>
    <t>2-s2.0-0020751389</t>
  </si>
  <si>
    <t>['thermal decompositiions', 'study investigations', 'small increase', 'photochemical decomposition', 'mole ).', 'initial stage', 'aromatic ring', 'aromatic azides', '5 kcal', '23 kcal']</t>
  </si>
  <si>
    <t>In this study investigations were carried out on the initial stage of the nitrogen elimination reactions in both photochemical and thermal decompositiions of aromatic azides. It is found that the lowest triplet state energy decreases remarkably (ca. 23 Kcal/mole) by the bending in contrast to a small increase of the ground state energy (ca. 3. 5 Kcal/mole). This explains the often observed phantom triplet sensitization in the photochemical decomposition of aromatic azides. The aromatic ring of aromatic azides acts as an antenna for photoabsorption or an intramolecular spectral sensitizer. This work is pertinent to microlithography.</t>
  </si>
  <si>
    <t>118-122</t>
  </si>
  <si>
    <t>Photographic science and engineering</t>
  </si>
  <si>
    <t>May-Jun</t>
  </si>
  <si>
    <t>7401504591;7101908748;7202390371</t>
  </si>
  <si>
    <t>Tsuda, Minoru;Oikawa, Setsuko;Nagayama, Kiyoshi</t>
  </si>
  <si>
    <t>Tsuda M.</t>
  </si>
  <si>
    <t>THEORETICAL INVESTIGATIONS OF PHOTOCHEMICAL REACTIONS OF AROMATIC AZIDES.</t>
  </si>
  <si>
    <t>2-s2.0-0020751707</t>
  </si>
  <si>
    <t>['transverse magnetic', 'rectangular array', 'pins ),', 'pin heights', 'gain profile', 'fringing fields', 'fringing effect', 'electronics engineers', 'closely spaced', 'artifical dielectrics', 'anisotropic media', '8 ghz']</t>
  </si>
  <si>
    <t>A thin artificial dielectric layer consisting of a rectangular array of closely spaced, thin conductive cylinders (pins), was constructed above a perfectly conducting ground plane. The reactance of the surface was measured at 4.8 GHz for a variety of pin heights and dielectric embedding material by measuring the height-gain profile of a transverse magnetic (TM) surface wave launched across it. Design equations using the theories of artifical dielectrics and propagation in anisotropic media are given. These can be used to predict the surface reactance providing a correction factor accounting for fringing fields at the tops of the pins is included. Using an embedding dielectric tends to reduce this fringing effect. Copyright ¬© 1983 by The Institute of Electrical and Electronics Engineers, Inc.</t>
  </si>
  <si>
    <t>471-476</t>
  </si>
  <si>
    <t>60026175-60032179;60032987;60021378</t>
  </si>
  <si>
    <t>22993430300;36893654800;56164626200</t>
  </si>
  <si>
    <t>King, Ray J.;Thiel, David V.;Park, Kwang S.</t>
  </si>
  <si>
    <t>Australia;United States;United States;United States</t>
  </si>
  <si>
    <t>Brisbane;Madison;Livermore;Murray</t>
  </si>
  <si>
    <t>Griffith University;University of Wisconsin-Madison;Lawrence Livermore National Laboratory;Nokia Bell Labs</t>
  </si>
  <si>
    <t>60032987;60032179;60026175;60021378</t>
  </si>
  <si>
    <t>King R.</t>
  </si>
  <si>
    <t>The Synthesis of Surface Reactance Using an Artificial Dielectric</t>
  </si>
  <si>
    <t>10.1109/TAP.1983.1143071</t>
  </si>
  <si>
    <t>2-s2.0-0020751862</t>
  </si>
  <si>
    <t>['substantial increase', 'results show', 'radiation pattern', 'particular set', 'parasitic element', 'lower resonance', 'investigated experimentally', 'input impedance', 'electronics engineers', 'coupled system', 'antiphase currents', 'also shown']</t>
  </si>
  <si>
    <t>The characteristics of a two-element broadside array consisting of a top-loaded microstrip monopole fed at the center with antiphase currents and a parasitic microstrip element are investigated experimentally. The input impedance is measured as a function of frequency, with spacing between the elements and length of the parasitic element as parameters. Our results show that the coupled system has a dual frequency characteristics. It is also shown that a particular set of values of spacing and parasitic element length leads to a substantial increase in the bandwidth of the lower resonance. The radiation pattern of the array has also been measured. Copyright ¬© 1983 by The Institute of Electrical and Electronics Engineers, Inc.</t>
  </si>
  <si>
    <t>530-531</t>
  </si>
  <si>
    <t>7003504220;7501501369;7406119406</t>
  </si>
  <si>
    <t>Dahele, J. S.;Lee, Kai Fong;Lee, Ping Yan</t>
  </si>
  <si>
    <t>Experimental Study of the Characteristics of Coupled Top-Loaded Microstrip Monopoles</t>
  </si>
  <si>
    <t>10.1109/TAP.1983.1143068</t>
  </si>
  <si>
    <t>2-s2.0-0020751888</t>
  </si>
  <si>
    <t>['wavelength dipole', 'uncritical dependence', 'theoretical results', 'suitable radius', 'second antenna', 'least 6', 'feeding element', 'extension provided', 'electronics engineers', 'cylindrical surface', 'cylindrical subsurface', '5 db']</t>
  </si>
  <si>
    <t>Two reflector antennas are proposed. The first is constructed by adding a cylindrical reflecting surface of suitable radius to the V-shaped corner reflector antenna. The feeding element is a half-wavelength dipole. The resulting cylindrical corner reflector provided a 2 dB increase in gain, minimum sidelobe level, low input reactance, and uncritical dependence of performance on frequency. The second antenna is constructed by adding a cylindrical surface to the three-dimensional corner reflector. This extension provided an increase in gain of at least 6.5 dB, an input resistance compatible with the commercially available 50- or 75-Œ© coaxial cables, low input reactance, and uncritical dependence of performance on frequency. A grid-type cylindrical corner reflector antenna, and a three-dimensional corner reflector antenna with a cylindrical subsurface of finite reflecting surfaces were designed, and the measured input impedances, gains, and field patterns showed excellent agreement with the theoretical results for both antennas. Copyright ¬© 1983 by The Institute of Electrical and Electronics Engineers, Inc.</t>
  </si>
  <si>
    <t>451-455</t>
  </si>
  <si>
    <t>Elkamchouchi, Hassan M.</t>
  </si>
  <si>
    <t>Egypt</t>
  </si>
  <si>
    <t>Alexandria</t>
  </si>
  <si>
    <t>Alexandria University</t>
  </si>
  <si>
    <t>Elkamchouchi H.</t>
  </si>
  <si>
    <t>Cylindrical and Three-Dimensional Corner Reflector Antennas</t>
  </si>
  <si>
    <t>10.1109/TAP.1983.1143063</t>
  </si>
  <si>
    <t>2-s2.0-0020751890</t>
  </si>
  <si>
    <t>['widely used', 'wave element', 'vierergruppe antenne', 'thin one', 'static approximation', 'reflector plate', 'reflecting plate', 'quarter wavelength', 'operating wavelength', 'moment method', 'made entirely', 'fully clarified', 'four half', 'found theoretically', 'flat end', 'fed full', 'face currents', 'excellent characteristics', 'electronics engineers', 'dipole antennas', 'center points', 'antenna made', 'antenna behavior']</t>
  </si>
  <si>
    <t>A center-fed full-wave dipole antenna located one-quarter wavelength above a reflecting plate has a very low potential relative to the plate, at the center of each half-wave element. When metal support bars are attached between these center points and the reflector plate to support the antenna, the structure is called a ‚Äúmetal supported full-wave dipole antenna.‚Äù An antenna made up of two such full-wave dipole antennas has four half-wavelength antenna elements and has been named ‚ÄúVierergruppe Antenne.‚Äù This antenna and the ‚ÄúAchterergruppe Antenne‚Äù were invented in Germany. Vierergruppe antenne (sometimes called two-dipole antennas) can be rugged because they are made entirely of metal and do not require insulator supports. They also have excellent electrical characteristics over a very wide frequency range, and are widely used by TV and FM broadcasting stations around the world. Since the full-wave dipole antenna element is composed of a conductor having a diameter as large as 1/20 of the operating wavelength, it is unsuitable to use conventional thin conductor theory to analyze the antenna behavior. In particular, the current at the end of the thick solid antenna element will not be zero, as in the case of the thin one. Flat end-face currents are determined by using a quasi-static approximation and the moment method of analysis. Accordingly the excellent characteristics of this antenna have been found theoretically and fully clarified in the quarter century since its invention. Copyright ¬© 1983 by The Institute of Electrical and Electronics Engineers, Inc.</t>
  </si>
  <si>
    <t>413-418</t>
  </si>
  <si>
    <t>60002784;60002784;60031293</t>
  </si>
  <si>
    <t>7103403544;7202484181;6506783533</t>
  </si>
  <si>
    <t>Sato, Gentei;Kawakami, Haruo;Funatsu, Fumio</t>
  </si>
  <si>
    <t>Japan;Japan</t>
  </si>
  <si>
    <t>Tokyo;Tokyo</t>
  </si>
  <si>
    <t>NEC Corporation;Sophia University</t>
  </si>
  <si>
    <t>60031293;60002784</t>
  </si>
  <si>
    <t>Sato G.</t>
  </si>
  <si>
    <t>Theoretical Analysis and Some Experiments on Vierergruppe Antenne (Two-Dipole Antennas)</t>
  </si>
  <si>
    <t>10.1109/TAP.1983.1143060</t>
  </si>
  <si>
    <t>2-s2.0-0020751891</t>
  </si>
  <si>
    <t>['¬© 1983', 'sufficient conditions', 'radiation patterns', 'practical example', 'offset ellipsoid', 'measured amplitude', 'geometrical relations', 'design parameters', 'corrugated horn', 'calculated results', 'also essential']</t>
  </si>
  <si>
    <t>Imaging with Fresnel diffraction taken into account is applied to the design of a broadband narrow pattern feed. This feed is not only a basic building block of an imaging beam waveguide, but also essential for an offset reflector antenna of large effective F/D ratio. Furthermore, it can be used as a constant beamwidth radiometer antenna for multifrequency remote sensing. We have built and tested a practical example that consists of an offset ellipsoidal reflector and a corrugated horn. Measured amplitude and phase patterns agree with calculated results, which include truncation effects. Systematic design procedures are obtained for a given feed horn and the required reflector illumination. Necessary and sufficient conditions of the thin lens model are translated into design parameters of an offset ellipsoidal reflector with projected circular aperture. Geometrical relations of the offset ellipsoid and calculations of radiation patterns are described in the appendices. ¬© 1983 The Bell System Technical Journal</t>
  </si>
  <si>
    <t>1233-1250</t>
  </si>
  <si>
    <t>May‚ÄêJune 1983</t>
  </si>
  <si>
    <t>7401775859;7101699885</t>
  </si>
  <si>
    <t>Chu, T. S.;England, R. W.</t>
  </si>
  <si>
    <t>Chu T.</t>
  </si>
  <si>
    <t>An Experimental Broadband Imaging Feed</t>
  </si>
  <si>
    <t>10.1002/j.1538-7305.1983.tb02296.x</t>
  </si>
  <si>
    <t>2-s2.0-0020751892</t>
  </si>
  <si>
    <t>['random orientation', 'noise ratio', 'n distribution', 'electronics engineers', 'cumulative distributions', 'antenna diversity']</t>
  </si>
  <si>
    <t>Antenna diversity can mitigate signal impairments caused by random angular orientation and multipath radio propagation when using portable radiotelephones. Cumulative distributions of signal-to-noise ratio (S/N) were determined for antenna diversity using realistic orientation and multipath propagation models. In a random orientation and multipath propagation environment with ‚àí6 dB average crosspolarization coupling, two-branch selection diversity with two perpendicular antennas yields an S/N distribution with the same slope as two-branch selection diversity in the fixed-oriented mobile radio environment. The distribution for random orientation is about 4.5 dB worse, however, than the mobile radio distribution. Copyright ¬© 1983 by The Institute of Electrical and Electronics Engineers, Inc.</t>
  </si>
  <si>
    <t>620-628</t>
  </si>
  <si>
    <t>Cox, Donald C.</t>
  </si>
  <si>
    <t>Cox D.</t>
  </si>
  <si>
    <t>Antenna Diversity Performance in Mitigating the Effects of Portable Radiotelephone Orientation and Multipath Propagation</t>
  </si>
  <si>
    <t>10.1109/TCOM.1983.1095860</t>
  </si>
  <si>
    <t>2-s2.0-0020752031</t>
  </si>
  <si>
    <t>['tonoise ratios', 'thermal noise', 'theoretical performance', 'target angles', 'processors use', 'processors exhibit', 'monopulse boresight', 'electronics engineers', 'bias error', 'angle estimate', '20 db']</t>
  </si>
  <si>
    <t>The theoretical performance of an amplitude monopulse processor is compared with that of a phase monopulse processor in the presence of thermal noise. Both processors use the sum and difference beam antenna model. Both processors exhibit a bias error at signal-tonoise ratios below 20 dB. The phase processor demonstrates a smaller standard deviation in the angle estimate for target angles in the vicinity of the monopulse boresight. Copyright ¬© 1983 by The Institute of Electrical and Electronics Engineers, Inc.</t>
  </si>
  <si>
    <t>519-522</t>
  </si>
  <si>
    <t>60032995;60032995</t>
  </si>
  <si>
    <t>6602535156;7006781971</t>
  </si>
  <si>
    <t>Sinsky, Allen I.;Lew, Elizabeth A.</t>
  </si>
  <si>
    <t>Morris Plains</t>
  </si>
  <si>
    <t>Honeywell International Inc.</t>
  </si>
  <si>
    <t>Sinsky A.</t>
  </si>
  <si>
    <t>Comparative Analysis of a Phase and an Amplitude Processor for Amplitude Monopulse Systems</t>
  </si>
  <si>
    <t>10.1109/TAP.1983.1143081</t>
  </si>
  <si>
    <t>2-s2.0-0020752187</t>
  </si>
  <si>
    <t>['weighting functions', 'solenoidal field', 'numerical solutions', 'low frequencies', 'hyperthermia applicators', 'galerkin method', 'evaluating electromagnetic', 'copyright 1983', 'calculated fields', 'also presented', 'accurate modeling']</t>
  </si>
  <si>
    <t>The Galerkin method with subsectional linear basis and weighting functions is used to calculate the low‚Äêfrequency transverse electric fields in lossy dielectric cylinders. Arbitrarily shaped polygonal cells are employed to allow more accurate modeling of complex objects without excessive matrix sizes. To demonstrate the validity of the method, the analytical and numerical solutions are compared for triple‚Äêlayered concentric cylinders. The calculated fields in a model of the human torso exposed to a solenoidal field are also presented. Among other applications, the method should be useful for evaluating electromagnetic (em) biohazards, and for analyzing and designing dielectric antennas and hyperthermia applicators at low frequencies. Copyright 1983 by the American Geophysical Union.</t>
  </si>
  <si>
    <t>328-336</t>
  </si>
  <si>
    <t>7402765572;7006062328;7201640781</t>
  </si>
  <si>
    <t>Hill, S. C.;Durney, C. H.;Christensen, D. A.</t>
  </si>
  <si>
    <t>Hill S.C.</t>
  </si>
  <si>
    <t>Numerical calculations of low‚Äêfrequency TE fields in arbitrarily shaped inhomogeneous lossy dielectric cylinders</t>
  </si>
  <si>
    <t>10.1029/RS018i003p00328</t>
  </si>
  <si>
    <t>2-s2.0-0020752192</t>
  </si>
  <si>
    <t>['source description', 'new way', 'harmonic analysis', 'fundamental problem', 'field relation', 'electronics engineers', 'dimensional problems', 'convergent form', 'antenna theory']</t>
  </si>
  <si>
    <t>The calculation of surface current distribution, given the geometry and source description, is a fundamental problem in antenna theory. In extending the harmonic analysis-integral equation method from one-dimensional to two-dimensional problems, a new way to deal with the singularity in the source-field relation is needed. Some results are given for surface current integrals which convert them to a convergent form. Copyright ¬© 1983 by The Institute of Electrical and Electronics Engineers, Inc.</t>
  </si>
  <si>
    <t>507-509</t>
  </si>
  <si>
    <t>Miron, Douglas B.</t>
  </si>
  <si>
    <t>Brookings</t>
  </si>
  <si>
    <t>South Dakota State University</t>
  </si>
  <si>
    <t>Miron D.</t>
  </si>
  <si>
    <t>The Singular Integral Problem in Surfaces</t>
  </si>
  <si>
    <t>10.1109/TAP.1983.1143074</t>
  </si>
  <si>
    <t>2-s2.0-0020752314</t>
  </si>
  <si>
    <t>['various locations', 'symmetry degradation', 'square plate', 'mutual coupling', 'make calculations', 'electronics engineers']</t>
  </si>
  <si>
    <t>Two slot antennas mounted symmetrically on a square plate will radiate a symmetrical antenna pattern. When the slots are moved the pattern will be unsymmetrical. The degree of symmetry degradation of various locations of the slots and the mutual coupling between them is the subject of the investigation of this communication. The equivalent magnetic edge current is used to make calculations. Copyright ¬© 1983 by The Institute of Electrical and Electronics Engineers, Inc.</t>
  </si>
  <si>
    <t>531-535</t>
  </si>
  <si>
    <t>60030988;60000221-60030988</t>
  </si>
  <si>
    <t>6506977691;7005683394</t>
  </si>
  <si>
    <t>Commatas, C. G.;Sahalos, John N.</t>
  </si>
  <si>
    <t>Greece;United States</t>
  </si>
  <si>
    <t>Komotini;Boulder</t>
  </si>
  <si>
    <t>Democritus University of Thrace;University of Colorado Boulder</t>
  </si>
  <si>
    <t>60030988;60000221</t>
  </si>
  <si>
    <t>Commatas C.</t>
  </si>
  <si>
    <t>Mutual Coupling and Radiation Patterns of Two Slots Asymmetrically Located on a Square Plate</t>
  </si>
  <si>
    <t>10.1109/TAP.1983.1143083</t>
  </si>
  <si>
    <t>2-s2.0-0020752411</t>
  </si>
  <si>
    <t>['wave transmitters', 'required combination', 'often used', 'monitoring systems', 'easily achieved', 'control systems', 'article describes', 'antenna system', '30 antennas']</t>
  </si>
  <si>
    <t>To meet the increasing demands imposed upon modern short-wave transmission centers it is necessary to make full use of the antenna system. This is most easily achieved with a processor-controlled antenna selector system. The article describes a system with which four 500 kW short-wave transmitters can be switched to any required combination of 30 antennas. Control systems of this type are often used in connection with superimposed overall control and monitoring systems in fully automatic short-wave broadcasting centers.</t>
  </si>
  <si>
    <t>244-247</t>
  </si>
  <si>
    <t>Brown Boveri review</t>
  </si>
  <si>
    <t>Obrist, G.</t>
  </si>
  <si>
    <t>Obrist G.</t>
  </si>
  <si>
    <t>PROCESSOR-CONTROLLED ANTENNA SELECTOR SYSTEM.</t>
  </si>
  <si>
    <t>2-s2.0-0020754123</t>
  </si>
  <si>
    <t>National Institutes of Health</t>
  </si>
  <si>
    <t>T32CA009054</t>
  </si>
  <si>
    <t>NIH</t>
  </si>
  <si>
    <t>['¬© 1983', 'transdetermined structures', 'transdetermination occurred', 'thoracic spiracle', 'producing structures', 'many transdeterminations', 'interdisc regulation', 'drosophila melanogaster', 'adult hosts']</t>
  </si>
  <si>
    <t>Fragments of the imaginal wing disc of Drosophila melanogaster were cultured in adult hosts before transfer to larvae for metamorphosis. Transdetermination occurred only after at least 2 weeks of culture in vivo, producing structures of the leg, antenna, head, and thoracic spiracle. Details of the transdetermined structures and their locations with respect to normal wing disc structures are reported. We present evidence suggesting that regulation can occur between the wing and the second leg imaginal discs, and we propose that many transdeterminations which involve neighboring discs may result from such interdisc regulation. ¬© 1983.</t>
  </si>
  <si>
    <t>19-26</t>
  </si>
  <si>
    <t>Developmental Biology</t>
  </si>
  <si>
    <t>60007278;60007278;60007278</t>
  </si>
  <si>
    <t>35938571300;7202903441;7101608347</t>
  </si>
  <si>
    <t>Kirby, Brooke S.;Bryant, Peter J.;Schneiderman, Howard A.</t>
  </si>
  <si>
    <t>Irvine</t>
  </si>
  <si>
    <t>University of California, Irvine</t>
  </si>
  <si>
    <t>Kirby B.</t>
  </si>
  <si>
    <t>Transdetermination in imaginal wing disc fragments of Drosophila melanogaster</t>
  </si>
  <si>
    <t>10.1016/0012-1606(83)90059-3</t>
  </si>
  <si>
    <t>2-s2.0-0020756545</t>
  </si>
  <si>
    <t>['telecontrol system', 'service channel', 'relay sets', 'antenna system']</t>
  </si>
  <si>
    <t>The new radio system for the Saudi Arabian railways is outlined. It consists of radio-relay sets with 24 speech channels and a service channel. Structure of the link, antenna system, telecontrol system, multiplexer, and train dispatching center are described.</t>
  </si>
  <si>
    <t>189-192</t>
  </si>
  <si>
    <t>Fiedler, R.</t>
  </si>
  <si>
    <t>Fiedler R.</t>
  </si>
  <si>
    <t>RADIO COMMUNICATION FOR THE SAUDI ARABIAN RAILWAYS.</t>
  </si>
  <si>
    <t>2-s2.0-0020757964</t>
  </si>
  <si>
    <t>['stochastic modulation', 'smallest contribution', 'nonlinear mode', 'noise factor', 'linear mode', 'electron velocity', 'dimensionless parameters', 'antenna noise', 'analyzed using']</t>
  </si>
  <si>
    <t>The amplification of both signal and microwave narrowband noise arising from stochastic modulation of electron velocity and current at the input to a BWT is analyzed using an approximate nonlinear theory. Expressions for the BWT noise factor as a function of dimensionless parameters and the operating-mode nonlinearity index are obtained. It is shown that in the nonlinear mode the amplitude-noise factor is smaller and the phase-noise factor larger than in the linear mode. Whether in the linear or nonlinear mode, the largest relative contributions to the noise factor are those of antenna noise and electron-velocity fluctuation noise, the smallest contribution being that of the electron-beam current fluctuations.</t>
  </si>
  <si>
    <t>Jun</t>
  </si>
  <si>
    <t>6507314527;7003479685;6701672232</t>
  </si>
  <si>
    <t>Kontorin, Yu F.;Lazerson, A. G.;Man'kin, I. A.</t>
  </si>
  <si>
    <t>Kontorin Y.</t>
  </si>
  <si>
    <t>SIGNAL AMPLIFICATION IN A BWT IN THE PRESENCE OF ELECTRON-BEAM NOISE.</t>
  </si>
  <si>
    <t>2-s2.0-0020761755</t>
  </si>
  <si>
    <t>['polarization errors', 'orthogonal one', 'operating polarization', 'derived enabling', 'approximately evaluated']</t>
  </si>
  <si>
    <t>Simple analytical expressions are derived enabling the polarization errors of single-pulse radar systems to be approximately evaluated. Calculations are developed for an arbitrary operating polarization and given antenna radiation patterns for the operating polarization and the orthogonal one.</t>
  </si>
  <si>
    <t>85-88</t>
  </si>
  <si>
    <t>Krasyuk, N. Ya</t>
  </si>
  <si>
    <t>Krasyuk N.</t>
  </si>
  <si>
    <t>POLARIZATION ERRORS IN SINGLE-PULSE DIRECTION FINDERS.</t>
  </si>
  <si>
    <t>2-s2.0-0020762035</t>
  </si>
  <si>
    <t>['new formula', 'factor makes', 'energy center', 'available formulas', 'antenna related', 'antenna q']</t>
  </si>
  <si>
    <t>A new formula is proposed for calculating the Q-factor of antennas which does not possess the shortcomings of the available formulas. A concept of the energy center of an antenna related to the antenna Q-factor is introduced. The formula for the Q-factor makes it possible to define more exactly the class of physically realizable radiation patterns.</t>
  </si>
  <si>
    <t>Polishchuk, I. M.</t>
  </si>
  <si>
    <t>Polishchuk I.</t>
  </si>
  <si>
    <t>Q-FACTOR AND ENERGY CENTER OF ANTENNAS.</t>
  </si>
  <si>
    <t>2-s2.0-0020762398</t>
  </si>
  <si>
    <t>['technology areas', 'substantial reduction', 'space segment', 'satellite communications', 'rapidly emerging', 'military terminals', 'military systems', 'military applications', 'mature state', 'jam performance', 'grown rapidly', 'general application', 'capable satellites', 'burgeoning marketplace']</t>
  </si>
  <si>
    <t>Communication via satellites has grown rapidly in the past fifteen years. During this period, commercial and military systems have progressed through a family of increasingly more capable satellites into a very mature state. As the capability of the space segment is increasing, a burgeoning marketplace in low-cost, small antenna commercial and military terminals is rapidly emerging. General application of satellite communications to low-cost, small antenna user terminals still requires major technological innovations for substantial reduction in cost, and improvement in anti-jam performance in military applications. High-gain satellite antennas with many simultaneous spot beams and onboard processing emerge as the two important technology areas for solving the problems of both communities. These technology areas are reviewed with emphasis on processing and switching in the satellite.</t>
  </si>
  <si>
    <t>139-151</t>
  </si>
  <si>
    <t>Journal of telecommunication networks</t>
  </si>
  <si>
    <t>Summer</t>
  </si>
  <si>
    <t>Jain, Pravin C.</t>
  </si>
  <si>
    <t>Jain P.</t>
  </si>
  <si>
    <t>ONBOARD PROCESSING IN FUTURE SATELLITE COMMUNICATION SYSTEMS.</t>
  </si>
  <si>
    <t>2-s2.0-0020762768</t>
  </si>
  <si>
    <t>['temporal processing', 'recursion algorithms', 'receiving elements', 'obtained algorithms', 'nonlinear filtering', 'antenna array', 'angular distance']</t>
  </si>
  <si>
    <t>Using the methods of nonlinear filtering under the assumption of Markov's model of fluctuations in the vector of the antenna array weighting coefficients, recursion algorithms for spatial-temporal processing of signals and interference are synthesized, as well as the possibilities of their linearization are discussed. The effectiveness of the obtained algorithms is analyzed as a function of the angular distance between signal and interference, the levels of isotropic and spatially concentrated interference, and the number of receiving elements in the antenna array.</t>
  </si>
  <si>
    <t>33-40</t>
  </si>
  <si>
    <t>6701693763;56486136900;57199771503</t>
  </si>
  <si>
    <t>Rodimov, A. P.;Popovskii, V. V.;Popov, A. S.</t>
  </si>
  <si>
    <t>Rodimov A.</t>
  </si>
  <si>
    <t>SYNTHESIS AND ANALYSIS OF ALGORITHMS OF SPATIAL-TEMPORAL PROCESSING OF SIGNALS AND INTERFERENCE USING MARKOV'S MODEL FOR FLUCTUATIONS IN THE WEIGHTING COEFFICIENTS OF AN ANTENNA ARRAY.</t>
  </si>
  <si>
    <t>2-s2.0-0020762992</t>
  </si>
  <si>
    <t>['signal channels', 'multichannel systems', 'find application', 'complex characteristics']</t>
  </si>
  <si>
    <t>Coherent automatic compensators (CAC) find application in combating interference entering the system via antenna sidelobes and in equalizing the complex characteristics of signal channels in multichannel systems.</t>
  </si>
  <si>
    <t>92-95</t>
  </si>
  <si>
    <t>7003872373;6602440465</t>
  </si>
  <si>
    <t>Zaika, A. T.;Ryabokon, I. P.</t>
  </si>
  <si>
    <t>Zaika A.</t>
  </si>
  <si>
    <t>CHARACTERISTICS OF QUADRATURE COHERENT AUTOMATIC COMPENSATORS ARE INVESTIGATED AND A DESIGN PROCEDURE IS CONSIDERED.</t>
  </si>
  <si>
    <t>2-s2.0-0020763210</t>
  </si>
  <si>
    <t>['theoretical study', 'staggered half', 'one volt', 'mutual impedances', 'graphs showing', 'field patterns', 'feed voltage', 'critically discussed', 'cos phi', 'complex currents']</t>
  </si>
  <si>
    <t>A theoretical study of far-field patterns for a plane trigonometric spiral array (of the form r equals a cos phi /4m) with thin, linear, center-driven, vertically-placed and non-staggered half-wave dipole radiators has been made. The complex currents of the radiators are obtained with the help of the Induced EMF theory, considering all self and mutual impedances between the radiators. The feed voltage is assumed to be one volt in determining the complex currents. A set of graphs showing the far-field patterns using the theory, are plotted and critically discussed.</t>
  </si>
  <si>
    <t>251-254</t>
  </si>
  <si>
    <t>56095359900;7005770188</t>
  </si>
  <si>
    <t>Ramachandra, V.;Dey, K. K.</t>
  </si>
  <si>
    <t>Ramachandra V.</t>
  </si>
  <si>
    <t>TRIGONOMETRIC SPIRAL ARRAY-A STUDY OF THE FIELD PATTERNS USING INDUCED EMF THEORY.</t>
  </si>
  <si>
    <t>10.1080/03772063.1983.11453046</t>
  </si>
  <si>
    <t>2-s2.0-0020763288</t>
  </si>
  <si>
    <t>['wiley company', 'transition œé', 'resistive part', 'rcm ).', 'radiation pattern', 'numerical integration', 'numerical calculations', 'moment method', 'ionospheric reflection', 'input impedance', 'inc .,', 'horizontal antenna', 'half wavelength', 'ground contains', 'fatter antenna', 'electric field', 'conductive nature', 'antenna height', '62 degrees', '60 mhz', '4 times']</t>
  </si>
  <si>
    <t>Since the electric field integral equation for the horizontal antenna above a ground contains a kernel of the form Œ¥2/Œ¥xŒ¥z f (x, z) derived from the vertical Herz potential, its numerical integration is difficult. In this paper, it is shown that this kernel can be transformed to the form Œ¥2/Œ¥x2 g(x, z) so that the moment method can easily be introduced without approximation of the kernel by the reflection coefficient method (RCM). Numerical calculations have been performed for the input impedance and the radiation pattern of a half‚Äêwave antenna above a typical lossy ground at 60 MHz in terms of height, relative dielectric constant and conductivity as well as the thickness parameter œâ. the resistive part of the computed input impedance agrees almost with the value by the RCM, whereas the discrepancy between two methods increases in the reactance for a fatter antenna if the antenna height is less than about 0.4 times the height. the input impedance vs. the ground conductivity varies abruptly near the transition œÉ = œâœµ0œµs from capacitive to conductive nature in the ground. If the height is half wavelength, the H‚Äêplane pattern has the main radiation direction at 62 degrees and hence long‚Äêdistance communication is possible by ionospheric reflection. In the case of the ground, about ‚Äê9 dB of the electric field in the maximum direction remains near the zenith and the beam is different from that for perfect conductor cases. Copyright ¬© 1983 Wiley Periodicals, Inc., A Wiley Company</t>
  </si>
  <si>
    <t>52-60</t>
  </si>
  <si>
    <t>105405664;60024751</t>
  </si>
  <si>
    <t>7403512034;56216531000</t>
  </si>
  <si>
    <t>Nakagawa, Kinsaku;Inagaki, Naoki</t>
  </si>
  <si>
    <t>Nagoya;Gobo</t>
  </si>
  <si>
    <t>Nagoya Institute of Technology;Wakayama Technical College</t>
  </si>
  <si>
    <t>60024751;105405664</t>
  </si>
  <si>
    <t>Nakagawa K.</t>
  </si>
  <si>
    <t>Numerical analysis of the horizontal antenna above a lossy ground</t>
  </si>
  <si>
    <t>10.1002/ecja.4400660608</t>
  </si>
  <si>
    <t>2-s2.0-0020763292</t>
  </si>
  <si>
    <t>['within one', 'usually modulate', 'two feet', 'trilateration measurements', 'step function', 'severe environments', 'relative freedom', 'recently developed', 'recent advancements', 'pulse function', 'principal advantages', 'paper discusses', 'offshore mooring', 'offshore exploration', 'nanoseconds ),', 'moving ships', 'momentarily connected', 'microwave energy', 'microwave antenna', 'measure ownship', 'limited principally', 'light weight', 'handcarried instruments', 'gigahertz ).', 'fixed structures', 'fast switch', 'carrier wave', 'broad bandwidth', 'baseband techniques', 'baseband systems', 'baseband system', 'baseband signaling', 'baseband contrasts', 'antenna bandwidth', '1983 institute']</t>
  </si>
  <si>
    <t>Recent advancements in transponders have made it possible to measure ownship's position to within one or two feet. These transponders make use of a new technology called baseband. By baseband we refer to the generation of an energy pulse function which can be obtained, for example, when a very fast switch is momentarily connected to a direct current electrical power source. When such a pulse function is applied to a microwave antenna, a very short damped oscillation of microwave energy is propagated. This propagation is characterized by extremely short duration (order of nanoseconds), very low average power (order of microwatts, and very broad bandwidth (order of gigahertz). The broad bandwidth of baseband techniques is limited principally by the speed of the switch that generates the step function and by the antenna bandwidth. Baseband contrasts to orthodox pulsed microwave generators that usually modulate a carrier wave with a pulsed modulating wave. The principal advantages of baseband systems are reviewed and discussed in the text, specifically low interference, simplicity, light weight, low power consumption, high ranging accuracy, and relative freedom from multipath and clutter interference effects. The light weight and low power consumption of baseband systems make them ideal for handcarried instruments that can be used for trilateration measurements between moving ships, shorelines, and fixed structures such as offshore drilling platforms. A baseband system has been recently developed and has undergone sea trials for the offshore mooring of 45K TON ships in severe environments. This paper discusses the theory of baseband signaling and describes a system that can be used for offshore exploration, mooring, and docking. 1983 Institute of Navigation</t>
  </si>
  <si>
    <t>135-145</t>
  </si>
  <si>
    <t>Navigation</t>
  </si>
  <si>
    <t>Summer 1983</t>
  </si>
  <si>
    <t>RIGGS, ROBERT F.</t>
  </si>
  <si>
    <t>Blue Bell</t>
  </si>
  <si>
    <t>Unisys Corporation</t>
  </si>
  <si>
    <t>RIGGS R.</t>
  </si>
  <si>
    <t>Baseband: A Breakthrough in Precision Navigation</t>
  </si>
  <si>
    <t>10.1002/j.2161-4296.1983.tb00830.x</t>
  </si>
  <si>
    <t>2-s2.0-0020763395</t>
  </si>
  <si>
    <t>['typical examples', 'travels along', 'traveling wave', 'numerical treatment', 'neither derivatives', 'narrow slot', 'integral equations', 'infinite wire', 'electromagnetic wave', 'current induced', 'coupling problem', 'axial distributions', 'analyzed using']</t>
  </si>
  <si>
    <t>A set of integral equations is derived for a coupling problem in which a wire is energized by an electromagnetic wave through an aperture of a narrow slot. In order to facilitate the numerical treatment, the kernels of the integral equations are simplified so that neither derivatives nor integrals are contained. Typical examples, including a finite and an infinite wire are analyzed using the present integral equations. The currents on the wires and the axial distributions of the slot magnetic currents are demonstrated. It is found that the current induced on the infinite wire is characterized by a traveling wave which does not decay and a wave which dies out rapidly as it travels along the wire.</t>
  </si>
  <si>
    <t>383-389</t>
  </si>
  <si>
    <t>55633340100;7201653432</t>
  </si>
  <si>
    <t>Nakano, Hisamatsu;Harrington, Roger F.</t>
  </si>
  <si>
    <t>INTEGRAL EQUATIONS ON ELECTROMAGNETIC COUPLING TO A WIRE THROUGH AN APERTURE.</t>
  </si>
  <si>
    <t>2-s2.0-0020763836</t>
  </si>
  <si>
    <t>['random perturbations', 'expected value', 'array gain', 'approximate expressions']</t>
  </si>
  <si>
    <t>The expected value of array gain is determined for an array processor subjected to random perturbations. Both exact and approximate expressions are obtained, removing the need for expensive Monte Carlo simulations.</t>
  </si>
  <si>
    <t>Farrier, D. R.</t>
  </si>
  <si>
    <t>GAIN OF AN ARRAY OF SENSORS SUBJECTED TO PROCESSOR PERTURBATIONS.</t>
  </si>
  <si>
    <t>10.1049/ip-h-1.1983.0042</t>
  </si>
  <si>
    <t>2-s2.0-0020763888</t>
  </si>
  <si>
    <t>['structure te', 'reflector aperture', 'radian phase', 'properly rotated', 'principal beam', 'polarized field', 'polarization within', 'polarization suppression', 'measured results', 'francis group', 'conventional simple', 'axis cross', 'antenna used', '15 ghz', '10 db']</t>
  </si>
  <si>
    <t>An attempt to obtain a near-axis cross-polarization suppression of a parabolic reflector antenna has been made with the knowledge that a œÄ-radian phase-difference dielectric plate rotates the polarization of the incident electric field. The antenna used was illuminated at the focus by a conventional simple-structure TE-11 mode feed horn. This was facilitated by mounting dielectric plates on portions of the reflector aperture and then by rotating the principal electric field opposite to the cross-polarized field. Numerical results show that cross-polarization within a ‚àí 10 dB angle of the principal beam is remarkably (more than 10 dB) suppressed below ‚àí 40 dB if the principal polarization field is properly rotated. Measured results at f = 12.15 GHz, with and without the dielectrics, are presented in this paper for comparison. ¬© 1983 Taylor &amp; Francis Group, LLC.</t>
  </si>
  <si>
    <t>847-859</t>
  </si>
  <si>
    <t>Miyata, Katsumasa</t>
  </si>
  <si>
    <t>Akita</t>
  </si>
  <si>
    <t>National Institute of Technology, Akita College</t>
  </si>
  <si>
    <t>Miyata K.</t>
  </si>
  <si>
    <t>Near-axis cross-polarization improvement of centre-fed parabolic antennas by partial shaping of the aperture distribution</t>
  </si>
  <si>
    <t>10.1080/00207218308938780</t>
  </si>
  <si>
    <t>2-s2.0-0020764052</t>
  </si>
  <si>
    <t>['simple technique', 'sampled set', 'power series', 'phase noise', 'phase measurements', 'less affected', 'important coefficients', 'experimental configurations']</t>
  </si>
  <si>
    <t>Obtaining a smooth continuous function of phase from a distorted, sampled set of phase measurements is addressed. Provided the smooth continuous function can be written as a power series, all the important coefficients can be derived from phase difference measurments which have proved to be less affected by phase noise than the phase measured directly. This simple technique is shown to have advantages in some experimental configurations. ¬© 1983 IEEE</t>
  </si>
  <si>
    <t>742-744</t>
  </si>
  <si>
    <t>Gough, Peter T.</t>
  </si>
  <si>
    <t>New Zealand</t>
  </si>
  <si>
    <t>Christchurch</t>
  </si>
  <si>
    <t>University of Canterbury</t>
  </si>
  <si>
    <t>Gough P.</t>
  </si>
  <si>
    <t>A Particular Example of Phase Unwrapping Using Noisy Experimental Data</t>
  </si>
  <si>
    <t>10.1109/TASSP.1983.1164099</t>
  </si>
  <si>
    <t>2-s2.0-0020764228</t>
  </si>
  <si>
    <t>['suppressing harmonics', 'q scans', 'q measured', 'pulsed plasmas', 'pretext tokamak', 'plasma q', 'plasma discharge', 'paper describes', 'often faced', 'low power', 'electronics engineers', 'effective q', 'detailed circuitry']</t>
  </si>
  <si>
    <t>Low frequency wave heating experiments conducted on pulsed plasmas are often faced with the task of measuring low antenna resistance. This paper describes a method for monitoring the antenna-plasma Q during a plasma discharge. Knowledge of Q measured at low power can be helpful in the design of a high power antenna and its associated matching network. The concept of an effective Q is introduced and its importance in suppressing harmonics is noted. Q scans for a low frequency Alfv√©n wave heating experiment conducted on the PRETEXT tokamak are shown. Detailed circuitry of this diagnostic is included. Copyright ¬© 1983 by The Institute of Electrical and Electronics Engineers, Inc.</t>
  </si>
  <si>
    <t>64-67</t>
  </si>
  <si>
    <t>56170085700;7004532598;7007001911</t>
  </si>
  <si>
    <t>Lin, S. H.;Oakes, M. E.;Bengtson, Roger D.</t>
  </si>
  <si>
    <t>Lin S.H.</t>
  </si>
  <si>
    <t>Antenna Q Monitoring for Pulsed RF Heating Experiments</t>
  </si>
  <si>
    <t>10.1109/TPS.1983.4316222</t>
  </si>
  <si>
    <t>2-s2.0-0020765129</t>
  </si>
  <si>
    <t>['tabulated functions', 'table facilitates', 'starting point', 'resulting expressions', 'radiation resistance', 'radiation characteristics', 'radial component', 'previous observation', 'poynting vector', 'parameters include', 'parameters deduced', 'paper discusses', 'loop size', 'loop antenna', 'important case', 'graphical representation', 'generate approximately', 'general expressions', 'francis group', 'form results', 'form expressions', 'fields radiated', 'exact values', 'exact formulation', 'effective area', 'different approach', 'current distributions', 'comprehensive table', 'completely evaluate', 'azimuthal direction', 'asymptotic approximations', 'arbitrary direction', 'approach leads']</t>
  </si>
  <si>
    <t>Presented here is an exact formulation of the electric and magnetic (EM) fields radiated by a circular loop antenna, assuming both travelling- and standing-wave current distributions. By using a differential current element positioned in an azimuthal direction as the starting point, the paper systematically develops the EM fields radiated by the circular loop via a vector potential theory. This approach leads to a general integral representation for the radiation characteristics of the loop antenna where we completely evaluate the resulting expressions, when the excitations of the loop assume travelling- and standing-wave distribution forms. In addition, this paper briefly examines a method to generate approximately such current distributions by coupling the loop to a two- or four-wire transmission line. Furthermore, the paper discusses a graphical representation of the current distribution plotted as a function of frequency or loop size. From the field expressions determined, we derive generalized closed-form results for some important design parameters for the loop antenna. These parameters include the radial component of the Poynting vector, the total power radiated by the loop, the directivity, the radiation resistance, and the effective area and height of the antenna. When we specialize to the important case of uniform current excitation, the exact values of the parameters deduced from the general expressions, are summarized and exhibited in a comprehensive table. This table facilitates the computations of these important physical parameters. Further analysis involving small argument and asymptotic approximations in the residts for the travelling-wave current excitation leads to closed-form expressions in terms of tabulated functions. Numerical results presented, include the fields radiated by the loop when the standing-wave current excitation admits a Fourier series representation. The present approach via potential theory reveals that the fields can be calculated in any arbitrary direction: this is consistent with a previous observation of Knudsen (1951, 1953) who employed a different approach. ¬© 1983 Taylor &amp; Francis Group, LLC.</t>
  </si>
  <si>
    <t>705-732</t>
  </si>
  <si>
    <t>Adekola, S. Adeniyi</t>
  </si>
  <si>
    <t>Nigeria</t>
  </si>
  <si>
    <t>Lagos</t>
  </si>
  <si>
    <t>University of Lagos</t>
  </si>
  <si>
    <t>Adekola S.</t>
  </si>
  <si>
    <t>On the excitation of a circular loop antenna by travelling-and standing-wave current distributions</t>
  </si>
  <si>
    <t>10.1080/00207218308938771</t>
  </si>
  <si>
    <t>2-s2.0-0020766042</t>
  </si>
  <si>
    <t>['vertex diffraction', 'source segments', 'previous solutions', 'input impedance', 'experimental measurements', 'also shown']</t>
  </si>
  <si>
    <t>The input impedance of a monopole on a finite polygonal ground plane is investigated. The solution is more accurate than previous solutions because vertex diffraction is included in the calculations and because the source segments are treated as distributed, rather than as lumped, sources. Results are shown for a square ground plane that agree with experimental measurements. Results are also shown for a rhombic-shaped ground plane and for a six-sided ground plane.</t>
  </si>
  <si>
    <t>276-280</t>
  </si>
  <si>
    <t>6506652863;7005683394;7102201391</t>
  </si>
  <si>
    <t>Zimourtopoulos, P. E.;Sahalos, J. N.;Thiele, G. A.</t>
  </si>
  <si>
    <t>Zimourtopoulos P.</t>
  </si>
  <si>
    <t>INPUT IMPEDANCE OF A MONOPOLE ANTENNA ON A FINITE POLYGONAL GROUND PLANE.</t>
  </si>
  <si>
    <t>10.1049/ip-h-1.1983.0047</t>
  </si>
  <si>
    <t>2-s2.0-0020766213</t>
  </si>
  <si>
    <t>['tenfold increase', 'temporal variations', 'spectral estimation', 'fast tracking', 'fast start', 'electronics engineers', 'echo cancellation', 'discuss architectures', 'architecture based', 'antenna arrays', 'adaptive filters', 'adaptation algorithms', 'adaptation algorithm']</t>
  </si>
  <si>
    <t>Adaptive filters, employing the transversal filter structure and the least mean square (LMS) adaptation algorithm, or its variations, have found wide application in data transmission equalization, echo cancellation, prediction, spectral estimation, on-line system Identification, and antenna arrays. Recently, in response to requirements of fast start-up, or fast tracking of temporal variations, fast recursive least squares (FRLS) adaptation algorithms for both transversal and lattice filter structures have been proposed. These algorithms offer faster convergence than is possible with the LMS/transversal adaptive filters, at the price of a five-to-tenfold increase in the number of multiplications, divisions, and additions. Here we discuss architectures and implementations of the LMS/transversal, fast-converging FRLS filter, and lattice filter algorithms which minimize the required hardware speed. We show how each of these algorithms can be partitioned so as to be realizable with an architecture based on multiple parallel processors. Copyright ¬© 1983 by The Institute of Electrical and Electronics Engineers, Inc.</t>
  </si>
  <si>
    <t>826-835</t>
  </si>
  <si>
    <t>7005621516;7003755103</t>
  </si>
  <si>
    <t>Lawrence, V. B.;Tewksbury, S. K.</t>
  </si>
  <si>
    <t>Lawrence V.B.</t>
  </si>
  <si>
    <t>Multiprocessor Implementation of Adaptive Digital Filters</t>
  </si>
  <si>
    <t>10.1109/TCOM.1983.1095880</t>
  </si>
  <si>
    <t>2-s2.0-0020766480</t>
  </si>
  <si>
    <t>['reaching advantages', 'passive signals', 'monitoring coatings', 'frequency selection', 'conventional locators', 'become available', 'apart receiving', 'almost universal']</t>
  </si>
  <si>
    <t>Conventional locators have a single search coil situated in the receiver or at the end of an antenna. This is almost universal. Nine years ago the twin coil antenna was developed: two coils spaced generally about 16 in. apart receiving the same signal. This article discusses equipment characteristics and applications, and the far-reaching advantages that have become available for locating buried pipelines, including narrow response, push-button depth estimation, discrimination, frequency selection, passive signals, and monitoring coatings.</t>
  </si>
  <si>
    <t>Pipe line industry Houston, Tex.</t>
  </si>
  <si>
    <t>Garnett, Andy F.</t>
  </si>
  <si>
    <t>Garnett A.</t>
  </si>
  <si>
    <t>LOCATING BURIED PIPE LINES WITH ‚Ä≥INTELLIGENT‚Ä≥ INSTRUMENTS: PART 2.</t>
  </si>
  <si>
    <t>2-s2.0-0020766663</t>
  </si>
  <si>
    <t>['test bed', '4 multiplied', '4 array']</t>
  </si>
  <si>
    <t>The author discusses electronic countermeasure transmitter requirements and approaches, A 4 multiplied by 4 array was constructed for use as a test bed, for the exploration of W-band phased array ECM transmitter techniques and the results are described.</t>
  </si>
  <si>
    <t>Microwave journal</t>
  </si>
  <si>
    <t>7201481247;6508028090;7201942668</t>
  </si>
  <si>
    <t>Peng, Fu;Sheleg, Boris;Chiang, Bing</t>
  </si>
  <si>
    <t>Peng F.</t>
  </si>
  <si>
    <t>MILLIMETER-WAVE PHASED ARRAY TRANSMITTERS FOR ECM.</t>
  </si>
  <si>
    <t>2-s2.0-0020768467</t>
  </si>
  <si>
    <t>['whole band', 'vestigial respresentation', 'various parts', 'treepole based', 'thick elements', 'therefore directivity', 'provide radiation', 'new types', 'naturally matched', 'multipurpose antennas', 'energy may', 'effective length', 'discussed briefly', 'different modes', 'desired architecture', 'appropriate manner', 'antenna structure']</t>
  </si>
  <si>
    <t>For an antenna to be very wide-band or whole-band it should be monocarpic; its energy should be used once only and not recirculated but energy may be partitioned and bled off to various parts of the antenna structure to achieve a desired architecture. Natural wave antennas, having a characteristic impedance similar to that of freespace (120 pi ohms) are naturally matched to space. Vestigial respresentation of such thick elements by very flimsy wire outlines can be effective. Multipurpose antennas are required to provide radiation into different modes of propagation and polarization to serve a variety of purposes over the whole band. Appropriately truncated antennas are designed to have an effective length and therefore directivity which varies with frequency in an appropriate manner. New types of antenna such as the hungpole, slodpole and treepole based on these concepts are discussed briefly.</t>
  </si>
  <si>
    <t>141-153</t>
  </si>
  <si>
    <t>Treharne, R. F.</t>
  </si>
  <si>
    <t>Treharne R.</t>
  </si>
  <si>
    <t>MULTIPURPOSE WHOLE-BAND HF ANTENNA ARCHITECTURE.</t>
  </si>
  <si>
    <t>2-s2.0-0020769719</t>
  </si>
  <si>
    <t>['without effect', 'whereas eliminating', 'us alone', 'us ).', 'unpaired procedure', 'unpaired presentations', 'unconditioned stimulus', 'spontaneous recovery', 'spaced trials', 'slowed acquisition', 'significant effect', 'restrained honeybees', 'reinforcer contiguity', 'proboscis component', 'paired training', 'order conditioning', 'massed trials', 'inhibition rather', 'first series', 'first experiments', 'experiments designed', 'elicit extension', 'differential conditioning', 'cs alone', 'conditioned stimulus', 'asymptotic level', 'associative basis', 'antennal component', 'analogous experiments', 'adverse effect', 'acquisition found']</t>
  </si>
  <si>
    <t>Extension of the proboscis was conditioned in restrained honeybees with odor as the conditioned stimulus (CS) and sucrose solution--delivered to the antenna (to elicit extension of the proboscis) and then to the proboscis itself--as the unconditioned stimulus (US). In a first series of experiments, acquisition was found to be very rapid, both in massed and in spaced trials; its associative basis was established by differential conditioning and by an explicitly unpaired control procedure (which produced marked resistance to acquisition in subsequent paired training); and both extinction and spontaneous recovery in massed trials were demonstrated. In a series of experiments on the nature of the US, eliminating the proboscis component was found to lower the asymptotic level of performance, whereas eliminating the antennal component was without effect; reducing the concentration of sucrose from 20% to 7% slowed acquisition but did not lower the asymptotic level of performance; and second-order conditioning was demonstrated. In a series of experiments on the role of the US, an omission contingency designed to eliminate adventitious response-reinforcer contiguity was found to have no adverse effect on acquisition. In a series of experiments designed to analyze the resistance to acquisition found after explicitly unpaired training in the first experiments, no significant effect was found of prior exposure either to the CS alone or to the US alone, although the unpaired procedure again produced substantial resistance that was shown to be due to inhibition rather than to inattention; extinction after paired training was found to be facilitated by unpaired presentations of the US. The relation between these results for honeybees and those of analogous experiments with vertebrates is considered.</t>
  </si>
  <si>
    <t>107-119</t>
  </si>
  <si>
    <t>Journal of comparative psychology (Washington, D.C. : 1983)</t>
  </si>
  <si>
    <t>7005781087;7102000725;6506717801;7103283215</t>
  </si>
  <si>
    <t>Bitterman, M. E.;Menzel, R.;Fietz, A.;Sch√§fer, S.</t>
  </si>
  <si>
    <t>Bitterman M.</t>
  </si>
  <si>
    <t>Classical conditioning of proboscis extension in honeybees (Apis mellifera).</t>
  </si>
  <si>
    <t>10.1037/0735-7036.97.2.107</t>
  </si>
  <si>
    <t>2-s2.0-0020770318</t>
  </si>
  <si>
    <t>['valuable technique', 'theoretical equivalent', 'stripline couplers', 'steering devices', 'scan angles', 'performance compared', 'overlapping subarrays', 'feed circuit', 'csiro division', 'constructing one', 'antenna aperture', 'active beam', '39 elements']</t>
  </si>
  <si>
    <t>The use of overlapping subarrays is a valuable technique for reducing the number of beam-steering devices required to scan an array over limited scan angles. An array of this type has been built at the CSIRO Division of Radiophysics for the small community azimuth scan in the Interscan microwave landing system. The reduction in the number of active beam-steering devices is achieved by using a matrix of stripline couplers in the feed circuit to illuminate the antenna aperture with the appropriate amplitude distribution function. The perfomance and limitations of such an antenna in terms of bandwidth and scan angles are examined. A technique for constructing one such antenna of 39 elements is presented and its performance compared with that of its theoretical equivalent.</t>
  </si>
  <si>
    <t>126-131</t>
  </si>
  <si>
    <t>Kachwalla, Z.</t>
  </si>
  <si>
    <t>Kachwalla Z.</t>
  </si>
  <si>
    <t>LIMITED-SCAN LINEAR ARRAY USING OVERLAPPING SUBARRAYS.</t>
  </si>
  <si>
    <t>2-s2.0-0020774915</t>
  </si>
  <si>
    <t>['realistic conditions', 'presented showing', 'numerical technique', 'new design', 'method proceeds', 'iterative fashion', 'electronics engineers', 'computational algorithm', 'array parameters', 'antenna array', 'algorithm provides']</t>
  </si>
  <si>
    <t>A numerical technique is presented to optimize the performance of arbitrary antenna arrays under realistic conditions. An experimental-computational algorithm is formulated in which n-dimensional minimization methods are applied to measured data obtained from the antenna array. A numerical update formula is used to induce partial derivative information without requiring special perturbations of the array parameters. The algorithm provides a new design for the antenna array, and the method proceeds in an iterative fashion. Test case results are presented showing the effectiveness of the algorithm. Copyright ¬© 1983 by The Institute of Electrical and Electronics Engineers, Inc.</t>
  </si>
  <si>
    <t>685-689</t>
  </si>
  <si>
    <t>Blank, Stephen</t>
  </si>
  <si>
    <t>Blank S.</t>
  </si>
  <si>
    <t>An Algorithm for the Empirical Optimization of Antenna Arrays</t>
  </si>
  <si>
    <t>10.1109/TAP.1983.1143117</t>
  </si>
  <si>
    <t>2-s2.0-0020776981</t>
  </si>
  <si>
    <t>['written specifically', 'vector operations', 'unit length', 'strongest jammers', 'special case', 'requires approximately', 'noise vectors', 'noise samples', 'many types', 'large compared', 'jammers l', 'jammer component', 'electronics engineers', 'beamforming algorithm', 'basis vector', 'array radars', 'approximately equal']</t>
  </si>
  <si>
    <t>This beamforming algorithm is written specifically for array radars in which the number of array elements K is very large compared with the number of jammers L the radar is designed to suppress. It uses a set of M noise vectors to construct a basis for the jammer component of the antenna output vectors. The component of the quiescent weight vector orthogonal to each basis vector is calculated, renormalized to unit length, and identified as the adapted weight vector. This algorithm is effective in the suppression of many types of jammers. The number of noise samples M required in the construction of the adapted weight vector is approximately equal to L. In the special case of L narrowband noise jammers, for example, a choice of M = L usually reduces the receiver output jammer power to a few dBs above the white noise background. It is permissible to have M L. In this case, the first M strongest jammers are given the most suppression. This algorithm is very simple in design and programming and requires approximately (4M2 + 6M + 2)K real add and (4M2 + 8M + 4)K real multiply operations. Most of these operations are in the form of vector operations and can be carried out efficiently with a vector array processor. Copyright ¬© 1983 by The Institute of Electrical and Electronics Engineers, Inc.</t>
  </si>
  <si>
    <t>598-607</t>
  </si>
  <si>
    <t>105638034;105638034</t>
  </si>
  <si>
    <t>7004256343;7404554589</t>
  </si>
  <si>
    <t>Hung, Eric K.L.;Turner, Ross M.</t>
  </si>
  <si>
    <t>Ottawa</t>
  </si>
  <si>
    <t>Communications Research Centre</t>
  </si>
  <si>
    <t>Hung E.</t>
  </si>
  <si>
    <t>A Fast Beamforming Algorithm for Large Arrays</t>
  </si>
  <si>
    <t>10.1109/TAES.1983.309349</t>
  </si>
  <si>
    <t>2-s2.0-0020777015</t>
  </si>
  <si>
    <t>['well established', 'two aspects', 'transform feeds', 'subarrays formed', 'prescribed curve', 'pattern characteristics', 'low sidelobes', 'high directivity', 'electronics engineers', 'basic equations', 'axis locations', 'axis feeds']</t>
  </si>
  <si>
    <t>Two aspects of cylindrical lens antennas excited by off-axis transform feeds are explored. First, the properties of the subarrays formed by the feeds at various off-axis locations are investigated to evaluate their potential for forming sector coverage patterns. Secondly, the use of transform feeds is investigated for the purpose of providing multiple scanning beams with low sidelobes and high directivity. The basic equations are presented without derivation because the method of analysis for antennas of this type with on-axis feeds is well established. The contribution of this paper is to investigate how the pattern characteristics are modified by moving the feed-axis, along a prescribed curve. Copyright ¬© 1983 by The Institute of Electrical and Electronics Engineers, Inc.</t>
  </si>
  <si>
    <t>597-602</t>
  </si>
  <si>
    <t>Mailloux, Robert J.</t>
  </si>
  <si>
    <t>Mailloux R.</t>
  </si>
  <si>
    <t>Off-Axis Scanning of Cylindrical Lenses</t>
  </si>
  <si>
    <t>10.1109/TAP.1983.1143092</t>
  </si>
  <si>
    <t>2-s2.0-0020777088</t>
  </si>
  <si>
    <t>['vertical conductor', 'space model', 'mutual coupling', 'made structures', 'interfacial polarization', 'homogeneous half', 'grounded circuits', 'finite length', 'electronics engineers', 'basic formulation']</t>
  </si>
  <si>
    <t>A basic formulation is presented of the mutual coupling between grounded circuits of finite length on a homogeneous half-space model of the earth that contains a vertical conductor. This is intended to be a model to examine the induced polarization response of a metal wall casing. Both interfacial polarization and induced eddy currents in the casing are allowed for. The normal electromagnetic coupling formulas need to be modified to account for the presence of such man-made structures. Copyright ¬© 1983 by The Institute of Electrical and Electronics Engineers, Inc.</t>
  </si>
  <si>
    <t>640-644</t>
  </si>
  <si>
    <t>Wait, James R.</t>
  </si>
  <si>
    <t>Tucson</t>
  </si>
  <si>
    <t>The University of Arizona</t>
  </si>
  <si>
    <t>Wait J.</t>
  </si>
  <si>
    <t>Mutual Coupling Between Grounded Circuits and the Effect of a Thin Vertical Conductor in the Earth</t>
  </si>
  <si>
    <t>10.1109/TAP.1983.1143104</t>
  </si>
  <si>
    <t>2-s2.0-0020777089</t>
  </si>
  <si>
    <t>['unambiguous estimate', 'mutual coupling', 'multipath signals', 'example investigated', 'electronics engineers', 'computer simulations', 'beamforming approach', '5 1', '2 œª']</t>
  </si>
  <si>
    <t>A computationally efficient method for estimating the angle of arrival of the strongest plane wave incident on a sparse circular antenna array is described. In the example investigated, the elements of the array are spaced by more than 5 1/2 Œª, eliminating the problems of mutual coupling. An unambiguous estimate of the angle of arrival is obtained by a beamforming approach. Results of computer simulations are presented which show the processing to be robust in the presence of noise, multipath signals, and antenna element positioning errors. Copyright ¬© 1983 by The Institute of Electrical and Electronics Engineers, Inc.</t>
  </si>
  <si>
    <t>678-682</t>
  </si>
  <si>
    <t>Moody, Miles P.</t>
  </si>
  <si>
    <t>Brisbane</t>
  </si>
  <si>
    <t>Queensland University of Technology</t>
  </si>
  <si>
    <t>Moody M.</t>
  </si>
  <si>
    <t>Direction of Arrival Estimation Using a Sparse Circular Array and Multiplicative Beamforming</t>
  </si>
  <si>
    <t>10.1109/TAP.1983.1143118</t>
  </si>
  <si>
    <t>2-s2.0-0020777166</t>
  </si>
  <si>
    <t>['synthesis techniques', 'specified pattern', 'fresnel region', 'fraunhofer region', 'focused apertures', 'field patterns', 'far field', 'electronics engineers', 'aperture focused', 'aperture distribution', 'angular pattern']</t>
  </si>
  <si>
    <t>It is shown that the axial field pattern of an aperture focused in the Fresnel region can be synthesized in the same manner as the angular pattern of an aperture in the Fraunhofer region. The aperture distribution which achieves a specified axial pattern is related to the aperture distribution of the specified pattern in the far field through a simple variable transformation. Therefore all analysis and synthesis techniques for far-field patterns can be applied to Fresnel region axial patterns of focused apertures. Copyright ¬© 1983 by The Institute of Electrical and Electronics Engineers, Inc.</t>
  </si>
  <si>
    <t>665-668</t>
  </si>
  <si>
    <t>Graham, William J.</t>
  </si>
  <si>
    <t>Boulogne-Billancourt</t>
  </si>
  <si>
    <t>Thomson, SA</t>
  </si>
  <si>
    <t>Graham W.</t>
  </si>
  <si>
    <t>Analysis and Synthesis of Axial Field Patterns of Focused Apertures</t>
  </si>
  <si>
    <t>10.1109/TAP.1983.1143106</t>
  </si>
  <si>
    <t>2-s2.0-0020777283</t>
  </si>
  <si>
    <t>['yagi antennas', 'yagi antenna', 'remained one', 'numerical results', 'directional antennas', 'computer programs', '2 times']</t>
  </si>
  <si>
    <t>To this day, Yagi antennas (YA) have remained one of the most widely used types of directional antennas for microwaves. The solution, and numerical results, of the optimization of a Yagi antenna in a rigorous electromagnetic formulation of the problem are reported. A set of computer programs has been written. It is shown that Yagi antennas whose gain is 1. 5 to 2 times as large as in conventional Yagi antennas can be designed.</t>
  </si>
  <si>
    <t>121-124</t>
  </si>
  <si>
    <t>Jul</t>
  </si>
  <si>
    <t>7006076565;6505919053;6506227154</t>
  </si>
  <si>
    <t>Chaplin, A. F.;Buchatskiy, M. D.;Mikhaylov, M. Yu</t>
  </si>
  <si>
    <t>Chaplin A.</t>
  </si>
  <si>
    <t>OPTIMIZATION OF YAGI ANTENNAS.</t>
  </si>
  <si>
    <t>2-s2.0-0020777325</t>
  </si>
  <si>
    <t>['linearly polarized', 'least susceptible', 'jamming consists', 'electronics engineers', 'desired signal', 'circularly polarized', 'adaptive array']</t>
  </si>
  <si>
    <t>The performance of an adaptive array using three mutually perpendicular dipoles (a ‚Äútripole‚Äù) against a cross-polarized jamming signal is discussed. The jamming consists of two statistically independent signals transmitted on orthogonally polarized antennas. It is shown that the adaptive array is least susceptible to such jamming if the desired signal is circularly polarized. It is most susceptible if the desired signal is linearly polarized. Copyright ¬© 1983 by The Institute of Electrical and Electronics Engineers, Inc.</t>
  </si>
  <si>
    <t>682-685</t>
  </si>
  <si>
    <t>Compton, R. T.</t>
  </si>
  <si>
    <t>Compton R.</t>
  </si>
  <si>
    <t>The Performance of a Tripole Adaptive Array Against Cross-Polarized Jamming</t>
  </si>
  <si>
    <t>10.1109/TAP.1983.1143119</t>
  </si>
  <si>
    <t>2-s2.0-0020777529</t>
  </si>
  <si>
    <t>['wider range', 'radiation resistance', 'fed dipoles', 'elementary functions', 'electronics engineers', 'better accuracy']</t>
  </si>
  <si>
    <t>A simple power series has been developed for the radiation resistance of center-fed dipoles. This series has both a better accuracy and a wider range in which it is valid than other recently reported approximations expressed by elementary functions. Copyright ¬© 1983 by The Institute of Electrical and Electronics Engineers, Inc.</t>
  </si>
  <si>
    <t>638-639</t>
  </si>
  <si>
    <t>60013141;60013141</t>
  </si>
  <si>
    <t>7005413512;7003766305</t>
  </si>
  <si>
    <t>Jakobsen, Kurt R.;Aas, Jon Anders</t>
  </si>
  <si>
    <t>A Simple Power Series for the Radiation Resistance of Center-Fed Dipoles</t>
  </si>
  <si>
    <t>10.1109/TAP.1983.1143109</t>
  </si>
  <si>
    <t>2-s2.0-0020777567</t>
  </si>
  <si>
    <t>['indian institute', 'important applications', 'experimental work']</t>
  </si>
  <si>
    <t>A review of the theoretical and experimental work which has been carried out in the Department of Electrical Communication Engineering of the Indian Institute of Science, Bangalore, on the subject of dielectric and dielectric-coated metal structures as waveguides, antennas and resonators is given. Some of the important applications are indicated.</t>
  </si>
  <si>
    <t>291-298</t>
  </si>
  <si>
    <t>Chatterjee, R.</t>
  </si>
  <si>
    <t>Chatterjee R.</t>
  </si>
  <si>
    <t>DIELECTRIC AND DIELECTRIC-COATED METAL STRUCTURES AND THEIR APPLICATIONS AS WAVEGUIDES, RESONATORS AND ANTENNAS.</t>
  </si>
  <si>
    <t>10.1080/03772063.1983.11453072</t>
  </si>
  <si>
    <t>2-s2.0-0020777723</t>
  </si>
  <si>
    <t>['special case', 'source k', 'single jammer', 'quite significant', 'provides regarding', 'physically meaningful', 'pattern realized', 'one source', 'linear combination', 'k sources', 'electronics engineers', 'earlier one', 'different decomposition', 'desired signal', 'basis patterns', 'array elements', 'arbitrary three', 'antenna pattern', 'also instrumental', 'also exhibited', 'adaptive arrays', 'adapted pattern', '2 ).']</t>
  </si>
  <si>
    <t>The antenna pattern of a receiving adaptive array of arbitrary three-dimensional geometry operating in an environment of K sources, one desired signal and (K - 1) jammers, is considered. It is shown that the adapted (voltage) antenna pattern of the array is a linear combination of K (or less) basis patterns, each of which is a function of one source only. We find that these basis patterns have a simple physical meaning, namely, the kth basis pattern is the pattern realized by the array when the transmission of source k is considered a desired signal and all other sources are turned off. When the array elements are isotropic, these basis patterns are retrodirective (that is, the mainlobe of the kth basis pattern points at source k). It had been shown that this property is also exhibited by a different decomposition of the adapted pattern in the special case of a single jammer (K = 2). In contrast, our decomposition which is simpler than the earlier one, yields retrodirective beams for all K. The simple, physically meaningful, pattern decomposition developed here is quite significant in the insight it provides regarding the basic underlying principles of adaptive arrays. It is also instrumental in elucidating their capabilities and limitations. Copyright ¬© 1983 by The Institute of Electrical and Electronics Engineers, Inc.</t>
  </si>
  <si>
    <t>550-560</t>
  </si>
  <si>
    <t>Zohar, Shalhav</t>
  </si>
  <si>
    <t>Zohar S.</t>
  </si>
  <si>
    <t>The Steady-State Antenna Patterns of Adaptive Array</t>
  </si>
  <si>
    <t>10.1109/TAES.1983.309343</t>
  </si>
  <si>
    <t>2-s2.0-0020778030</t>
  </si>
  <si>
    <t>['short backfire', 'sbf antenna', 'main reflector', 'frequency bandwidths', 'flat disk', 'favorable option', 'electronics engineers', 'electrical characteristics', 'conical plane', '20 percent']</t>
  </si>
  <si>
    <t>A short backfire (SBF) antenna is considered to be a favorable option for a compact and high efficiency shipboard antenna in maritime satellite communications. Though the SBF antenna has many attractive characteristics, it has a demerit of narrow frequency bandwidths because of its leaky cavity operation in principle. The electrical characteristics of a conventional SBF antenna have been improved by changing its main reflector from a flat disk to a conical plane and by adding a second small reflector. Frequency bandwidths of 20 percent for VSWR's under 1.5 can be obtained by the improved SBF antenna. Copyright ¬© 1983 by The Institute of Electrical and Electronics Engineers, Inc.</t>
  </si>
  <si>
    <t>644-646</t>
  </si>
  <si>
    <t>60092258;60092258;;</t>
  </si>
  <si>
    <t>35560533200;7402112984;36723529100;7402345383</t>
  </si>
  <si>
    <t>Ohmori, Shingo;Miura, Shuichi;Kameyama, Kiyonobu;Yoshimura, Hiromitsu</t>
  </si>
  <si>
    <t>An Improvement in Electrical Characteristics of a Short Backfire Antenna</t>
  </si>
  <si>
    <t>10.1109/TAP.1983.1143099</t>
  </si>
  <si>
    <t>2-s2.0-0020778050</t>
  </si>
  <si>
    <t>['surface errors', 'rms error', 'results revealed', 'polarization efficiency', 'offset antennas', 'electronics engineers', 'correlation diameter', 'computations revealed', 'axisymmetric antennas']</t>
  </si>
  <si>
    <t>Equations for boresight cross polarization and isolation of axisymmetric and offset antennas in the presence of surface errors are derived in terms of numerically computable integrals. Computations revealed that 1) for root mean square (rms) error &lt;Œª/4 cross polarization increases monotonically with increasing rms error; and 2) maximum cross polarization occurs when the correlation diameter is 0.5 D for axisymmetric antennas (0.8 D for offset antennas). For rms error &gt;Œª/4 boresight cross polarization remains almost constant. Furthermore, results revealed that for given correlation diameter and rms error, axisymmetric antennas offer better boresight isolation in comparison with offset antennas having the same polarization efficiency. Copyright ¬© 1983 by The Institute of Electrical and Electronics Engineers, Inc.</t>
  </si>
  <si>
    <t>662-665</t>
  </si>
  <si>
    <t>60071723;60071723</t>
  </si>
  <si>
    <t>6701514073;7003896782</t>
  </si>
  <si>
    <t>Jervase, Joseph A.;Ghobrial, Samir I.</t>
  </si>
  <si>
    <t>Sudan</t>
  </si>
  <si>
    <t>Khartoum</t>
  </si>
  <si>
    <t>Khartoum University</t>
  </si>
  <si>
    <t>Jervase J.</t>
  </si>
  <si>
    <t>Axial Cross Polarization in Reflector Antennas with Surface Errors of Large Correlation Diameter</t>
  </si>
  <si>
    <t>10.1109/TAP.1983.1143107</t>
  </si>
  <si>
    <t>2-s2.0-0020778122</t>
  </si>
  <si>
    <t>['unimoment method', 'rectangular conducting', 'radiation pattern', 'moment method', 'infinite length', 'endfire array', 'electronics engineers', 'dielectric cylinders']</t>
  </si>
  <si>
    <t>The effect of a building on the radiation pattern of a two-element broadside array and an endfire array is studied by the moment method and the unimoment method. Buildings are made in the similitude of square and rectangular conducting or dielectric cylinders of infinite length. Copyright ¬© 1983 by The Institute of Electrical and Electronics Engineers, Inc.</t>
  </si>
  <si>
    <t>689-692</t>
  </si>
  <si>
    <t>60021200;60021200;60021200</t>
  </si>
  <si>
    <t>7501616690;7202556997;7405259971</t>
  </si>
  <si>
    <t>Chen, Han Kui;Sun, Nai Hau;Li, Ming Ye</t>
  </si>
  <si>
    <t>Shanghai</t>
  </si>
  <si>
    <t>East China Normal University</t>
  </si>
  <si>
    <t>Chen H.K.</t>
  </si>
  <si>
    <t>A Study of the Effect of Buildings on the Radiation Patterns of Simple Antenna Arrays</t>
  </si>
  <si>
    <t>10.1109/TAP.1983.1143112</t>
  </si>
  <si>
    <t>2-s2.0-0020778123</t>
  </si>
  <si>
    <t>['side cab', 'order term', 'old vertex', 'offset reflector', 'new liquid', 'frequency independence', 'filled receiver', 'explicit expression', 'electronics engineers', 'design procedures', 'beam waveguide', 'based upon']</t>
  </si>
  <si>
    <t>A pseudo-frequency-independent beam waveguide feed has been designed and built to accommodate a new liquid-helium-cooled millimeter wave radio astronomy receiver in the side cab of the Crawford Hill 7-m antenna. This enables the antenna to be tilted without tilting the liquid-filled receiver. Comparison with the old vertex-cab feed indicates very little measured transmission loss through the beam waveguide. The frequency independence is based upon the Fresnel zone imaging principle. Design procedures and practical bandwidth limitations are explained. An explicit expression for the third-order term of an offset reflector surface clarifies the approximation of a lens by an offset reflector. Copyright ¬© 1983 by The Institute of Electrical and Electronics Engineers, Inc.</t>
  </si>
  <si>
    <t>614-619</t>
  </si>
  <si>
    <t>Chu, Ta Shing</t>
  </si>
  <si>
    <t>An Imaging Beam Waveguide Feed</t>
  </si>
  <si>
    <t>10.1109/TAP.1983.1143090</t>
  </si>
  <si>
    <t>2-s2.0-0020778157</t>
  </si>
  <si>
    <t>['standard deviation', 'significant amounts', 'signal polarization', 'second topic', 'scattering factors', 'ratio œé', 'interesting results', 'horizontal polarization', 'glistening surface', 'electronics engineers', 'conventional length', 'conventional definition', 'band range', 'areas beyond', 'antenna heights']</t>
  </si>
  <si>
    <t>The first topic considered is an analysis of the conditions under which the conventional definition of length of the glistening surface, as given by Beckmann and Spizzichino, is not valid. For some conditions, significant amounts of incoherent scattered power can be received from areas beyond the conventional length. A second topic is the investigation of the effect on azimuthal angular tracking accuracy due to such scattering factors as shadowing, surface height distribution, standard deviation in surface height œÉ, surface correlation length T, unevenness and inhomogeneity of the terrain, antenna heights, and signal polarization. A number of interesting results have been observed. The amount of additional incoherent power not included under the conventional definition depends on the ratio œÉ/T, except for the case where both transmitter and receiver are very close to the surface. The trends in the behavior of the glistening surface are similar for vertical or horizontal polarization, for Gaussian or exponential surface height distributions, and for different signal frequencies in the S-band to L-band range. Copyright ¬© 1983 by The Institute of Electrical and Electronics Engineers, Inc.</t>
  </si>
  <si>
    <t>585-597</t>
  </si>
  <si>
    <t>60001247;60001247;60001247</t>
  </si>
  <si>
    <t>57214551466;7006715799;55728412900</t>
  </si>
  <si>
    <t>Papa, Robert J.;Lennon, John F.;Taylor, Richard L.</t>
  </si>
  <si>
    <t>Papa R.</t>
  </si>
  <si>
    <t>Multipath Effects on an Azimuthal Monopulse System</t>
  </si>
  <si>
    <t>10.1109/TAES.1983.309348</t>
  </si>
  <si>
    <t>2-s2.0-0020778303</t>
  </si>
  <si>
    <t>['wiley company', 'traditional design', 'successive method', 'slots derived', 'slot location', 'sampling technique', 'sampling method', 'repeatedly modified', 'narrow wall', 'linear programming', 'linear problem', 'linear approximation', 'initial values', 'inc .,', 'fan beam', 'fabrication inaccuracy', 'discrete source', 'current amplitude', 'correct amplitude', 'antenna include', 'antenna efficiency', 'antenna aperture']</t>
  </si>
  <si>
    <t>This paper discusses pattern synthesis to obtain a fan beam with slot array antennas created on the narrow wall of a waveguide. Traditional pattern synthesis methods of this kind of antenna include the sampling technique of a continuous source distribution over the antenna aperture and the approach in which each slot is treated as a discrete source. In this paper, the locations of slots derived by the sampling method are used as the initial values. the current amplitude and the location of each slot are corrected by linear programming so that the antenna efficiency is improved. Although the problem of finding the correct amplitude in each slot is a linear problem, that of correcting the slot location is nonlinear. Hence, linear programming is applied to the latter by linear approximation. A successive method is studied in which the amplitude and location of the slot are alternately and repeatedly modified. the antenna efficiency of ‚Äê3 dB has been improved to ‚Äê1 dB. the effect of fabrication inaccuracy on the optimally designed antenna is compared to that based on the traditional design. Copyright ¬© 1983 Wiley Periodicals, Inc., A Wiley Company</t>
  </si>
  <si>
    <t>54-62</t>
  </si>
  <si>
    <t>60104123;60031126</t>
  </si>
  <si>
    <t>55144339300;7201747933</t>
  </si>
  <si>
    <t>Hara, Yasuhiko;Goto, Naohisa</t>
  </si>
  <si>
    <t>Mitaka;Tokyo</t>
  </si>
  <si>
    <t>Japan Radio Corporation;Tokyo Institute of Technology</t>
  </si>
  <si>
    <t>Hara Y.</t>
  </si>
  <si>
    <t>Pattern synthesis for waveguide slotted array antenna by linear programming</t>
  </si>
  <si>
    <t>10.1002/ecja.4400660708</t>
  </si>
  <si>
    <t>2-s2.0-0020778506</t>
  </si>
  <si>
    <t>['refractive index', 'paper deals']</t>
  </si>
  <si>
    <t>The paper deals with the radiation from a biconical antenna immersed in a collisional compressible plasma. Expressions for the electric field components of plasma (electro-acoustic) wave have been derived. The refractive index and the corresponding phase velocity have been evaluated in different frequency regions.</t>
  </si>
  <si>
    <t>36-39</t>
  </si>
  <si>
    <t>Mehran University Research Journal of Engineering and Technology</t>
  </si>
  <si>
    <t>56277372500;6602193954;57210864743</t>
  </si>
  <si>
    <t>Khan, Imtiaz Ahmed;Bukhari, Nasiruddin;Ansari, Ghulam Mustafa</t>
  </si>
  <si>
    <t>Khan I.</t>
  </si>
  <si>
    <t>RADIATION FROM A BICONICAL ANTENNA IMMERSED IN A COLLISIONAL COMPRESSIBLE PLASMA.</t>
  </si>
  <si>
    <t>2-s2.0-0020778543</t>
  </si>
  <si>
    <t>['single antenna', 'rp ),', 'require expenditure', 'radio center', 'radiation patterns', 'questions related', 'possible use', 'area required', 'antenna field', 'angular diversity', 'additional antennas']</t>
  </si>
  <si>
    <t>Highly directional receiving antennas for the short-wave (SW) band are large and expensive. The use of space and polarization diversity requires the construction of additional antennas at a radio center which increases the cost of the antenna feeder channel and increases the area required by the antenna field. Angular diversity (AD) does not require expenditure for the construction of additional antennas since the radiation patterns (RP), which correspond to the various diversity branches, are formed in a single antenna. This article is devoted to a consideration of a number of questions related to the possible use of AD.</t>
  </si>
  <si>
    <t>32-37</t>
  </si>
  <si>
    <t>Maslov, O. N.</t>
  </si>
  <si>
    <t>Maslov O.</t>
  </si>
  <si>
    <t>EFFECTIVENESS OF ANGULAR DIVERSITY BASED ON AUTOMATIC CONTROL OF THE DIRECTIVITY OF A SHORT-WAVE RECEIVING ANTENNA.</t>
  </si>
  <si>
    <t>2-s2.0-0020778561</t>
  </si>
  <si>
    <t>['real signals', 'original algorithm', 'k )]', 'electronics engineers', 'complex signals', 'complex form', 'array output']</t>
  </si>
  <si>
    <t>A linearly constrained least mean squares (lms) algorithm for complex signals is derived to minimize noise power in the array output. The original algorithm for real signals is W(k + l) = P[W(k) ‚Äì Œºy(k)X(k)] + F. The complex form is shown to be W(k + l) = P[W(k) ‚Äì Œºy(k)X(k)] + F, where the bar above X denotes complex conjugate. W, y, X, and F are complex. P and Œº are real. Copyright ¬© 1983 by The Institute of Electrical and Electronics Engineers, Inc.</t>
  </si>
  <si>
    <t>676-678</t>
  </si>
  <si>
    <t>Su, Young Lim</t>
  </si>
  <si>
    <t>Palo Alto</t>
  </si>
  <si>
    <t>Stanford University</t>
  </si>
  <si>
    <t>Su Y.</t>
  </si>
  <si>
    <t>A Complex Algorithm for Linearly Constrained Adaptive Arrays</t>
  </si>
  <si>
    <t>10.1109/TAP.1983.1143110</t>
  </si>
  <si>
    <t>2-s2.0-0020779102</t>
  </si>
  <si>
    <t>['theoretical approach', 'perturbed half', 'numerical solution', 'insight gleaned', 'field distribution', 'experimental data', 'equiphase distribution', 'electronics engineers', 'boxed stripline']</t>
  </si>
  <si>
    <t>An analytical design method applicable to linear transverse slot arrays fed by a boxed stripline is developed. An integral equation involving the unknown electric field distribution in the slot is formulated. The method of moments is utilized to obtain a numerical solution for the field distribution. The insight gleaned from such a computation is used to approximate the field in the slot by a perturbed half-cosinusoid, equiphase distribution. An array design technique which accounts for the external mutual coupling is presented. The design is based on a pair of equations which determine the offsets and lengths of the slots in the array. Experimental data are offered to validate the theoretical approach. Copyright ¬© 1983 by The Institute of Electrical and Electronics Engineers, Inc.</t>
  </si>
  <si>
    <t>545-552</t>
  </si>
  <si>
    <t>54894271200;57220065537</t>
  </si>
  <si>
    <t>Shavit, Reuven;Elliott, Robert S.</t>
  </si>
  <si>
    <t>Shavit R.</t>
  </si>
  <si>
    <t>Design of Transverse Slot Arrays Fed by a Boxed Stripline</t>
  </si>
  <si>
    <t>10.1109/TAP.1983.1143113</t>
  </si>
  <si>
    <t>2-s2.0-0020779257</t>
  </si>
  <si>
    <t>['source field', 'slot theory', 'radiating patch', 'microstrip antenna', 'measured results', 'many numerical', 'electronics engineers']</t>
  </si>
  <si>
    <t>The uniform geometrical theory of diffraction (GTD) is employed for calculating the edge diffracted fields from the finite ground plane of a microstrip antenna. The source field from the radiating patch is calculated by two different methods: the slot theory and the modal expansion theory. Many numerical and measured results are presented to demonstrate the accuracy of the calculations and the finite ground plane edge effect. Copyright ¬© 1983 by The Institute of Electrical and Electronics Engineers, Inc.</t>
  </si>
  <si>
    <t>649-653</t>
  </si>
  <si>
    <t>Huang, John</t>
  </si>
  <si>
    <t>The Finite Ground Plane Effect on the Microstrip Antenna Radiation Patterns</t>
  </si>
  <si>
    <t>10.1109/TAP.1983.1143108</t>
  </si>
  <si>
    <t>2-s2.0-0020779258</t>
  </si>
  <si>
    <t>['wavelengths diameter', 'varying effect', 'total array', 'thus eliminating', 'test results', 'small arrays', 'slot self', 'mutual coupling', 'mutual admittances', 'multiple dielectric', 'impedance match', 'flow diagram', 'filled waveguides', 'experimental arrays', 'enables calculation', 'element position', 'electronics engineers', 'design technique', 'design program', 'design process', 'conformal x', 'computer software', 'calculated numerically', 'band standing', 'arrays consist']</t>
  </si>
  <si>
    <t>A completely analytic design process has been developed for small slot arrays which accounts for the varying effect of mutual coupling as a function of element position. A previously developed theory for the design of small arrays has been extended to include conformal dielectric-filled waveguide slot arrays. Computer software has been assembled which enables calculation of the slot geometries required to implement a specified aperture distribution and input impedance condition. The slot self- and mutual admittances-are calculated numerically, thus eliminating the traditional measured slot data from the design process. This design technique has been applied to conformal X-band slot arrays on cylinders of a few wavelengths diameter. The arrays consist of multiple dielectric-filled waveguides, each of which is a narrow-band standing-wave linear array of longitudinal shunt slots. The computerized design process adjusts the length and offset of each slot in the total array until the desired aperture distribution and impedance match are achieved. A flow diagram of the design program and test results from experimental arrays are presented. Copyright ¬© 1983 by The Institute of Electrical and Electronics Engineers, Inc.</t>
  </si>
  <si>
    <t>668-672</t>
  </si>
  <si>
    <t>60011688;60011688;60011688</t>
  </si>
  <si>
    <t>6602200332;6603757849;7202425073</t>
  </si>
  <si>
    <t>Westerman, C. Webster;Harrington, Virgil L.;Park, Pyong Kiel</t>
  </si>
  <si>
    <t>Space Systems Loral</t>
  </si>
  <si>
    <t>Westerman C.</t>
  </si>
  <si>
    <t>Analytic Design of Conformal Slot Arrays</t>
  </si>
  <si>
    <t>10.1109/TAP.1983.1143103</t>
  </si>
  <si>
    <t>2-s2.0-0020779443</t>
  </si>
  <si>
    <t>['successfully implemented', 'recent closed', 'paper contains', 'order system', 'laboratory hardware', 'flexible offset', 'feed antenna', 'detailed description', 'array processor']</t>
  </si>
  <si>
    <t>A fully instrumented hardware model of a flexible offset-feed antenna has been constructed in the laboratory. Optimal estimation algorithms and optimal control laws have been successfully implemented with an array processor to control this multi-input, multi-output, high-order system. This paper contains a detailed description of the laboratory hardware, the dynamics of the antenna, the control approach used, and recent closed-loop control results.</t>
  </si>
  <si>
    <t>455-470</t>
  </si>
  <si>
    <t>Journal of the Astronautical Sciences</t>
  </si>
  <si>
    <t>Jul-Sep</t>
  </si>
  <si>
    <t>6506075566;7003530775;35815261000;7202031484;7403180231;6701499493</t>
  </si>
  <si>
    <t>Bauldry, R. D.;Breakwell, J. A.;Chambers, G. J.;Johansen, K. F.;Nguyen, N. C.;Schaechter, D. B.</t>
  </si>
  <si>
    <t>Bauldry R.</t>
  </si>
  <si>
    <t>HARDWARE DEMONSTRATION OF CONTROL FOR A FLEXIBLE OFFSET-FEED ANTENNA.</t>
  </si>
  <si>
    <t>2-s2.0-0020779613</t>
  </si>
  <si>
    <t>['whose traffic', 'waveform distortion', 'system gain', 'route capacity', 'relay system', 'relay route', 'new system', 'multipath fading', 'digital radio', 'commercial use', 'antenna towers', 'analog system', '50 km']</t>
  </si>
  <si>
    <t>NTT has proceeded with analog digital overlaying, which means the formation of a digital radio-relay system that uses station buildings and antenna towers in the existing analog radio-relay route, in order to digitalize the existing analog microwave network rapidly and economically. In Japan, the 2 GHz band is used for short haul circuits, whose traffic is light. The existing 2 GHz digital radio-relay system (the 2S-P2) cannot be applied for analog digital overlaying, because its standard repeater spacing is only half the 50 km for the 2 GHz analog system and its route capacity is less than that for the analog system. NTT has developed a new 2 GHz 32 Mb/s 16 QAM digital radio-relay system (the 2S-D5) for analog digital overlaying in the 2 GHz band. The 2S-D5 employs 16 QAM to assure having enough route capacity. The standard repeater spacing for this new system is set up to 50 km by improvement in system gain, adoption of interleave frequency arrangement and countermeasures against waveform distortion in multipath fading. The 2S-D5 will be put into commercial use from the end of 1983. It is expected that this system will assist the promotion of short haul circuits digitalization.</t>
  </si>
  <si>
    <t>198-203</t>
  </si>
  <si>
    <t>Japan telecommunications review</t>
  </si>
  <si>
    <t>Iwamoto, Makoto</t>
  </si>
  <si>
    <t>Iwamoto M.</t>
  </si>
  <si>
    <t>2 GHz 32 MB/S DIGITAL RADIO-RELAY SYSTEM.</t>
  </si>
  <si>
    <t>2-s2.0-0020779743</t>
  </si>
  <si>
    <t>['standard forms', 'simultaneous amplification', 'power signals', 'latest version', 'independent r', 'frequency hopping', 'f signals', 'enables antennas', 'different antennas', 'broadband amplifier', 'beam switching', 'appropriate phasing', 'antenna scanning']</t>
  </si>
  <si>
    <t>The latest version of broadband amplifier is introduced, which can be used either alone or in power bank arrangements with multiple-port antenna systems. The amplifiers (and power bank systems) accept all standard forms of modulation as well as advanced operating modes including spread-spectrum and frequency hopping. Excellent linearity permits the simultaneous amplification of independent r. f signals, reducing the number of antennas to a minimum. Power bank arrangements permit the switching of high-power signals to different antennas by appropriate phasing of low-power signals. This enables antennas with directional properties suiting the particular operating conditions (azimuth and elevation) to be used, whilst maintaining omnidirectional system capability. High-reliability transmitter systems capable of fast and continuous channel scanning, antenna scanning and beam switching are feasible.</t>
  </si>
  <si>
    <t>Gerard, R. E.J.</t>
  </si>
  <si>
    <t>Gerard R.</t>
  </si>
  <si>
    <t>H. F. BROADBAND TRANSMITTER SYSTEMS FOR FIXED AND TRANSPORTABLE APPLICATIONS.</t>
  </si>
  <si>
    <t>2-s2.0-0020779849</t>
  </si>
  <si>
    <t>['various values', 'though subject', 'agc system']</t>
  </si>
  <si>
    <t>The matching method suggested uses an untunable reactive network to transfer, to the power amplifier output, an impedance whose value can have various values (though subject to certain relations), provided that the power amplifier includes an AGC system to limit the gain for a specified current consumption.</t>
  </si>
  <si>
    <t>78-79</t>
  </si>
  <si>
    <t>6701322306;7004461133;7006003269</t>
  </si>
  <si>
    <t>Zavrazhnov, Yu V.;Meshcheryakov, Ye Ya;Shanin, V. A.</t>
  </si>
  <si>
    <t>Zavrazhnov Y.</t>
  </si>
  <si>
    <t>METHOD OF BROADBAND TRANSMITTER-ANTENNA MATCHING.</t>
  </si>
  <si>
    <t>2-s2.0-0020779942</t>
  </si>
  <si>
    <t>['¬± 20', 'wiley company', 'wide ranges', 'traditional method', 'simple equipment', 'scattering coefficient', 'scattering characteristics', 'scattering angles', 'scattering angle', 'reflection coefficient', 'pyramidal absorber', 'new method', 'measurement error', 'measurement equipment', 'maximum intensity', 'incident angle', 'inc .,', 'front surface', 'done quickly', '80 ¬∞.', '6 ¬∞', '0 ¬∞']</t>
  </si>
  <si>
    <t>Pyramidal absorbers widely used today often exhibit complicated scattering phenomena. From the point of view of measurement equipment and operation, it is not easy to measure these phenomena over wide ranges in frequency and incident angle by the traditional method. In this paper, the direct spatial standing‚Äêwave measurement method for the oblique incident case is studied and extended to the method for measuring the scattering characteristics of the absorber. This method has been used for measurement of the reflection coefficient from an absorber with an oblique incident wave. In the new method, the standing‚Äêwave ratio (or the scattering coefficient) and the scattering angle of the wave with the maximum intensity of all the waves are measured at the front surface of the sample. the measurement error of the standing‚Äêwave ratio around 1.1 (scattering coefficient 0.04762) is less than ¬±20% in terms of scattering coefficient for the incident angle ranging from 0¬∞ to 80¬∞. the error in the scattering angle is less than 6¬∞ for the 0¬∞ scattered wave and less than ¬±3¬∞ for all other scattering angles. the new method requires only simple equipment and the operation is easy. Therefore, measurement of the scattering characteristics of a pyramidal absorber can be done quickly over wide ranges of frequency and incident angle. Copyright ¬© 1983 Wiley Periodicals, Inc., A Wiley Company</t>
  </si>
  <si>
    <t>63-71</t>
  </si>
  <si>
    <t>60016074;60016074;60016074</t>
  </si>
  <si>
    <t>7403148159;6506531661;7201367455</t>
  </si>
  <si>
    <t>Ono, Mitsuhiro;Yokoto, Takashi;Shibuya, Toru</t>
  </si>
  <si>
    <t>Yamagata</t>
  </si>
  <si>
    <t>Yamagata University</t>
  </si>
  <si>
    <t>Ono M.</t>
  </si>
  <si>
    <t>A practical method of measuring the scattering characteristics of the pyramidal absorber</t>
  </si>
  <si>
    <t>10.1002/ecja.4400660709</t>
  </si>
  <si>
    <t>2-s2.0-0020780003</t>
  </si>
  <si>
    <t>['upper bound', 'specified time', 'solution provides', 'signal bandwidth', 'optimum solution', 'numerical examples', 'input terminals', 'fixed energy', 'field position', 'feed position', 'elevation angle', 'electronics engineers', 'dipole length', 'dipole antenna', 'applied signal', 'also compared', '6 db']</t>
  </si>
  <si>
    <t>A solution is presented for the time-domain voltage waveform which must be applied to the input terminals of a dipole antenna in order to maximize the amplitude of the radiated electric field at a specified time and far-field position. A constraint on the energy of the applied signal is used, and the applied signal is assumed to be bandlimited. The solution provides an upper bound on the maximum physically realizable electric field strength available from a dipole antenna, for fixed energy and bandwidth. Numerical examples are presented, and the effects of signal bandwidth, feed position, elevation angle, and dipole length are shown. The optimum solution is also compared with the response of a Gaussian input voltage pulse, and improvements of 6 dB or more are noted. Copyright ¬© 1983 by The Institute of Electrical and Electronics Engineers, Inc.</t>
  </si>
  <si>
    <t>563-569</t>
  </si>
  <si>
    <t>60014313;60014313;60014313</t>
  </si>
  <si>
    <t>7006061921;7103288212;7403745230</t>
  </si>
  <si>
    <t>Pozar, David M.;McINTOSH, Robert E.;Walker, Steven G.</t>
  </si>
  <si>
    <t>The Optimum Feed Voltage for a Dipole Antenna for Pulse Radiation</t>
  </si>
  <si>
    <t>10.1109/TAP.1983.1143115</t>
  </si>
  <si>
    <t>2-s2.0-0020780102</t>
  </si>
  <si>
    <t>['¬© 1983', 'special cases', 'rights reserved', 'retarded fields', 'reciprocity theorems', 'reaction principles', 'ire trans', 'improper solution', 'antennas propag', 'advanced fields', 'acoustical society', '1960 )]', '1954 )]']</t>
  </si>
  <si>
    <t>Generalized reaction principles and generalized reciprocity theorems for the scalar and vector wave equations are derived. It is shown that the reaction principles of Rumsey [Phys. Rev. 94, 1483‚Äì1491 (1954)] and the reciprocity theorems of Welsh [IRE Trans. Antennas Propag. 8(1), 68‚Äì73 (1960)] are special cases of these generalized reaction principles and generalized reciprocity theorems. The generalized reciprocity theorems are cast in terms of the time-retarded fields only, as well as in terms of the time-retarded and time-advanced fields. It is shown that the advanced fields are an improper solution of the wave equations subject to the proper Sommerfeld radiation boundary conditions at infinity. A relationship between the time-advanced and time-retarded fields is derived. ¬© 1983, Acoustical Society of America. All rights reserved.</t>
  </si>
  <si>
    <t>281-285</t>
  </si>
  <si>
    <t>Generalized reaction principles and reciprocity theorems for the wave equations, and the relationship between the time-advanced and time-retarded fields</t>
  </si>
  <si>
    <t>10.1121/1.389721</t>
  </si>
  <si>
    <t>2-s2.0-0020780389</t>
  </si>
  <si>
    <t>['vector summation', 'space media', 'radiation pattern', 'quite easy', 'point impedance', 'mutual impedances', 'makes use', 'labeled pattern', 'h plane', 'element yagi', 'electrical parameters', 'e plane', 'director elements', 'current ratio']</t>
  </si>
  <si>
    <t>A HP-41C computer program is introduced that makes it quite easy to compute the electrical parameters and the free-space radiation patterns in the E plane and the H plane of a three-element Yagi-Uda dipole array. The program makes use of the antenna's self-impedance and mutual impedances in order to calculate parasitic currents corresponding to the array's driven, reflector, and director elements; the current ratio between them; the driving-point impedance; and the radiation pattern. After computing the electrical parameters, the program calls another program-labeled pattern, which makes use of vector summation in order to calculate the E-plane and the H-plane radiation patterns in free-space media. The usefulness of the program is illustrated by an example.</t>
  </si>
  <si>
    <t>140-143</t>
  </si>
  <si>
    <t>Electronics</t>
  </si>
  <si>
    <t>Schulz, Walter J.</t>
  </si>
  <si>
    <t>Schulz W.</t>
  </si>
  <si>
    <t>HP-41C PROGRAM PLOTS ANTENNA'S RADIATION PATTERN.</t>
  </si>
  <si>
    <t>2-s2.0-0020780513</t>
  </si>
  <si>
    <t>['zero height', 'wave antennas', 'planar traveling', 'hybrid techniques', 'film microstrip']</t>
  </si>
  <si>
    <t>A small, lightweight radar altimeter has been built using thick-film microstrip and hybrid techniques. Planar traveling-wave antennas are used. The unit provide altitude information down to zero height.</t>
  </si>
  <si>
    <t>79-80</t>
  </si>
  <si>
    <t>Microwaves and RF</t>
  </si>
  <si>
    <t>57225378760;7402321944;7404595063;7005889087</t>
  </si>
  <si>
    <t>Clough, L. D.;Lloyd, D. E.;Parker, J. C.;Richmond, W.</t>
  </si>
  <si>
    <t>Clough L.D.</t>
  </si>
  <si>
    <t>INTEGRATION PRODUCES SMALL Ki-BAND ALTIMETER.</t>
  </si>
  <si>
    <t>2-s2.0-0020780873</t>
  </si>
  <si>
    <t>['surface wave', 'strip grating', 'solved numerically', 'phase velocity', 'modal equation', 'impedance plane', 'geometrical parameters', 'copyright 1983', 'attenuation constant']</t>
  </si>
  <si>
    <t>The TM electromagnetic wave propagation along a strip grating above an impedance plane is studied. The problem is formulated in terms of a modified Riemann‚ÄêHilbert problem. The modal equation of the structure is derived and solved numerically. Surface wave and leaky wave modes are identified. The phase velocity and attenuation constant of the dominant leaky wave modes are presented, and their dependence on frequency and geometrical parameters is discussed. The possibility of applying this structure to the design of a leaky‚Äêwave antenna is suggested. Copyright 1983 by the American Geophysical Union.</t>
  </si>
  <si>
    <t>519-531</t>
  </si>
  <si>
    <t>July-August 1983</t>
  </si>
  <si>
    <t>35614447100;57208766235;6506746730</t>
  </si>
  <si>
    <t>Barbosa, A. M.;dos Santos, A. F.;Figanier, J.</t>
  </si>
  <si>
    <t>Barbosa A.</t>
  </si>
  <si>
    <t>Wave propagation on a strip grating over an impedance plane: Solution by reduction to a modified Riemann‚ÄêHilbert problem</t>
  </si>
  <si>
    <t>10.1029/RS018i004p00519</t>
  </si>
  <si>
    <t>2-s2.0-0020781245</t>
  </si>
  <si>
    <t>['√ ül', 'shale oil', 'right reserved', 'polarization ellipses', 'points outside', 'localized heating', 'insulated antennas', 'hyperthermia treatment', 'general medium', 'elliptically polarized', 'electrical half', 'ambient medium']</t>
  </si>
  <si>
    <t>Insulated antennas are useful for localized heating as in the hyperthermia treatment of tumors and the extraction of shale oil. The distribution of current in and the admittance of a center-driven dipole embedded in a general medium are reviewed. Formulas for the electric field generated by the currents in the dipole are derived for all points outside the antenna. Near the antenna, the field is elliptically polarized. Formulas for the polarization ellipses are derived and evaluated for antennas with electrical half-lengths Œ≤Lh = œÄ/4, œÄ/2, œÄ, and 3œÄ/2, where kL = √üL + iŒ±L is the wavenumber of the current, and this is different from the wavenumber of the ambient medium. ¬© 1983 IEEE. All right reserved.</t>
  </si>
  <si>
    <t>574-583</t>
  </si>
  <si>
    <t>60009982;60030443;60030443</t>
  </si>
  <si>
    <t>35586046100;7003830659;7005534211</t>
  </si>
  <si>
    <t>King, Ronold W.P.;Trembly, B. S.;Strohbehn, J. W.</t>
  </si>
  <si>
    <t>Hanover;Cambridge</t>
  </si>
  <si>
    <t>Thayer School of Engineering at Dartmouth;Harvard University</t>
  </si>
  <si>
    <t>60030443;60009982</t>
  </si>
  <si>
    <t>The Electromagnetic Field of an Insulated Antenna in a Conducting or Dielectric Medium</t>
  </si>
  <si>
    <t>10.1109/TMTT.1983.1131547</t>
  </si>
  <si>
    <t>2-s2.0-0020781411</t>
  </si>
  <si>
    <t>['transmission grating', 'single frequency', 'scan range', 'incident power', 'e .,', 'diffracted mode', 'design procedure', 'copyright 1983', '55 ¬∞']</t>
  </si>
  <si>
    <t>A transmission grating can be used as a frequency scanned antenna, provided most of the incident power is transferred to the diffracted mode, i.e., the grating is blazed. A design procedure for blazing a rectangular bar transmission grating is presented. The performance of a number of gratings is presented. Efficiencies in excess of 99% can be obtained at a single frequency. A scan range of 55¬∞ between 3‚ÄêdB points can be obtained. Copyright 1983 by the American Geophysical Union.</t>
  </si>
  <si>
    <t>513-518</t>
  </si>
  <si>
    <t>6602805535;7005831705</t>
  </si>
  <si>
    <t>Shmoys, J.;Hessel, A.</t>
  </si>
  <si>
    <t>Shmoys J.</t>
  </si>
  <si>
    <t>Analysis and design of frequency scanned transmission gratings</t>
  </si>
  <si>
    <t>10.1029/RS018i004p00513</t>
  </si>
  <si>
    <t>2-s2.0-0020781437</t>
  </si>
  <si>
    <t>['weighted holes', 'synthesis array', 'radio photographs', 'radio astronomy', 'paper discusses', 'element arrangement', 'element antennas', 'effective use', 'also used']</t>
  </si>
  <si>
    <t>In radio astronomy by a super-synthesis array the element antennas are rearranged and the rotation of earth is also used. By such arrangement, the spatial frequency components of radio source distributions are measured and are subsequently Fourier transformed for radio photographs. Spatial frequency components detected are determined by the element arrangement. Therefore, the element arrangement is important for effective use of the array. This paper discusses the number of weighted holes, which is proposed as a criterion for evaluation of the characteristics of element arrangement. A method of optimizing the element arrangement is proposed.</t>
  </si>
  <si>
    <t>74-83</t>
  </si>
  <si>
    <t>35552169300;56252992000</t>
  </si>
  <si>
    <t>Morita, Koh ichiro;Ishiguro, Masato</t>
  </si>
  <si>
    <t>Morita K.i.</t>
  </si>
  <si>
    <t>OPTIMIZATION METHOD OF SUPER-SYNTHESIS OBSERVATION BY ‚Ä≥NUMBER OF WEIGHTED HOLES‚Ä≥ .</t>
  </si>
  <si>
    <t>2-s2.0-0020781497</t>
  </si>
  <si>
    <t>['surface waves', 'substrate thickness', 'slot elements', 'right reserved', 'reciprocity theorem', 'microstrip dipoles', 'circuit antennas']</t>
  </si>
  <si>
    <t>The reciprocity theorem and integral equation techniques are employed to determine the properties of integrated-circuit antennas. The effect of surface waves is considered for dipole and slot elements on substrates. The radiation and bandwidth of microstrip dipoles are optimized in terms of substrate thickness and permittivity. ¬© 1983 IEEE. All right reserved.</t>
  </si>
  <si>
    <t>550-557</t>
  </si>
  <si>
    <t>60027550;60027550;60031581</t>
  </si>
  <si>
    <t>7004468161;7004624580;7102803490</t>
  </si>
  <si>
    <t>Alexopoulos, Nicolaos G.;Katehi, Pisti B.;Rutledge, D. B.</t>
  </si>
  <si>
    <t>Alexopoulos N.</t>
  </si>
  <si>
    <t>Substrate Optimization for Integrated Circuit Antennas</t>
  </si>
  <si>
    <t>10.1109/TMTT.1983.1131544</t>
  </si>
  <si>
    <t>2-s2.0-0020782470</t>
  </si>
  <si>
    <t>['time variations', 'sporadic e', 'results encourage', 'new mexico', 'ionosopheric tilts', 'good agreement', 'f region', 'brighton colorado', 'bistatic sounding', 'although effects', '90 instruments']</t>
  </si>
  <si>
    <t>Identical digital ionosondes (dynasondes) at Brighton Colorado and at White Sands Missile Range, New Mexico, 864 km distant, were synchronized for bistatic sounding in multifrequency and fixed frequency recording patterns. Three propagation modes are observed, identified, and reconciled with standard propagation theory; these include one‚Äêhop propagation by sporadic E (Es) and the F region and two‚Äêhop (F ‚Äê Es). Echo phase measurements at the four spaced antennas of the dynasonde receiving array permit echolocation calculations that are in good agreement with the path mid point, although effects of ionosopheric tilts and time variations are evident. These results encourage the concept of a global real time ionospheric monitoring network consisting of about 90 instruments that perform vertically incident and coordinated bistatic soundings, to yield a total of about 320 measurement ‚Äòlocations.‚Äô Copyright 1983 by the American Geophysical Union.</t>
  </si>
  <si>
    <t>608-614</t>
  </si>
  <si>
    <t>24563466400;6507785086</t>
  </si>
  <si>
    <t>Wright, J. W.;Kressman, R. I.</t>
  </si>
  <si>
    <t>Wright J.</t>
  </si>
  <si>
    <t>First bistatic oblique‚Äêincidence ionograms between digital ionosondes</t>
  </si>
  <si>
    <t>10.1029/RS018i004p00608</t>
  </si>
  <si>
    <t>2-s2.0-0020783077</t>
  </si>
  <si>
    <t>['wider bandwidths', 'principles necessary', 'lower sidelobes', 'critical developments', 'authors discuss', 'active arrays']</t>
  </si>
  <si>
    <t>The authors discuss the critical developments that have made minus 50 db or lower sidelobes a reality, the principles necessary to carry them into wider bandwidths, and applications to future radar trends such as agile and active arrays.</t>
  </si>
  <si>
    <t>57198937340;57189501138</t>
  </si>
  <si>
    <t>Evans, G. E.;Schrank, H. E.</t>
  </si>
  <si>
    <t>Evans G.</t>
  </si>
  <si>
    <t>LOW-SIDELOBE RADAR ANTENNAS.</t>
  </si>
  <si>
    <t>2-s2.0-0020786215</t>
  </si>
  <si>
    <t>['second phase', 'myocardial infarction', 'clinical setting', 'clinical considerations', 'cardiac recuperation', 'article describes']</t>
  </si>
  <si>
    <t>Ambulatory ECG monitoring | Antenna systems, telemetry | Cardiac monitoring, telemetry | ECG telemetry | Telemetry monitoring</t>
  </si>
  <si>
    <t>Hospital cardiac care systems frequently provide multiple-channel cardiac monitoring by telemetry for a second phase of cardiac recuperation from a myocardial infarction. This article describes the engineering and clinical considerations in selecting, designing, and operating telemetry systems in a clinical setting. ¬© 1983 Quest Publishing Co.</t>
  </si>
  <si>
    <t>195-200</t>
  </si>
  <si>
    <t>Journal of Clinical Engineering</t>
  </si>
  <si>
    <t>July-September 1983</t>
  </si>
  <si>
    <t>Andes, Charles B.</t>
  </si>
  <si>
    <t>Andes C.</t>
  </si>
  <si>
    <t>Hospital telemetry monitoring systems</t>
  </si>
  <si>
    <t>10.1097/00004669-198307000-00002</t>
  </si>
  <si>
    <t>2-s2.0-0020786701</t>
  </si>
  <si>
    <t>['¬© 1983', 'variable part', 'topographical relationships', 'subunit h', 'strongly coordinated', 'rights reserved', 'reaction center', 'protein complexes', 'pigment complexes', 'photosynthetic unit', 'photosynthetic apparatus', 'oxygenic cyanobacteria', 'harvesting complexes', 'followed immediately', 'binding subunits', '850 complex', '850 ).']</t>
  </si>
  <si>
    <t>Bacteriochlorophyll | Bact√©riochlorophylle | Cell membrane | Chemical cross-linkin | Liaisons chimiques crois√©es | Membrane cellulaire | Photosynthesis | Photosynth√®se | Pigmentbinding polypeptide | Polypeptide de complexe pigmentaire | Rhodopseudomonas capsulata | Rhodopseudomonas capsulata</t>
  </si>
  <si>
    <t>The photosynthetic apparatus of the facultative phototrophic bacterium Rhodopseudomonas capsulata contains three bacteriochlorophyll-carotenoid-protein complexes: the reaction center and the light-harvesting (LH) antenna complexes LHI (B870) and LHII (B800-850). In contrast to green anoxygenic phototrophic bacteria and the oxygenic cyanobacteria, the light-harvesting complexes of Rhodospirillaceae and Chromatiaceae are integral membrane particles. Variations in light fluxes induce membrane differnetiation mainly expressed as variations in the size of the photosynthetic unit and in the area of intracytoplasmic membrane per cell. The B800-850 complex is the variable part of the photosynthetic apparatus. Synthesis of bacteriochlorophyll and of the polypeptides of the pigment complexes was found to be strongly coordinated. The synthesis of these polypeptides was followed immediately by the assembly of the complexes in the membrane. Bacteriochlorophyll or a signal substance triggered by bacteriochlorophyll synthesis regulated the synthesis of these polypeptides at the level of translation. The pigment-binding subunits of the B800-850 complex form oligomeric structures which interact with subunit H of the reaction center. A model of the topographical relationships of the pigment complexes is discussed. ¬© 1983, All rights reserved.</t>
  </si>
  <si>
    <t>151-158</t>
  </si>
  <si>
    <t>Annales de l'Institut Pasteur Microbiology</t>
  </si>
  <si>
    <t>7102742634;57212425535;6602085064</t>
  </si>
  <si>
    <t>Drews, G.;Peters, J.;Dierstein, R.</t>
  </si>
  <si>
    <t>Drews G.</t>
  </si>
  <si>
    <t>Molecular organization and biosynthesis of pigment-protein complexes of Rhodopseudomonas capsulata</t>
  </si>
  <si>
    <t>S0769260983801021</t>
  </si>
  <si>
    <t>10.1016/S0769-2609(83)80102-1</t>
  </si>
  <si>
    <t>2-s2.0-0020792278</t>
  </si>
  <si>
    <t>['starting point', 'seeing position', 'safe opening', 'performance aircraft', 'officers club', 'microwave vertical', 'later meet', 'gimballed rocket', 'ejection sequence', 'ejection seat', 'controlled actuators', 'array measures', '50 feet', '15 ghz', '100 feet']</t>
  </si>
  <si>
    <t>A pilot may soon be able to eject from an upside down high-performance aircraft from a minimum of 50 feet and later meet his friends in the Officers Club for a martini. A Maximum Performance Ejection System (MPES) under development can reverse the head down trajectory and boost the seat over 100 feet above its starting point for safe opening of the parachute. The key to the design is a gimballed spherical rocket motor under the ejection seat, controlled by a microwave vertical-seeking antenna array and servo-controlled actuators. In an ejection sequence, the array measures the difference in microwave radiation emitted from the 'warm' Earth and the 'cold' sky at 15 GHz (2 cm). Departures of the vertical reference antenna from its normally upright zenith-seeing position then produce error signals which, when processed, are fed to roll and pitch actuator servos to steer the gimballed rocket.</t>
  </si>
  <si>
    <t>28-29</t>
  </si>
  <si>
    <t>Jul-Aug</t>
  </si>
  <si>
    <t>7005772807;7005755944</t>
  </si>
  <si>
    <t>Frisch, Bruce;Wigotsky, Victor</t>
  </si>
  <si>
    <t>Frisch B.</t>
  </si>
  <si>
    <t>VERTICAL SEEKING EJECTION SEAT BOOSTS PILOTS' ODDS.</t>
  </si>
  <si>
    <t>2-s2.0-0020792435</t>
  </si>
  <si>
    <t>['transducer noise', 'problems arising', 'gravitational radiation']</t>
  </si>
  <si>
    <t>Characteristics of low frequency mechanical antennas for gravitational radiation are presented. The problems arising from the very long relaxation time and the transducer noise are discussed.</t>
  </si>
  <si>
    <t>452-454</t>
  </si>
  <si>
    <t>Japanese Journal of Applied Physics, Part 2: Letters</t>
  </si>
  <si>
    <t>57205011869;7004058311;7103211355</t>
  </si>
  <si>
    <t>Owa, Soichi;Tsubono, Kimio;Hirakawa, Hiromasa</t>
  </si>
  <si>
    <t>Owa S.</t>
  </si>
  <si>
    <t>CHARACTERISTICS OF LOW FREQUENCY CRYOGENIC ANTENNAS FOR GRAVITATIONAL RADIATION.</t>
  </si>
  <si>
    <t>10.1143/jjap.22.l452</t>
  </si>
  <si>
    <t>2-s2.0-0020794414</t>
  </si>
  <si>
    <t>['wvep estimation', 'one tenth', 'measurement errors', 'large opacity', 'estimation algorithm', 'diurnal variations', 'antenna temperature', 'another algorithms', 'also discussed', 'also applied', 'algorithm program']</t>
  </si>
  <si>
    <t>Water vapor excess path-length (WVEP) in atmosphere, in spite of its much smaller average value than a dry air component which is stable, makes larger seasonal and diurnal variations. An estimation algorithm for WVEP is improved for less errors even in large opacity of the atmosphere and the multi-algorithm program (MAP), together with the Wu-algorithm of JPL in CalTech, is applied to make the least estimation error. A limitation of the MAP is also discussed. The differential emission measurement (DEM) is also applied to WVEP estimation in order to reduce additional errors due to measurement errors of antenna temperature, which can make them a half through one tenth of those by another algorithms.</t>
  </si>
  <si>
    <t>427-434</t>
  </si>
  <si>
    <t>Ojima, Takeyuki</t>
  </si>
  <si>
    <t>Ojima T.</t>
  </si>
  <si>
    <t>IMPROVED ATMOSPHERIC PATH-LENGTH CORRECTION BY A DUAL-FREQUENCY MICROWAVE RADIOMETER.</t>
  </si>
  <si>
    <t>2-s2.0-0020794552</t>
  </si>
  <si>
    <t>['stub detuners', 'sky wires', 'series insulators', 'scale measurements', 'rf current', 'resonant frequency', 'radiation patterns', 'power line', 'often built', 'new high', 'mf band', 'line towers', 'isolating towers', 'induced currents', 'electronics engineers', 'detuner effective', 'detuner designs', 'detuner design', 'considerably alter', 'close proximity', 'broadcast antennas', 'broadcast antenna']</t>
  </si>
  <si>
    <t>Antenna radiation pattern distortion | mitigation methods | power-line coupling</t>
  </si>
  <si>
    <t>New high-voltage power lines are often built in close proximity to MF/AM broadcast antennas. The ‚Äúskywire‚Äù which joins the tops of the power-line towers creates closed loops for RF current on the power line and its image in ground, and these loops can be resonant in the MF band. If the broadcast antenna operates on such a resonant frequency, it induces large currents on the sky wires and power-line towers, and ‚Äúreradiation‚Äù from these induced currents can considerably alter the broadcast antenna's radiation patterns. This paper uses computer modeling to systematically examine several techniques for ‚Äúdetuning‚Äù the power line, namely: isolating towers from the skywire, series insulators in the skywires, stub detuners on the skywires, and short capacitively terminated stub detuners on the towers. The mechanism which makes each detuner effective is seen from the RF current distribution computed for the power line and detuner. The bandwidth of each detuner is assessed. Consideration is given to the difficulties that can arise in the implementation of each detuner design on a real power line. All of these detuner designs have been tested by scale-model or full-scale measurements. Only when detuning has been made a systematic economical procedure can this special EMC problem be regarded as solved. Copyright ¬© 1983 by The Institute of Electrical and Electronics Engineers, Inc.</t>
  </si>
  <si>
    <t>329-339</t>
  </si>
  <si>
    <t>60033154;60033154;60018714</t>
  </si>
  <si>
    <t>7006097946;6701413096;6701746527</t>
  </si>
  <si>
    <t>Trueman, C. W.;Kubina, S. J.;Belrose, J. S.</t>
  </si>
  <si>
    <t>Montreal;Ottawa</t>
  </si>
  <si>
    <t>Concordia University;Communications Research Centre</t>
  </si>
  <si>
    <t>60033154;60018714</t>
  </si>
  <si>
    <t>Trueman C.</t>
  </si>
  <si>
    <t>Corrective Measures for Minimizing the Interaction of Power Lines with MF Broadcast Antennas</t>
  </si>
  <si>
    <t>10.1109/TEMC.1983.304166</t>
  </si>
  <si>
    <t>2-s2.0-0020795504</t>
  </si>
  <si>
    <t>['western hemisphere', 'upper limit', 'three cases', 'surface man', 'spaceborne antenna', 'satellite altitudes', 'observed power', 'intercept pattern', 'incidental man', 'gain antenna', 'frequencies 243', 'electronics engineers', 'dipole antenna', 'data derived', 'case c', 'beam high', 'area representations', 'altitude h', 'aircraft altitudes', '54 k', '260 mhz', '22 k', '1 k']</t>
  </si>
  <si>
    <t>noise temperature | spaceborne | VHF incidental noise | Western Hemisphere</t>
  </si>
  <si>
    <t>Computations of the incidental man-made radio noise power existing at geostationary satellite altitudes over the Western Hemisphere have been performed by summing the emissions from those metropolitan areas lying within the intercept pattern of a spaceborne antenna. Area representations of surface man-made radio noise data and the radiation field integral for the observed power at altitude h were used to extend earlier calculations of incidental noise power at aircraft altitudes to Earth-satellite altitudes. Three cases of VHF band coverage from a geostationary satellite positioned over the Western Hemisphere have been analyzed: a) Western Hemisphere coverage by a dipole antenna; b) Western Hemisphere intercept by an Earth-coverage, moderate-gain antenna; and c) North American coverage by a shaped-beam high-gain antenna. It was determined that the increase in antenna noise temperature for frequencies 243 to 260 MHz, attributable to metropolitan incidental man-made radio noise, varied from 1 K for Case A to 54 K for Case C. Analysis of data derived from the LES-5 and -6 satellite test program fixes an upper limit of &lt;22 K on the Western Hemisphere VHF band incidental man-made noise contribution to satellite-antenna noise temperature during the late evening hours. Copyright ¬© 1983 by The Institute of Electrical and Electronics Engineers, Inc.</t>
  </si>
  <si>
    <t>321-328</t>
  </si>
  <si>
    <t>Skomal, Edward N.</t>
  </si>
  <si>
    <t>Skomal E.N.</t>
  </si>
  <si>
    <t>Analysis of Spaceborne VHF Incidental Noise Over the Western Hemisphere</t>
  </si>
  <si>
    <t>10.1109/TEMC.1983.304165</t>
  </si>
  <si>
    <t>2-s2.0-0020796049</t>
  </si>
  <si>
    <t>['two antennas', 'slopes similiar', 'shown previously', 'relative signal', 'portables range', 'portable set', 'portable radiotelephones', 'noise ratio', 'n ).', 'given improvement', 'electronics engineers', 'cumulative distributions', 'also mitigate', 'adaptive retransmission']</t>
  </si>
  <si>
    <t>Multiple-antenna receiving diversity was shown previously to be effective in mitigating the effects of random angular orientation and multipath radio propagation for portable radiotelephones. It is shown that time-division adaptive retransmission used with appropriate antenna configurations can also mitigate these effects. The retransmission configurations require fewer antennas than the receiving diversity configurations for a given improvement in relative signal-to-noise ratio (S/N). Cumulative distributions of S/N were determined for adaptive retransmission and diversity using random orientation and multipath propagation models. Distributions of S/N for systems with two antennas at the portable set and two appropriately polarized antennas at the portable radiotelephone terminal (PORT) are similar to distributions for two-branch selection diversity in the fixed-orientation mobile radio environment. Systems with one portable antenna and two PORT antennas have distributions with slopes similiar to two-branch mobile radio distributions but the distributions for the portables range from 3 to 7 dB worse. Copyright ¬© 1983 by The Institute of Electrical and Electronics Engineers, Inc.</t>
  </si>
  <si>
    <t>230-238</t>
  </si>
  <si>
    <t>Time Division Adaptive Retransmission for Reducing Signal Impairments in Portable Radiotelephones</t>
  </si>
  <si>
    <t>10.1109/T-VT.1983.23968</t>
  </si>
  <si>
    <t>2-s2.0-0020796051</t>
  </si>
  <si>
    <t>['square horn', 'radiation characteristics', 'improved e', 'experimental results', 'dielectric loading', 'correction factor']</t>
  </si>
  <si>
    <t>Radiation characteristics of a dielectric loaded square horn have been evaluated by introducing a correction factor in radiation characteristics of square corrugated waveguide. The dielectric loading has improved E-plane radiation patterns of square horn. A comparison has been made between the theoretical and the experimental results.</t>
  </si>
  <si>
    <t>Aug</t>
  </si>
  <si>
    <t>57193682516;55244540500</t>
  </si>
  <si>
    <t>Bhatnagar, P. S.;Singh, M. D.</t>
  </si>
  <si>
    <t>Bhatnagar P.</t>
  </si>
  <si>
    <t>RADIATION CHARACTERISTICS OF DIELECTRIC LOADED SQUARE HORN.</t>
  </si>
  <si>
    <t>2-s2.0-0020796454</t>
  </si>
  <si>
    <t>['used either', 'time variation', 'slope patterns', 'sinusoidal waves', 'several radiators', 'sensor outputs', 'sensor arrays', 'rectangular pulse', 'pulse durations', 'provides us', 'power called', 'particular case', 'paper investigates', 'one obtains', 'often called', 'nonsinusoidal waves', 'monopulse array', 'left halves', 'information due', 'field strengths', 'elevation angles', 'electronics engineers', 'directional pattern', 'current radiator', 'circuits required', 'angular resolution', 'additional information', '1 ns']</t>
  </si>
  <si>
    <t>antenna arrays | monopulse arrays | Nonsinusoidal waves | sequency theory</t>
  </si>
  <si>
    <t>In the previous two papers, we discussed the Hertzian electric dipole and the large-current radiator, used either as radiators or sensors. Several radiators or sensors can be combined into an array. In the case of sinusoidal waves, such an array would yield more power and a directional pattern of the power called the antenna power pattern. For nonsinusoidal waves, one obtains additional patterns. In the particular case of a time variation of the electric and magnetic field strengths equal to that of a rectangular pulse, one obtains an antenna slope pattern caused by the change of the time variation of the field strengths as functions of azimuth and elevation angles. This change is often called a distortion, but in reality it provides us with additional information for the angular resolution. Sinusoidal waves cannot provide this information due to their lack of a bandwidth. This paper investigates both the regular sensor array using the sum of all sensor outputs, and the monopulse array that uses the difference between the sums of the sensor outputs of the right and the left halves of the array. Radiator and sensor arrays for nonsinusoidal waves have been built at least since 1975, but the circuits required for the utilization of the slope patterns are still at the frontier of our technology for pulse durations in the order of 1 to 0.1 ns, which are primarily of interest. Copyright ¬© 1983 by The Institute of Electrical and Electronics Engineers, Inc.</t>
  </si>
  <si>
    <t>346-357</t>
  </si>
  <si>
    <t>Harmuth, Henning F.</t>
  </si>
  <si>
    <t>Catholic University of America</t>
  </si>
  <si>
    <t>Antennas for Nonsinusoidal Waves: Part: III-Arrays</t>
  </si>
  <si>
    <t>10.1109/TEMC.1983.304099</t>
  </si>
  <si>
    <t>2-s2.0-0020796472</t>
  </si>
  <si>
    <t>['wave field', 'wave equation', 'value problem', 'temperature plasma', 'side excitations', 'protons absorb', 'plasma species', 'particle interactions', 'mode conversion', 'minority hydrogen', 'majority deuterium', 'kinetic theory', 'investigated using', 'gyroradius effect', 'global structure', 'fast wave', 'energy absorption', 'dimensional inhomogeneities', 'cyclotron damping', 'considerably influence', 'component plasma', 'collisional damping', 'cavity resonances', 'also confirmed', 'absorption mechanism']</t>
  </si>
  <si>
    <t>Propagation and absorption of waves in the ion cyclotron range of frequencies (ICRF) are investigated using the kinetic theory in a high-temperature plasma. The wave equation which includes kinetic effects (such as finite-gyroradius effect and wave/particle interactions) is solved as a boundary-value problem for a two-ion-component plasma (majority deuterium and minority hydrogen) with one-dimensional inhomogeneities. The global structure of the wave field and the absorption mechanism are explained. The power deposition profile for each plasma species and the coupling to the antenna are obtained. The mode conversion of the fast wave to the ion Bernstein wave is associated with the two-ion hybrid resonance, and the latter is absorbed by electrons and deuterons via Landau damping and collisional damping, respectively. Protons absorb the wave which tunnels through the cut-off layer (for strong-field-side excitations) by cyclotron damping. The existence of cavity resonances is also confirmed; these considerably influence the energy absorption. ¬© 1983 IOP Publishing Ltd.</t>
  </si>
  <si>
    <t>1005-1016</t>
  </si>
  <si>
    <t>60023147;60023147;60015658;60030788</t>
  </si>
  <si>
    <t>7005509402;57215810348;13306390500;35352798500</t>
  </si>
  <si>
    <t>Fukuyama, A.;Nishiyama, S.;Itoh, K.;Itoh, S. I.</t>
  </si>
  <si>
    <t>Higashihiroshima;Okayama;Kashiwa</t>
  </si>
  <si>
    <t>Hiroshima University;Okayama University;Japan Atomic Energy Agency</t>
  </si>
  <si>
    <t>60030788;60023147;60015658</t>
  </si>
  <si>
    <t>Fukuyama A.</t>
  </si>
  <si>
    <t>Kinetic description of propagation and absorption structures of icrf waves</t>
  </si>
  <si>
    <t>10.1088/0029-5515/23/8/002</t>
  </si>
  <si>
    <t>2-s2.0-0020796733</t>
  </si>
  <si>
    <t>['wiley company', 'transmitting antenna', 'transmission efficiency', 'receiving antenna', 'receivable power', 'power transmission', 'power density', 'major consideration', 'inc .,', 'environmental constraint', 'electromagnetic environment', 'design method', 'consideration given', 'communication channel', 'certain values', 'biological bodies', 'aperture illumination']</t>
  </si>
  <si>
    <t>In the microwave wireless power transmission in the solar power satellite system, it is important to obtain design data on the power transmission. Major consideration is given to the effect of microwaves on the electromagnetic environment, such as biological bodies, communication channel, and ionosphere. In this paper, the aperture illumination of the transmitting antenna for the microwave beam transmission is assumed that maximizes the transmission efficiency, and the maximum receivable power. the power density outside the receiving antenna, with consideration given to the electromagnetic environment, is studied. Under the maximum transmission efficiency, the maximum power density outside the receiving antenna is at the edge of the receiving antenna. Hence, the receivable power is obtained when the power density at the center of the receiving antenna and that outside it are restricted below certain values as an environmental constraint. Thus, a design method can be given for a microwave wireless power transmission system. A fast converging numerical method is given for deriving the aperture illumination for maximum transmission efficiency. Copyright ¬© 1983 Wiley Periodicals, Inc., A Wiley Company</t>
  </si>
  <si>
    <t>74-80</t>
  </si>
  <si>
    <t>60008435;60008435</t>
  </si>
  <si>
    <t>7201851714;56779495700</t>
  </si>
  <si>
    <t>Uno, Toru;Adachi, Saburo</t>
  </si>
  <si>
    <t>Sendai</t>
  </si>
  <si>
    <t>Tohoku University</t>
  </si>
  <si>
    <t>Uno T.</t>
  </si>
  <si>
    <t>A design of microwave wireless power transmission by the aperture illumination of maximum transmission efficiency</t>
  </si>
  <si>
    <t>10.1002/ecja.4400660810</t>
  </si>
  <si>
    <t>2-s2.0-0020797088</t>
  </si>
  <si>
    <t>['reaction centers', 'photosynthetic light', 'light sources', 'inactive state', 'gathering antenna', 'first approximation']</t>
  </si>
  <si>
    <t>It was found that the kinetics of deactivation of excitations in a photosynthetic light-gathering antenna does not change (in the first approximation) when traps (reaction centers) are converted from the active to the inactive state. This conclusion is deduced using absorption spectroscopic methods with picosecond optical parametric oscillators as light sources.</t>
  </si>
  <si>
    <t>1007-1008</t>
  </si>
  <si>
    <t>15049241600;6603094877;55289439000;6603436020;6701655918</t>
  </si>
  <si>
    <t>Borisov, A. Yu;Danelyus, R. V.;Piskarskas, A. S.;Razzhivin, A. P.;Rotomskis, R. I.</t>
  </si>
  <si>
    <t>Borisov A.</t>
  </si>
  <si>
    <t>PICOSECOND RELAXATION OF ENERGY IN A LIGHT-GATHERING ASSEMBLY OF ACTIVE AND INACTIVE REACTION CENTERS.</t>
  </si>
  <si>
    <t>10.1070/QE1983v013n08ABEH004557</t>
  </si>
  <si>
    <t>2-s2.0-0020797321</t>
  </si>
  <si>
    <t>['wiley company', 'proposed applicator', 'performed using', 'performed locally', 'paper investigates', 'muscle singlelayer', 'local heating', 'inc .,', 'heating experiment', 'electromagnetic wave', 'dielectric material', 'dielectric heating', 'deeper penetration', 'deeper heating', 'deep portion', 'biological tissues', 'biological object', '2450 mhz']</t>
  </si>
  <si>
    <t>In the treatment of cancer by hyperthermia, it is desirable that the heating of the biological object be performed locally as noninvasively. For such a purpose, dielectric heating by electromagnetic wave presently is considered. the study of the design of the antenna (applicator) for local heating of a deep portion of the body is still in its infancy. This paper investigates a deeper penetration of the electromagnetic wave into the body, and proposes a convergent lens‚Äêtype waveguide applicator, where a metallic lens filled with dielectric material is attached to the waveguide. A heating experiment was performed using the proposed applicator at 2450 MHz for the phantom models consisting of a muscle singlelayer and muscle‚Äêfat two‚Äêlayers, with electrical and thermal constants equivalent to those of biological tissues. Then the temperature distribution inside the model was examined in two dimensions using liquid‚Äêcrystal film. As a result, it is seen that by using the convergent waveguide applicator, the electromagnetic wave penetrates into the body by 40% more than in the case of traditional simple waveguide applicator, resulting in deeper heating. Furthermore, using the surface cooling device proposed for the applicator, it is verified that the local heating required in the hyperthermia can be realized. Copyright ¬© 1983 Wiley Periodicals, Inc., A Wiley Company</t>
  </si>
  <si>
    <t>91-98</t>
  </si>
  <si>
    <t>60025997;60025997;60025997;60019916</t>
  </si>
  <si>
    <t>7004151048;7402583860;56023548200;36047913300</t>
  </si>
  <si>
    <t>Nikawa, Yoshio;Iwamoto, Masanobu;Mori, Shinsaku;Kikuchi, Makoto</t>
  </si>
  <si>
    <t>Tokyo;Tokorozawa</t>
  </si>
  <si>
    <t>Keio University;National Defense Medical College Tokorozawa</t>
  </si>
  <si>
    <t>60025997;60019916</t>
  </si>
  <si>
    <t>Nikawa Y.</t>
  </si>
  <si>
    <t>Waveguide applicator with convergent lens for localized microwave hyperthermia</t>
  </si>
  <si>
    <t>10.1002/ecja.4400660812</t>
  </si>
  <si>
    <t>2-s2.0-0020797911</t>
  </si>
  <si>
    <t>['two elements', 'subsequent stages', 'similar processing', 'signal vector', 'proposed technique', 'new technique', 'element array', 'electronics engineers', 'desired gain', 'correlation matrix', 'cascade stage', 'cascade configuration', 'arbitrary direction', 'adaptively perform']</t>
  </si>
  <si>
    <t>A new technique for adaptive beam forming based on the Davies cascade array configuration [11] is presented. First of all it is shown that an n-element linear array can be reconfigured as a number of subarrays of two elements each. This two-element array is capable of steering one null in an arbitrary direction while maintaining a desired gain in some other prespecified look direction. To adaptively perform this function at any cascade stage, the inverse of a (2 x 2) correlation matrix of the signal vector at a subarray is computed and substituted in the expression for the constrained optimum weight vector. Similar processing is performed at subsequent stages of the cascade configuration. At each stage of adaptation a noise source contributing maximum power at that stage is nulled out. Simulation studies carried out verify the validity of this approach and demonstrate the fast convergence property of the proposed technique. Copyright ¬© 1983 by The Institute of Electrical and Electronics Engineers, Inc.</t>
  </si>
  <si>
    <t>940-945</t>
  </si>
  <si>
    <t>57214624937;7006249457</t>
  </si>
  <si>
    <t>Khanna, Ravinder;Madan, B. B.</t>
  </si>
  <si>
    <t>Khanna R.</t>
  </si>
  <si>
    <t>Adaptive Beam Forming Using a Cascade Configuration</t>
  </si>
  <si>
    <t>10.1109/TASSP.1983.1164157</t>
  </si>
  <si>
    <t>2-s2.0-0020798030</t>
  </si>
  <si>
    <t>['two reflectors', 'two lenses', 'initial condition', 'initial band', 'discontinuous solution', 'delayed arguments', 'conjugation conditions', 'aplanat results', 'analytical solution']</t>
  </si>
  <si>
    <t>A solution is given of the problem on the surfaces of two reflectors (two lenses) converting two diverging spherical waves into two converging waves. A system is given of nonlinear partial differential equations with delayed arguments which is satisfied by these surfaces. An analytical solution of the problem is given. It is shown that the initial condition, i. e. , the surface of one of the reflectors, is specified in the form of an 'initial band. ' The freedom of specifying the surface in the initial band is limited by the conditions of continuity and smoothness at its edges. Formulas are obtained for the reflector in the initial band and satisfy the conjugation conditions. It is shown that specification of the initial band in the form of an aplanat results in a discontinuous solution.</t>
  </si>
  <si>
    <t>37-46</t>
  </si>
  <si>
    <t>6603710799;16503665000;57190915993</t>
  </si>
  <si>
    <t>Kinber, B. E.;Klassen, V. I.;Steblin, V. I.</t>
  </si>
  <si>
    <t>THEORY OF THREE-DIMENSIONAL BIFOCAL ANTENNAS.</t>
  </si>
  <si>
    <t>2-s2.0-0020798285</t>
  </si>
  <si>
    <t>['wiley company', 'wide scanning', 'thoroughly investigated', 'theoretical results', 'spherical type', 'scanning characteristics', 'power gain', 'paper studies', 'mutual coupling', 'inc .,', 'greatest problems', 'feeding system', 'feeding points', 'discussed taking', 'dipole antennas', 'conducting sphere', 'axial ratio', 'antenna elements']</t>
  </si>
  <si>
    <t>Mutual coupling between antenna elements is one of the greatest problems when a hemispherical scan coverage array antenna of the spherical type is used. Study of mutual coupling of antenna beam scanning has not been thoroughly investigated. This paper studies the method of analysis for the impedances of dipole antennas over a conducting sphere. Theoretical results have been confirmed by experiments. the active impedance distribution and its scanning characteristics are discussed taking into account mutual coupling in the turnstile spherical array antenna with this method. It is shown that mismatching of the impedance is very small at feeding points. Analysis has been extended to the effects of mutual coupling on scanning characteristics of the power gain and the axial ratio of the polarization. It is found that the turnstile spherical array antenna is suitable for wide scanning from the standpoint of the feeding system. Copyright ¬© 1983 Wiley Periodicals, Inc., A Wiley Company</t>
  </si>
  <si>
    <t>99-108</t>
  </si>
  <si>
    <t>60008435;60008435;60008435</t>
  </si>
  <si>
    <t>35548438100;56843454200;7004205007</t>
  </si>
  <si>
    <t>Horiguchi, Susumu;Ishizone, Takayuki;Mushiake, Yasuto</t>
  </si>
  <si>
    <t>Horiguchi S.</t>
  </si>
  <si>
    <t>Mutual coupling effects on characteristics of turnstile spherical array antenna</t>
  </si>
  <si>
    <t>10.1002/ecja.4400660813</t>
  </si>
  <si>
    <t>2-s2.0-0020798303</t>
  </si>
  <si>
    <t>['¬© 1983', 'two antennas', 'rights reserved', 'particular types', 'paper reports', 'limitations pertain', 'important result', 'general use', 'frequency device', 'electrical engineers', 'combines signals']</t>
  </si>
  <si>
    <t>Antennas | Noise and interference</t>
  </si>
  <si>
    <t>The paper reports on theory, tests and design of a low-cost broadband radio-frequency device that combines signals from two antennas to selectively null interfering signals. The theory and analysis of limitations pertain to both manual and adaptive null control devices. Tests illustrate cases in which nulling works well and those where propagation features limit null effectiveness. An important result of the tests is recognition that much work remains to be done to determine optimum antenna pairs for particular types of interference. An analysis section provides equations of general use for designing alternative implementations. ¬© 1983, The Institution of Electrical Engineers. All rights reserved.</t>
  </si>
  <si>
    <t>417-422</t>
  </si>
  <si>
    <t>Webb, John K.</t>
  </si>
  <si>
    <t>McLean</t>
  </si>
  <si>
    <t>MITRE Corporation</t>
  </si>
  <si>
    <t>Webb J.</t>
  </si>
  <si>
    <t>Electronic steering of antenna nulls for interference reduction</t>
  </si>
  <si>
    <t>10.1049/ip-f-1.1983.0069</t>
  </si>
  <si>
    <t>2-s2.0-0020798617</t>
  </si>
  <si>
    <t>['¬© 1983', 'rights reserved', 'performance studied', 'paper describes', 'new procedure', 'electrical engineers', 'convergent algorithms', 'convergence aspects', 'approach relies', 'achieved without']</t>
  </si>
  <si>
    <t>The paper describes a new procedure for designing linear adaptive arrays with a controllable broadband capability. The new prodecure allows acceptable array performance to be achieved without the need for broadband presteering delays. The approach relies on the use of a special array weight vector constraint involving ‚à£w‚à£. Convergent algorithms for solving the new broadband design procedure are devised and their performance studied. Finally, the convergence aspects of the algorithm for adaptive array systems are discussed. ¬© 1983, The Institution of Electrical Engineers. All rights reserved.</t>
  </si>
  <si>
    <t>433-440</t>
  </si>
  <si>
    <t>36863000500;57190277923</t>
  </si>
  <si>
    <t>Ahmed, K. M.;Evans, R. J.</t>
  </si>
  <si>
    <t>Ahmed K.</t>
  </si>
  <si>
    <t>Broadband adaptive array processing</t>
  </si>
  <si>
    <t>10.1049/ip-f-1.1983.0071</t>
  </si>
  <si>
    <t>2-s2.0-0020798894</t>
  </si>
  <si>
    <t>['spherical layer', 'several order', 'radiation resistance', 'plasma layer', 'geometric dimensions', 'electric parameters', 'electric dipole', 'certain conditions']</t>
  </si>
  <si>
    <t>Expressions are derived for the radiation resistance R// SIGMA of an elementary electric dipole, surrounded by a spherical layer of isotropic and radially nonhomogeneous plasma. Curves of R// SIGMA are computed as functions of geometric dimensions and electric parameters of the plasma layer. It is shown that under certain conditions a plasma layer can increase the radiation resistance of an electric dipole by several order of magnitude.</t>
  </si>
  <si>
    <t>53-58</t>
  </si>
  <si>
    <t>6507063738;6603276155;36875630200;6701398779;6602991218</t>
  </si>
  <si>
    <t>Akindonov, V. V.;Yeremin, S. M.;Kiselev, S. I.;Lishin, I. V.;Sorokina, R. R.</t>
  </si>
  <si>
    <t>Akindonov V.</t>
  </si>
  <si>
    <t>RADIATION OF AN ELECTRIC DIPOLE, SURROUNDED BY A SPHERICAL LAYER OF ISOTROPIC NONHOMOGENEOUS PLASMA.</t>
  </si>
  <si>
    <t>2-s2.0-0020799010</t>
  </si>
  <si>
    <t>['umbrella type', 'umbrella antennas', 'radiation patterns', 'parabolic cylinder', 'numerical results', 'numerical analysis', 'measured data', 'like sectors', 'directive gain', 'deflected beams', 'broadside radiation', 'breadboard models', 'best position', 'antenna model', 'antenna geometry']</t>
  </si>
  <si>
    <t>Results of a numerical analysis of radiation patterns and of directive gain are given for opening parabolic antennas of umbrella type. The antenna geometry is varied and the analysis is performed for an antenna model in the form of a set of wedge-like sectors of a parabolic cylinder. The best position of the illuminator in such antennas is determined for both broadside radiation and deflected beams. Numerical results are compared to measured data, obtained from breadboard models of umbrella antennas, and recommendations are made on the choice of geometry of such antennas.</t>
  </si>
  <si>
    <t>6508354957;16503665000</t>
  </si>
  <si>
    <t>Azyukin, A. V.;Klassen, V. I.</t>
  </si>
  <si>
    <t>Azyukin A.</t>
  </si>
  <si>
    <t>ON THE DIRECTIONAL PROPERTIES OF UNFURLING DISH ANTENNAS.</t>
  </si>
  <si>
    <t>2-s2.0-0020799403</t>
  </si>
  <si>
    <t>['uniformly spaced', 'rms deviation', 'orthogonal polynomials', 'optimize linear', 'extended dolph', 'directive radiators', 'chebyshev sense']</t>
  </si>
  <si>
    <t>Orthogonal polynomials are used to optimize linear, uniformly spaced and symmetrically excited arrays (LUSA) of directive radiators. The LUSA are optimum in the extended Dolph-Chebyshev sense and are designed on the basis of weighted sidelobe power (SL) and on the basis of RMS deviation from a given SL structure.</t>
  </si>
  <si>
    <t>44-52</t>
  </si>
  <si>
    <t>Minkovich, B. M.</t>
  </si>
  <si>
    <t>Minkovich B.</t>
  </si>
  <si>
    <t>CONSIDERATION OF RADIATOR DIRECTIVITY IN OPTIMIZATION OF LINEAR, UNIFORMLY SPACED AND SYMMETRICALLY EXCITED ARRAY ANTENNAS.</t>
  </si>
  <si>
    <t>2-s2.0-0020799694</t>
  </si>
  <si>
    <t>['two end', 'test run', 'start middle', 'loop type', 'frequency tuning', 'electronics engineers', 'antenna type', 'acceleration fields', '8 mv', '10 w']</t>
  </si>
  <si>
    <t>At CERN a 5 cell 500 MHz superconducting accelerating cavity has been constructed. At present the cavity is installed in the PETRA storage ring at DESY for a test run which will start middle of March. The cavity is equipped with a high power coupler and with 5 higher order mode couplers, two of the loop type and three of the antenna type. Frequency tuning and regulation are achieved by varying the length of the two end-cells. In a test of the complete cavitycryostat system at CERN, acceleration fields of 2.8 MV/m and Q&lt;-values above 109 have been reached. The cryostat losses remained below 10 W. Copyright ¬© 1983 by The Institute of Electrical and Electronics Engineers, Inc.</t>
  </si>
  <si>
    <t>3342-3344</t>
  </si>
  <si>
    <t>IEEE Transactions on Nuclear Science</t>
  </si>
  <si>
    <t>60019778;60019778;60019778;60019778;60019778;60019778;60019778;60019778;60019778;60019778;60019778;60022995</t>
  </si>
  <si>
    <t>55729517700;6603020691;6701785659;8429570900;6508180661;6602360892;6602752629;57216076504;6506082510;6602645764;6701595777;7006693036</t>
  </si>
  <si>
    <t>Bernard, P.;Bloess, D.;Cavallari, G.;Chiaveri, E.;Erdt, W.;Haebel, E.;Lengeler, H.;Marchand, P.;Qu√©ru, P.;T√ºckmantel, J.;Weingarten, W.;Piel, H.</t>
  </si>
  <si>
    <t>Germany;Switzerland</t>
  </si>
  <si>
    <t>Wuppertal;Geneva</t>
  </si>
  <si>
    <t>Bergische Universit√§t Wuppertal;European Organization for Nuclear Research</t>
  </si>
  <si>
    <t>60022995;60019778</t>
  </si>
  <si>
    <t>Bernard P.</t>
  </si>
  <si>
    <t>Status report of the superconducting 5-cell acceleration structure at CERN</t>
  </si>
  <si>
    <t>10.1109/TNS.1983.4336651</t>
  </si>
  <si>
    <t>2-s2.0-0020799726</t>
  </si>
  <si>
    <t>['¬© 1983', 'rights reserved', 'radar application', 'pulse batch', 'optimal weights', 'numerical results', 'law device', 'interference due', 'generalised square', 'electrical engineers', 'eigenvector techniques']</t>
  </si>
  <si>
    <t>Detection | Radar and radionavigation</t>
  </si>
  <si>
    <t>An interference improvement factor (IIF) is derived for a generalised square-law detector utilised for a radar application. This factor, which is a ratio of two quadratic forms, incorporates the effects of antenna beam shape as the radar beam scans over the target, interference due to receiver noise plus clutter and the target Doppler frequency. The IIF can be maximised to improve target detectability via eigenvalue, eigenvector techniques so that the optimal weights to be applied by a weighted integrator following the square-law device can be determined for an N-pulse batch. Numerical results are presented for a sea surveillance application. ¬© 1983, The Institution of Electrical Engineers. All rights reserved.</t>
  </si>
  <si>
    <t>405-408</t>
  </si>
  <si>
    <t>Castella, F. R.</t>
  </si>
  <si>
    <t>Johns Hopkins University</t>
  </si>
  <si>
    <t>Castella F.R.</t>
  </si>
  <si>
    <t>Optimisation of a generalised square-law detector</t>
  </si>
  <si>
    <t>10.1049/ip-f-1.1983.0067</t>
  </si>
  <si>
    <t>2-s2.0-0020800102</t>
  </si>
  <si>
    <t>['radome system', 'electrodynamic model', 'automatic design']</t>
  </si>
  <si>
    <t>The problem of constructing an electrodynamic model of an antenna-radome system is considered. A high-speed mathematical model using the fast Fourier transform algorithm is suggested and its applicability for the automatic design of antenna-radome radiating systems is demonstrated.</t>
  </si>
  <si>
    <t>58-60</t>
  </si>
  <si>
    <t>6508265621;7003720048;6505501290</t>
  </si>
  <si>
    <t>Zelenkevich, V. M.;Kaplun, V. A.;Terekhovich, A. B.</t>
  </si>
  <si>
    <t>Zelenkevich V.</t>
  </si>
  <si>
    <t>AUTOMATING THE DESIGN OF ANTENNA-RADOME RADIATING SYSTEMS.</t>
  </si>
  <si>
    <t>2-s2.0-0020800948</t>
  </si>
  <si>
    <t>['statistical situations', 'regularization parameters', 'optimum values', 'algorithm determining']</t>
  </si>
  <si>
    <t>Statistical situations in which the algorithm determining the weighting factor vector of an adaptive antenna array by the Wiener-Hopf method becomes unstable are considered. A recurrent regularized procedure for determining the weighting factor vector is suggested. Optimum values of the regularization parameters are determined.</t>
  </si>
  <si>
    <t>56-58</t>
  </si>
  <si>
    <t>56486136900;6602851818</t>
  </si>
  <si>
    <t>Popovskiy, V. V.;Glushankov, Ye I.</t>
  </si>
  <si>
    <t>Popovskiy V.</t>
  </si>
  <si>
    <t>REGULARIZATION OF SIGNAL AND INTERFERENCE PROCESSING ALGORITHMS IN ADAPTIVE ANTENNA ARRAYS.</t>
  </si>
  <si>
    <t>2-s2.0-0020801939</t>
  </si>
  <si>
    <t>['specified region', 'narrow beams']</t>
  </si>
  <si>
    <t>An estimate is given of the maximum carrying capacity of earth-satellite communications systems which use geostationary artificial satellites with highly directional antennas illuminating a specified region with a number of narrow beams.</t>
  </si>
  <si>
    <t>Kantor, L. Ya</t>
  </si>
  <si>
    <t>Kantor L.</t>
  </si>
  <si>
    <t>REFINEMENT OF THE ESTIMATE OF THE MAXIMUM CARRYING CAPACITY OF A GEOSTATIONARY ORBIT.</t>
  </si>
  <si>
    <t>2-s2.0-0020802097</t>
  </si>
  <si>
    <t>['using equal', 'two bits', 'simultaneously steer', 'sidelobe reduction', 'random process', 'phased array', 'phase shifters', 'novel method', 'minus 15', 'first sidelobe', 'first bit', 'beam steering', 'amplitude elements', '6 db', '4 db']</t>
  </si>
  <si>
    <t>Part 1 described a novel method for sidelobe reduction in a phased array, using equal-amplitude elements with randomized phase reversals to create an effective amplitude taper. This can be superimposed on beam steering phase shifts by altering the first bit of some phase shifters. If the one bit phase weighting scheme is extended, one can simultaneously steer the beam and apply an effective amplitude taper using phase shifters with only two bits. The scheme has now to reduce both the first sidelobe (via the taper) and the parasitic sidelobes due to beam steering with only two bits. The variance of the random process is now increased, and the peak sidelobe levels achieved are not as low as for one bit phase weighting. For 128 array elements, the peak sidelobe level achieved is minus 15. 6 db and for 256 elements minus 17. 4 db.</t>
  </si>
  <si>
    <t>352-357</t>
  </si>
  <si>
    <t>8923908200;55698377500</t>
  </si>
  <si>
    <t>Guo, Y. C.;Smith, M. S.</t>
  </si>
  <si>
    <t>Guo Y.</t>
  </si>
  <si>
    <t>SIDELOBE REDUCTION FOR PHASED ARRAY ANTENNAS USING DIGITAL PHASE SHIFTERS PT. 2: TWO BIT PHASE WEIGHTING.</t>
  </si>
  <si>
    <t>10.1049/ip-h-1.1983.0059</t>
  </si>
  <si>
    <t>2-s2.0-0020803020</t>
  </si>
  <si>
    <t>['two horns', 'simplified expressions', 'reaction concept', 'measured results', 'makes use', 'good agreement', 'experimental study', 'dominant mode', 'conical horn', 'approximations made', 'also presented']</t>
  </si>
  <si>
    <t>Coupling between two conical horns, with the aperture of one of the horns lying parallel to and behind the other, is analyzed by employing a uniform geometric theory of diffraction if the horns are designed for the dominant mode of operation. The analysis is based on the reaction concept. It makes use of accurate and simplified expressions for modes in a conical horn and the near-field GTD analysis of conical horns developed earlier. Results on the experimental study of the coupling between the two horns are also presented. There is a good agreement between the calculated and measured results, justifying the validity of the analysis and the approximations made.</t>
  </si>
  <si>
    <t>358-362</t>
  </si>
  <si>
    <t>7006389495;7401617703</t>
  </si>
  <si>
    <t>Narasimhan, M. S.;Prasad, K. M.</t>
  </si>
  <si>
    <t>Narasimhan M.</t>
  </si>
  <si>
    <t>COUPLING BETWEEN TWO CONICAL HORNS PLACED SIDE BY SIDE.</t>
  </si>
  <si>
    <t>10.1049/ip-h-1.1983.0060</t>
  </si>
  <si>
    <t>2-s2.0-0020805117</t>
  </si>
  <si>
    <t>['using equal', 'statistical theory', 'sidelobe reduction', 'novel method', 'minus 20', 'minus 18', 'effective taper', 'amplitude elements', '8 db', '256 elements', '2 db']</t>
  </si>
  <si>
    <t>A novel method for sidelobe reduction in phased array antennas is described, using equal-amplitude elements with randomized phase reversals to create an effective taper. Peak sidelobe levels of minus 18. 8 db for a 128 element array and minus 20. 2 db for 256 elements can be obtained with 9 and 27 phase reversed elements respectively. The associated gain reduction is between 1 and 2 db. Statistical theory is used to explain the results.</t>
  </si>
  <si>
    <t>343-351</t>
  </si>
  <si>
    <t>SIDELOBE REDUCTION FOR PHASED ARRAY ANTENNAS USING DIGITAL PHASE SHIFTERS, PT. I: ONE BIT PHASE WEIGHTING.</t>
  </si>
  <si>
    <t>10.1049/ip-h-1.1983.0058</t>
  </si>
  <si>
    <t>2-s2.0-0020805302</t>
  </si>
  <si>
    <t>['¬© 1983', 'uss nautilus', 'test bed', 'strain gauges', 'presentation system', 'paper describes', 'naval engineers', 'nautilus operations', 'many programs', 'macs antenna', 'later years', 'large numbers', 'instantaneous display', 'full speed', 'digital data', 'american society']</t>
  </si>
  <si>
    <t>USS Nautilus (SSN‚Äê571) was decommissioned on 3 March 1980. In her later years in service she served as a test bed for many programs which investigated multiple aspects of future sonar designs. The Mobile Acoustic Communication System (MACS) was one of the last major experiments to be performed in Nautilus. This paper describes a unique data collection and presentation system with large numbers of strain gauges that was used to establish structural safety for the MACS antenna and Nautilus operations. The system utilized real‚Äêtime processing of digital data with a minicomputer and an instantaneous display of certain nondimensional quantities on two television monitors. This data system performed excellently and allowed Nautilus safely to conduct deep dive, full speed, and emergency blow operations. ¬© 1983 by the American Society of Naval Engineers</t>
  </si>
  <si>
    <t>71-75</t>
  </si>
  <si>
    <t>Naval Engineers Journal</t>
  </si>
  <si>
    <t>TUCCIO, MICHAEL A.</t>
  </si>
  <si>
    <t>TUCCIO M.</t>
  </si>
  <si>
    <t>ESTABLISHING MOBILE ACOUSTIC COMMUNICATION SYSTEM (MACS) SAFETY ON USS NAUTILUS</t>
  </si>
  <si>
    <t>10.1111/j.1559-3584.1983.tb01667.x</t>
  </si>
  <si>
    <t>2-s2.0-0020809211</t>
  </si>
  <si>
    <t>['using 30', 'synchronization play', 'switched time', 'simulated via', 'principle role', 'initial acquisition', 'experimental purpose', 'doppler effect', 'division multiple', 'beam antenna', '4 multiplied', '4 microwave']</t>
  </si>
  <si>
    <t>Initial acquisition and synchronization play a principle role in the satellite-switched time-division multiple-access (SS-TDMA) system. This paper presents TDMA terminal equipment design for an SS-TDMA system model, in which a four-beam antenna and a 4 multiplied by 4 microwave-switch-matrix are provided on the satellite. In addition, this paper describes experimental results obtained for the SS-TDMA system model. The transmission path delay and the Doppler effect are simulated via the Medium Capacity Geostationary Communication Satellite for Experimental Purpose (CS) using 30/20 GHz band satellite link.</t>
  </si>
  <si>
    <t>618-626</t>
  </si>
  <si>
    <t>Sep</t>
  </si>
  <si>
    <t>7103017889;6701774685;6602333292</t>
  </si>
  <si>
    <t>Furuya, Norio;Komagata, Hitoshi;Okasaka, Sadaatsu</t>
  </si>
  <si>
    <t>Furuya N.</t>
  </si>
  <si>
    <t>30/20 GHz BAND SS-TDMA SYSTEM DESIGN.</t>
  </si>
  <si>
    <t>2-s2.0-0020809376</t>
  </si>
  <si>
    <t>['without interference', 'west germany', 'transmitted power', 'time transfer', 'time signal', 'thermal noise', 'therefore possibly', 'telecommunication signal', 'tdma control', 'system developed', 'standard deviations', 'show rms', 'received signal', 'practical interest', 'paper describes', 'noise ratio', 'many cases', 'interesting applications', 'extended applications', 'experimental stage', '1 ns']</t>
  </si>
  <si>
    <t>This paper describes the experimental stage of a system developed for high accuracy time comparison by use of geosynchronous telecommunication satellites. Results from tests via Intelsat V (K//u-band) from Washington, D. C. to Oberpfaffenhofen, West Germany, show rms-standard deviations of better than 1 ns. Having applied pseudorandom sequences of 2 MHz chiprate the transmitted power was spread over more than 2 MHz bandwidth, which corresponds to a received signal to noise ratio of minus 9 db and a power spectral density well below the thermal noise. In many cases of practical interest, it is therefore possibly to underlay this time signal to the telecommunication signal, without interference. Interesting applications can be in the area of satellite position determination, of TDMA control, and of time transfer. Some aspects of these extended applications are discussed.</t>
  </si>
  <si>
    <t>335-342</t>
  </si>
  <si>
    <t>0342068X</t>
  </si>
  <si>
    <t>Zeitschrift fur Flugwissenschaften und Weltraumforschung</t>
  </si>
  <si>
    <t>Sep-Oct</t>
  </si>
  <si>
    <t>7004349064;6602620628;6507592743;7103192133;6603602793</t>
  </si>
  <si>
    <t>Hartl, Philipp;Gieschen, Nikolaus;Muessener, Karl Martin;Schaefer, Wolfgang;Wende, Claus Michael</t>
  </si>
  <si>
    <t>Hartl P.</t>
  </si>
  <si>
    <t>HIGH ACCURACY GLOBAL TIME TRANSFER VIA GEOSYNCHRONOUS TELECOMMUNICATION SATELLITES WITH MITREX.</t>
  </si>
  <si>
    <t>2-s2.0-0020809440</t>
  </si>
  <si>
    <t>['thermocouple detectors', 'rms ).', 'rf detector', 'remote readout', 'readout device', 'optical fibers', 'nonionizing radiation', 'nearly isotropic', 'incident field', 'high peak', 'generally used', 'field probe', 'electronics engineers', 'electromagnetic compatability', 'electrically short', 'dipole antenna', 'diode detectors', 'band devices', 'averaged data', '2 mhz', '1000 v', '1 v']</t>
  </si>
  <si>
    <t>Electric field probes consisting of a dipole antenna, RF detector, nonperturbing transmission line, and readout device have been implemented in a variety of ways. Three orthogonal dipoles are generally used in an E-field probe to provide a response which is nearly isotropic for all polarizations of the incident field. Diode detectors have been used with electrically short or resistivity loaded dipoles to produce very broad-band devices (0.2 MHz to 26 GHz). Thermocouple detectors are used to provide true time-averaged data for high peak-power modulated fields. Optical fibers, together with a suitably modulated light source, may be used to form a wide-hand nonperturbing data link from the dipole and detector to a remote readout. Application of E-field probes range from the measurement of fields in living animals exposed to nonionizing radiation to the measurement of fields in air for electromagnetic compatability or radiation safety purposes. Probes are available that can measure field strengths from less than 1 V/m to over 1000 V/m (rms). Copyright ¬© 1983 by The Institute of Electrical and Electronics Engineers, Inc.</t>
  </si>
  <si>
    <t>710-718</t>
  </si>
  <si>
    <t>60101765;60021032</t>
  </si>
  <si>
    <t>35566996300;7406739047</t>
  </si>
  <si>
    <t>Bassen, Howard I.;Smith, Glenn S.</t>
  </si>
  <si>
    <t>Rockville;Atlanta</t>
  </si>
  <si>
    <t>Food and Drug Administration, Center for Devices and Radiological Health;Georgia Institute of Technology</t>
  </si>
  <si>
    <t>Bassen H.I.</t>
  </si>
  <si>
    <t>Electric Field Probes‚ÄîA Review</t>
  </si>
  <si>
    <t>10.1109/TAP.1983.1143126</t>
  </si>
  <si>
    <t>2-s2.0-0020809562</t>
  </si>
  <si>
    <t>['thin scatterers', 'simple polarizations', 'previous papers', 'numerical treatment', 'incident field', 'general consideration', 'electronics engineers', 'dyadic analysis', 'dimensions comparable', 'broadside incidence']</t>
  </si>
  <si>
    <t>The purpose of this work is the treatment of the problem of scattering from a finite length dielectric cylinder with dimensions comparable to the wavelength of the incident field. This is a general consideration of the problem, in contrast with previous papers which deal with infinite or thin scatterers or simple polarizations. To handle the problem, the integral equation approach and the dyadic analysis are used. The numerical treatment is based on the method of moments, and results are obtained for the case of broadside incidence at three different frequencies. Copyright ¬© 1983 by The Institute of Electrical and Electronics Engineers, Inc.</t>
  </si>
  <si>
    <t>725-731</t>
  </si>
  <si>
    <t>60015331;60015331</t>
  </si>
  <si>
    <t>6507722269;7006644175</t>
  </si>
  <si>
    <t>Papayiannakis, A. G.;Kriezis, E. E.</t>
  </si>
  <si>
    <t>Greece</t>
  </si>
  <si>
    <t>Thessaloniki</t>
  </si>
  <si>
    <t>Aristotle University of Thessaloniki</t>
  </si>
  <si>
    <t>Papayiannakis A.</t>
  </si>
  <si>
    <t>Scattering from a Dielectric Cylinder of Finite Length</t>
  </si>
  <si>
    <t>10.1109/TAP.1983.1143140</t>
  </si>
  <si>
    <t>2-s2.0-0020809563</t>
  </si>
  <si>
    <t>['¬© 1983', 'theoretical model', 'sidelobe levels', 'rotman lenses', 'rights reserved', 'radio engineers', 'published work', 'previous paper1', 'plate lens', 'phase aberrations', 'minimum size', 'insertion loss', 'fed parallel', 'experimental waveguide', 'array ports', 'antenna arrays', 'allows predictions']</t>
  </si>
  <si>
    <t>Ruze and Rotman lenses are devices which can be used to form multiple beams for antenna arrays. A previous paper1 has shown these lenses can be designed for low-phase aberrations and minimum size. Published work on these lenses has concentrated on phase and largely neglected amplitude performance (except Maybell2). Here, a theoretical model is developed which predicts the primary amplitude distribution across the array ports of the lens; this then allows predictions of insertion loss and sidelobe levels of the lens fed array. An experimental waveguide-fed parallel-plate lens has been constructed, and amplitude and phase performance measured. Comparison with the theoretical predictions shows good agreement. The multiple beam radiation patterns produced by a 16-element array fed by this lens have also been measured. The lens has a low insertion loss (‚àí2 dB) and provides a low sidelobe level (‚àí20 dB) for the 8-12 GHz band. ¬© 1983, The Institution of Electronic and Radio Engineers. All rights reserved.</t>
  </si>
  <si>
    <t>329-336</t>
  </si>
  <si>
    <t>57207035989;7004317315</t>
  </si>
  <si>
    <t>Smith, S.;Fong, A. K.S.</t>
  </si>
  <si>
    <t>Smith S.</t>
  </si>
  <si>
    <t>Amplitude performance of Ruze and Rotman lenses</t>
  </si>
  <si>
    <t>10.1049/ree.1983.0061</t>
  </si>
  <si>
    <t>2-s2.0-0020809565</t>
  </si>
  <si>
    <t>['technological challenges', 'significant potential', 'reflector surface', 'large antenna', 'important applications', 'aerospace systems', 'active control']</t>
  </si>
  <si>
    <t>Optical data processing has significant potential in future aerospace systems. Potential system applications are identified. One of the more important applications is the determination of errors of large antenna or reflector surface and the active control or compensation of the surface. Technological challenges to the application of optical data processing technology to aerospace systems are identified, and current NASA research efforts are discussed.</t>
  </si>
  <si>
    <t>Optical Engineering</t>
  </si>
  <si>
    <t>7003292692;6701539755</t>
  </si>
  <si>
    <t>Stermer, R. L.;Sokoloski, M.</t>
  </si>
  <si>
    <t>Stermer R.L.</t>
  </si>
  <si>
    <t>OPTICAL DATA PROCESSING FOR AEROSPACE APPLICATIONS</t>
  </si>
  <si>
    <t>2-s2.0-0020809648</t>
  </si>
  <si>
    <t>['solutions imply', 'significant amounts', 'scattered radiation', 'scattered field', 'scalar plane', 'satellite downlink', 'receiving antenna', 'nondiversity reception', 'multiple site', 'multipath spread', 'electronics engineers', 'doppler spread', 'arrival spread']</t>
  </si>
  <si>
    <t>Under severe rain conditions there may be significant amounts of multiply-scattered millimeter wave radiation present in the vicinity of the receiving antenna for a satellite downlink. This paper explores angle diversity reception of the scattered radiation as an alternative to spatial (multiple site) diversity for ameliorating rain attenuation. Results from scalar plane-wave transport theory for the attenuation, angle-of-arrival spread, multipath spread, and Doppler spread of the scattered field are summarized. When combined with a diversity reception communication analysis, these solutions imply that a large performance gain over nondiversity reception can be achieved if adaptive coherent combining can successfully be employed. Although this gain does not require multiple receiver sites, it does entail a transmission bandwidth reduction. Copyright ¬© 1983 by The Institute of Electrical and Electronics Engineers, Inc.</t>
  </si>
  <si>
    <t>686-694</t>
  </si>
  <si>
    <t>100583656;60005304;60022195</t>
  </si>
  <si>
    <t>6507284009;6603170424;7402728029</t>
  </si>
  <si>
    <t>Fratamico, John J.;Bogler, Philip L.;Shapiro, Jeffrey H.</t>
  </si>
  <si>
    <t>United States;United States;United States</t>
  </si>
  <si>
    <t>Cambridge;Waltham;San Diego</t>
  </si>
  <si>
    <t>Massachusetts Institute of Technology;Raytheon;EP ANALYTICS, INC.</t>
  </si>
  <si>
    <t>60022195;60005304;100583656</t>
  </si>
  <si>
    <t>Fratamico J.</t>
  </si>
  <si>
    <t>Adaptive Diversity Combining for Improved Millimeter Wave Communication through Rain</t>
  </si>
  <si>
    <t>10.1109/JSAC.1983.1145978</t>
  </si>
  <si>
    <t>2-s2.0-0020809666</t>
  </si>
  <si>
    <t>['two pairs', 'experimental results', 'electronics engineers']</t>
  </si>
  <si>
    <t>Experimental results of a circularly polarized antenna composed of two pairs of monopole-notch arrays arranged orthogonally on a conical conducting plate are described. This antenna can be designed by a simple design procedure, and it provides excellent performance characteristics as a broad-band circularly polarized antenna. Copyright ¬© 1983 by The Institute of Electrical and Electronics Engineers, Inc.</t>
  </si>
  <si>
    <t>812-814</t>
  </si>
  <si>
    <t>;60008435</t>
  </si>
  <si>
    <t>36939433100;7004205007</t>
  </si>
  <si>
    <t>Kasahara, Takeshi;Mushiake, Yasuto</t>
  </si>
  <si>
    <t>Kasahara T.</t>
  </si>
  <si>
    <t>Equally Spaced Monopole-Notch Array Antenna for Circularly Polarized Wave</t>
  </si>
  <si>
    <t>10.1109/TAP.1983.1143136</t>
  </si>
  <si>
    <t>2-s2.0-0020809731</t>
  </si>
  <si>
    <t>['technique derives', 'steering theory', 'spatial filtering', 'sidelobe region', 'radiation pattern', 'radar field', 'measured data', 'hardware change', 'experimental results', 'elevation pattern', 'electronics engineers', 'electronic scanning', 'calculated performances', 'array element', 'array antenna', 'adaptive null']</t>
  </si>
  <si>
    <t>Some analytical and experimental results of the phase-only optimization of each array element for the generation of wide deterministic nulls in the sidelobe region of the radiation pattern of a phased-array antenna are presented. The technique derives from the adaptive null-steering theory and is applied in the radar field to the spatial filtering of strong clutter echoes or jammers. A wide deterministic null has been realized in the elevation pattern of a phased-array antenna, with electronic scanning in elevation, without any hardware change; the calculated performances are compared to the measured data. Copyright ¬© 1983 by The Institute of Electrical and Electronics Engineers, Inc.</t>
  </si>
  <si>
    <t>814-817</t>
  </si>
  <si>
    <t>60084299;60084299</t>
  </si>
  <si>
    <t>6603301173;6506466596</t>
  </si>
  <si>
    <t>Giusto, Roberto;De Vincenti, Paolo</t>
  </si>
  <si>
    <t>Italy</t>
  </si>
  <si>
    <t>Rome</t>
  </si>
  <si>
    <t>Selenia S.p.A.</t>
  </si>
  <si>
    <t>Giusto R.</t>
  </si>
  <si>
    <t>Phase-Only Optimization for the Generation of Wide Deterministic Nulls in the Radiation Pattern of Phased Arrays</t>
  </si>
  <si>
    <t>10.1109/TAP.1983.1143137</t>
  </si>
  <si>
    <t>2-s2.0-0020809795</t>
  </si>
  <si>
    <t>['single mesh', 'rights reserved', 'rf characteristics', 'parametric investigation', 'paper presents', 'offset antennas', 'main features', 'elaborated based', 'diam reflector', 'deployment principle', 'aperture diameters']</t>
  </si>
  <si>
    <t>Offset antennas with aperture diameters up to 12 m and a medium surface accuracy, will be required for some future European communication satellites. A special offset reflector design with deployable ribs running radially outwards from the apex and covered by a mesh will be suitable for such applications. This paper presents a parametric investigation of the rf characteristics of such an unfurlable antenna concept with single mesh as described above. For a 4.5-m-diam reflector (4/6 GHz application) a lightweight mechanical design has been elaborated based on the design principle already shown. Main features of this reflector and the deployment principle are given. ¬© American Institute of Aeronautics and Astronautics, Inc., 1983, All rights reserved.</t>
  </si>
  <si>
    <t>496-502</t>
  </si>
  <si>
    <t>Journal of Spacecraft and Rockets</t>
  </si>
  <si>
    <t>60002286;60002286;60031159;60027972</t>
  </si>
  <si>
    <t>57216197511;6602199045;7003941584;6701737754</t>
  </si>
  <si>
    <t>Sch√§fer, W.;Herbig, H.;Roederer, A.;Pontoppidan, K.</t>
  </si>
  <si>
    <t>Netherlands;Denmark;Netherlands</t>
  </si>
  <si>
    <t>Noordwijk aan Zee;Copenhagen K;Leiden</t>
  </si>
  <si>
    <t>ESTEC - European Space Research and Technology Centre;TICRA;Airbus Group SE</t>
  </si>
  <si>
    <t>60031159;60027972;60002286</t>
  </si>
  <si>
    <t>Sch√§fer W.</t>
  </si>
  <si>
    <t>Unfurlable offset antenna design for L- and C-band application</t>
  </si>
  <si>
    <t>10.2514/3.25635</t>
  </si>
  <si>
    <t>2-s2.0-0020809988</t>
  </si>
  <si>
    <t>['wire antenna', 'low profile', 'emp hardening', 'controlled directivity', 'constant impedance', 'beverage long']</t>
  </si>
  <si>
    <t>The Beverage long-wire antenna is a receptor which is simple, has a low profile and provides a constant impedance over a wide frequency range, a characteristic which is important when EMP hardening is required, but its directivity is that associated with long wire traveling wave antennas. This may be far too directional for some high frequency applications. The natural wave log-truncated Beverage antenna has constant impedance and controlled directivity.</t>
  </si>
  <si>
    <t>223-227</t>
  </si>
  <si>
    <t>NATURAL WAVE LOGARITHMICALLY TRUNCATED BEVERAGE ANTENNA.</t>
  </si>
  <si>
    <t>2-s2.0-0020810066</t>
  </si>
  <si>
    <t>['useful form', 'test data', 'spacecraft eirp', 'part ii', 'paper describes', 'group delay', 'frequency responses', 'flux density']</t>
  </si>
  <si>
    <t>This paper describes the techniques that have been developed to test INTELSAT V Series satellites. Part I of the paper describes the satellite communication sub-system and in-orbit test philosophy. Part II of this paper describes various test techniques and the semi-automated test set-up required to minimize test time and to record the test data in useful form. The specific measurements described are flux density for saturation, spacecraft EIRP, main beam antenna patterns, side lobe antenna patterns, cross-polarization antenna patterns, G/T, frequency responses and group delay.</t>
  </si>
  <si>
    <t>155-164</t>
  </si>
  <si>
    <t>6508233350;6602791622;7004465295;6603433087</t>
  </si>
  <si>
    <t>Bangara, S. C.;Betaharon, K.;Mahle, C.;Riginos, V.</t>
  </si>
  <si>
    <t>Bangara S.</t>
  </si>
  <si>
    <t>IN-ORBIT TEST OF INTELSAT V (F-2) - PART I AND II.</t>
  </si>
  <si>
    <t>2-s2.0-0020810107</t>
  </si>
  <si>
    <t>['loop gain', 'important parameter', 'electronics engineers', 'array suppressing']</t>
  </si>
  <si>
    <t>A loop gain is an important parameter in a power inversion adaptive array. The upper bound value of the loop gain is obtained which prevents the array suppressing a desired signal seriously. This result is very useful for deterniining the loop gain. Copyright ¬© 1983 by The Institute of Electrical and Electronics Engineers, Inc.</t>
  </si>
  <si>
    <t>778-780</t>
  </si>
  <si>
    <t>Upper Bound of a Loop Gain in a Power Inversion Adaptive Array</t>
  </si>
  <si>
    <t>10.1109/TAES.1983.309381</t>
  </si>
  <si>
    <t>2-s2.0-0020810293</t>
  </si>
  <si>
    <t>['tractor using', 'antenna mounted']</t>
  </si>
  <si>
    <t>A microcomputer-based vehicle guidance controller used to control a tractor in the field is discussed. The microcomputer detects positional errors using signals from an antenna mounted on the tractor, determines the correct steering action, and steers the tractor using the hydraulic steering system of the tractor.</t>
  </si>
  <si>
    <t>1340-1345</t>
  </si>
  <si>
    <t>Transactions of the American Society of Agricultural Engineers</t>
  </si>
  <si>
    <t>7404514724;16218942200;7202413084</t>
  </si>
  <si>
    <t>Young, S. C.;Johnson, C. E.;Schafer, R. L.</t>
  </si>
  <si>
    <t>Young S.C.</t>
  </si>
  <si>
    <t>VEHICLE GUIDANCE CONTROLLER.</t>
  </si>
  <si>
    <t>2-s2.0-0020810413</t>
  </si>
  <si>
    <t>['improved method', 'ground conductivity', 'different values', 'cymomotive force']</t>
  </si>
  <si>
    <t>The aim of this paper is to present an improved method for determining the cymomotive force (c. m. f. ) of ground-based vertically polarized antennas, from a set of ground-wave field strength measurements. The method is based on the minimization of the squared differences sum of the measured and theoretically calculated field strengths, the latest being performed for different values of ground conductivity.</t>
  </si>
  <si>
    <t>482-486</t>
  </si>
  <si>
    <t>0497137X</t>
  </si>
  <si>
    <t>Telecommunication journal</t>
  </si>
  <si>
    <t>6603332849;6506142873</t>
  </si>
  <si>
    <t>Surutka, J. V.;Gavrilov, T. S.</t>
  </si>
  <si>
    <t>Surutka J.</t>
  </si>
  <si>
    <t>EXPERIMENTAL DETERMINATION OF THE CYMOMOTIVE FORCE OF GROUND-BASED VERTICALLY POLARIZED ANTENNAS.</t>
  </si>
  <si>
    <t>2-s2.0-0020810436</t>
  </si>
  <si>
    <t>['remaining portion', 'quadratic approximation', 'polynomial approximation', 'physical optics', 'necessary integrals', 'interpolation scheme', 'illustrative examples', 'generated recursively', 'fresnel integral', 'fourier representation', 'field point', 'electronics engineers', 'cylindrical symmetry', 'azimuthal variable', 'additional efficiency']</t>
  </si>
  <si>
    <t>An efficient numerical algorithm for physical optics (PO) analysis of reflectors is presented. Cylindrical symmetry of the reflector is not essential but is assumed for purposes of illustration, and this leads to the use of Fourier representation in the azimuthal variable. The algorithm is based on quadratic approximation of the phase and polynomial approximation of the remaining portion of the integrand. The necessary integrals are generated recursively and they involve the Fresnel integral. Additional efficiency is achieved by means of an interpolation scheme. Therein one interpolates all but the rapidly varying edge diffraction contribution to the integral and then adds the explicitly calculated edge contribution at each far-field point. A few illustrative examples are included. Copyright ¬© 1983 by The Institute of Electrical and Electronics Engineers, Inc.</t>
  </si>
  <si>
    <t>Pogorzelski, Ronald J.</t>
  </si>
  <si>
    <t>Pogorzelski R.</t>
  </si>
  <si>
    <t>A New Integration Algorithm and its Application to the Analysis of Symmetrical Cassegrain Microwave Antennas</t>
  </si>
  <si>
    <t>10.1109/TAP.1983.1143123</t>
  </si>
  <si>
    <t>2-s2.0-0020810613</t>
  </si>
  <si>
    <t>['though restricted', 'reflection data', 'provide useful', 'perturbation methods', 'particular interest', 'limited scattering', 'electronics engineers', 'asymptotic regime', 'approximate reconstruction']</t>
  </si>
  <si>
    <t>Although exact profile inversion may be difficult to perform with limited scattering or reflection data, perturbational and/or high frequency techniques do provide useful, though restricted, information regarding unknown profiles. Since high frequency reflections are small, perturbation methods can be used to examine this asymptotic regime. Here we examine the applications and limitations of these methods. Of particular interest is the approximate reconstruction of a double peaked profile. Copyright ¬© 1983 by The Institute of Electrical and Electronics Engineers, Inc.</t>
  </si>
  <si>
    <t>804-808</t>
  </si>
  <si>
    <t>60102562-60025578;60102562;60102562</t>
  </si>
  <si>
    <t>7006758730;7006013598;7004484815</t>
  </si>
  <si>
    <t>Ge, D. B.;Jaggard, D. L.;Kritikos, H. N.</t>
  </si>
  <si>
    <t>Philadelphia;Xi'an</t>
  </si>
  <si>
    <t>School of Engineering and Applied Science;Xidian University</t>
  </si>
  <si>
    <t>60102562;60025578</t>
  </si>
  <si>
    <t>Ge D.B.</t>
  </si>
  <si>
    <t>Perturbational and High Frequency Profile Inversion</t>
  </si>
  <si>
    <t>10.1109/TAP.1983.1143135</t>
  </si>
  <si>
    <t>2-s2.0-0020810614</t>
  </si>
  <si>
    <t>['waves propagated', 'wave power', 'vlf waves', 'vlf signal', 'upper bound', 'sounding rocket', 'severe attenuation', 'power estimated', 'neutral atmosphere', 'magnetic receivers', 'independent calibration', 'geometrical distribution', 'continuously measured', 'circular polarization', 'borne receivers', 'assumptions concerning', '85 khz', '7 multiplied', '3 w', '12 w', '115 multiplied']</t>
  </si>
  <si>
    <t>VLF waves at 3. 85 kHz from the Siple, Antarctica, transmitter were continuously measured by electric and magnetic receivers on sounding rocket as the waves propagated through the neutral atmosphere and into the ionosphere. The change from linear to circular polarization was clearly observed along with severe attenuation of the VLF signal in the D-region. Interferometric measurements established the index of refraction and provided an independent calibration of the rocket-borne receivers. An upper bound on the VLF power radiated is estimated to be 1. 7 multiplied by 10**3 W during a period when the antenna was driven at 115 multiplied by 10**3 W. The power estimated to be entering the ionosphere is between 3 W and 12 W and depends on assumptions concerning the geometrical distribution of wave power.</t>
  </si>
  <si>
    <t>7065-7073</t>
  </si>
  <si>
    <t>A9</t>
  </si>
  <si>
    <t>7003753843;7003291328;57213307554;57203051214;7201795486</t>
  </si>
  <si>
    <t>Kintner, P. M.;Rycroft, M. J.;Brittain, R.;Kelley, M. C.;Carpenter, D. L.</t>
  </si>
  <si>
    <t>Kintner P.</t>
  </si>
  <si>
    <t>IN SITU MEASUREMENTS OF TRANSIONOSPHERIC VLF WAVE INJECTION.</t>
  </si>
  <si>
    <t>10.1029/JA088iA09p07065</t>
  </si>
  <si>
    <t>2-s2.0-0020810623</t>
  </si>
  <si>
    <t>['simple expressions', 'satellite antennas', 'previous article', 'n reflectors', 'electronics engineers', 'due primarily', 'deformations required', 'deformation coefficients', 'correct astigmatism', 'article coma', 'antennas one', 'antenna aperture', 'analysis applies', 'also removed', 'also derived']</t>
  </si>
  <si>
    <t>Cassegrainian and Gregorian reflector arrangements are needed for multibeam ground station and satellite antennas. In these antennas one Or more feeds are displaced from the focus. This displacement normally causes aberrations, due primarily to astigmatism and coma. In a previous article, astigmatism was eliminated for small feed displacements by centering the antenna aperture with respect to the equivalent paraboloid axis. In this article coma is also removed by deforming the reflectors without causing spherical aberration, and simple expressions for the deformation coefficients are derived. The analysis applies in general to an arrangement of N reflectors. The deformations required to correct astigmatism, if the antenna aperture is not centered is also derived. Copyright ¬© 1983 by The Institute of Electrical and Electronics Engineers, Inc.</t>
  </si>
  <si>
    <t>764-775</t>
  </si>
  <si>
    <t>Dragone, Corrado</t>
  </si>
  <si>
    <t>Dragone C.</t>
  </si>
  <si>
    <t>First-Order Correction of Aberrations in Cassegrainian and Gregorian Antennas</t>
  </si>
  <si>
    <t>10.1109/TAP.1983.1143125</t>
  </si>
  <si>
    <t>2-s2.0-0020810693</t>
  </si>
  <si>
    <t>['reciprocity theorem', 'receiving antennas', 'rain path', 'near field', 'medium containing', 'lorentz form', 'important especially', 'field effects', 'estimate attenuation', 'appreciable fraction']</t>
  </si>
  <si>
    <t>A fundamentally different approach to the problems of electromagnetic wave propagation through a medium containing a distribution of scatterers is presented. The new theory includes the effects of scatterers in the near field of the transmitting and/or receiving antennas, a factor that currently accepted theories do not include. Near-field effects are important especially in the case of satellite microwave communications where the near field of the large ground antennas includes an appreciable fraction or even the whole of the rain path. The theory is based on the Lorentz form of Reciprocity Theorem and may be used to estimate attenuation and depolarization of microwaves through precipitation.</t>
  </si>
  <si>
    <t>384-403</t>
  </si>
  <si>
    <t>R.C.A. Review</t>
  </si>
  <si>
    <t>Howard, John</t>
  </si>
  <si>
    <t>Howard J.</t>
  </si>
  <si>
    <t>GENERAL SCATTERING THEORY.</t>
  </si>
  <si>
    <t>2-s2.0-0020810745</t>
  </si>
  <si>
    <t>['surface waves', 'resonant resistance', 'resonant length', 'printed dipoles', 'printed antennas', 'optimization procedure', 'mutual coupling', 'loss due', 'electronics engineers', 'electrically thick', 'dielectric heating', 'calculated data', 'also presented']</t>
  </si>
  <si>
    <t>Calculated data are presented on the performance of printed antenna elements on substrates which may be electrically thick, as would be the case for printed antennas at millimeter wave frequencies. Printed dipoles and microstrip patch antennas on polytetrafluoroethylene (PTFE), quartz, and gallium arsenide substrates are considered. Data are given for resonant length, resonant resistance, bandwidth, loss due to surface waves, loss due to dielectric heating, and mutual coupling. Also presented is an optimization procedure for maximizing or minimizing power launched into surface waves from a multielement printed antenna array. The data are calculated by a moment method solution. Copyright ¬© 1983 by The Institute of Electrical and Electronics Engineers, Inc.</t>
  </si>
  <si>
    <t>740-747</t>
  </si>
  <si>
    <t>Considerations for Millimeter Wave Printed Antennas</t>
  </si>
  <si>
    <t>10.1109/TAP.1983.1143124</t>
  </si>
  <si>
    <t>2-s2.0-0020810837</t>
  </si>
  <si>
    <t>['transient response', 'transient performance', 'study includes', 'steady state', 'output sinr', 'noise ratio', 'mutual coupling', 'electronics engineers', 'eigenvalues associated', 'array elements', 'also given', 'adaptive arrays']</t>
  </si>
  <si>
    <t>The effect of mutual coupling between array elements on the performance of adaptive arrays is examined. The study includes both steady state and transient performance. An expression for the steady state output signal-to-interference-plus-noise ratio (SINR) of adaptive arrays, taking into account the mutual coupling between the array elements, is derived. The expression is used to assess the steady state performance of adaptive arrays. The transient response is studied by computing the eigenvalues associated with the signal covariance matrix. The steering vector required to maximize the output SINR of Applebaum-type adaptive arrays in the presence of mutual coupling is also given. Copyright ¬© 1983 by The Institute of Electrical and Electronics Engineers, Inc.</t>
  </si>
  <si>
    <t>785-791</t>
  </si>
  <si>
    <t>Effect of Mutual Coupling on the Performance of Adaptive Arrays</t>
  </si>
  <si>
    <t>10.1109/TAP.1983.1143128</t>
  </si>
  <si>
    <t>2-s2.0-0020810838</t>
  </si>
  <si>
    <t>['specific parameters', 'sidelobe punch', 'separate main', 'mainbeam killing', 'information carried', 'developed method', 'control signals', 'control antenna', 'combined processing', 'antenna system']</t>
  </si>
  <si>
    <t>The receive sidelobe suppression function in a monopulse SSR system with separate main and control antenna is analyzed. A new solution based on the combined processing of the sum, difference and control signals is proposed. It enables: generation of a sharp azimuth receive window; prevention of mainbeam killing and sidelobe punch-through phenomena, even in severe differential lobing; detection of interference conditions avoiding the loss of information carried by garbled mainbeam replies. Although the analysis is relative to some specific parameters of the antenna system, the developed method has quite general application.</t>
  </si>
  <si>
    <t>344-349</t>
  </si>
  <si>
    <t>7102724070;7003687191;57190803929</t>
  </si>
  <si>
    <t>Marchetti, Giovanni;Picchi, Giorgio;Verrazzani, Lucio</t>
  </si>
  <si>
    <t>Marchetti G.</t>
  </si>
  <si>
    <t>PERFORMANCE OF A RECEIVE SIDELOBE SUPPRESSION SYSTEM FOR SECONDARY SURVEILLANCE RADAR.</t>
  </si>
  <si>
    <t>2-s2.0-0020810973</t>
  </si>
  <si>
    <t>['noise ratio', 'modulation frequency', 'modulated interference', 'interference signal', 'interference causes', 'electronics engineers', 'desired signal', 'continuous wave', 'carrier modulation', 'adaptive array']</t>
  </si>
  <si>
    <t>The behavior of a LMS (least mean square) adaptive array with modulated interference is described. An interference signal with sinusoidal, double-sideband, suppressed-carrier modulation is assumed. It is shown that such interference causes the array to modulate the desired signal envelope but not its phase. The amount of the desired signal modulation is determined as a function of signal arrival angles and powers and the modulation frequency of the interference. Such interference also causes the array output signal-tointerference-plus-noise ratio (SINR) to vary with time. However, it is shown that when the desired signal is a digital communication signal, the averaged bit error probability is essentially the same as for continuous wave (CW) interference. Copyright ¬© 1983 by The Institute of Electrical and Electronics Engineers, Inc.</t>
  </si>
  <si>
    <t>677-687</t>
  </si>
  <si>
    <t>6602488659;35611381200</t>
  </si>
  <si>
    <t>Al-Ruwais, Abdulaziz S.;Compton, R. T.</t>
  </si>
  <si>
    <t>Al-Ruwais A.</t>
  </si>
  <si>
    <t>Adaptive Array Behavior with Sinusoidal Envelope Modulated Interference</t>
  </si>
  <si>
    <t>10.1109/TAES.1983.309370</t>
  </si>
  <si>
    <t>2-s2.0-0020811082</t>
  </si>
  <si>
    <t>['way channels', 'two kinds', 'system outline', 'system configurations', 'system availability', 'stc ).', 'rainy periods', 'placed near', 'paper presents', 'mes ).', 'japanese cs', 'equipment performance', 'electronics engineers', 'earth stations', 'diameter antenna', 'bit rates', 'antenna diameter', '7 db', '50 two', '5 percent', '5 dbm', '32 kbits']</t>
  </si>
  <si>
    <t>This paper presents a domestic satellite communication system accommodating numerous 30/20 GHz band small earth stations emphasizing the system outline, the use of multiple-access (MA) techniques. It also describes associated earth station configurations, equipment performance, and experimental results using the Japanese CS (medium capacity communications satellite for experimental purposes). Two kinds of earth stations are employed in this system, a small earth terminal (SET) and a master earth station (MES). The SET, which has an antenna about 2 m in diameter, is placed near a subscriber. The MES, which has an 11.5 m diameter antenna, is connected to the terrestrial telephone network through a satellite telephone switching center (STC). There are about 50 two-way channels with bit rates of 32 kbits/s which are achieved through the use of a 30/20 GHz band transponder whose EIRP is about 71.5 dBm, a G/T of about 2.7 dB/K and an SET's antenna diameter of 1.8 m. This results in a system availability of 99.5 percent under typical Japanese statistical rain attenuation data. To enable a demand-assigned MA technique to be employed in this system, a single channel per carrier (SCPC) is selected, taking into consideration power efficiency of the SET, flexibility of system configurations, and the adaptability of the adaptive power control during rainy periods. Copyright ¬© 1983 by The Institute of Electrical and Electronics Engineers, Inc.</t>
  </si>
  <si>
    <t>600-608</t>
  </si>
  <si>
    <t>7501389649;35399100700;6602869946;6602715313;7403150800</t>
  </si>
  <si>
    <t>Inoue, Takeo;Nakajima, Shigeo;Masamura, Tatsuro;Kaitsuka, Toshiyuki;Satoh, Kohei</t>
  </si>
  <si>
    <t>Inoue T.</t>
  </si>
  <si>
    <t>30/20 GHz Band SCPC Satellite Communication Using Small Earth Stations</t>
  </si>
  <si>
    <t>10.1109/JSAC.1983.1145976</t>
  </si>
  <si>
    <t>2-s2.0-0020811288</t>
  </si>
  <si>
    <t>['uniform theory', 'radial distance', 'pertinent values', 'near field', 'field patterns', 'far sidelobe', 'expressions valid', 'electronics engineers', 'electromagnetic horn', 'earlier authors', 'backlobe regions']</t>
  </si>
  <si>
    <t>The uniform asymptotic theory (UAT) of diffraction has been applied to arrive at expressions valid for both the near as well as far-field patterns of antenna with edges, namely an electromagnetic horn. It is found that the theoretically computed results agree very well with experiment. The agreement is found to be better than that reported by earlier authors in the far sidelobe and backlobe regions. The same theory is valid for near field as well with the pertinent values of radial distance where the uniform theory of diffraction (UTD) requires a slope diffraction correction. Copyright ¬© 1983 by The Institute of Electrical and Electronics Engineers, Inc.</t>
  </si>
  <si>
    <t>817-819</t>
  </si>
  <si>
    <t>60004750;60004750</t>
  </si>
  <si>
    <t>56048579300;7402672382</t>
  </si>
  <si>
    <t>Sanyal, Subrata;Bhattacharyya, A. K.</t>
  </si>
  <si>
    <t>Kharagpur</t>
  </si>
  <si>
    <t>Indian Institute of Technology Kharagpur</t>
  </si>
  <si>
    <t>Sanyal S.</t>
  </si>
  <si>
    <t>UAT Analysis of E-Plane Near and Far-Field Patterns of Electromagnetic Horn Antennas</t>
  </si>
  <si>
    <t>10.1109/TAP.1983.1143139</t>
  </si>
  <si>
    <t>2-s2.0-0020811384</t>
  </si>
  <si>
    <t>['used commercially', 'tube type', 'systems would', 'supporting technologies', 'solid state', 'satellite systems', 'processing systems', 'orbit capacity', 'operational systems', 'made possible', 'high frequencies', 'experimental flight', 'enable development', 'electronics engineers', 'early 1990', 'critical technologies', 'could occur', 'continue throughout', 'commercial carriers', 'circuit costs', 'board switching', 'bit capacity']</t>
  </si>
  <si>
    <t>Demand for in-orbit capacity through the use of satellite systems will continue throughout the next two decades. The potential of the 30/20 GHz frequency band for fixed satellite services will be exploited. However, many technology questions must be answered if the band is to be used commercially because of the high rain fades that can occur at these high frequencies. NASA has conducted a technology development program in high gain antenna and on-board switching and processing systems which can be combined such that cost competitive services are possible at acceptable rain outage percentages. Other supporting technologies have also been pursued including transmitters, both tube type and solid state, and low noise receivers. The critical technologies have been combined into an experimental satellite payload; an experimental flight is planned to verify these technologies and enable development of operational systems. Implementation of such systems would be by commercial carriers and could occur in the early 1990's, depending on the demand for additional or bit capacity. The high capacity systems that can be made possible through the use of the 30/20 GHz band and the employment of frequency reuse technology will contribute to the continued downward trend in circuit costs and may allow new and innovative satellite services. Copyright ¬© 1983 by The Institute of Electrical and Electronics Engineers, Inc.</t>
  </si>
  <si>
    <t>580-588</t>
  </si>
  <si>
    <t>Sivo, Joseph N.</t>
  </si>
  <si>
    <t>Cleveland</t>
  </si>
  <si>
    <t>NASA Glenn Research Center</t>
  </si>
  <si>
    <t>Sivo J.</t>
  </si>
  <si>
    <t>Advanced Communications Satellite Systems</t>
  </si>
  <si>
    <t>10.1109/JSAC.1983.1145965</t>
  </si>
  <si>
    <t>2-s2.0-0020811509</t>
  </si>
  <si>
    <t>['shadow region', 'scattering patterns', 'scattering pattern', 'residue theorem', 'numerical examples', 'much larger', 'illuminated region', 'gaussian beam', 'formula omitted', 'field variation', 'electronics engineers', 'conducting cylinder', 'beam fields', 'approximate expression', 'also illustrated']</t>
  </si>
  <si>
    <t>When the radius of the cylinder is much larger than the wavelength, an approximate expression for the scattering of a Gaussian beam by a conducting cylinder is obtained by using Watson transformation. The beam fields in shadow region and illuminated region are, respectively, derived from residue theorem and stationary phase method. In order to check the theory, comparisons for scattering pattern and field variation in space were made. Numerical examples of the scattering patterns for [formula omitted] (w, Œ±0, Œª being the beamwidth, the radius of cylinder, and the wavelength) are also illustrated. Copyright ¬© 1983 by The Institute of Electrical and Electronics Engineers, Inc.</t>
  </si>
  <si>
    <t>795-799</t>
  </si>
  <si>
    <t>Kozaki, Shogo</t>
  </si>
  <si>
    <t>Maebashi</t>
  </si>
  <si>
    <t>Gunma University</t>
  </si>
  <si>
    <t>Kozaki S.</t>
  </si>
  <si>
    <t>High Frequency Scattering of a Gaussian Beam by a Conducting Cylinder</t>
  </si>
  <si>
    <t>10.1109/TAP.1983.1143131</t>
  </si>
  <si>
    <t>2-s2.0-0020811784</t>
  </si>
  <si>
    <t>['surface current', 'solved numerically', 'minimum discrepancies', 'iterative algorithm', 'integral equations', 'disc dimensions', 'directive properties', 'conducting disc', 'computation uses']</t>
  </si>
  <si>
    <t>The effect of the screen is investigated by solving the model diffraction problem of excitation of a conducting disc by a travelling-wave current ring. Integral equations for projections of the surface current are derived and solved numerically. The computation uses an iterative algorithm, based on the method of minimum discrepancies. Computed surface current and directive properties of the antenna are given as functions of disc dimensions.</t>
  </si>
  <si>
    <t>26-31</t>
  </si>
  <si>
    <t>6602078947;7101778101</t>
  </si>
  <si>
    <t>Kontorovich, M. I.;Novikov, Yu N.</t>
  </si>
  <si>
    <t>Kontorovich M.I.</t>
  </si>
  <si>
    <t>EFFECT OF A SCREEN ON THE PERFORMANCE OF TRAVELLING-WAVE LOOP ANTENNAS.</t>
  </si>
  <si>
    <t>2-s2.0-0020812404</t>
  </si>
  <si>
    <t>['¬© 1983', 'used extensively', 'trunking efficiency', 'space diversity', 'paper studies', 'paper introduces', 'novel class', 'frequency reuse', 'directional antennas', 'base stations', 'antenna configurations', 'alternative cells']</t>
  </si>
  <si>
    <t>This paper introduces a novel class of antenna configurations and applies it to cellular digital mobile radio systems with frequency reuse. Directional antennas are used extensively. Cooperation between more base stations than are in the conventional three‚Äêcorner directional antenna scheme is required for the alternative cells. The paper studies the relationship between signal‚Äêto‚Äêcochannel interference and trunking efficiency (availability of channels) and compares conventional systems with the same base‚Äêstation locations. We concluded that the new antenna configurations can significantly improve trunking efficiency. Time‚Äêdivision retransmission systems with space diversity are considered for some cases. Furthermore, we show how transmitter power weighting (i.e., certain transmitters have higher output power than others) can improve the signal‚Äêto‚Äêcochannel‚Äêinterference ratio for the novel cellular systems. ¬© 1983 The Bell System Technical Journal</t>
  </si>
  <si>
    <t>2037-2065</t>
  </si>
  <si>
    <t>Sundberg, C. ‚ÄêE</t>
  </si>
  <si>
    <t>Sundberg C.</t>
  </si>
  <si>
    <t>Alternative Cell Configurations for Digital Mobile Radio Systems</t>
  </si>
  <si>
    <t>10.1002/j.1538-7305.1983.tb03529.x</t>
  </si>
  <si>
    <t>2-s2.0-0020812590</t>
  </si>
  <si>
    <t>['two kinds', 'succeed cs', 'shaped beam', 'satellite antennas', 'multiple beam', 'mainland contiguously', 'frequency band', 'designed taking', 'cover japan', 'band antenna']</t>
  </si>
  <si>
    <t>Two kinds of satellite antennas are proposed for a new communication satellite that will succeed CS-2. One is a multiple/shaped beam satellite antenna. The antenna is designed taking into account coverage ratios for the respective beam configurations. By this design, it was confirmed that the antenna can cover Japan's mainland contiguously by the multiple beam in addition to the shaped beam. The other is a K/C/S band antenna, which can radiate three frequency bands. The antenna is characterized to have a finite size FSS (frequency selective surface) in order to yield optimum antenna diameter for each frequency band.</t>
  </si>
  <si>
    <t>663-668</t>
  </si>
  <si>
    <t>MULTI-MISSION SATELLITE ANTENNA DESIGN AND CHARACTERISTICS.</t>
  </si>
  <si>
    <t>2-s2.0-0020813005</t>
  </si>
  <si>
    <t>['special attention', 'power transport', 'narrow slit', 'infinitely long', 'copyright 1983']</t>
  </si>
  <si>
    <t>The properties of an infinite flat plate antenna in a cold isotropic homogeneous plasma are investigated for the case in which the antenna is excited by means of a delta function voltage source across the infinitely long and narrow slit. Special attention was paid to the influence of an insulating vacuum layer between the antenna and the plasma. The far field radiation pattern and the power transport into the plasma and along the plasma‚Äêvacuum boundary are analyzed. Copyright 1983 by the American Geophysical Union.</t>
  </si>
  <si>
    <t>651-663</t>
  </si>
  <si>
    <t>September-October 1983</t>
  </si>
  <si>
    <t>7007183627;6508032446</t>
  </si>
  <si>
    <t>Beeckman, P. A.;Weenink, M. P.H.</t>
  </si>
  <si>
    <t>Beeckman P.</t>
  </si>
  <si>
    <t>Radiation properties of a vacuum‚Äêinsulated infinite flat slotted plate antenna in a cold isotropic homogeneous plasma</t>
  </si>
  <si>
    <t>10.1029/RS018i005p00651</t>
  </si>
  <si>
    <t>2-s2.0-0020813240</t>
  </si>
  <si>
    <t>['theoretical results', 'single parasite', 'single loop', 'resonant size', 'proper account', 'practical situation', 'parasitic reflector', 'parametric studies', 'optimum size', 'optimum height', 'optimum geometry', 'model antennas', 'maximum directivities', 'low loss', 'lossy medium', 'lossless dielectrics', 'lossless dielectric', 'loops might', 'half space', 'good agreement', 'fresh water', 'driven loop', 'directive transmission', 'directive properties', 'copyright 1983', 'considered first', 'coaxial array']</t>
  </si>
  <si>
    <t>The horizontal circular loop and the coaxial array of loops above a material half space are studied as antennas for directive transmission into the half space. In a practical situation the loops might be located in air with the directive transmission into the earth. In determining the optimum geometry for the single loop and the array, the far‚Äêzone field patterns and directivities of these antennas when placed over lossless dielectrics are considered first. The directive properties for the lossless dielectric are found to be indicative of those for the same antenna over a medium with low loss when proper account is taken of the exponential attenuation experienced in the lossy medium. Parametric studies are used to obtain the maximum directivities for these antennas. For the single loop of resonant size, the optimum height over the interface is determined, and for the two‚Äêelement array consisting of a driven loop of resonant size with a single parasite, the optimum size and spacing of the parasitic reflector are found. Measured electric field patterns and gains of model antennas above an interface between air and fresh water are in good agreement with the theoretical results. Copyright 1983 by the American Geophysical Union.</t>
  </si>
  <si>
    <t>664-674</t>
  </si>
  <si>
    <t>7406739047;7102775292</t>
  </si>
  <si>
    <t>Smith, Glenn S.;An, Lam N.</t>
  </si>
  <si>
    <t>Smith G.</t>
  </si>
  <si>
    <t>Loop antennas for directive transmission into a material half space</t>
  </si>
  <si>
    <t>10.1029/RS018i005p00664</t>
  </si>
  <si>
    <t>2-s2.0-0020813242</t>
  </si>
  <si>
    <t>['steering vectors', 'steering vector', 'equally effective', 'electronics engineers']</t>
  </si>
  <si>
    <t>Steered beam adaptive arrays for multiple simultaneous desired signals are discussed. It is shown that the performance of a steered beam adaptive array depends upon the range of input signal strengths and the choice of the steering vector. Optimum steering vectors for various input signal strengths are given. All choices of steering vectors are equally effective in the rejection of jammers. Copyright ¬© 1983 by The Institute of Electrical and Electronics Engineers, Inc.</t>
  </si>
  <si>
    <t>761-767</t>
  </si>
  <si>
    <t>Inder, J. Gupta</t>
  </si>
  <si>
    <t>Inder J.</t>
  </si>
  <si>
    <t>Adaptive Arrays for Multiple Simultaneous Desired Signals</t>
  </si>
  <si>
    <t>10.1109/TAES.1983.309377</t>
  </si>
  <si>
    <t>2-s2.0-0020813411</t>
  </si>
  <si>
    <t>['uncorrelated samples', 'substantially different', 'signals created', 'pattern sidelobes', 'interfering rejections', 'interfering reflections', 'effective suppression', 'correlated signal', 'angular sectors']</t>
  </si>
  <si>
    <t>The process of adaptive spatial suppression of signals created by interfering rejections is examined. Conditions are derived for effective suppression of pattern sidelobes in angular sectors of interfering reflections. It is shown that the conditions of effective adaptive suppression of a correlated signal, created by localized interfering reflections, can be substantially different from conditions already known for interference with uncorrelated samples.</t>
  </si>
  <si>
    <t>57-64</t>
  </si>
  <si>
    <t>7006472158;6602798999</t>
  </si>
  <si>
    <t>Abramovich, Yu I.;Kachur, V. G.</t>
  </si>
  <si>
    <t>Abramovich Y.</t>
  </si>
  <si>
    <t>CHARACTERISTICS OF ADAPTIVE SPATIAL CLUTTER SUPPRESSION.</t>
  </si>
  <si>
    <t>2-s2.0-0020814041</t>
  </si>
  <si>
    <t>['secondary patterns', 'reflector surface', 'reflector antennas', 'parabolic reflectors', 'parabolic reflector', 'first expanded', 'field pattern', 'electronics engineers', 'bessel series', 'angle scanning']</t>
  </si>
  <si>
    <t>A new numerical method, Fourier-Bessel series techniques, has been developed to investigate the far-field pattern and focal region distribution of reflector antennas under wide-angle scanning. In this Fourier-Bessel series technique, the current on the reflector surface is first expanded in terms of elementary sinusoidal functions via the well established fast Fourier transform (FFT) algorithm and the surface integration involved in physical optics integration is then carried out analytically. The derivation of Fourier-Bessel series and its convergence as applied to parabolic reflectors are described. The secondary patterns and focal region distributions of a parabolic reflector with FID = 0.48 and scanning up to 48 beam widths are presented. Copyright ¬© 1983 by The Institute of Electrical and Electronics Engineers, Inc.</t>
  </si>
  <si>
    <t>756-763</t>
  </si>
  <si>
    <t>60002959;60000745</t>
  </si>
  <si>
    <t>7403166334;55197051100</t>
  </si>
  <si>
    <t>Hung, Charles C.;Mittra, Raj</t>
  </si>
  <si>
    <t>Bethesda;Urbana</t>
  </si>
  <si>
    <t>Lockheed Martin Corporation;University of Illinois Urbana-Champaign</t>
  </si>
  <si>
    <t>Hung C.</t>
  </si>
  <si>
    <t>Secondary Pattern and Focal Region Distribution of Reflector Antennas Under Wide-Angle Scanning</t>
  </si>
  <si>
    <t>10.1109/TAP.1983.1143141</t>
  </si>
  <si>
    <t>2-s2.0-0020814105</t>
  </si>
  <si>
    <t>['two results', 'satisfactory agreement', 'primary feed', 'electronics engineers', 'cylindrical shroud', 'aperture illumination', 'aperture diameter', 'also taken', '8 ghz']</t>
  </si>
  <si>
    <t>The uniform geometrical theory of diffraction (UGTD) is employed to analyze the far-field radiation patterns of a prime focus paraboloid with a cylindrical shroud. The blockage of the aperture illumination of the dish by the gooseneck and the primary feed is also taken into account in the analysis. Far-field radiation patterns (for 0¬∞ ‚â§ Œ∏ ‚â§ 180¬∞), calculated for a typical prime focus paraboloid with 2 m aperture diameter, designed and fabricated, are compared with the experimentally derived patterns at 8.8 GHz in the E- and H-planes. There is a satisfactory agreement between the two results. Copyright ¬© 1983 by The Institute of Electrical and Electronics Engineers, Inc.</t>
  </si>
  <si>
    <t>792-794</t>
  </si>
  <si>
    <t>60025757;60025757;60025757</t>
  </si>
  <si>
    <t>7006389495;15072911900;57206292316</t>
  </si>
  <si>
    <t>Narasimhan, M. S.;Raghavan, K.;Ramanujam, P.</t>
  </si>
  <si>
    <t>Chennai</t>
  </si>
  <si>
    <t>Indian Institute of Technology Madras</t>
  </si>
  <si>
    <t>GTD Analysis of the Radiation Patterns of a Prime Focus Paraboloid with Shroud</t>
  </si>
  <si>
    <t>10.1109/TAP.1983.1143127</t>
  </si>
  <si>
    <t>2-s2.0-0020814423</t>
  </si>
  <si>
    <t>['small aperture', 'measured data', 'magnetic polarizability', 'integral equation', 'electronics engineers', 'electric polarizability', 'duality principle', 'current density', 'conducting disk', 'complementary disk', 'available exact', 'arbitrary shape']</t>
  </si>
  <si>
    <t>The electric polarizability of a small aperture of arbitrary shape is computed by solving the dual magnetostatic problem of a conducting disk. The method of moments is used to solve the integral equation for the current density induced on the disk. Charge-free expansion functions for the current density are introduced. The electric polarizability of the aperture is obtained from the magnetic polarizability of a complementary disk through the use of the duality principle. Results for five typical aperture shapes including the circle and ellipse are computed. The results of the computations are compared with available exact or measured data, and they show good agreement. Copyright ¬© 1983 by The Institute of Electrical and Electronics Engineers, Inc.</t>
  </si>
  <si>
    <t>719-725</t>
  </si>
  <si>
    <t>7003593230;7201653432</t>
  </si>
  <si>
    <t>Arvas, Ercument;Harrington, Roger F.</t>
  </si>
  <si>
    <t>Arvas E.</t>
  </si>
  <si>
    <t>Computation of the Magnetic Polarizability of Conducting Disks and the Electric Polarizability of Apertures</t>
  </si>
  <si>
    <t>10.1109/TAP.1983.1143122</t>
  </si>
  <si>
    <t>2-s2.0-0020814506</t>
  </si>
  <si>
    <t>['stochastic nature', 'small number', 'array antennas']</t>
  </si>
  <si>
    <t>A phase synthesis method is proposed for array antennas with a small number of radiators. The method is based on the RMS optimization criterion and takes into account the stochastic nature of radiation.</t>
  </si>
  <si>
    <t>23-26</t>
  </si>
  <si>
    <t>7005030448;7004856096</t>
  </si>
  <si>
    <t>Pavlyuk, V. A.;Rybalko, A. M.</t>
  </si>
  <si>
    <t>Pavlyuk V.A.</t>
  </si>
  <si>
    <t>METHOD OF ARRAY PHASE SYNTHESIS.</t>
  </si>
  <si>
    <t>2-s2.0-0020814544</t>
  </si>
  <si>
    <t>['significant amount', 'necessary part', 'long history', 'key role', 'horn technologies', 'electronics engineers', 'ancillary components']</t>
  </si>
  <si>
    <t>Millimeter wave antenna technology has had a long history of development, and as millimeter wave systems evolve through planning to implementation, a significant amount of additional development work will be required. Millimeter wave antennas play a key role in the rationale for millimeter system designs because high spatial resolution can be achieved with modest physical dimensions. Reflector, lens, array, and horn technologies are surveyed. Multiple beam designs and adaptive processing antennas are described because these technologies afford high leverage opportunities to enhance electronic survivability and to extend communication capabilities. Ancillary components, such as radomes, are a necessary part of practical antenna designs and are discussed in some detail. Copyright ¬© 1983 by The Institute of Electrical and Electronics Engineers, Inc.</t>
  </si>
  <si>
    <t>633-644</t>
  </si>
  <si>
    <t>Dybdal, Robert B.</t>
  </si>
  <si>
    <t>Dybdal R.</t>
  </si>
  <si>
    <t>Millimeter Wave Antenna Technology</t>
  </si>
  <si>
    <t>10.1109/JSAC.1983.1145968</t>
  </si>
  <si>
    <t>2-s2.0-0020814987</t>
  </si>
  <si>
    <t>['¬© 1983', 'simple approach', 'movable velocity', 'feedback controls']</t>
  </si>
  <si>
    <t>A simple approach to the design of feedback controls for damping the vibrations in large spaceborne antennas with flexible dish reflectors is proposed. The feedback controls consist of movable velocity-feedback dampers whose positions are determined by minimizing the rate of change of total vibrational energy at any time. The performance of the proposed feedback controls is studied via computer simulations. ¬© 1983 by ASME.</t>
  </si>
  <si>
    <t>669-673</t>
  </si>
  <si>
    <t>Journal of Applied Mechanics, Transactions ASME</t>
  </si>
  <si>
    <t>60027550-60009037;60027550</t>
  </si>
  <si>
    <t>8311493600;6505493136</t>
  </si>
  <si>
    <t>Wang, P. K.C.;Sarina, J. C.</t>
  </si>
  <si>
    <t>Los Angeles;Pasadena</t>
  </si>
  <si>
    <t>University of California, Los Angeles;Jet Propulsion Laboratory</t>
  </si>
  <si>
    <t>60027550;60009037</t>
  </si>
  <si>
    <t>Wang P.K.C.</t>
  </si>
  <si>
    <t>Control of reflector vibrations in large spaceborne antennas by means of movable dampers</t>
  </si>
  <si>
    <t>10.1115/1.3167108</t>
  </si>
  <si>
    <t>2-s2.0-0020816096</t>
  </si>
  <si>
    <t>['wave mode', 'variable length', 'tuning element', 'simpler version', 'power short', 'moveable contacts', 'modern antennas', 'horizontal direction', 'good enough', 'contactless feeder', 'circuited loop']</t>
  </si>
  <si>
    <t>Modern antennas of high-power short-wave broadcasting transmitters are provided with tuners in the traveling-wave mode. The tuning element is a short-circuited loop of variable length, connected in parallel with the feeder through moveable contacts, the reliability of which is not good enough at high transmitted power levels. A simpler version of contactless feeder is considered. It uses two tuning elements moveable only in a horizontal direction.</t>
  </si>
  <si>
    <t>22-27</t>
  </si>
  <si>
    <t>Komissarov, V. I.</t>
  </si>
  <si>
    <t>Komissarov V.</t>
  </si>
  <si>
    <t>TWO-ELEMENT CONTACTLESS TUNING OF THE FEEDER IN THE TRAVELING-WAVE MODE.</t>
  </si>
  <si>
    <t>2-s2.0-0020817819</t>
  </si>
  <si>
    <t>['systems present', 'sam attack', 'rf sensors', 'paper outlines', 'locust program', 'harm missiles', 'formidable requirements', 'defensive employment', 'dedicated force', 'attack phase']</t>
  </si>
  <si>
    <t>The US Air Force employs a dedicated force of air defense suppression aircraft (F-4G Wild Weasel) utilizing a sophisticated electronic warfare avionics suite denoted APR-38 to detect, analyze, and attack Soviet air defense systems. SHRIKE, MAVERICK, and HARM missiles are utilized for the attack phase. In addition to these, other possible lethal systems include remotely piloted drones with rf sensors (e. g. LOCUST program) and small, high-speed, short range self-protection missiles designed for defensive employment in the event of SAM attack (e. g. Self-Protect-Weapon, SIDEARM, etc. ) The rf sensors for use on these systems present some unique and challenging design problems which stretch the state-of-the-art in several critical microwave component areas. This paper outlines the formidable requirements for passive rf sensors to be used in lethal defense suppression applications and discusses several antenna/receiver architecture options.</t>
  </si>
  <si>
    <t>7004897923;36920548800</t>
  </si>
  <si>
    <t>McLendon, Robert;Turner, Charles</t>
  </si>
  <si>
    <t>McLendon R.</t>
  </si>
  <si>
    <t>BROADBAND SENSORS FOR LETHAL DEFENSE SUPPRESSION.</t>
  </si>
  <si>
    <t>2-s2.0-0020819318</t>
  </si>
  <si>
    <t>['working bandwidth', 'widely used', 'waveguide line', 'technical characteristics', 'resonatorless combiners', 'rejection filters', 'paper presents', 'inputs connected', 'common antenna', 'center frequencies', 'adjacent transmitters', '50 mhz', '34 mhz']</t>
  </si>
  <si>
    <t>Systems without resonators are widely used to increase the number of high-power HF transmitters connected to a common antenna over the same waveguide line. Compared with resonance systems using bandpass or band-rejection filters, resonatorless combiners have a higher electrical strength, decoupling of the inputs connected to the transmitter, smaller phase distortions, and reduced insertion losses. The paper presents the design and technical characteristics of a system which combines in one waveguide line the signals of six 3 kw transmitters, operating in the 6 GHz band. The working bandwidth of each transmitter is 34 MHz and the spacing between center frequencies of adjacent transmitters is 50 MHz.</t>
  </si>
  <si>
    <t>28-31</t>
  </si>
  <si>
    <t>6603923880;6508225212;6506411675</t>
  </si>
  <si>
    <t>Model', A. M.;Stuzhin, V. A.;Shkarinov, Yu S.</t>
  </si>
  <si>
    <t>Model' A.</t>
  </si>
  <si>
    <t>MULTITRUNK SYSTEM FOR HF MULTIPLEXING OF ANTENNA-WAVEGUIDE FEEDERS.</t>
  </si>
  <si>
    <t>2-s2.0-0020820067</t>
  </si>
  <si>
    <t>['synthesized antenna', 'radar system']</t>
  </si>
  <si>
    <t>Relations for evaluating the potential resolving power of a radar system with synthesized antenna for uniform straight flight of an aircraft and random observation angle are derived and analyzed.</t>
  </si>
  <si>
    <t>64-66</t>
  </si>
  <si>
    <t>6603625107;35987341000</t>
  </si>
  <si>
    <t>Tolstov, Ye F.;Shapovalov, A. V.</t>
  </si>
  <si>
    <t>Tolstov Y.</t>
  </si>
  <si>
    <t>RESOLVING POWER OF A RADAR SYSTEM WITH SYNTHESIZED-APERTURE ANTENNA FOR A RANDOM OBSERVATION ANGLE.</t>
  </si>
  <si>
    <t>2-s2.0-0020820705</t>
  </si>
  <si>
    <t>['tolerance bounds', 'synthesis procedure', 'specified reliability', 'specific applications', 'solved using', 'order second', 'numerical results', 'moment approach', 'minimum cost', 'antenna structures', 'allocating tolerances']</t>
  </si>
  <si>
    <t>A first-order second-moment approach is given for the prediction of the surface accuracy reliability of antenna structures. A synthesis procedure, using nonlinear programming techniques, of allocating tolerances in antenna structures to achieve the minimum cost for specified reliability and tolerance bounds is presented. The formulated optimal tolerance allocation problem is solved using the Generalized Reduced Gradient code, OPT, and numerical results are given for specific applications.</t>
  </si>
  <si>
    <t>415-424</t>
  </si>
  <si>
    <t>Journal of Mechanisms, Transmissions, and Automation in Design</t>
  </si>
  <si>
    <t>7410349641;7004392358</t>
  </si>
  <si>
    <t>Wang, S. H.;Ragsdell, K. M.</t>
  </si>
  <si>
    <t>Wang S.</t>
  </si>
  <si>
    <t>OPTIMAL ALLOCATION OF ANTENNA STRUCTURAL TOLERANCES BASED ON RELIABILITY.</t>
  </si>
  <si>
    <t>10.1115/1.3267376</t>
  </si>
  <si>
    <t>2-s2.0-0020821790</t>
  </si>
  <si>
    <t>NAS 7-100</t>
  </si>
  <si>
    <t>['second derivatives', 'rms values', 'rights reserved', 'rib antenna', 'parameter variations', 'order controller', 'loop system', 'loop filter', 'inc .,', 'given parameters', 'flexible beam', 'efficient technique', 'dynamic system']</t>
  </si>
  <si>
    <t>A very efficient technique for computing the closed-loop performance sensitivities to parameter variations of a dynamic system with a reduced-order controller has been developed. The eigensystem of the closed-loop system is computed once. With this information, the closed-loop filter and state rms responses, and the first and second derivatives of these rms values with respect to given parameters are computed. Detailed numerical examples using the flexible beam at the Jet Propulsion Laboratory and a 55-m offset-fed, wrap-rib antenna are included. ¬© 1983 American Institute of Aeronautics and Astronautics, Inc., All rights reserved.</t>
  </si>
  <si>
    <t>399-402</t>
  </si>
  <si>
    <t>Schaechter, David B.</t>
  </si>
  <si>
    <t>Schaechter D.</t>
  </si>
  <si>
    <t>Closed-loop control performance sensitivity to parameter variations</t>
  </si>
  <si>
    <t>10.2514/3.19849</t>
  </si>
  <si>
    <t>2-s2.0-0020821908</t>
  </si>
  <si>
    <t>['tubular antennae', 'realistically obtained', 'obtained using', 'narrow gap', 'gap edge', 'francis group']</t>
  </si>
  <si>
    <t>Admittance correction factors are derived for narrow gap, gap exicted cylindrical antennae. These correction factors relate results for the current at the gap edge, and the admittance, obtained using the constant aperture field approximation to results which are more realistically obtained for solid and tubular antennae. ¬© 1983 Taylor and Francis Group, LLC.</t>
  </si>
  <si>
    <t>441-448</t>
  </si>
  <si>
    <t>Williamson, A. G.</t>
  </si>
  <si>
    <t>Auckland</t>
  </si>
  <si>
    <t>The University of Auckland</t>
  </si>
  <si>
    <t>Williamson A.</t>
  </si>
  <si>
    <t>Admittance correction factors for gap excited cylindrical antennae</t>
  </si>
  <si>
    <t>10.1080/00207218308961613</t>
  </si>
  <si>
    <t>2-s2.0-0020822327</t>
  </si>
  <si>
    <t>['wave dipole', 'pure resistance', 'paper describes', 'middle points', 'increased directivity', 'francis group', 'first analyse', 'fed half', 'fed full', 'calculations show', 'bidirectional beam', 'bent dipole', 'bending angle', 'antenna arm', '90 ¬∞']</t>
  </si>
  <si>
    <t>This paper describes the characteristics of modified dipole antennae whose arms are bent at their middle points. On the basis of an integral equation method, we first analyse a centre-fed half-wave dipole, paying special attention to the bending angle of the antenna arm. It is found that the bent dipole with a bending angle of 90¬∞ can be made to resonate with nearly a pure resistance of 50 Œ©. Secondly, we analyse an asymmetric-fed full-wave bent dipole for the purpose of improving the directivity. Calculations show how a bidirectional beam of increased directivity can be formed as the bending angle of the arm is increased. ¬© 1983 Taylor and Francis Group, LLC.</t>
  </si>
  <si>
    <t>353-364</t>
  </si>
  <si>
    <t>60030526;60030526;60030526;60030526</t>
  </si>
  <si>
    <t>55633340100;56405174700;55414809200;7403255155</t>
  </si>
  <si>
    <t>Nakano, Hisamatsu;Yamauchi, Junji;Kawashima, Kazuhiro;Hirose, Kazuhide</t>
  </si>
  <si>
    <t>Hosei University</t>
  </si>
  <si>
    <t>Effects of arm bend and asymmetric feeding on dipole antennae</t>
  </si>
  <si>
    <t>10.1080/00207218308961603</t>
  </si>
  <si>
    <t>2-s2.0-0020824336</t>
  </si>
  <si>
    <t>['¬© 1983', 'reaction center', 'primary photochemistry', 'photosystem 2', 'may function', 'highly purified', 'fluorescence peak', 'distinctly different', 'da polypeptides', 'da polypeptide', 'binding subunits', 'b contained', 'absorption spectra', '694 nm', '686 nm', '000 da']</t>
  </si>
  <si>
    <t>The reaction center of photosystem 2 has been highly purified from digitonin-solubilized thylakoid membranes of the thermophilic cyanobacterium Synechococcus sp. by means of sucrose density gradient centrifugation and electrophoresis on polyacrylamide gels containing digitonin. Sodium dodecyl sulfate-polyacrylamide gel electrophoresis of isolated reaction center complex yielded four chlorophyll a proteins named CP2-a, CP2-b, CP2-c, and CP2-d. When reelectrophoresed, CP2-a was transformed to CP2-d, and CP2-b was converted to CP2-a and CP2-d. The reaction center complex consisted of two major polypeptides of 47,000 and 40,000 Da and several minor polypeptides. CP2-b contained a 47,000-Da polypeptide together with 66,000- and 31,000-Da polypeptides, while CP2-a and CP2-d had only a 47,000-Da polypeptide. The apoprotein of CP2-c was a 40,000-Da polypeptide. Absorption spectra of CP2-a, -b, and -d were similar to each other but distinctly different from those of CP2-c at liquid nitrogen temperature. The reaction center complex showed two fluorescence emission bands at 686 and 694 nm at 77 ¬∞K. CP2-a, -b, and -d emitted the band at 694 nm, whereas the fluorescence peak at 686 nm was associated with CP2-c. It is concluded that the photosystem 2 reaction center complex contains two chlorophyll-binding subunits, CP2-d (or CP2-a) which may be the site of the primary photochemistry of photosystem 2 and CP2-c which may function as the antenna of the reaction center of photosystem 2. ¬© 1983.</t>
  </si>
  <si>
    <t>836-846</t>
  </si>
  <si>
    <t>Archives of Biochemistry and Biophysics</t>
  </si>
  <si>
    <t>60025272;60025272</t>
  </si>
  <si>
    <t>7102924019;7202864511</t>
  </si>
  <si>
    <t>Yamagishi, Akihiko;Katoh, Sakae</t>
  </si>
  <si>
    <t>The University of Tokyo</t>
  </si>
  <si>
    <t>Yamagishi A.</t>
  </si>
  <si>
    <t>Two chlorophyll-binding subunits of the photosystem 2 reaction center complex isolated from the thermophilic cyanobacterium Synechococcus sp</t>
  </si>
  <si>
    <t>0003-9861(83)90096-6</t>
  </si>
  <si>
    <t>10.1016/0003-9861(83)90096-6</t>
  </si>
  <si>
    <t>2-s2.0-0020825834</t>
  </si>
  <si>
    <t>['submillimeter dimensions', 'situ measurements', 'probe consists', 'practical electric', 'paper reports', 'many areas', 'field strengths', 'electronics engineers', '1200 v']</t>
  </si>
  <si>
    <t>Many areas of biological research await the development of practical electric (E)-field probes with submillimeter dimensions for in situ measurements of RF electromagnetic fields. This paper reports on the design, fabrication, and testing of such a probe. The probe consists of a 0.6-mm dipole antenna, a zero-bias Schottky barrier diode and a unique highly resistive output lead structure. Experimental results indicate the probe does not perturb the field under investigation and is linear over a range of field strengths from less than 60 to over 1200 V/m. The probe has been designed so as to be independent of the media in which measurements are being made. Copyright ¬© 1983 by The Institute of Electrical and Electronics Engineers, Inc.</t>
  </si>
  <si>
    <t>745-751</t>
  </si>
  <si>
    <t>60021918;60076595</t>
  </si>
  <si>
    <t>7003735231;6507477569</t>
  </si>
  <si>
    <t>Batchman, T. E.;Gimpelson, George</t>
  </si>
  <si>
    <t>Milpitas;Charlottesville</t>
  </si>
  <si>
    <t>Intersil Inc.;University of Virginia</t>
  </si>
  <si>
    <t>60076595;60021918</t>
  </si>
  <si>
    <t>Batchman T.E.</t>
  </si>
  <si>
    <t>An Implantable Electric-Field Probe of Submillimeter Dimensions</t>
  </si>
  <si>
    <t>10.1109/TMTT.1983.1131584</t>
  </si>
  <si>
    <t>2-s2.0-0020826690</t>
  </si>
  <si>
    <t>['¬© 1983', 'typical syndrome', 'type antennae', 'posterior compartments', 'posterior compartment', 'mitotic recombination', 'locally required', 'expected therefore', 'engrailed mutations', 'en1 enc2', 'clones showed', 'cells mutant', 'anterior transformation', 'anterior compartment']</t>
  </si>
  <si>
    <t>The eye-antenna imaginal disc of Drosophila is subdivided into anterior and posterior compartments and it is expected therefore that the engrailed gene would be locally required in the posterior compartment. Here we describe the phenotype of engrailed mutations in the antenna. Clones of cells which were mutant for en1 enC2 were produced in wild-type antennae by mitotic recombination. The clones showed the typical syndrome of cells mutant for engrailed, being normal in the anterior compartment and showing partial posterior-to-anterior transformation in the posterior compartment. ¬© 1983.</t>
  </si>
  <si>
    <t>27-33</t>
  </si>
  <si>
    <t>60026796;60031970;60010269</t>
  </si>
  <si>
    <t>7005042080;7006097931;26643129900</t>
  </si>
  <si>
    <t>Morata, Gines;Kornberg, Thomas;Lawrence, Peter A.</t>
  </si>
  <si>
    <t>United States;Spain;United Kingdom</t>
  </si>
  <si>
    <t>San Francisco;Madrid;Cambridge</t>
  </si>
  <si>
    <t>UCSF School of Medicine;Universidad Aut√≥noma de Madrid;The Medical Research Council Laboratory of Molecular Biology</t>
  </si>
  <si>
    <t>60031970;60026796;60010269</t>
  </si>
  <si>
    <t>Morata G.</t>
  </si>
  <si>
    <t>The phenotype of engrailed mutations in the antenna of Drosophila</t>
  </si>
  <si>
    <t>10.1016/0012-1606(83)90250-6</t>
  </si>
  <si>
    <t>2-s2.0-0020827606</t>
  </si>
  <si>
    <t>['two degrees', 'sidelobe discriminations', 'reduce c', 'paper discusses', 'fcc decision']</t>
  </si>
  <si>
    <t>The paper discusses the FCC decision to reduce C-band and Ku-band orbital satellite spacing to two degrees. This implies the improvement of sidelobe discriminations.</t>
  </si>
  <si>
    <t>Kachmar, Michael</t>
  </si>
  <si>
    <t>Kachmar M.</t>
  </si>
  <si>
    <t>NEW SATELLITE SPACING PUTS BURDEN ON ANTENNA MAKERS.</t>
  </si>
  <si>
    <t>2-s2.0-0020827766</t>
  </si>
  <si>
    <t>['weight ratios', 'produced economically', 'infrared wavelengths', 'high strength', 'accurate control', '15 nm']</t>
  </si>
  <si>
    <t>Metal-coated graphite whiskers with high strength-to-weight ratios for self-oriented antennas may be produced economically on a continuous roller whisker growing system. It is shown that robust plated graphite antennas of optical and infrared wavelengths can be grown with accurate control of length and with diameters as small as 15 nm.</t>
  </si>
  <si>
    <t>2589-2590</t>
  </si>
  <si>
    <t>Oct</t>
  </si>
  <si>
    <t>7005986346;23032881800</t>
  </si>
  <si>
    <t>Cuomo, J. J.;Van Vechten, J. A.</t>
  </si>
  <si>
    <t>Cuomo J.</t>
  </si>
  <si>
    <t>SELF-ORIENTING MICRO-ANTENNA.</t>
  </si>
  <si>
    <t>2-s2.0-0020829629</t>
  </si>
  <si>
    <t>['squared profiles', 'single integration', 'profile geometry', 'numerical examples', 'mode conversion', 'horn profiles', 'general features', 'converted mode', 'closed form']</t>
  </si>
  <si>
    <t>A treatment of mode conversion along a profiled corrugated horn is presented. The level of a converted mode is derived as a single integration over the horn's length, the integrand of which is obtained in a closed form in terms of the spherical modal parameters and the profile geometry. Numerical examples are given for mode conversion from the dominant HE//1//1 to higher-order HE//1//2 and EH//1//2 modes for a class of cosine-squared profiles. General features of horn profiles that reduce mode conversion are deduced.</t>
  </si>
  <si>
    <t>415-419</t>
  </si>
  <si>
    <t>Mahmoud, S. F.</t>
  </si>
  <si>
    <t>Mahmoud S.</t>
  </si>
  <si>
    <t>MODE CONVERSION ON PROFILED CORRUGATED CONICAL HORNS.</t>
  </si>
  <si>
    <t>10.1049/ip-h-1.1983.0072</t>
  </si>
  <si>
    <t>2-s2.0-0020829836</t>
  </si>
  <si>
    <t>['wide range', 'tapered section', 'parasitic helix', 'isolated spiral', 'equation method', 'axial ratio', 'antenna system', '7 lambda']</t>
  </si>
  <si>
    <t>By using an integral-equation method, a 6-turn parasitic helix with a tapered section is analyzed to reveal its operation as a director for a circularly polarized wave. It is demonstrated that a parasitic helix, illuminated by a circularly polarized plane wave, maintains directive properties over a wide range of frequencies from 1. 0-1. 7 lambda . On the basis of this result, an antenna system composed of a rectangular spiral antenna and a parasitic helix is discussed. It is found, both numerically and experimentally, that the gain of the antenna system is increased above that of the isolated spiral, while the inherent input impedance of the spiral is maintained. The axial ratio of the antenna system is better than that of the spiral.</t>
  </si>
  <si>
    <t>391-396</t>
  </si>
  <si>
    <t>55633340100;7402011206;57220533028</t>
  </si>
  <si>
    <t>Nakano, H.;Yamane, T.;Yamauchi, J.</t>
  </si>
  <si>
    <t>DIRECTIVE PROPERTIES OF PARASITIC HELIX AND ITS APPLICATION TO CIRCULARLY POLARISED ANTENNA.</t>
  </si>
  <si>
    <t>10.1049/ip-h-1.1983.0068</t>
  </si>
  <si>
    <t>2-s2.0-0020829903</t>
  </si>
  <si>
    <t>['tabular form', 'science instruments', 'pointing performance', 'pointing capabilities', 'pointing analysis', 'paper describes', 'models needed', 'levied requirements', 'gain antenna', 'determination process', 'analysis required']</t>
  </si>
  <si>
    <t>This paper describes the analysis required to evaluate the pointing performance of the Galileo spacecraft science instruments and antenna. The main contribution lies in the development of the models needed for pointing analysis. Pointing control mechanisms of the science instruments, as well as the spacecraft autonomous attitude-determination process and the pointing control mechanisms for the high-gain antenna, are provided in order to identify the various error sources involved. A covariance analysis method is then used to obtain the pointing capabilities of the instruments and the antenna. The results are depicted in tabular form to compare the capabilities against the levied requirements.</t>
  </si>
  <si>
    <t>545-559</t>
  </si>
  <si>
    <t>Oct-Dec</t>
  </si>
  <si>
    <t>7003598668;7006891835</t>
  </si>
  <si>
    <t>Hayati, Samad A.;Jahanshahi, Michael H.</t>
  </si>
  <si>
    <t>Hayati S.</t>
  </si>
  <si>
    <t>POINTING PERFORMANCE OF A DUAL-SPIN SPACECRAFT.</t>
  </si>
  <si>
    <t>2-s2.0-0020830235</t>
  </si>
  <si>
    <t>['vhf energy', 'rectennas used', 'experimentally investigated', 'dc energy', 'certain characteristics']</t>
  </si>
  <si>
    <t>Certain characteristics of rectennas used as receivers and converters of VHF energy into dc energy in energy-transfer systems using VHF beams are theoretically and experimentally investigated.</t>
  </si>
  <si>
    <t>95-97</t>
  </si>
  <si>
    <t>6603418988;6506884776;6603472575;7003735802</t>
  </si>
  <si>
    <t>Boyakhchyan, G. P.;Erastov, A. V.;Lesota, S. K.;Shkol'nikov, E. N.</t>
  </si>
  <si>
    <t>RECTENNA SYSTEMS.</t>
  </si>
  <si>
    <t>2-s2.0-0020830458</t>
  </si>
  <si>
    <t>['wide coverage', 'video applications', 'tdm frame', 'system model', 'system economy', 'superior features', 'spectrum spreading', 'problems include', 'plural antenna', 'level control', 'essential problems', 'efficient use', 'commmunications system', 'center station', 'burst waves', 'antenna characteristics']</t>
  </si>
  <si>
    <t>Multidirection time division multiplex (MD-TDM) has superior features as a point-to-multipoint (P-MP) commmunications system for telephony, data, facsimile and video applications. Essential problems in MD-TDM microwave communication systems are discussed. Such problems include: efficient frequency utilization, system economy, system model and antenna characteristics, efficient use of MD-TDM frame, control of spectrum spreading of burst waves, synchronization of MD-TDM digital signals, use of plural antenna for wide coverage from a center station and level control for MD-TDM burst waves.</t>
  </si>
  <si>
    <t>Takada, Masami</t>
  </si>
  <si>
    <t>Takada M.</t>
  </si>
  <si>
    <t>MULTIDIRECTION TIME DIVISION MULTIPLEX SYSTEM FOR POINT-TO-MULTIPOINT COMMUNICATION.</t>
  </si>
  <si>
    <t>2-s2.0-0020830604</t>
  </si>
  <si>
    <t>['wind throughout', 'use either', 'upper meter', 'typically r', 'typical speed', 'two methods', 'surrounding continuum', 'surface currents', 'strips parallel', 'standard deviations', 'squares methods', 'shore obtained', 'several formulations', 'order spectrum', 'october 23', 'ocean wave', 'monopole system', 'model fitting', 'known physics', 'iobe problems', 'interpretive aids', 'following advantages', 'echo phase', 'distances greater', 'decreased accuracy', 'data taken', 'current velocities', 'coverage area', 'coordinate map', 'continuity evaluated', 'compact crossed', 'codar 4', 'closely parallel', 'antenna elements', 'angle uncertainties', 'angle model', 'analysis procedures', 'also gives', 'almost always', 'aj determine', '50 cm', '4 cm', '36 km', '30 ¬∞', '3 ¬∞;', '3 cm', '20 km', '1980 ),', '12 ¬∞', '1 percent']</t>
  </si>
  <si>
    <t>Least-squares methods are demonstrated that extract surface current radial velocities from first-order Coastal Ocean Dynamics Applications Radar (CODAR) sea-echo Doppler spectra for the compact crossed-loop/monopole antenna system. Based on the known physics of first-order sea scatter at HF, these techniques, implemented as software, are objective and automatic in that they: aj determine from the sea-echo phase and amplitude correction factors for the antenna elements; b) separate the first-order spectrum from the surrounding continuum for arbitrarily varying current conditions; c) using statistical hypothesis testing, select and use either a single or dual-angle model for radial current patterns, whichever best fits the data; d) calculate angles associated with given radial velocities; e) combine the data into a polar-coordinate map of radial velocity versus position; and f) calculate radial velocity uncertainties at each point on the map. In addition, as interpretive aids, two methods are evaluated and compared that provide total current vectors from single-site CODAR data, along with their uncertainties: model fitting and the application of the equation of continuity. It is shown how these methods can be applied to the older, CODAR 4-element antenna system, however, the following advantages of the crossed-loop/monopole system are discussed: it is physically more compact; analysis procedures are more efficient; resulting current velocities are more accurate, because there are no side-Iobe problems; and finally, it also gives the ocean wave-height directional spectrum. These methods are tested and optimized against data taken during the Atlantic Remote Sensing Land Ocean Experiment (ARSLOE) storm (October 23-21, 1980), when surface currents varied in speed between 0-50 cm/s and over nearly 300¬∞ in angle. Current velocities were measured to a range of 36 km from the radar. Standard deviations in angle are typically r-3¬∞; these translate to 2-3 cm/s rms radial velocity uncertainties over most of the coverage area, with decreased accuracy in angular sectors nearest the coast. Total current velocity vectors in strips parallel to shore obtained from model fitting have typical speed and angle uncertainties of 4 cm/s and 12¬∞, respectively. Of the several formulations for the equation of continuity evaluated here, the best gave uncertainties of S cm/s, 12¬∞ at the closest range cells; these values increase rapidly with range to exceed 20 cm/s, 30¬∞ for distances greater than 20 km. The surface currents were observed to follow the wind throughout most of the storm at ARSLOE, but the current was almost always more closely parallel to the shore than the wind. An interesting exception occurred when the onshore storm wind that had prevailed for two days ceased; there was a rush of surface current directly offshore as the storm-surge sea level dropped. The surface current speed measured by CODAR in the upper meter of the ocean was, on the average, 2.1 percent of the windspeed. ¬© 1983 SDAIEEE</t>
  </si>
  <si>
    <t>226-253</t>
  </si>
  <si>
    <t>100477431;109541487</t>
  </si>
  <si>
    <t>7003279790;7005431123</t>
  </si>
  <si>
    <t>Lipa, Belinda J.;Barrick, Donald E.</t>
  </si>
  <si>
    <t>Boulder;Woodside</t>
  </si>
  <si>
    <t>Ocean Surface Research;Ocean Surface Research</t>
  </si>
  <si>
    <t>109541487;100477431</t>
  </si>
  <si>
    <t>Lipa B.</t>
  </si>
  <si>
    <t>Least-Squares Methods for the Extraction of Surface Currents from CODAR Crossed-Loop Data: Application at ARSLOE</t>
  </si>
  <si>
    <t>10.1109/JOE.1983.1145578</t>
  </si>
  <si>
    <t>2-s2.0-0020830963</t>
  </si>
  <si>
    <t>['wiley company', 'slant angle', 'simplified analysis', 'rectangular waveguides', 'physical requirement', 'phase distribution', 'numerically obtained', 'normalized frequency', 'near field', 'measurement technique', 'measurement process', 'inc .,', 'free ends', 'free end', 'field near', 'field distribution', 'electromagnetic field', 'different shapes', 'dielectric waveguide', 'antenna location', 'analytical treatment']</t>
  </si>
  <si>
    <t>The field intensities near the free ends of circular and rectangular waveguides with various end profiles are measured in the microwave frequency range. It is found that there exist characteristic field profiles in front and rear of the free ends depending on the shape, slant angle and normalized frequency. the field is measured by scanning a probe antenna near the free end. the measurement process is semi‚Äêautomated with a microcomputer which controls the antenna location and processes measured data. In general, analytical treatment of the discontinuities in a dielectric waveguide is complicated. In this paper, a simplified analysis is introduced for finding approximate values of the field near the free end. From the physical requirement on the field near the free end and the phase distribution on the free end, the electromagnetic field on the free end is assumed. This field distribution is used as a source from which the near field is numerically obtained. the numerical results exhibit characteristics of the measured field except for those near the extremities. the measurement technique and the approximate analysis reported here may be applied to free ends with different shapes. Copyright ¬© 1983 Wiley Periodicals, Inc., A Wiley Company</t>
  </si>
  <si>
    <t>60010742;60010742</t>
  </si>
  <si>
    <t>7202524047;7402512428</t>
  </si>
  <si>
    <t>Matsumura, Kazuhito;Kawamura, Hajime</t>
  </si>
  <si>
    <t>Utsunomiya</t>
  </si>
  <si>
    <t>Utsunomiya University</t>
  </si>
  <si>
    <t>Matsumura K.</t>
  </si>
  <si>
    <t>Near field distributions around free ends of dielectric waveguide</t>
  </si>
  <si>
    <t>10.1002/ecja.4400661010</t>
  </si>
  <si>
    <t>2-s2.0-0020831679</t>
  </si>
  <si>
    <t>['wide band', 'special features', 'linear aperture', 'interference ratio', 'energy signal', 'arrival directions', 'angular resolution']</t>
  </si>
  <si>
    <t>Angular resolution of space-time wideband signals, received by a linear aperture in the form of two closely spaced antenna arrays with electrical (temporal or phase) tuning is analyzed. Signal processing systems are compared. Special features of the effect of the wide band and arrival directions of signals on the energy signal-to-interference ratio are determined.</t>
  </si>
  <si>
    <t>32-35</t>
  </si>
  <si>
    <t>6603422272;6506954111</t>
  </si>
  <si>
    <t>Bagdasaryan, S. T.;Zinevich, E. P.</t>
  </si>
  <si>
    <t>Bagdasaryan S.</t>
  </si>
  <si>
    <t>ANGULAR RESOLUTION OF WIDEBAND SIGNALS RECEIVED BY TWO CLOSELY SPACED LINEAR ANTENNA ARRAYS.</t>
  </si>
  <si>
    <t>2-s2.0-0020831777</t>
  </si>
  <si>
    <t>['wide axial', 'two types', 'three sets', 'strip radiator', 'strip dipole', 'space dipole', 'ratio bandwidth', 'previous paper', 'fed printed', 'dipole spacings', 'different strip', 'design procedure', 'complementary radiator', 'axial ratio', 'array antenna', '3 db']</t>
  </si>
  <si>
    <t>A circularly polarized series-fed printed-array antenna having a wide axial-ratio bandwidth (for an axial ratio of less than 3 db) is realized by combining strip dipoles with slots. To form a free-space dipole, i. e. a complementary radiator to a slot, the strip dipole is constructed by modifying the strip radiator of the circularly polarized antenna presented in a previous paper. Several experiments verify that the strip dipole behaves like a free-space dipole. A design procedure of the circularly polarized printed antenna with a wide axial-ratio bandwidth is described. On the basis of the design procedure, two types of the array antenna having different strip-dipole spacings are made and measured at S-band. An axial-ratio bandwidth of about 27% is obtained for the three sets of the radiators.</t>
  </si>
  <si>
    <t>397-402</t>
  </si>
  <si>
    <t>Ito, K.</t>
  </si>
  <si>
    <t>CIRCULARLY POLARISED PRINTED ANTENNA WITH WIDE AXIAL-RATIO BANDWIDTH USING STRIP DIPOLES AND SLOTS.</t>
  </si>
  <si>
    <t>10.1049/ip-h-1.1983.0069</t>
  </si>
  <si>
    <t>2-s2.0-0020832094</t>
  </si>
  <si>
    <t>['target accuracy', 'surface roughness', 'removed using', 'physical oceanography', 'parametric calculations', 'ocean surface', 'microwave emission', 'measuring salinity', 'looking antenna', 'galactic radiation', 'error resulting', 'emission due', 'electronics engineers', 'art provided', '800 mhz']</t>
  </si>
  <si>
    <t>Parametric calculations of the microwave emission from the ocean surface are presented to determine the optimum electromagnetic wavelength for measuring salinity. At 800 MHz, a target accuracy of 240 parts per million is within the state of the art provided that emission due to surface roughness is negligible, or correctable, and that the error resulting from galactic radiation can be removed using an upward-looking antenna. Examples of salinity measurements relevant to physical oceanography are presented, and a possible spacecraft system is discussed. Copyright ¬© 1983 by The Institute of Electrical and Electronics Engineers, Inc.</t>
  </si>
  <si>
    <t>480-491</t>
  </si>
  <si>
    <t>60014313;60014313</t>
  </si>
  <si>
    <t>7101802161;7103288212</t>
  </si>
  <si>
    <t>Swift, Calvin T.;McIntosh, Robert E.</t>
  </si>
  <si>
    <t>Swift C.</t>
  </si>
  <si>
    <t>Considerations for Microwave Remote Sensing of Ocean-Surface Salinity</t>
  </si>
  <si>
    <t>10.1109/TGRS.1983.350511</t>
  </si>
  <si>
    <t>2-s2.0-0020832161</t>
  </si>
  <si>
    <t>['similar structure', 'radiation characteristics', 'optimized parameters', 'high directivity', 'francis group', 'cup antenna', 'band short', 'backfire antenna', 'antenna comprises']</t>
  </si>
  <si>
    <t>An X-band short-backfire antenna has been constructed and tested to optimize its radiation characteristics. The antenna comprises a backfire structure illuminated by an open-ended circular waveguide. The antenna has a high directivity, and symmetrical radiation pattern. The optimized parameters of the antenna have been measured and compared with that of a cup antenna of similar structure. ¬© 1983 Taylor &amp; Francis Group, LLC.</t>
  </si>
  <si>
    <t>60071174;60071174</t>
  </si>
  <si>
    <t>6506025555;6602533057</t>
  </si>
  <si>
    <t>Komisarczuk, J.;Marougi, S. D.</t>
  </si>
  <si>
    <t>Iraq</t>
  </si>
  <si>
    <t>Basra</t>
  </si>
  <si>
    <t>University of Basrah</t>
  </si>
  <si>
    <t>Komisarczuk J.</t>
  </si>
  <si>
    <t>Short-backfire antenna with circular waveguide feed element</t>
  </si>
  <si>
    <t>10.1080/00207218308961641</t>
  </si>
  <si>
    <t>2-s2.0-0020832668</t>
  </si>
  <si>
    <t>['repeater stations', 'provide isolation', 'omnidirectional coverage', 'octave bandwidth', 'multiple transmitters', 'experimental results', 'described showing', 'circular array', 'central antennas']</t>
  </si>
  <si>
    <t>The application of a circular array for the central antennas of base/repeater stations in mobile communication systems is reported. The antenna is fed from a multiple-port feed network, which offers a number of electrically independent patterns which have omnidirectional coverage. The nature of the network is described showing how it can provide isolation between multiple transmitters and receivers. Experimental results are presented which suggest that 30 db isolation can be achieved over an octave bandwidth.</t>
  </si>
  <si>
    <t>410-414</t>
  </si>
  <si>
    <t>NOVEL METHOD OF MULTIPLEXING RADIOCOMMUNICATION ANTENNAS USING CIRCULAR-ARRAY CONFIGURATION.</t>
  </si>
  <si>
    <t>10.1049/ip-h-1.1983.0071</t>
  </si>
  <si>
    <t>2-s2.0-0020832684</t>
  </si>
  <si>
    <t>['¬© 1983', 'satisfactory performance', 'rights reserved', 'rfi measurements', 'proposed free', 'paper describes', 'new procedure', 'identified positively', 'electrical engineers', 'also enables']</t>
  </si>
  <si>
    <t>Antennas | Interference</t>
  </si>
  <si>
    <t>CISPR publication 16 describes a simple test procedure for assessing the suitability of a site for the making of RFI measurements. The paper describes an improved test procedure which also enables those features of a site which are detrimental to its satisfactory performance to be identified positively. The new procedure has been utilised to assess the site for the proposed free-field EMI test range at IBM Hursley Park, and some results from this assessment are included. ¬© 1983, The Institution of Electrical Engineers. All rights reserved.</t>
  </si>
  <si>
    <t>548-556</t>
  </si>
  <si>
    <t>60001881;60001881</t>
  </si>
  <si>
    <t>7404251432;7101898419</t>
  </si>
  <si>
    <t>Bennett, J. C.;Chambers, B.</t>
  </si>
  <si>
    <t>Sheffield</t>
  </si>
  <si>
    <t>The University of Sheffield</t>
  </si>
  <si>
    <t>Bennett J.</t>
  </si>
  <si>
    <t>Identification of unwanted scatterers on a free-field EMI test range</t>
  </si>
  <si>
    <t>10.1049/ip-f-1.1983.0086</t>
  </si>
  <si>
    <t>2-s2.0-0020833182</t>
  </si>
  <si>
    <t>['wave impedance', 'two principles', 'theoretical analysis', 'sampling oscilloscope', 'results support', 'reflection due', 'reflection coefficient', 'optimized antennas', 'observed using', 'mode conversion', 'good pulse', 'frequency domain', 'feed line', 'different tem']</t>
  </si>
  <si>
    <t>The reflection coefficient of open-ended, parallel-plate transmission lines of different TEM-wave impedance, Z//0, have been observed using an impulsive source waveform and a sampling oscilloscope. When converted to the frequency domain the results support the theoretical analysis of mode conversion and reflection due to L. A. Weinstein. Reflection from a smoothly tapered Z//0 within the feed line is considered, showing that good pulse-optimized antennas can be designed on these two principles.</t>
  </si>
  <si>
    <t>403-409</t>
  </si>
  <si>
    <t>36184993700;55167999400</t>
  </si>
  <si>
    <t>Evans, S.;Kong, F. N.</t>
  </si>
  <si>
    <t>Evans S.</t>
  </si>
  <si>
    <t>TEM HORN ANTENNA: INPUT REFLECTION CHARACTERISTICS IN TRANSMISSION.</t>
  </si>
  <si>
    <t>10.1049/ip-h-1.1983.0070</t>
  </si>
  <si>
    <t>2-s2.0-0020833204</t>
  </si>
  <si>
    <t>['radiation properties', 'radiated powers', 'plasma medium', 'plasma frequencies', 'efficient antenna', 'dipole antenna', 'different ratios', 'axial slot', 'alford loop']</t>
  </si>
  <si>
    <t>The radiation properties of an Alford loop, corner driven loop, an axial slot and a dipole antenna are compared in this paper. Graphs are plotted for the field pattern factors and the radiated powers of all these antennas for different ratios of the source to the plasma frequencies. It is concluded that the Alford loop antenna is the most efficient antenna for working in the plasma medium.</t>
  </si>
  <si>
    <t>512-517</t>
  </si>
  <si>
    <t>36042421800;7005277188;57226074566;6506658694</t>
  </si>
  <si>
    <t>Gupta, R. K.;Arora, C. L.;Kumar, Anil;Gujar, N. K.</t>
  </si>
  <si>
    <t>Gupta R.K.</t>
  </si>
  <si>
    <t>COMPARISON OF THE PERFORMANCE OF DIFFERENT TYPES OF SATELLITE ANTENNAS IN A TWO COMPONENT WARM PLASMA.</t>
  </si>
  <si>
    <t>10.1080/03772063.1983.11453145</t>
  </si>
  <si>
    <t>2-s2.0-0020833235</t>
  </si>
  <si>
    <t>['single patch', 'patch antennas', 'paper presents', 'method avoids', 'high frequencies', 'feed lines', 'extremely useful', 'array applications', '8 elements']</t>
  </si>
  <si>
    <t>The paper presents a novel feeding scheme for excitation of microstrip patch array antennas. The feeding network consists of stripline power divider using hybrid rings and the coupling from stripline to the feedpoint of patch is achieved by a thin metal probe. This method avoids the radiation losses due to feed lines at high frequencies and is extremely useful for scanning-array applications. There is also considerable improvement in the bandwidth of patch antennas as compared to the conventional feeding techniques. The results on single patch and array of 8 elements are presented showing good impedance match over 10% bandwidth at X-band.</t>
  </si>
  <si>
    <t>497-500</t>
  </si>
  <si>
    <t>7005435644;7203047337</t>
  </si>
  <si>
    <t>Pandharipande, V. M.;Verma, K. G.</t>
  </si>
  <si>
    <t>Pandharipande V.</t>
  </si>
  <si>
    <t>WIDE BAND MICROSTRIP PATCH ARRAY AT X-BAND.</t>
  </si>
  <si>
    <t>10.1080/03772063.1983.11453140</t>
  </si>
  <si>
    <t>2-s2.0-0020833236</t>
  </si>
  <si>
    <t>['radiation pattern']</t>
  </si>
  <si>
    <t>Using rigorous relationships relating the distribution of the field in the aperture of an antenna with its radiation pattern, practically realizable distributions providing an aperture surface utilization factor greater than unity are obtained.</t>
  </si>
  <si>
    <t>SYNTHESIS OF ANTENNAS WITH WEAKLY EXPRESSED SUPERDIRECTIVITY.</t>
  </si>
  <si>
    <t>2-s2.0-0020833330</t>
  </si>
  <si>
    <t>['remote position', 'periodic antenna', 'modern materials', 'integral control', 'installed rapidly', 'frequencies ranging', 'careful design', '4 mhz', '30 mhz']</t>
  </si>
  <si>
    <t>The Marconi R1760 rotatable log-periodic antenna is a mast-mounted array designed for transmitting or receiving in any direction at frequencies ranging from 4 MHz to 30 MHz. Careful design and the use of modern materials have produced an extremely lightweight package which can be installed rapidly and simply. The integral control and drive facility allow rotation of the antenna to be controlled either locally or from a remote position.</t>
  </si>
  <si>
    <t>33-36</t>
  </si>
  <si>
    <t>R1760 - A NEW ROTATABLE LOG PERIODIC ANTENNA FOR THE hf BAND.</t>
  </si>
  <si>
    <t>2-s2.0-0020833777</t>
  </si>
  <si>
    <t>['waveguide simulators', 'theoretical results', 'single grid', 'performance limitations', 'new method', 'measurement technique', 'frequency range', 'electromagnetic model', 'attractive alternative', '18 ghz']</t>
  </si>
  <si>
    <t>A new method for dimensioning a multiple layer Frequency Selective Surface (FSS) based on an appropriate electromagnetic model will be examined. Feasibility and performance limitations of FSS having a single grid of Jerusalem crosses packed with several dielectric slabs will be analyzed. The technique of waveguide simulators is proposed as an attractive alternative to the radiation measurement technique. Experimental and theoretical results, in the frequency range of 8-18 GHz, are discussed in order to point out: the validity of the measurement technique and the accuracy of the electromagnetic model.</t>
  </si>
  <si>
    <t>327-331</t>
  </si>
  <si>
    <t>7003337338;6701447666;6701572321;6603814793;7004085807</t>
  </si>
  <si>
    <t>Bielli, P.;Contu, S.;Savini, D.;Saitto, A.;Tascone, R.</t>
  </si>
  <si>
    <t>DESIGN AND MEASUREMENT OF FREQUENCY SELECTIVE SURFACES.</t>
  </si>
  <si>
    <t>2-s2.0-0020834909</t>
  </si>
  <si>
    <t>['upper edges', 'upper bandedge', 'suppresses normal', 'reflection coefficient', 'narrowband fluctuations', 'mode generation', 'frequency gain', 'edge tapering', 'backplane cavity', 'anomalies responses']</t>
  </si>
  <si>
    <t>Swept-frequency radiation patterns for several helical antennas indicate that both the lower and upper edges of the passband are marked by the occurrence of anomalies responses which are characterized by very narrowband fluctuations in the swept-frequency gain and axial ratio plots. The upper bandedge gain anomalies coincide with the reflection coefficient and axial ratio variations reported in the literature. The occurrence of both the upper and lower bandedge anomalies is shown to be related to two mode stop regions in the helix dispersion diagram. Several suggested tapering schemes have been tested and it is shown that the lower bandedge anomalies, unlike those which occur at the upper bandedge, cannot be controlled by front-edge tapering. A modification of the feedpoint and backplane cavity which suppresses normal-mode generation is required to affect the lower bandedge anomalies.</t>
  </si>
  <si>
    <t>153-156</t>
  </si>
  <si>
    <t>7004680083;7201515471</t>
  </si>
  <si>
    <t>Tranquilla, J. M.;Graham, G. B.</t>
  </si>
  <si>
    <t>SWEPT-FREQUENCY RADIATION PATTERN ANOMALIES ON HELICAL ANTENNAS.</t>
  </si>
  <si>
    <t>10.1109/CEEJ.1983.6591844</t>
  </si>
  <si>
    <t>2-s2.0-0020834967</t>
  </si>
  <si>
    <t>['system uses', 'measurement precision', 'measurement equipment', 'generation system', 'design antennas']</t>
  </si>
  <si>
    <t>Requirements of advanced-design antennas have dictated new standards of measurement precision, spurring the development of a second-generation system with an order of magnitude accuracy improvement. This system uses an advanced laser interferometry system, the state-of-the-art in measurement equipment.</t>
  </si>
  <si>
    <t>Harmening, W. A.</t>
  </si>
  <si>
    <t>Harmening W.</t>
  </si>
  <si>
    <t>LASER-BASED, NEAR-FIELD, PROBE POSITION MEASUREMENT SYSTEM.</t>
  </si>
  <si>
    <t>2-s2.0-0020835501</t>
  </si>
  <si>
    <t>['systematic errors', 'significantly less', 'reflectometer constructed', 'previously expected', 'directional couplers']</t>
  </si>
  <si>
    <t>The systematic errors in a reflectometer constructed from directional couplers are derived more accurately. It is shown that these errors are significantly less than previously expected when the mismatch is bad.</t>
  </si>
  <si>
    <t>108-109</t>
  </si>
  <si>
    <t>Movsin, V. Ye</t>
  </si>
  <si>
    <t>Movsin V.</t>
  </si>
  <si>
    <t>ESTIMATE OF THE SYSTEMATIC ERRORS OF A REFLECTOMETER.</t>
  </si>
  <si>
    <t>2-s2.0-0020835736</t>
  </si>
  <si>
    <t>['radiation pattern', 'digital processing']</t>
  </si>
  <si>
    <t>An algorithm for the digital processing of signals when shaping the radiation pattern of receiving phased antenna arrays is generalized to the case when they are mounted on aircraft.</t>
  </si>
  <si>
    <t>70-72</t>
  </si>
  <si>
    <t>Bogachev, A. S.</t>
  </si>
  <si>
    <t>Bogachev A.</t>
  </si>
  <si>
    <t>ALGORITHM FOR THE DIGITAL PROCESSING OF SIGNALS FROM AIRCRAFT RECEIVING ANTENNA ARRAYS.</t>
  </si>
  <si>
    <t>2-s2.0-0020835981</t>
  </si>
  <si>
    <t>['radiation characteristics', 'numerical integration', 'field levels', 'aperture edge']</t>
  </si>
  <si>
    <t>Numerical integration is used to determine the radiation characteristics of an antenna with a Gaussian amplitude distribution of the field over the aperture for field levels at the aperture edge from 0 to minus 50 db.</t>
  </si>
  <si>
    <t>83-84</t>
  </si>
  <si>
    <t>Polukhin, G. A.</t>
  </si>
  <si>
    <t>Polukhin G.</t>
  </si>
  <si>
    <t>RADIATION CHARACTERISTICS OF AN ANTENNA WITH A GAUSSIAN AMPLITUDE DISTRIBUTION OF THE FIELD OVER THE APERTURE.</t>
  </si>
  <si>
    <t>2-s2.0-0020836269</t>
  </si>
  <si>
    <t>['subreflector focus', 'phase distortions', 'antenna aperture']</t>
  </si>
  <si>
    <t>The losses in the gain of an offset antenna due to amplitude-phase distortions in the antenna aperture which occurs when the primary source phase center shifts from the subreflector focus are estimated. The relationships obtained enable the position of the exciter elements corresponding to the optimum tuning condition to be calculated.</t>
  </si>
  <si>
    <t>7801687434;6506436141</t>
  </si>
  <si>
    <t>Erukhimovich, Yu A.;Nepomnyashchii, I. L.</t>
  </si>
  <si>
    <t>Erukhimovich Y.</t>
  </si>
  <si>
    <t>MINIMIZATION OF THE GAIN LOSSES IN OFFSET-TYPE ANTENNAS.</t>
  </si>
  <si>
    <t>2-s2.0-0020837622</t>
  </si>
  <si>
    <t>['stable plasma', 'recent measurements', 'radius spherical', 'problem beyond', 'previous semi', 'plasma frequency', 'heuristic evaluations', 'diffuse noise', 'cylindrical antennas', 'charged particles', 'antenna surface', 'additional local']</t>
  </si>
  <si>
    <t>Recent measurements of the 'quasi-thermal' noise in a stable plasma have exhibited an additional local and diffuse noise below the electron plasma frequency; this has been suggested to be due to impacts or emission of charged particles on the antenna surface. To investigate this problem beyond the previous semi-heuristic evaluations, the quasi-thermal noise theory is extended to antennas that are not transparent to particles. The results for small-radius spherical and cylindrical antennas are applied in an isotropic equilibrium plasma at frequencies of the order of magnitude of the plasma frequency.</t>
  </si>
  <si>
    <t>8081-8093</t>
  </si>
  <si>
    <t>A10</t>
  </si>
  <si>
    <t>Meyer-Vernet, N.</t>
  </si>
  <si>
    <t>Meyer-Vernet N.</t>
  </si>
  <si>
    <t>QUASI-THERMAL NOISE CORRECTIONS DUE TO PARTICLE IMPACTS OR EMISSION.</t>
  </si>
  <si>
    <t>10.1029/JA088iA10p08081</t>
  </si>
  <si>
    <t>2-s2.0-0020840841</t>
  </si>
  <si>
    <t>['many uses', 'information transmission', 'including plans', 'home banking', 'cable communication']</t>
  </si>
  <si>
    <t>In Japan, many uses have been proposed for cable communication: data and information transmission, security and disaster warning systems, automatic utility meter reading, home banking and shopping. This article discusses existing and new cable TV facilities, including plans and application of ways to utilize existing CATV facilities as drawn up or implemented by Nippon Antenna serving as the basis for the discussion.</t>
  </si>
  <si>
    <t>83-85</t>
  </si>
  <si>
    <t>JEE. Journal of electronic engineering</t>
  </si>
  <si>
    <t>Kaneko, Zenkichi</t>
  </si>
  <si>
    <t>Kaneko Z.</t>
  </si>
  <si>
    <t>CABLE TV IN JAPAN EXPANDING SERVICES BASED ON INSTALLED FACILITIES.</t>
  </si>
  <si>
    <t>2-s2.0-0020841667</t>
  </si>
  <si>
    <t>['radar receiver', 'phase center', 'new technique', 'electronics engineers', 'analyzed theoretically']</t>
  </si>
  <si>
    <t>A new technique for reducing a radar's response to undesired signals entering a radar's sidelobes is described and analyzed theoretically. This technique involves moving a phased array antenna's phase center to Doppler shift sidelobe signals out of the radar receiver's passband. Copyright ¬© 1983 by The Institute of Electrical and Electronics Engineers, Inc.</t>
  </si>
  <si>
    <t>993-996</t>
  </si>
  <si>
    <t>60027271;60027271</t>
  </si>
  <si>
    <t>7401868138;6602241180</t>
  </si>
  <si>
    <t>Lewis, Bernard L.;Evins, James B.</t>
  </si>
  <si>
    <t>Lewis B.</t>
  </si>
  <si>
    <t>A New Technique for Reducing Radar Response to Signals Entering Antenna Sidelobes</t>
  </si>
  <si>
    <t>10.1109/TAP.1983.1143173</t>
  </si>
  <si>
    <t>2-s2.0-0020843562</t>
  </si>
  <si>
    <t>['two regions', 'tokamak reactors', 'theory developed', 'supply 12', 'severe weakening', 'recess presented', 'power flux', 'plasma coupling', 'plasma calculated', 'paper considers', 'paper analyses', 'large tokamaks', 'intor plasma', 'icr heating', 'generation tokamaks', 'frequency range', 'frequency power', 'exciting field', 'exciting current', 'excite magneto', 'etc .).', 'design status', 'current conductors', 'coupling efficiency', 'antenna impedance', 'antenna constructed', 'acoustic waves', '85 mhz', '5 mw']</t>
  </si>
  <si>
    <t>The paper considers the coupling efficiency of a multi-current antenna inserted into a special conducting recess and designed to excite magneto-acoustic waves in the ion-cyclotron (IC) frequency range to heat the dense hot plasma in large tokamaks. To find the antenna impedance, the k‚Äñ-spectra of the exciting field and the power flux, the fields in the two regions of the recess presented as a superposition of eigenmodes, are matched to each other at the level of the exciting current and are then matched to the field in the plasma calculated by the Airy function method. Taking the recess into account gives rise to a severe weakening of the plasma coupling and a change in the excited wave spectrum. The theory developed here can be used to calculate the antenna for ICR heating of plasmas in the new-generation tokamaks now under construction (T-15, TFTR, JET, JT-60) and tokamak reactors at the design status (INTOR, FED, etc.). As an example, the paper analyses the characteristics of an antenna constructed on current conductors and designed to supply 12.5 MW of high-frequency power at 85 MHz to an INTOR plasma. ¬© 1983 IOP Publishing Ltd.</t>
  </si>
  <si>
    <t>1435-1446</t>
  </si>
  <si>
    <t>Vdovin, V. L.</t>
  </si>
  <si>
    <t>National Research Centre "Kurchatov Institute"</t>
  </si>
  <si>
    <t>Vdovin V.</t>
  </si>
  <si>
    <t>Electromagnetic theory of an antenna for icr heating of tokamak plasmas</t>
  </si>
  <si>
    <t>10.1088/0029-5515/23/11/001</t>
  </si>
  <si>
    <t>2-s2.0-0020843578</t>
  </si>
  <si>
    <t>['smooth shapes', 'prolate spheroidal', 'input conductances', 'eccentric coating', 'copyright 1983', 'considerable shift', 'coating thickness', 'antenna size']</t>
  </si>
  <si>
    <t>Null field formulations utilizing a generalization of the extended boundary condition method of Waterman are presented for dielectric‚Äêcoated antennas of arbitrary but smooth shapes. Spherical, prolate spheroidal and spherically capped cylindrical antennas are solved as examples. Their power radiation patterns and input conductances are plotted as functions of coating thickness. The dielectric coating effectively increases the antenna size. Furthermore, it is shown that an eccentric coating can produce a considerable shift in the power radiation patterns. Copyright 1983 by the American Geophysical Union.</t>
  </si>
  <si>
    <t>1225-1242</t>
  </si>
  <si>
    <t>7005452282;7006317691;7003516595</t>
  </si>
  <si>
    <t>Aydin, K.;Altintas, A.;Hizal, A.</t>
  </si>
  <si>
    <t>Aydin K.</t>
  </si>
  <si>
    <t>Null field formulations for dielectric‚Äêcoated antennas</t>
  </si>
  <si>
    <t>10.1029/RS018i006p01225</t>
  </si>
  <si>
    <t>2-s2.0-0020843586</t>
  </si>
  <si>
    <t>['subreflector edge', 'subreflector diffraction', 'subreflector diameters', 'reflector system', 'losses due', 'geometrical shadowing', 'formulas show', 'electronics engineers', 'best trade', 'asymptotic theory', '20 wavelengths']</t>
  </si>
  <si>
    <t>An asymptotic theory is presented with which the reduction in aperture efficiency caused by diffraction from a subreflector edge can be calculated for any dual-reflector system. The theory is applied to conventional Cassegrain antennas, for which approximate analytical efficiency formulas are derived. These formulas show that subreflector diffraction may represent a significant efficiency loss even for subreflector diameters as large as 20 wavelengths. The formulas are used to obtain an optimum subreflector size which represents the best trade-off between losses due to subreflector diffraction and geometrical shadowing. Copyright ¬© 1983 by The Institute of Electrical and Electronics Engineers, Inc.</t>
  </si>
  <si>
    <t>903-909</t>
  </si>
  <si>
    <t>The Effects of Subreflector Diffraction on the Aperture Efficiency of a Conventional Cassegrain Antenna‚ÄîAn Analytical Approach</t>
  </si>
  <si>
    <t>10.1109/TAP.1983.1143161</t>
  </si>
  <si>
    <t>2-s2.0-0020843595</t>
  </si>
  <si>
    <t>['system designers', 'provide information', 'given environment', 'designer determine', 'bandwidth capability', 'auxiliary elements']</t>
  </si>
  <si>
    <t>This paper presents numerical results from a study of sidelobe cancellers operating against wideband interfering signals. The study was designed to provide information that would be useful to system designers. Among other things, we address the question of whether it is best to enhance the bandwidth capability of the canceller by using tapped delay lines or simply by using more auxiliary elements. We also develop guidance rules to help the designer determine the number of adaptive loops required for a given environment. ¬© 1983 IEEE.</t>
  </si>
  <si>
    <t>915-925</t>
  </si>
  <si>
    <t>White, Warren D.</t>
  </si>
  <si>
    <t>White W.</t>
  </si>
  <si>
    <t>Wideband Interference Cancellation in Adaptive Sidelobe Cancellers</t>
  </si>
  <si>
    <t>10.1109/TAES.1983.309403</t>
  </si>
  <si>
    <t>2-s2.0-0020843676</t>
  </si>
  <si>
    <t>['reflector antennas', 'possible record', 'experimental study', 'electronics engineers', 'careful measurements', 'appear feasible', '90 percent', '5 percent', '4 ghz']</t>
  </si>
  <si>
    <t>The theoretical and experimental study of a 1.5 m offset dual shaped reflector at 31.4 GHz is summarized. An efficiency of 84.5 percent, a possible record for reflector antennas of this size, was ascertained through careful measurements. For larger low noise reflector systems, a 2 to 3 dB improvement in gain over noise temperature ratio (G/T) performance over the state-of-the-art ultralow noise ground stations and 90 percent or better aperture efficiency now appear feasible. Copyright ¬© 1983 by The Institute of Electrical and Electronics Engineers, Inc.</t>
  </si>
  <si>
    <t>896-902</t>
  </si>
  <si>
    <t>Cha, Alan G.</t>
  </si>
  <si>
    <t>An Offset Dual Shaped Reflector with 84.5 Percent Efficiency</t>
  </si>
  <si>
    <t>10.1109/TAP.1983.1143157</t>
  </si>
  <si>
    <t>2-s2.0-0020843798</t>
  </si>
  <si>
    <t>['‚ äê4', '‚ äê3', '‚ àí28', '‚ àí18', '‚ àí16', '‚ àí12', '¬© 1983', 'three buildings', 'signal levels', 'second floor', 'one location', 'metallic materials', 'levels decrease', 'instrumentation van', 'house decrease', 'free space', 'first floor', 'experiment conducted', 'distances ranging', 'also given', '9 db', '5 db', '400 feet', '24 db', '2 db', '1600 feet', '1000 feet', '0 db']</t>
  </si>
  <si>
    <t>In this paper we describe an experiment conducted to measure 800‚ÄêMHz attenuation into buildings. This information is needed for refining the configuration and design of portable radiotelephone systems that will accommodate low‚Äêpower portable sets. Signal levels have been measured in and around three small buildings and a house, using an instrumentation van with an erectable 27‚Äêfoot‚Äêhigh antenna. These buildings and the house all have metallic materials in their walls and thus are expected to exhibit high attenuation. The van was parked at one location with respect to the three buildings, and at nine different locations, at distances ranging from 400 feet to 1600 feet, from the house. We found that small‚Äêscale signal envelope variations are approximately Rayleigh distributed. For the house, large‚Äêscale distributions of the small‚Äêscale signal medians are approximately log‚Äênormal. Median signal levels outside the house decrease as d‚Äê4.5, where d is the distance from the van. Inside the house, levels decrease as d‚Äê3.9 for first‚Äêfloor locations and as d‚Äê3.0 for second‚Äêfloor locations. Average signal levels at 1000 feet, relative to free space, are ‚àí12.5 dB outside, ‚àí18.5 dB for the first floor, ‚àí16.5 dB for the second floor, and ‚àí28.9 dB for the basement. Other statistics of the signal levels and of attenuation into the house are also given in the paper. Cross‚Äêpolarization couplings of ‚àí10 dB to 0 dB were measured in and around the three small buildings. The small‚Äêscale signal medians inside the three buildings range from 2 dB above to 24 dB below the averages of the signal medians outside buildings. ¬© 1983 The Bell System Technical Journal</t>
  </si>
  <si>
    <t>2695-2717</t>
  </si>
  <si>
    <t>7403241218;7403021599;7102947533</t>
  </si>
  <si>
    <t>Cox, D. C.;Murray, R. R.;Norris, A. W.</t>
  </si>
  <si>
    <t>Measurements of 800‚ÄêMHz Radio Transmission Into Buildings With Metallic Walls</t>
  </si>
  <si>
    <t>10.1002/j.1538-7305.1983.tb03200.x</t>
  </si>
  <si>
    <t>2-s2.0-0020843878</t>
  </si>
  <si>
    <t>Natural Sciences and Engineering Research Council of Canada</t>
  </si>
  <si>
    <t>NSERC</t>
  </si>
  <si>
    <t>['sample results', 'radiation characteristics', 'one wall', 'novel dielectric', 'metallic walls', 'main beam', 'longitudinal planes', 'loaded horn', 'frequencies within', 'francis group', 'dielectric layers', 'beam width', 'axial gain', 'also presented']</t>
  </si>
  <si>
    <t>This paper presents low-loss dielectric loading techniques for improving some of the radiation characteristics of H-plane horn antennas. Specifically, the paper reports experimental results over new horns loaded with dielectric in the transverse and longitudinal planes with and without air gaps between the dielectric layers or between the dielectric and metallic walls. Sample results are presented showing improvements in the beam width, axial gain, input voltage standing wave ratio (VSWR) at the expense of new or increased side lobe level at some frequencies within the passband. Results are also presented to show that the main beam of a novel dielectric-loaded horn can almost be scanned from one wall of the horn to the other in synchronism with frequency sweep within the passband. Finally, a line-of-sight portable communication device employing the characteristics of dielectric-loaded horn antennas is proposed for further research and development. ¬© 1983 Taylor &amp; Francis Group, LLC.</t>
  </si>
  <si>
    <t>729-750</t>
  </si>
  <si>
    <t>60009697;60033012</t>
  </si>
  <si>
    <t>7103051886;7003303739</t>
  </si>
  <si>
    <t>Hamid, M.;Al-Sulaiman, A.</t>
  </si>
  <si>
    <t>United States;Canada</t>
  </si>
  <si>
    <t>Monterey;Winnipeg</t>
  </si>
  <si>
    <t>Naval Postgraduate School;University of Manitoba</t>
  </si>
  <si>
    <t>60033012;60009697</t>
  </si>
  <si>
    <t>Hamid M.</t>
  </si>
  <si>
    <t>New types of dielectric-loaded horn antennas</t>
  </si>
  <si>
    <t>10.1080/00207218308961647</t>
  </si>
  <si>
    <t>2-s2.0-0020844165</t>
  </si>
  <si>
    <t>['wiley company', 'treated accurately', 'thick antennas', 'surface integral', 'singularity cannot', 'second derivative', 'present method', 'object often', 'numerical examples', 'numerical calculation', 'nondiverging portion', 'method based', 'latter case', 'inc .,', 'finite region', 'finite portion', 'extremely thin', 'expansion functions', 'evaluated numerically', 'evaluated analytically', 'diverging integral', 'cylindrical antenna', 'boundary condition', 'body shape', 'antenna problems']</t>
  </si>
  <si>
    <t>A method based on the integral equation defined on the boundary of an object often is used to analyze numerically scattering or antenna problems. However, depending on the boundary condition or body shape, a surface integral is required which includes the second‚Äêorder derivative of Green's function. In general, this integral diverges due to the singularity of Green's function. However, its finite portion converges. When the finite portion of a diverging integral is evaluated numerically, processing of the singularity cannot be treated accurately in numerical calculation. A method is presented here in which the finite portion of the diverging integral is evaluated analytically in a finite region and only the nondiverging portion is evaluated numerically. A formulation is presented in which the singularity of the second derivative of Green's function is removed. the present method is applied to examples of two‚Äêdimensional problems. As an example of three‚Äêdimensional problems, the method is applied to a cylindrical antenna. In the latter case, the equation for the electric field becomes extremely simple and Galerkin's method can be applied if piecewise sinusoidal functions are used as the expansion functions. It is shown by means of numerical examples that extremely thin as well as thick antennas can be analyzed. Copyright ¬© 1983 Wiley Periodicals, Inc., A Wiley Company</t>
  </si>
  <si>
    <t>85-93</t>
  </si>
  <si>
    <t>Chiba, Michitane</t>
  </si>
  <si>
    <t>Chofu</t>
  </si>
  <si>
    <t>The University of Electro-Communications</t>
  </si>
  <si>
    <t>Chiba M.</t>
  </si>
  <si>
    <t>Singularities of green's function in surface integral equations</t>
  </si>
  <si>
    <t>10.1002/ecja.4400661112</t>
  </si>
  <si>
    <t>2-s2.0-0020844358</t>
  </si>
  <si>
    <t>['wire antennas', 'total domain', 'radiation patterns', 'published data', 'primarily intended', 'present method', 'mm theory', 'mm ),', 'including open', 'finite flat', 'electronics engineers', 'development expands', 'curved panels', 'closed cylinders', 'capped ).', 'broad class', 'asymmetric bodies', 'analysis incorporates']</t>
  </si>
  <si>
    <t>A formulation, based on the method of moments (MM), is presented for active and passive wire radiators attached to, or near, a broad class of bodies and surfaces, including open or closed cylinders of arbitrary cross section as well as finite flat or curved panels. The development expands the utility of the MM theory for various antenna problems. The analysis incorporates a special junction basis set for the antenna attachment points. Total domain and piecewise continuous expansion functions are used on the surfaces. The formulation is primarily intended for prediction of radiation patterns of wire antennas (such as monopoles and loops) on asymmetric bodies of translation, open or closed (capped). The present method has shown satisfactory agreement with published data in the prediction of antenna input impedances as well. Copyright ¬© 1983 by The Institute of Electrical and Electronics Engineers, Inc.</t>
  </si>
  <si>
    <t>853-862</t>
  </si>
  <si>
    <t>7003286486;7101874824</t>
  </si>
  <si>
    <t>Medgyesi-Mitschang, Louis N.;Putnam, John M.</t>
  </si>
  <si>
    <t>Medgyesi-Mitschang L.</t>
  </si>
  <si>
    <t>Formulation for Wire Radiators on Bodies of Translation With and Without End Caps</t>
  </si>
  <si>
    <t>10.1109/TAP.1983.1143150</t>
  </si>
  <si>
    <t>2-s2.0-0020844617</t>
  </si>
  <si>
    <t>['œª ).', 'wavelength ),', 'thinned arrays', 'simulation experiments', 'sidelobe level', 'sidelobe crests', 'operating frequency', 'larger values', 'image artifacts', 'high sidelobes', 'frequency diversity', 'fractional bandwidth', 'element positions', 'electronics engineers', 'diversity techniques', 'correct portions', 'array elements', 'approximately n', '2 db', '2 1', '1 inq']</t>
  </si>
  <si>
    <t>The high sidelobes of random, thinned arrays can be reduced through the use of diversity techniques. Element position diversity and frequency diversity are considered in this paper. Image artifacts due to the high sidelobes change their locations from image to image when the element positions are altered or the operating frequency is changed. Superimposing or averaging images tends to build up stable, correct portions of an image while reducing, by smoothing, the image artifacts. In principle, all the sidelobe crests can be reduced to the average background level and all the troughs in the side radiation pattern will rise to this level. The theory, supported by simulation experiments, indicates that dual position diversity reduces the sidelobe level by 2 to 2 1/2 dB, depending upon array size. Higher order position diversity reduces the sidelobe level several dB further. Under frequency diversity it is found that when Q, the reciprocal of the fractional bandwidth, is less than the array size L/Œª (measured in units of wavelength), the peak sidelobe power level is approximately N-1 InQ, where N is the number of array elements. For larger values of Q, the level asymptotes approximately to N- 1 In(L/Œª). Copyright ¬© 1983 by The Institute of Electrical and Electronics Engineers, Inc.</t>
  </si>
  <si>
    <t>922-930</t>
  </si>
  <si>
    <t>60102562;60102562</t>
  </si>
  <si>
    <t>7102870158;7004053683</t>
  </si>
  <si>
    <t>Steinberg, Bernard D.;Attia, Elsayed H.</t>
  </si>
  <si>
    <t>Sidelobe Reduction of Random Arrays by Element Position and Frequency Diversity</t>
  </si>
  <si>
    <t>10.1109/TAP.1983.1143175</t>
  </si>
  <si>
    <t>2-s2.0-0020844618</t>
  </si>
  <si>
    <t>['wire antenna', 'wave horizontal', 'two types', 'simple form', 'original form', 'optimum length', 'length near', 'induced currents', 'horizontal wire', 'horizontal terminations', 'electronics engineers', 'electromagnetic field', 'contributions shown', 'beverage antenna']</t>
  </si>
  <si>
    <t>The traveling-wave horizontal-wire antenna over the earth is analyzed in its original form with vertical ground connections (the Beverage antenna) and with these replaced by horizontal terminations. For transmission, the electromagnetic field of an antenna with optimum length is determined, both along the surface of the earth in air and in the earth, in an accurate but simple form that takes full account of the proximity of the earth (lake, sea) on the distribution of current. For reception, the induced currents in the antenna and in the load are determined for a field incident along the surface of the earth. The two types of termination are compared and their contributions shown to be small when the horizontal wire has a length near the optimum. Copyright ¬© 1983 by The Institute of Electrical and Electronics Engineers, Inc.</t>
  </si>
  <si>
    <t>956-965</t>
  </si>
  <si>
    <t>The Wave Antenna for Transmission and Reception</t>
  </si>
  <si>
    <t>10.1109/TAP.1983.1143163</t>
  </si>
  <si>
    <t>2-s2.0-0020844619</t>
  </si>
  <si>
    <t>['synthesizing procedure', 'shaping dual', 'radiation pattern', 'offset geometry', 'minimal distortions', 'low sidelobes', 'geometrical optics', 'field measurements', 'feed element', 'electronics engineers', 'electrical characteristics', '12 ghz']</t>
  </si>
  <si>
    <t>A synthesizing procedure for shaping dual-reflector offset antennas is described. The synthesis is based on geometrical optics and near-field measurements of amplitude and phase from the feed element. The procedure preserves good symmetry in mapping from feed to aperture which results in minimal distortions of the electrical characteristics of the antenna. A 1.8 m antenna has been manufactured and measured at 12 GHz. The radiation pattern is characterized by low sidelobes and cross polarization introduced by the offset geometry below ‚Äì50 dB. Copyright ¬© 1983 by The Institute of Electrical and Electronics Engineers, Inc.</t>
  </si>
  <si>
    <t>973-977</t>
  </si>
  <si>
    <t>6507157089;7004080997</t>
  </si>
  <si>
    <t>Bj√òntegaard, Gisle;Pettersen, Terje</t>
  </si>
  <si>
    <t>Bj√òntegaard G.</t>
  </si>
  <si>
    <t>An Offset Dual-Reflector Antenna Shaped from Near-Field Measurements of the Feed Horn: Theoretical Calculations and Measurements</t>
  </si>
  <si>
    <t>10.1109/TAP.1983.1143166</t>
  </si>
  <si>
    <t>2-s2.0-0020844669</t>
  </si>
  <si>
    <t>['unit cell', 'transverse magnetic', 'square apertures', 'shaped apertures', 'resistive sheets', 'reflection coefficient', 'perforated periodically', 'perfectly conducting', 'integral sense', 'finite resistivity', 'finite number', 'electronics engineers', 'detailed plots', 'current elements', 'current distribution', 'current density', 'conductor shape']</t>
  </si>
  <si>
    <t>The scattering from a zero thickness plane having finite sheet resistance and perforated periodically with apertures is calculated for arbitrary plane wave illumination. The surface current density within the unit cell is approximated by a finite number of current elements having rooftop spatial dependence. The transverse electric field is expressed in terms of the current, and the electric field boundary condition is satisfied in an integral sense over the conductor, generating a finite dimension matrix equation whose solution is the current density. Since the conductor shape is defined through the locations of subsectional current elements, arbitrary shaped apertures can be handled. The reflection coefficient and current distribution are calculated for square apertures in both perfectly conducting and resistive sheets, and for cross-shaped apertures. Finite resistivity is shown to cause the magnitude of the transverse magnetic (TM) reflection coefficient to decrease more rapidly and its phase to decrease less rapidly, as the angle of incidence approaches glancing. Through detailed plots of the current density, the current crowding around the apertures is made clearly evident. Copyright ¬© 1983 by The Institute of Electrical and Electronics Engineers, Inc.</t>
  </si>
  <si>
    <t>829-836</t>
  </si>
  <si>
    <t>60021293;60108318</t>
  </si>
  <si>
    <t>7201761344;7005129354</t>
  </si>
  <si>
    <t>Rubin, Barry J.;Bertoni, Henry L.</t>
  </si>
  <si>
    <t>New York;Armonk</t>
  </si>
  <si>
    <t>NYU Tandon School of Engineering;International Business Machines</t>
  </si>
  <si>
    <t>60108318;60021293</t>
  </si>
  <si>
    <t>Rubin B.</t>
  </si>
  <si>
    <t>Reflection from a Periodically Perforated Plane Using a Subsectional Current Approximation</t>
  </si>
  <si>
    <t>10.1109/TAP.1983.1143154</t>
  </si>
  <si>
    <t>2-s2.0-0020844712</t>
  </si>
  <si>
    <t>['various degrees', 'substantially reduced', 'single interferer', 'signal characteristics', 'sensitivity reduction', 'results show', 'reference signal', 'quiescent array', 'pointing error', 'output signal', 'multiple interferers', 'method combines', 'explicit results', 'element 10', 'computations confirm', 'arrays utilizing']</t>
  </si>
  <si>
    <t>The steady state properties of an adaptive array utilizing prior knowledge of both approximate signal arrival direction and signal characteristics are presented. The method combines the features of a directionally constrained array and an array with a self-generated reference signal. Explicit results are obtained for output signal, interference, and noise powers assuming a single interferer is present. The inclusion of a self-generated reference circuit is shown to reduce the sensitivity to pointing error typical of arrays utilizing a zero order directional constraint, the improvement being a consequence of the reduction of the desired signal component fed back to the sidelobe canceling circuit. A relationship between the degree of sensitivity reduction and the quality of the reference signal is developed. Results of computations of signal to interference plus noise ratios for a 7-element 10-wavelength nonuniformly spaced array as a function of pointing error are presented. These results show the behavior with one interferer inside and outside the beamwidth of the quiescent array and with multiple interferers for various degrees of perfection of the reference generating circuit. In all cases the computations confirm that the otherwise severe effects of small pointing errors are substantially reduced. ¬© 1983 IEEE.</t>
  </si>
  <si>
    <t>795-804</t>
  </si>
  <si>
    <t>60102562;60021378;60009812</t>
  </si>
  <si>
    <t>7003848370;35576601100;7401672122</t>
  </si>
  <si>
    <t>Haber, F.;Bar-Ness, Y.;Yeh, C. C.</t>
  </si>
  <si>
    <t>Philadelphia;Murray;Old Westbury</t>
  </si>
  <si>
    <t>School of Engineering and Applied Science;Nokia Bell Labs;SUNY Old Westbury</t>
  </si>
  <si>
    <t>Haber F.</t>
  </si>
  <si>
    <t>An Adaptive Interference Canceling Array Utilizing Hybrid Techniques</t>
  </si>
  <si>
    <t>10.1109/TAES.1983.309391</t>
  </si>
  <si>
    <t>2-s2.0-0020845034</t>
  </si>
  <si>
    <t>['wiley company', 'waveguide bend', 'trial test', 'theoretical investigations', 'rotating flange', 'rotating angle', 'inc .,', 'guide diameter', 'given angle', 'elliptical waveguide', 'computed values', 'bent waveguide', 'analytical method']</t>
  </si>
  <si>
    <t>Theoretical investigations and results of a trial test on the oversized circular waveguide bend for the 4, 5, and 6 GHz bands are reported. Degradation of cross polarization isolation in the waveguide bend is shown to be caused not only by the distortion of the guide diameter but also by the higher‚Äêorder modes generated at the bend. In theory, degradation can be improved by connecting an elliptical waveguide with a rotating flange to the bent waveguide and rotating it by a given angle. We show the range of the rotating angle of the elliptical waveguide in which cross polarization isolation is improved. Measured electrical characteristics of the circular waveguide bend made for trial are compared with computed values and the analytical method is proven to be effective. It is found that the circular waveguide bend can be used in practice if it is combined with an elliptical waveguide with a rotating flange and TM mode filter. Copyright ¬© 1983 Wiley Periodicals, Inc., A Wiley Company</t>
  </si>
  <si>
    <t>101-110</t>
  </si>
  <si>
    <t>115552146;115552146;60101699;60101699</t>
  </si>
  <si>
    <t>8355553700;55245356600;6504736997;55464461100</t>
  </si>
  <si>
    <t>Yamada, Yoshihide;Nakajima, Nobuo;Huruno, Takayoshi;Abe, Kohshi</t>
  </si>
  <si>
    <t>Tokyo;Yokosuka</t>
  </si>
  <si>
    <t>Mitsubishi Electric Corporation;Yokosuka Electrical Communication Lab</t>
  </si>
  <si>
    <t>60101699;115552146</t>
  </si>
  <si>
    <t>Yamada Y.</t>
  </si>
  <si>
    <t>Characteristics of a 4, 5 and 6 Ghz bands oversize circular bending waveguide</t>
  </si>
  <si>
    <t>10.1002/ecja.4400661114</t>
  </si>
  <si>
    <t>2-s2.0-0020845341</t>
  </si>
  <si>
    <t>['sampling representation', 'new comb', 'far field', 'excellent performance', 'electronics engineers', 'computer program', 'computational time']</t>
  </si>
  <si>
    <t>The newly developed pseudo-sampling representation is applied for computing the far field of an offset parabolic reflector with a cluster feed illumination. A new comb-type fast Fourier transform (FFT) algorithm is used in a computer program. Both precision and computational time are analyzed, demonstrating the excellent performance of the method. Copyright ¬© 1983 by The Institute of Electrical and Electronics Engineers, Inc.</t>
  </si>
  <si>
    <t>931-937</t>
  </si>
  <si>
    <t>60017293;60017293;60017293;60017293</t>
  </si>
  <si>
    <t>7006499276;7103082097;7006413404;7005281565</t>
  </si>
  <si>
    <t>Bucci, Ovidio M.;D'elia, Giuseppe;Franceschetti, Giorgio;Pierri, Rocco</t>
  </si>
  <si>
    <t>Naples</t>
  </si>
  <si>
    <t>Universit√† degli Studi di Napoli Federico II</t>
  </si>
  <si>
    <t>Bucci O.M.</t>
  </si>
  <si>
    <t>Efficient Computation of the Far Field of Parabolic Reflectors by Pseudo-Sampling Algorithm</t>
  </si>
  <si>
    <t>10.1109/TAP.1983.1143167</t>
  </si>
  <si>
    <t>2-s2.0-0020845564</t>
  </si>
  <si>
    <t>['¬© 1983', 'perturbation methods', 'maximum gain', 'frequency determination', 'array dimensions']</t>
  </si>
  <si>
    <t>A study of frequency determination for maximizing the gain of arrays of parallel wire antennae is carried out. Use is made of the eigenvalue and the perturbation methods. It is shown that the maximum gain can be found by adjusting the array dimensions. Some examples are presented. ¬© 1983.</t>
  </si>
  <si>
    <t>361-372</t>
  </si>
  <si>
    <t>60030988;60015331</t>
  </si>
  <si>
    <t>7005683394;6504408661</t>
  </si>
  <si>
    <t>Sahalos, John;Kyprianidis, John</t>
  </si>
  <si>
    <t>Greece;Greece</t>
  </si>
  <si>
    <t>Komotini;Thessaloniki</t>
  </si>
  <si>
    <t>Democritus University of Thrace;Aristotle University of Thessaloniki</t>
  </si>
  <si>
    <t>Sahalos J.</t>
  </si>
  <si>
    <t>Frequency Determination for Maximizing Array Gain of Parallel Wire Antennae</t>
  </si>
  <si>
    <t>10.1016/0016-0032(83)90047-9</t>
  </si>
  <si>
    <t>2-s2.0-0020845730</t>
  </si>
  <si>
    <t>['used instead', 'involved algebra', 'helical antennas', 'good agreement', 'fields lends', 'field values', 'experimental results', 'electronics engineers', 'considerable savings', 'computer time', 'close vicinity', 'asymptotic expressions', 'asymptotic e', 'asymptotic analysis']</t>
  </si>
  <si>
    <t>An asymptotic analysis is performed to obtain the E and H-fields in the close vicinity of dipole and helical antennas. Although the mathematical procedure requires some involved algebra, the resulting series representation of the fields lends itself to simple numerical calculations. It is shown that the asymptotic E and H-field values are in very good agreement with both the experimental results and those obtained via numerical integration. Considerable savings in computer time (a reduction by a factor of 8‚Äì10) is achieved when the asymptotic expressions are used instead of the usual integration methods. Copyright ¬© 1983 by The Institute of Electrical and Electronics Engineers, Inc.</t>
  </si>
  <si>
    <t>269-278</t>
  </si>
  <si>
    <t>60024590;60024590</t>
  </si>
  <si>
    <t>7004723242;6603505951</t>
  </si>
  <si>
    <t>Balzano, Quirino;Patsiokas, Stelios</t>
  </si>
  <si>
    <t>Balzano Q.</t>
  </si>
  <si>
    <t>A Novel Expansion of the Fields Near Dipole and Helical Antennas</t>
  </si>
  <si>
    <t>10.1109/T-VT.1983.23975</t>
  </si>
  <si>
    <t>2-s2.0-0020845947</t>
  </si>
  <si>
    <t>['resonant frequency', 'input impedance', 'given conditions', 'extensively analyzed', 'experimental investigations', 'electronics engineers', 'diifferent theories', 'developed formulas']</t>
  </si>
  <si>
    <t>The rectangular microstrip patch antenna has been extensively analyzed with regard to its input impedance and resonant frequency, both for infinite and finite ground plane dimensions. For infinite ground planes existing formulas have been compared and improved parameters presented. The influence from the side current radiation has been discussed as well. For finite ground plane dimensions the contribution from the ground plane edge diffraction has been accounted for in an equivalent radiation conductance and an equivalent diffraction susceptance. Formulas for these parameters have been developed on the basis of diifferent theories. They are valid under the condition that only one of the ground plane dimensions are finite at the same time. Experimental investigations are carried out to test the accuracy of the developed formulas, showing good accuracy under the given conditions. Copyright ¬© 1983 by The Institute of Electrical and Electronics Engineers, Inc.</t>
  </si>
  <si>
    <t>978-984</t>
  </si>
  <si>
    <t>55884538900;7005413512</t>
  </si>
  <si>
    <t>Lier, Erik;Jakobsen, Kurt R.</t>
  </si>
  <si>
    <t>Lier E.</t>
  </si>
  <si>
    <t>Rectangular Microstrip Patch Antennas with Infinite and Finite Ground Plane Dimensions</t>
  </si>
  <si>
    <t>10.1109/TAP.1983.1143164</t>
  </si>
  <si>
    <t>2-s2.0-0020846184</t>
  </si>
  <si>
    <t>['two frequencies', 'train speed', 'time variations', 'time succession', 'time interval', 'simultaneously measured', 'parameters derived', 'noise amplitudes', 'measuring site', 'measured apd', 'makes contact', 'individual apd', 'impulsive noise', 'horizontal types', 'good fits', 'elementary section', 'electronics engineers', 'called shinkansen', '100 mhz']</t>
  </si>
  <si>
    <t>100 MHz | 50 MHz | acceleration | antilog of emissions | APD | average | B3f | B6f | deceleration | electric field | H26f | H26g | impulsive emissions | Rail transit | rms | Shinkansen | speed</t>
  </si>
  <si>
    <t>Measurements of impulsive noise radiating from individual bullet trains on the New Tokaido Line (called Shinkansen in Japanese) have been performed with the APD‚ÄìCRD measuring apparatus using dipole antennas of vertical and horizontal types. Both an APD and a CRD have been simultaneously measured in a narrowband at two frequencies of 50 and 100 MHz for noise samples taken in time succession for individual bullet trains. Based on the analysis of these measured APD's and CRD's, the following remarkable results have been obtained: APD's and CRD's, together with the parameters derived from individual APD's, average, rms, antilog of noise amplitudes, and the statistical parameter V&lt;inf&gt;0.1&lt;/inf&gt;, can be grouped into three different environments of train speed and acceleration or deceleration. A model for the impulsive noise is presented, saying that any elementary section of overhead electric wire radiates impulses with amplitudes varying randomly during the time interval when it makes contact with pantographs on the top of vehicles. Good fits are shown between time variations of values of the statistical parameter V&lt;inf&gt;0.1&lt;/inf&gt; obtained as individual trains pass in front of the measuring site, and those of a certain related electric field calculated based on this model. Copyright ¬© 1983 by The Institute of Electrical and Electronics Engineers, Inc.</t>
  </si>
  <si>
    <t>396-404</t>
  </si>
  <si>
    <t>7403005755;35613247100</t>
  </si>
  <si>
    <t>Nakai, Taketoshi;Kawasaki, Zenichiro</t>
  </si>
  <si>
    <t>Nakai T.</t>
  </si>
  <si>
    <t>On Impulsive Noise From Shinkansen</t>
  </si>
  <si>
    <t>10.1109/TEMC.1983.304128</t>
  </si>
  <si>
    <t>2-s2.0-0020846432</t>
  </si>
  <si>
    <t>['wave ratio', 'voltage standing', 'verified experimentally', 'three types', 'resonant frequencies', 'ratio bandwidths', 'radiation patterns', 'optimized designs', 'function approach', 'electronics engineers', 'diagonal slot', 'desegmentation methods', 'corners square']</t>
  </si>
  <si>
    <t>Analysis and optimized designs are presented of three types of single feed circularly polarized microstrip antennas, namely, a diagonal fed nearly square, a truncated-corners square and a square with a diagonal slot. The Green's function approach and the desegmentation methods are used. The resonant frequencies are calculated for two orthogonal modes which together yield circular polarization. Optimum feed locations are determined for the best impedance match to a 50 Œ© coaxial feed line. Axial-ratio bandwidths, voltage standing-wave ratio (VSWR) bandwidths and radiation patterns are evaluated and verified experimentally. Copyright ¬© 1983 by The Institute of Electrical and Electronics Engineers, Inc.</t>
  </si>
  <si>
    <t>949-955</t>
  </si>
  <si>
    <t>60058976;60000221-60021988</t>
  </si>
  <si>
    <t>7403231935;7402592343</t>
  </si>
  <si>
    <t>Sharma, P. C.;Gupta, Kuldip C.</t>
  </si>
  <si>
    <t>India;India;United States</t>
  </si>
  <si>
    <t>Indore;Kanpur;Boulder</t>
  </si>
  <si>
    <t>Shri Govindram Seksaria Institute of Technology and Science;Indian Institute of Technology Kanpur;University of Colorado Boulder</t>
  </si>
  <si>
    <t>60058976;60021988;60000221</t>
  </si>
  <si>
    <t>Sharma P.</t>
  </si>
  <si>
    <t>Analysis and Optimized Design of Single Feed Circularly Polarized Microstrip Antennas</t>
  </si>
  <si>
    <t>10.1109/TAP.1983.1143162</t>
  </si>
  <si>
    <t>2-s2.0-0020846550</t>
  </si>
  <si>
    <t>['strip width', 'solved numerically', 'slab material', 'slab center', 'plane wave', 'lossless slabs', 'loss tangent', 'integral equations', 'dielectric slab', 'current induced', 'current distribution', 'current density', 'copyright 1983']</t>
  </si>
  <si>
    <t>Integral equations for the current density on a TM‚Äê and a TE‚Äêexcited conducting strip embedded in a dielectric slab are derived and solved numerically. The Sommerfeld‚Äêtype integrals incorporated in the kernels of the integral equations are evaluated numerically along various specified paths in the complex spectral plane, and a path switching criterion is used to maximize the efficiency of the integration. Results are presented for current induced on strips in lossy and lossless slabs for both plane wave and line current excitations. The effects of varying slab thickness, strip width, displacement of the strip from the slab center, and the loss tangent of the slab material on the current distribution are demonstrated. Copyright 1983 by the American Geophysical Union.</t>
  </si>
  <si>
    <t>1195-1206</t>
  </si>
  <si>
    <t>7004961387;7201550943</t>
  </si>
  <si>
    <t>Michalski, Krzysztof A.;Butler, Chalmers M.</t>
  </si>
  <si>
    <t>Michalski K.</t>
  </si>
  <si>
    <t>Determination of current induced on a conducting strip embedded in a dielectric slab</t>
  </si>
  <si>
    <t>10.1029/RS018i006p01195</t>
  </si>
  <si>
    <t>2-s2.0-0020847140</t>
  </si>
  <si>
    <t>['various methods', 'straightforward rounding', 'pointing direction', 'pointing deviation', 'phase errors', 'parasitic sidelobe', 'main beam', 'general formula', 'gain reduction', 'field pattern', 'electronics engineers', 'different methods']</t>
  </si>
  <si>
    <t>Beamsteering for phased arrays normally employs electronically switchable digital phase shifters. These can only approximate to the desired phase distribution across the array, and if a straightforward rounding off is used, a periodic phase error arises which causes a pointing deviation of the main beam and introduces a parasitic sidelobe. Various methods have been given in the literature for randomizing the phase errors to reduce these problems. Here a general formula is derived to evaluate the parasitic sidelobe level for different methods. The various methods are compared with reference to 1) the parasitic sidelobe level, 2) the variances of the field pattern and the pointing direction, 3) gain reduction, and 4) any extra array hardware requirements and beamsteering unit resources. Copyright ¬© 1983 by The Institute of Electrical and Electronics Engineers, Inc.</t>
  </si>
  <si>
    <t>821-828</t>
  </si>
  <si>
    <t>55698377500;8923908200</t>
  </si>
  <si>
    <t>Smith, M. S.;Guo, Y. C.</t>
  </si>
  <si>
    <t>Smith M.</t>
  </si>
  <si>
    <t>A Comparison of Methods for Randomizing Phase Quantization Errors in Phased Arrays</t>
  </si>
  <si>
    <t>10.1109/TAP.1983.1143152</t>
  </si>
  <si>
    <t>2-s2.0-0020847157</t>
  </si>
  <si>
    <t>['vertical velocity', 'structures indicate', 'stratified layers', 'specular reflection', 'scattered signal', 'lower parts', 'look angle', 'interferometer studies', 'hundred meters', 'equatorial mesosphere', 'copyright 1983', 'aspect sensitivity', 'antenna beam', 'adequately explained']</t>
  </si>
  <si>
    <t>Radio signals scattered from the equatorial mesosphere above Jicamarca, Peru have been studied. The scattered power level is dependent on look angle in the lower parts of the mesosphere. Indications are that this aspect sensitivity in the received signal cannot be adequately explained by specular reflection from stratified layers. Interferometer studies of the scattered signal have shown that there are structures in the mesosphere that have vertical velocity that varies in the horizontal direction within the antenna beam. The size of these structures is of the order of a few hundred meters. Considerations of vertical and horizontal scale sizes of these structures indicate that they are Kelvin‚ÄêHelmholtz billows drifting through the antenna beam. Copyright 1983 by the American Geophysical Union.</t>
  </si>
  <si>
    <t>1325-1335</t>
  </si>
  <si>
    <t>Royrvik, Ola</t>
  </si>
  <si>
    <t>Royrvik O.</t>
  </si>
  <si>
    <t>VHF radar signals scattered from the equatorial mesosphere</t>
  </si>
  <si>
    <t>10.1029/RS018i006p01325</t>
  </si>
  <si>
    <t>2-s2.0-0020847461</t>
  </si>
  <si>
    <t>['perturbation theory', 'natural modes', 'natural frequencies', 'electronics engineers']</t>
  </si>
  <si>
    <t>The natural frequencies and natural modes of open circular cylinders of given aspect ratios are calculated by means of a Galerkin procedure involving entire domain bases. The results are validated by comparison with other calculations of natural frequencies and modes for cylinders and time response current for wires. The usefulness of a previously proposed method based on perturbation theory is examined in this context. Copyright ¬© 1983 by The Institute of Electrical and Electronics Engineers, Inc.</t>
  </si>
  <si>
    <t>910-917</t>
  </si>
  <si>
    <t>Natural Frequencies and Modes of Finite Open Circular Cylinders</t>
  </si>
  <si>
    <t>10.1109/TAP.1983.1143153</t>
  </si>
  <si>
    <t>2-s2.0-0020848041</t>
  </si>
  <si>
    <t>['scan region', 'rotman lens', 'relatively simple', 'linear array', 'imaging arrangement', 'feed horns', 'feed array', 'electronics engineers', 'allows communication', 'aberrations less', '60 ¬∞', '1 ¬∞.', '1 db']</t>
  </si>
  <si>
    <t>A dually polarized narrow (&lt;0.5¬∞) beam antenna which provides a geosynchronous arc coverage of 60¬∞ is proposed and analyzed. To track the geosynchronous arc accurately, the properly oriented antenna produces a conically scanned beam by means of a linear array of feed horns with bias cut apertures illuminating a pair of parabolic cylinder reflectors in an imaging arrangement. This design, with reduced size array and singly curved reflectors, is relatively simple to construct. Calculations for a 0.35¬∞ beamwidth Ku band earth station antenna show a 0.05¬∞ pointing accuracy with scan loss due to aberrations less than 1 dB and little pattern degradation throughout the scan region. For multiple beam capability, a Rotman lens is proposed and analyzed as a means of exciting the feed array. It allows communication with multiple satellites spaced as close as 1¬∞. Copyright ¬© 1983 by The Institute of Electrical and Electronics Engineers, Inc.</t>
  </si>
  <si>
    <t>966-972</t>
  </si>
  <si>
    <t>60021378;60021378</t>
  </si>
  <si>
    <t>7006813926;7003808036</t>
  </si>
  <si>
    <t>Gans, Michael J.;Amitay, Noach</t>
  </si>
  <si>
    <t>Gans M.</t>
  </si>
  <si>
    <t>Narrow Multibeam Satellite Ground Station Antenna Employing a Linear Array with a Geosynchronous Arc Coverage of 60¬∞, Part II: Antenna Design</t>
  </si>
  <si>
    <t>10.1109/TAP.1983.1143148</t>
  </si>
  <si>
    <t>2-s2.0-0020848042</t>
  </si>
  <si>
    <t>['transmitting sonobuoy', 'submarine tracking', 'srs operates', 'probable location', 'onboard computer', 'longer stand', 'higher altitudes', 'electronic line', 'doppler navigator', 'aircraft flies', 'additional flexibility']</t>
  </si>
  <si>
    <t>The Sonobuoy Reference System (SRS) developed by Cubic Corporation Defense Systems Division solved the problem of locating the transmitting sonobuoy during submarine tracking. It provides an electronic line-of-sight positioning system that permits antisubmarine warfare missions to be conducted at higher altitudes or longer stand-off ranges. The SRS operates on the crossed baseline interferometer principle. Longitudinal and transverse antenna arrays on the aircraft's wings and fuselage use VHF signals from the buoys to measure slant ranges or bearings as the aircraft flies its route. The resulting multiple measurements are processed by the aircraft's onboard computer, which the operator can override for additional flexibility. Combined with the plane's inertial or doppler navigator, this provides a highly accurate position for the buoy, greatly facilitating calculation of the submarine's probable location.</t>
  </si>
  <si>
    <t>Sea Technology</t>
  </si>
  <si>
    <t>Nov</t>
  </si>
  <si>
    <t>Jameson, James N.</t>
  </si>
  <si>
    <t>Jameson J.</t>
  </si>
  <si>
    <t>CUBIC DEVELOPS ASW SONOBUOY REFERENCE SYSTEM.</t>
  </si>
  <si>
    <t>2-s2.0-0020848146</t>
  </si>
  <si>
    <t>['various positions', 'synthesis telescope', 'synthesis arrays', 'shaped array', 'seven headings', 'seven 25', 'sensitivity considerations', 'reduction requirements', 'reduction algorithms', 'recently constructed', 'provide details', 'phase errors', 'obtaining high', 'new mexico', 'mounted transporter', 'large array', 'images produced', 'fourier transform', 'electronics engineers', 'diameter waveguide', 'cross correlation', 'critical role', 'correlator system', 'correlation products', 'control system', 'connected together', 'atmospheric amplitude', 'antennas separated', 'antennas must', 'advanced sufficiently']</t>
  </si>
  <si>
    <t>Since its development in the 1960's, the technique of obtaining high-resolution radio images of astronomical objects using Fourier synthesis has advanced sufficiently so that today such images often provide better angular resolution than is obtainable with the largest optical telescopes. A synthesis array measures the Fourier transform of the observed brightness distribution by cross-correlating the signals from antennas separated by distances up to tens of kilometers. The antennas must be equipped with low-noise receiving systems and connected together by phase-stable transmission links. Wide-bandwidth digital correlators are used to perform the cross correlation. The data-reduction algorithms and computing system play a critical role in determining the quality of the images produced by the array. The Very Large Array (VLA) synthesis telescope, recently constructed in New Mexico, consists of twenty-seven 25-m-diameter antennas arranged in a Y-shaped array. Each arm of the Y is approximately 21 km long and the antennas can be moved to various positions on the arms by a rail-mounted transporter. The antennas are equipped with cryogenically cooled receiving systems and are interconnected by low-loss, TE01-mode, large-diameter waveguide. The cross-correlation products for each of the 351 pair combinations of antennas are measured for 4 IF signals by a 50-MHz bandwidth digital correlator. In this paper we discuss the design of synthesis arrays in general, and describe the design and performance of the VLA in particular, under the seven headings: array geometry design, sensitivity considerations, phase stability requirements, signal transmission system, delay and correlator system, control system, and data-reduction requirements. In each section, we review the underlying instrumental requirements and provide details of how the VLA was designed to meet them. Recently developed data-reduction algorithms provide effective ways of correcting synthesis images for the effects of missing Fourier components and instrumental and atmospheric amplitude and phase errors. The power of these algorithms is demonstrated using actual VLA images. Copyright ¬© 1983 by The Institute of Electrical and Electronics Engineers, Inc.</t>
  </si>
  <si>
    <t>1295-1320</t>
  </si>
  <si>
    <t>60021907;60021907;60021907</t>
  </si>
  <si>
    <t>6601988132;56318546300;7003693235</t>
  </si>
  <si>
    <t>Napier, Peter J.;Thompson, A. Richard;Ekers, Ronald D.</t>
  </si>
  <si>
    <t>Socorro</t>
  </si>
  <si>
    <t>National Radio Astronomy Observatory Socorro</t>
  </si>
  <si>
    <t>Napier P.J.</t>
  </si>
  <si>
    <t>The Very Large Array: Design and Performance of a Modern Synthesis Radio Telescope</t>
  </si>
  <si>
    <t>10.1109/PROC.1983.12765</t>
  </si>
  <si>
    <t>2-s2.0-0020848247</t>
  </si>
  <si>
    <t>['tubular cylinder', 'thin wires', 'sommerfeld integrands', 'sample results', 'potentiallike formulation', 'perpendicularly penetrates', 'perpendicularly penetrate', 'moments analysis', 'independent check', 'copyright 1983', 'analysis provides']</t>
  </si>
  <si>
    <t>A method of moments analysis of a hollow, tubular cylinder which perpendicularly penetrates an air‚Äêdielectric interface is carried out using a potentiallike formulation. Currents are excited on this cylinder by means of an azimuthally symmetric source. Since the thin‚Äêwire kernel is not used and real‚Äêaxis integration of Sommerfeld integrands is employed, this analysis provides an independent check on the numerical electromagnetics code for the case of thin wires which perpendicularly penetrate an air‚Äêdielectric interface. Sample results are given for thin wires which penetrate an air‚Äêwater interface. Copyright 1983 by the American Geophysical Union.</t>
  </si>
  <si>
    <t>1273-1281</t>
  </si>
  <si>
    <t>Johnson, William A.</t>
  </si>
  <si>
    <t>Analysis of a vertical, tubular cylinder which penetrates an air‚Äêdielectric interface and which is excited by an azimuthally symmetric source</t>
  </si>
  <si>
    <t>10.1029/RS018i006p01273</t>
  </si>
  <si>
    <t>2-s2.0-0020848435</t>
  </si>
  <si>
    <t>['useful addresses', 'tv industry', 'radio amateur', 'quality assessments', 'necessary examination', 'intended solely', 'first part', 'external tuner', 'equipment needed', 'brief introduction', 'atv transmissions', 'amateur tv', 'also considered']</t>
  </si>
  <si>
    <t>This first part of a series on amateur TV (ATV) considers the practice of receiving ATV signals by any interested person holding a normal receiving license. A brief introduction to ATV is furnished that is not intended solely for those employed in the TV industry. The British ATV club (BATC) is introduced, and the regulations of the Radio Amateur's license are given, and the necessary examination is mentioned. The equipment needed for the reception of ATV transmissions, the receiver, external tuner, antenna and feeders, are described, and various frequencies used for ATV are indicated. Power and quality assessments are also considered. A list of publications and useful addresses is furnished.</t>
  </si>
  <si>
    <t>186-189</t>
  </si>
  <si>
    <t>Nov-Dec</t>
  </si>
  <si>
    <t>Pressnell, Ray</t>
  </si>
  <si>
    <t>Pressnell R.</t>
  </si>
  <si>
    <t>AMATEUR TELEVISION - 1. PRINCIPLES AND RECEIVING TECHNIQUES.</t>
  </si>
  <si>
    <t>2-s2.0-0020848443</t>
  </si>
  <si>
    <t>['relate reciprocity', 'physical optics', 'nonreciprocal ones', 'electronics engineers', 'certainly better', 'approximate solutions', 'always possible']</t>
  </si>
  <si>
    <t>The use of reciprocity in estimating the accuracy of approximate scattering analyses is discussed. The physical optics and image induction approximations, valid for large smooth body scattering, are combined to demonstrate that approximate solutions satisfying reciprocity may not be any more accurate than nonreciprocal ones. The purpose of this communication is to point out that while it is certainly better, in general, to deal with approximate solutions which are reciprocal, it is not always possible to relate reciprocity and accuracy. Copyright ¬© 1983 by The Institute of Electrical and Electronics Engineers, Inc.</t>
  </si>
  <si>
    <t>992-993</t>
  </si>
  <si>
    <t>Brown, Gary S.</t>
  </si>
  <si>
    <t>Brown G.</t>
  </si>
  <si>
    <t>On the Usefulness Of Reciprocity in Approximate Scattering Analyses</t>
  </si>
  <si>
    <t>10.1109/TAP.1983.1143170</t>
  </si>
  <si>
    <t>2-s2.0-0020848451</t>
  </si>
  <si>
    <t>['various slots', 'unknown coefficients', 'slot fields', 'representative results', 'radiation fields', 'pulse functions', 'obtained using', 'method evaluates', 'integral equations', 'finite number', 'exterior regions', 'exterior fields', 'determined using', 'coupling effects']</t>
  </si>
  <si>
    <t>The problem of a cavity-backed annular slot array is solved using appropriate Green's functions for the interior and exterior regions of the cavity. The excitation is assumed to be general in form and is defined in terms of radial waveguide modes. Both interior and exterior fields are obtained using a slot field distribution yet to be determined. The continuity of the tangential slot magnetic fields is then used to set up integral equations for the slot field distributions. These slot fields are represented by a finite number of pulse functions with unknown coefficients, which are then determined using a point matching technique. The method evaluates all slot fields simultaneously and as such includes all coupling effects between the various slots. The slot field distributions and their radiation fields are computed for different array sizes, and some representative results are presented.</t>
  </si>
  <si>
    <t>1549-1557</t>
  </si>
  <si>
    <t>8092251400;7801341908</t>
  </si>
  <si>
    <t>Shafai, L.;Azarbar, B.</t>
  </si>
  <si>
    <t>Shafai L.</t>
  </si>
  <si>
    <t>FIELD SOLUTION OF AN ANNULAR SLOT ARRAY OVER A RADIAL WAVEGUIDE CAVITY.</t>
  </si>
  <si>
    <t>10.1139/p83-201</t>
  </si>
  <si>
    <t>2-s2.0-0020848552</t>
  </si>
  <si>
    <t>['typical patterns', 'scattering technique', 'scattered field', 'perturbation effects', 'paper uses', 'electronics engineers', 'cylinder due']</t>
  </si>
  <si>
    <t>dipole array | finite-length tubular cylinder | I13k | I7d | J10d | Pattern perturbation | scattering</t>
  </si>
  <si>
    <t>This paper uses the plane-wave-spectrum (PWS) scattering technique to determine the scattering and pattern-perturbation effects of a conducting tubular cylinder of a finite length situated in the neighborhood of a 2 x 4 dipole array. Both the axial and the circumferential current distributions induced on the cylinder due to a unit-magnitude incident plane wave have been calculated. Typical patterns for the scattered field and the perturbed radiation field are presented for various cylinder locations. Copyright ¬© 1983 by The Institute of Electrical and Electronics Engineers, Inc.</t>
  </si>
  <si>
    <t>441-447</t>
  </si>
  <si>
    <t>7202633843;55712837400</t>
  </si>
  <si>
    <t>Mao, Zhiji;Cheng, David K.</t>
  </si>
  <si>
    <t>Mao Z.</t>
  </si>
  <si>
    <t>Scattering and Pattern Perturbation by a Conducting Tubular Cylinder of Finite Length</t>
  </si>
  <si>
    <t>10.1109/TEMC.1983.304134</t>
  </si>
  <si>
    <t>2-s2.0-0020848813</t>
  </si>
  <si>
    <t>['wave reflected', 'sufficiently broadband', 'substantially reduced', 'scanned along', 'polarization rotators', 'polarization mismatch', 'polarization diplexer', 'incoming wave', 'inclination angle', 'geosynchronous arc', 'gain due', 'feed array', 'entire 12', 'electronics engineers', 'diplexer separates', 'design formulas', 'conical surface', 'certain directions', 'appreciable degradation', 'antenna gain', 'antenna consists', 'antenna beam', '60 ¬∞.', '01 db']</t>
  </si>
  <si>
    <t>Multisatellite communication may require coverage of a segment of the geosynchronous arc as large as 60¬∞. A properly oriented ground station antenna can cover the above segment by means of a beam whose axis traces a conical surface (i.e., conically scanned beam). The antenna consists of two linear arrays feeding an imaging reflector arrangement through a polarization diplexer. This diplexer separates the incoming wave into two orthogonal polarizations without loss. In general, the polarization of the wave reflected by the diplexer does not remain the same as that corresponding to the feed array as the beam is scanned (polarization mismatch). This mismatch can cause an appreciable degradation of the antenna gain when the feed array is scanned in certain directions. For example, a ground station located at Seattle, WA could experience 3.6 dB reduction in gain due to polarization mismatch when the antenna beam is scanned along a 60¬∞ segment of the geosynchronous satellite arc. The above polarization mismatch loss can be substantially reduced by the use of two properly inclined polarization rotators. These devices are sufficiently broadband to cover the entire 12/14 GHz satellite communication band. Design formulas for the inclination angle between the polarization rotators are presented. Applying these formulas we have reduced the above-mentioned polarization mismatch loss to less than 0.01 dB. Copyright ¬© 1983 by The Institute of Electrical and Electronics Engineers, Inc.</t>
  </si>
  <si>
    <t>986-989</t>
  </si>
  <si>
    <t>7003808036;7006813926</t>
  </si>
  <si>
    <t>Amitay, Noach;Gans, Michael J.</t>
  </si>
  <si>
    <t>Polarization Matching of Wide Angle Conically Scanned Phased Array Beams</t>
  </si>
  <si>
    <t>10.1109/TAP.1983.1143160</t>
  </si>
  <si>
    <t>2-s2.0-0020849111</t>
  </si>
  <si>
    <t>['special geometries', 'source point', 'reduce properly', 'obtained previously', 'harmonic electric', 'general expressions', 'found readily', 'formula omitted', 'expansion complete', 'electronics engineers', 'eigenfunction expansion', 'distribution theory', 'also contains']</t>
  </si>
  <si>
    <t>A relatively simple approach is described for developing the complete eigenfunction expansion of time-harmonic electric [formula omitted] and magnetic [formula omitted] fields within exterior or interior regions containing an arbitrarily oriented electric current point source. In particular, these results yield directly the complete eigenfunction expansion of the electric and magnetic dyadic Green's functions [formula omitted] and [formula omitted] that are associated with [formula omitted] and [formula omitted], respectively. This expansion of [formula omitted] and [formula omitted] contains only the solenoidal type eigenfunctions. In addition, the expansion of [formula omitted] also contains an explicit dyadic delta function term which is required for making that expansion complete at the source point. The explicit dyadic delta function term in [formula omitted] is found readily from a simple condition governing the behavior of the eigenfunction expansion at the source point, provided one views that condition in the light of distribution theory. These general expressions for the eigenfunction expansion of [formula omitted] and [formula omitted] reduce properly to those obtained previously for special geometries by Tai. Copyright ¬© 1983 by The Institute of Electrical and Electronics Engineers, Inc.</t>
  </si>
  <si>
    <t>837-846</t>
  </si>
  <si>
    <t>Pathak, Prabhakar H.</t>
  </si>
  <si>
    <t>Pathak P.</t>
  </si>
  <si>
    <t>On the Eigenfunction Expansion of Electromagnetic Dyadic Green's Functions</t>
  </si>
  <si>
    <t>10.1109/TAP.1983.1143151</t>
  </si>
  <si>
    <t>2-s2.0-0020849175</t>
  </si>
  <si>
    <t>['residential customers', 'regulatory aspects', 'paper focuses', 'paper examines', 'expanding market']</t>
  </si>
  <si>
    <t>This paper examines the system design considerations of metropolitan area networks utilizing cable television networks for the delivery of a variety of services to residential customers. Specifically, this paper focuses on the technology, marketplace, and regulatory aspects of this new and expanding market. ¬© 1983 IEEE</t>
  </si>
  <si>
    <t>816-831</t>
  </si>
  <si>
    <t>6603983823;6603867014</t>
  </si>
  <si>
    <t>Mcgarty, Terrence P.;Clancy, Gerald J.</t>
  </si>
  <si>
    <t>Mcgarty T.</t>
  </si>
  <si>
    <t>Cable-Based Metro Area Networks</t>
  </si>
  <si>
    <t>10.1109/JSAC.1983.1146000</t>
  </si>
  <si>
    <t>2-s2.0-0020849989</t>
  </si>
  <si>
    <t>['several applications', 'scalar function', 'rotation errors', 'rights reserved', 'physical significance', 'payload boresight', 'inc .,', 'depend upon', 'cost function', 'application since']</t>
  </si>
  <si>
    <t>A scalar function of the attitude error covariance matrix is derived for use as a criterion in the pointing of axially symmetric spacecraft payloads such as antennas and telescopes. Rotation errors about the payload boresight are not penalized. Mathematically, the performance criterion proposed is shown to equal the sum of the two largest eigenvalues of the attitude error covariance matrix. The physical significance of this cost function and its relationship to more conventional error criteria are described. Several applications are presented. It is concluded that the cost function selected should depend upon the application since, in general, the optimum solution varies with different cost functions. ¬© 1983 American Institute of Aeronautics and Astronautics, Inc., All rights reserved.</t>
  </si>
  <si>
    <t>484-490</t>
  </si>
  <si>
    <t>Coffey, Thomas C.</t>
  </si>
  <si>
    <t>Coffey T.</t>
  </si>
  <si>
    <t>An error criterion for the pointing of axially symmetric spacecraft payloads</t>
  </si>
  <si>
    <t>10.2514/3.8529</t>
  </si>
  <si>
    <t>2-s2.0-0020850077</t>
  </si>
  <si>
    <t>['yield trapped', 'various ray', 'variable thickness', 'tapered layer', 'special cases', 'slope corrections', 'rigorous solution', 'rigorous analysis', 'ray series', 'multiple reflections', 'line source', 'layer boundaries', 'individual boundaries', 'fields transmitted', 'evanescent tunneling', 'electronics engineers', 'economies effected', 'direct summation', 'detailed calculations', 'conventional coefficients', 'constant thickness', 'concave side']</t>
  </si>
  <si>
    <t>The fields transmitted from a line source through a two-dimensional curved dielectric layer of variable thickness are constructed by geometric-optical ray tracing that accounts for multiple reflections on the concave side, where the source is located, as well as for reflections between the layer boundaries. Moreover, internally trapped rays, excited by evanescent tunneling, are included when source and observer are near the layer boundaries but laterally displaced along it. By applying Poisson summation to the ray series, the multiple reflected contributions, for weakly tapered configurations, can be summed to yield trapped and leaky local modes guided along the layer, as well as a ‚Äúcollective‚Äù ray field that incorporates a plane layer transmission coefficient, with curvature and slope corrections, instead of the conventional coefficients for individual boundaries. Detailed calculations are performed for the special cases of a circularly curved layer of constant thickness and a tapered layer with nonparallel plane boundaries. For the former, the various ray-optically derived solutions agree completely with those obtained from a rigorous analysis. For the latter nonseparable configuration, no rigorous solution is available. With direct summation of conventional ray fields taken as a reference, extensive numerical results demonstrate the economies effected by the collective ray formulation and the importance of including the curvature or slope corrections in the equivalent slab transmission coefficients. Copyright ¬© 1983 by The Institute of Electrical and Electronics Engineers, Inc.</t>
  </si>
  <si>
    <t>870-884</t>
  </si>
  <si>
    <t>35614064400;56883021600</t>
  </si>
  <si>
    <t>Einziger, Pinchas D.;Felsen, Leopold B.</t>
  </si>
  <si>
    <t>Einziger P.</t>
  </si>
  <si>
    <t>Ray Analysis of Two-Dimensional Radomes</t>
  </si>
  <si>
    <t>10.1109/TAP.1983.1143156</t>
  </si>
  <si>
    <t>2-s2.0-0020850094</t>
  </si>
  <si>
    <t>['mutual coupling', 'method solution', 'electronics engineers']</t>
  </si>
  <si>
    <t>A moment-method solution for the mutual coupling between rectangular microstrip antennas is presented. The grounded dielectric slab is accounted for exactly in the analysis. Copyright ¬© 1983 by The Institute of Electrical and Electronics Engineers, Inc.</t>
  </si>
  <si>
    <t>941-945</t>
  </si>
  <si>
    <t>60003500;60003500;60003500</t>
  </si>
  <si>
    <t>7203066664;7202816808;36869596100</t>
  </si>
  <si>
    <t>Newman, E. H.;Richmond, J. H.;Kwan, B. W.</t>
  </si>
  <si>
    <t>Mutual Impedance Computation Between Microstrip Antennas</t>
  </si>
  <si>
    <t>10.1109/TMTT.1983.1131636</t>
  </si>
  <si>
    <t>2-s2.0-0020850097</t>
  </si>
  <si>
    <t>['suitable processing', 'single pulse', 'signals received', 'multiple antenna', 'monopulse technique', 'monopulse receivers', 'monopulse measurements', 'introductory discussion', 'imperfect calibrations', 'ground equipment', 'great number', 'detailed analysis', 'currently introduced', 'comprehensive diagrams', 'behaviors differ', 'azimuth estimates', 'analytical form']</t>
  </si>
  <si>
    <t>In modern secondary surveillance radar (SSR) the monopulse technique is currently introduced for the measurement of the azimuth of the targets. The monopulse technique is based on a suitable processing of signals received by a multiple antenna. In SSR the signals are generated by a transponder on the aircraft as repiies to interrogations from ground equipment, and consist of trains of pulses. The monopulse measurements can be carried out on the basis of a single pulse from each train, so that it provides a great number of azimuth estimates. Many monopulse measurement devices exist, corresponding to different processing techniques. From the point of view of accuracy and precision, their behaviors differ with respect to the sources of errors, both internal (noise and imperfect calibrations) and external (interference and propagation effects). The four main types of monopulse receivers are analyzed here with respect to the effects of the internal error sources on the resulting measurement accuracy. After an introductory discussion of the performances of the receivers, a detailed analysis is carried out on the basis of a general mathematical model. The results are given in an analytical form and in some comprehensive diagrams. ¬© 1983 IEEE.</t>
  </si>
  <si>
    <t>884-897</t>
  </si>
  <si>
    <t>Jacovitti, G.</t>
  </si>
  <si>
    <t>Facolta di Ingegneria</t>
  </si>
  <si>
    <t>Jacovitti G.</t>
  </si>
  <si>
    <t>Performance Analysis of Monopulse Receivers for Secondary Surveillance Radar</t>
  </si>
  <si>
    <t>10.1109/TAES.1983.309400</t>
  </si>
  <si>
    <t>2-s2.0-0020850161</t>
  </si>
  <si>
    <t>['wind deformations', 'wave departure', 'wave arrival', 'signal stability', 'serious loss', 'random variations', 'possible heat', 'ground layer', 'ccir 5a', 'arrival angles', 'antenna masts', '43 db']</t>
  </si>
  <si>
    <t>In recent years highly directional antennas with gains of over 43 db have come to be used on line-of-sight radio links. The radiation pattern width is then comparable with the random variations of the wave departure and arrival angles in the ground layer of the troposphere, and with the possible heat and wind deformations of the antenna masts, leading to loss of the normal antenna orientations. All this can result in serious loss of signal stability in the link. In the context of the CCIR 5A-4/5 international study program, the fluctuations of the angle of wave arrival and possible 'losses in gain' of line-of-sight link antennas are being studied. The results of these studies are outlined.</t>
  </si>
  <si>
    <t>22-26</t>
  </si>
  <si>
    <t>6603197802;6504798118;6506059882</t>
  </si>
  <si>
    <t>Nadenenko, L. V.;Svyatogo, V. V.;Brikman, G. A.</t>
  </si>
  <si>
    <t>Nadenenko L.V.</t>
  </si>
  <si>
    <t>INFLUENCE OF RADIATION-PATTERN WIDTH ON THE OPERATING STABILITY OF LINE-OF-SIGHT LINKS.</t>
  </si>
  <si>
    <t>2-s2.0-0020851253</t>
  </si>
  <si>
    <t>['widely used', 'spectral devices', 'reflecting arrays', 'reflecting array', 'numerical algorithm', 'microwave engineering', 'finite conductivity', 'existing methods', 'algorithm differs']</t>
  </si>
  <si>
    <t>Reflecting arrays are widely used in electronics, microwave engineering, spectral devices, and lasers. A numerical algorithm is developed for solving the problem of the diffraction of a plane electromagnetic wave by a reflecting array of arbitrary profile taking into account the finite conductivity of the material. The algorithm differs from existing methods by being rigorous and simple to realize.</t>
  </si>
  <si>
    <t>107-110</t>
  </si>
  <si>
    <t>Korsunov, V. V.</t>
  </si>
  <si>
    <t>Korsunov V.</t>
  </si>
  <si>
    <t>DIFFRACTION OF ELECTROMAGNETIC WAVES BY A REFLECTION-TYPE CONDUCTING ARRAY.</t>
  </si>
  <si>
    <t>2-s2.0-0020853580</t>
  </si>
  <si>
    <t>['input signals', 'discrete leads', 'correlation processing', 'computer simulation', 'complete aa', 'amplitude quantization']</t>
  </si>
  <si>
    <t>A well-spaced antenna array (WAA) with correlation processing of input signals is investigated. It is shown that amplitude quantization does not change the signal at the WAA input compared with a complete AA. The fact that the delay is discrete leads to the situation that well-spaced and complete AAs become nonequivalent. The results of a computer simulation are presented.</t>
  </si>
  <si>
    <t>110-113</t>
  </si>
  <si>
    <t>6508021786;6602503689;6603498542;6507021936</t>
  </si>
  <si>
    <t>Danilevskiy, L. N.;Domanov, Yu A.;Korobko, O. V.;Tauroginskiy, B. I.</t>
  </si>
  <si>
    <t>Danilevskiy L.</t>
  </si>
  <si>
    <t>INVESTIGATION OF SOME CHARACTERISTICS OF WELL-SPACED ANTENNA ARRAYS IN THE CASE OF DIGITAL PROCESSING OF SIGNALS.</t>
  </si>
  <si>
    <t>2-s2.0-0020853736</t>
  </si>
  <si>
    <t>['switching regimes', 'receiving regimes', 'pulse radars', 'noise ratio', 'noise caused', 'largest value']</t>
  </si>
  <si>
    <t>The possibilities of using alternating transmission and receiving regimes in radars are investigated. The conditions are found for which the received useful reflected signal has the largest value. An expression is derived for the noise caused by switching regimes and the signal/noise ratio is estimated. A comparison is made with radars using continuous transmission and with pulse radars.</t>
  </si>
  <si>
    <t>Silayev, A. M.</t>
  </si>
  <si>
    <t>Silayev A.</t>
  </si>
  <si>
    <t>ON THE POSSIBILITIES OF ONE-ANTENNA ATMOSPHERIC SOUNDING.</t>
  </si>
  <si>
    <t>2-s2.0-0020854153</t>
  </si>
  <si>
    <t>['rigorous solution', 'radiation pattern', 'obtained using', 'integral equations', 'equivalent currents', 'dielectric surface']</t>
  </si>
  <si>
    <t>A rigorous solution of the problem of the excitation of a conical dielectric antenna (DA) is obtained using the method of integral equations. The distribution of equivalent currents over the dielectric surface is investigated. Methods of shaping the radiation pattern of a DA with a small cone angle are investigated.</t>
  </si>
  <si>
    <t>104-107</t>
  </si>
  <si>
    <t>7004852385;7801694971;6602947343</t>
  </si>
  <si>
    <t>Vasil'ev, E. N.;Sedel'nikova, Z. V.;Seregina, A. R.</t>
  </si>
  <si>
    <t>Vasil'ev E.</t>
  </si>
  <si>
    <t>CONICAL DIELECTRIC ANTENNA.</t>
  </si>
  <si>
    <t>2-s2.0-0020855772</t>
  </si>
  <si>
    <t>['tv equipment', 'station radio', 'second half', 'paper outlines', 'japanese specialists', 'iraq jointly', 'intersputnik system', 'ground station']</t>
  </si>
  <si>
    <t>A ground station of the Intersputnik system was built and put into service in the second half of 1982 in Iraq jointly by Soviet and Japanese specialists. The station is located in the territory of the space complex near Dudjail, roughly 60 km from Baghdad. The paper outlines the station radio and TV equipment.</t>
  </si>
  <si>
    <t>7101962596;6603282058</t>
  </si>
  <si>
    <t>Borovkov, V. A.;Kurilov, S. P.</t>
  </si>
  <si>
    <t>Borovkov V.</t>
  </si>
  <si>
    <t>INTERSPUTNIK SYSTEM GROUND STATION IN IRAQ.</t>
  </si>
  <si>
    <t>2-s2.0-0020857271</t>
  </si>
  <si>
    <t>['turbid medium', 'suspensoids respiration', 'specific gravity', 'red loam', 'high content', 'clay minerals', 'bottom sediments', '3 kinds', '2 concentrations', '13 %.', '100mg dm']</t>
  </si>
  <si>
    <t>Development of Daphnia hyalina populations cultivated in 3 kinds of turbid medium (suspension of bottom sediments, bentonite and red loam with a high content of clay minerals) combined with 2 concentrations of green alga Selenastrum capricornutum was investigated. Ingested mineral suspension caused an increase in specific gravity and, as a result, in the velocity of sinking. The frequency of antenna beats increased by 13%. In concentrations = or &gt;100mg dm-3 of suspensoids respiration of D. hyalina was 10.6-32.4% higher, dependent on Daphnia length.-from Author</t>
  </si>
  <si>
    <t>233-251</t>
  </si>
  <si>
    <t>0065132X</t>
  </si>
  <si>
    <t>Acta Hydrobiologica</t>
  </si>
  <si>
    <t>Zurek, R.</t>
  </si>
  <si>
    <t>Poland</t>
  </si>
  <si>
    <t>Krakow</t>
  </si>
  <si>
    <t>Polska Akademia Nauk Oddzial w Krakowie</t>
  </si>
  <si>
    <t>Zurek R.</t>
  </si>
  <si>
    <t>Effect of suspended materials on zooplankton. 2. Laboratory investigations of Daphnia hyalina Leydig.</t>
  </si>
  <si>
    <t>2-s2.0-0020874120</t>
  </si>
  <si>
    <t>['used primarily', 'presented along', 'malignant tumors', 'malignant tissues', 'interstitial treatment', 'equivalent material', 'clinical results', 'choroidal melanoma', 'applicators operate', '5800 mhz', '3 watts']</t>
  </si>
  <si>
    <t>Three miniature microwave antennas that are each capable of inducing localized hyperthermia in malignant tissues are described. These applicators are used primarily for the interstitial treatment of malignant tumors and for the treatment of choroidal melanoma. The applicators operate at frequencies of 2450 and 5800 MHz with power levels ranging from 1 to 3 watts. Temperature profiles produced by these applicators in a tissue-equivalent material and in animals are presented along with some clinical results.</t>
  </si>
  <si>
    <t>611-624</t>
  </si>
  <si>
    <t>Dec</t>
  </si>
  <si>
    <t>Paglione, Robert W.</t>
  </si>
  <si>
    <t>Paglione R.</t>
  </si>
  <si>
    <t>MINIATURE MICROWAVE ANTENNAS FOR INDUCING LOCALIZED HYPERTHERMIA IN HUMAN MALIGNANCIES.</t>
  </si>
  <si>
    <t>2-s2.0-0020878596</t>
  </si>
  <si>
    <t>['wiley company', 'upper limit', 'total power', 'taking account', 'satellite communication', 'regional distribution', 'regional differences', 'rain attenuation', 'probability distribution', 'overall system', 'output backoff', 'made possible', 'link availability', 'inc .,', 'earth stations', 'controls adaptively', 'clarified quantitatively', 'channel capacity', 'allocatable number', '64 kbps']</t>
  </si>
  <si>
    <t>To cope with the rain attenuation in K‚Äêband (quasi‚Äêmillimeter waveband) satellite communication, the effect of a transmitting power control scheme which controls adaptively the onboard transponder transmitting power toward each earth station according to the downlink rain attenuation, is clarified quantitatively. Also, the design of the FDMA satellite communication system with transmitting power control is made possible. Probability distribution of the downlink rain attenuation is used to represent each FDMA carrier transmitting power. the total transmitting power of the transponder is obtained as the sum of these FDMA carrier powers by using the central limit theorem. By the probability density function of this total power and the upper limit of this total power which is determined by the transponder maximum transmitting power and the output backoff, the maximum allocatable FDMA channels per transponder is derived. Further, the channel capacity of the overall system is calculated, taking account of rain attenuation distribution, regional differences of satellite antenna gain, and regional distribution of earth stations. By these procedures, the allocatable number of channels and the link availability are derived, and the design of the FDMA satellite communication systems with transmitting power control is made possible. As an example, considering Japanese CS‚Äê2 satellite, the number of channels and link availability for 64 Kbps and 1.544 Mbps earth stations with antenna diameter 3 m√∏, are shown. Copyright ¬© 1983 Wiley Periodicals, Inc., A Wiley Company</t>
  </si>
  <si>
    <t>80-89</t>
  </si>
  <si>
    <t>Egami, Shunichiro</t>
  </si>
  <si>
    <t>Egami S.</t>
  </si>
  <si>
    <t>Improvement of K‚Äêband satellite link transmission capacity and availability by the transmitting power control</t>
  </si>
  <si>
    <t>10.1002/ecja.4400661211</t>
  </si>
  <si>
    <t>2-s2.0-0020879685</t>
  </si>
  <si>
    <t>['partial shielding', 'measurements verify', 'electronics engineers', 'adverse shielding']</t>
  </si>
  <si>
    <t>Measurements of the partial shielding of the current-generated heating field of an electrostatically shielded stripline antenna have been performed. An understanding of this adverse shielding is relevant to optimizing the heating of tokamaks in the ion cyclotron range of frequencies. These measurements verify the predictions of an earlier theoretical study. Copyright ¬© 1983 by The Institute of Electrical and Electronics Engineers, Inc.</t>
  </si>
  <si>
    <t>115993607-60004280;115993607;60004280</t>
  </si>
  <si>
    <t>6507848964;56969251400;7006718297</t>
  </si>
  <si>
    <t>Bral, L.;Van Oost, G.;Van Oost, G.</t>
  </si>
  <si>
    <t>Belgium;Belgium</t>
  </si>
  <si>
    <t>Brussels;</t>
  </si>
  <si>
    <t>Koninklijke Militaire School - Ecole Royale Militaire;Association ‚ÄúEuratom-Etat belge‚Äù-Associatie ‚ÄúEuratom-Belgische Staat‚Äù</t>
  </si>
  <si>
    <t>60004280;115993607</t>
  </si>
  <si>
    <t>Bral L.</t>
  </si>
  <si>
    <t>Experimental Investigation of the Shielding of the Heating Field by the Electrostatic Shield of a Stripline ICRF Antenna</t>
  </si>
  <si>
    <t>10.1109/TPS.1983.4316264</t>
  </si>
  <si>
    <t>2-s2.0-0020881301</t>
  </si>
  <si>
    <t>['voice conferencing', 'tdma demand', 'support transmission', 'support traffic', 'stream creation', 'station controller', 'satellite channel', 'packet transmission', 'packet satellite', 'message mode', 'mechanisms upon', 'implemented using', 'host computers', 'handling traffic', 'earth terminal', 'dedicated 5', 'datagram transmission', 'codec unit', 'call mode', 'based packet', 'assigned basis']</t>
  </si>
  <si>
    <t>‚ÄîThe Wideband (packet satellite) network is an experimental 3 Mbit/s communications system developed under sponsorship of the Defense Advanced Research Projects Agency and the Defense Communications Agency. This system is being used to evaluate the use of packet transmission for efficient voice communication, voice conferencing, and integration of voice and data over a satellite channel. Each station in the Wideband network consists of an earth terminal (dedicated 5 m antenna plus associated IF/RF equipment), a burst-modem and codec unit, and a station controller. Station controllers provide interfaces to host computers (including packet speech sources) and manage the allocation of the satellite channel on a TDMA demand-assigned basis. TDMA demand-assignment is implemented using a reservation-based packet-oriented protocol capable of handling traffic at multiple priority levels. The channel protocol provides a reservation-per-message mode of service (datagrams) to support transmission from bursty traffic sources and a reservation-per-call mode of service (streams) to support traffic with more regular arrival statistics (e.g., voice). A distributed scheduler running in every station controller eliminates the need for a central control station and minimizes network transit delay for datagram transmission as well as stream creation, modification, and deletion. In this paper we describe the protocols and mechanisms upon which the Wideband packet satellite network is based. ¬© 1983 IEEE</t>
  </si>
  <si>
    <t>1076-1083</t>
  </si>
  <si>
    <t>December, 1983</t>
  </si>
  <si>
    <t>60011761;60011761;60011761;60011761;60011761;60011761</t>
  </si>
  <si>
    <t>7102922588;7006451275;7004148838;6701336044;7102832566;6507191298</t>
  </si>
  <si>
    <t>Falk, Gilbert;Groff, J. Stephen;Milliken, Walter C.;Nodine, Marian;Blumenthal, Steven;Edmond, Winston</t>
  </si>
  <si>
    <t>BBN Technologies</t>
  </si>
  <si>
    <t>Falk G.</t>
  </si>
  <si>
    <t>Integration of Voice and Data in the Wideband Packet Satellite Network</t>
  </si>
  <si>
    <t>10.1109/JSAC.1983.1146016</t>
  </si>
  <si>
    <t>2-s2.0-0020882234</t>
  </si>
  <si>
    <t>['¬© 1983', 'vital importance', 'three dimensions', 'polarization incident', 'plane waves', 'plane wave', 'matching layer', 'incident normally', 'general case', 'diode structure', 'arbitrary form', 'angular spectrum']</t>
  </si>
  <si>
    <t>The reflection that occurs when a beam, rather than a plane wave, is incident normally on a quarter‚Äêwavelength matching layer can be of vital importance in semiconductor laser design. An analysis in three dimensions is given for the general case of a field of arbitrary form and polarization incident on the matching layer. The field is represented as an angular spectrum of plane waves, each component plane wave being modified by the appropriate Fresnel reflection coefficient to give the field reflected back onto the diode structure. Brown's antenna reciprocity theorem is used to determine the amplitude of the corresponding mode traveling back down the diode. ¬© 1983 The Bell System Technical Journal</t>
  </si>
  <si>
    <t>2885-2891</t>
  </si>
  <si>
    <t>Clarke, R. H.</t>
  </si>
  <si>
    <t>Clarke R.</t>
  </si>
  <si>
    <t>Theory of Reflection From Antireflection Coatings</t>
  </si>
  <si>
    <t>10.1002/j.1538-7305.1983.tb03458.x</t>
  </si>
  <si>
    <t>2-s2.0-0020882999</t>
  </si>
  <si>
    <t>['special feature', 'real time', 'original algorithm', 'interference signal', 'dynamic fluctuation', 'control value', 'control parameter', 'bit 8085']</t>
  </si>
  <si>
    <t>A newly-developed interference signal suppressor using a technique with the original algorithm is presented. This algorithm has a special feature, which has nothing to do with frequency, modulation, signal arriving angle and level of the interference signal in finding a control parameter to suppress it. This system has a mu -processor (8-bit 8085) which finds a control parameter automatically in real time and changes the control value in accordance with the dynamic fluctuation in the interference signal.</t>
  </si>
  <si>
    <t>20-23</t>
  </si>
  <si>
    <t>0303416X</t>
  </si>
  <si>
    <t>Toshiba review International ed.</t>
  </si>
  <si>
    <t>Winter</t>
  </si>
  <si>
    <t>57192012949;35814732600;7202692454</t>
  </si>
  <si>
    <t>Kaijima, Makoto;Isobe, Seiji;Yoneda, Tomikazu</t>
  </si>
  <si>
    <t>Kaijima M.</t>
  </si>
  <si>
    <t>ADAPTIVE ANTENNA-CONTROLLED RECEIVER FOR TV TRANSLATOR.</t>
  </si>
  <si>
    <t>2-s2.0-0020885116</t>
  </si>
  <si>
    <t>['paper considers', 'installs components', 'industrial robot', 'electronic components', 'automatic insertion']</t>
  </si>
  <si>
    <t>The paper considers the use of an industrial robot for the automatic insertion of electronic components. A Unimation PUMA 560 robot is presented that installs components on the phase shifter circuit board of a phased array antenna.</t>
  </si>
  <si>
    <t>132-134</t>
  </si>
  <si>
    <t>Electronic Packaging and Production</t>
  </si>
  <si>
    <t>Repko, James</t>
  </si>
  <si>
    <t>Repko J.</t>
  </si>
  <si>
    <t>ROBOTS OFFER AN ALTERNATIVE TO AUTOMATIC INSERTION.</t>
  </si>
  <si>
    <t>2-s2.0-0020889517</t>
  </si>
  <si>
    <t>['wiley company', 'whistlers exhibit', 'whistlers detected', 'vlf whistlers', 'two signals', 'propagation distance', 'polarization characteristics', 'phase differences', 'observing station', 'observed polarizations', 'loop antennas', 'ionospheric transmission', 'ionosphere close', 'inc .,', 'agrees qualitatively']</t>
  </si>
  <si>
    <t>Wideband (0‚Äê8 kHz) measurements were performed for VLF whistlers at Moshiri (geomag. lat. 35¬∞N) in Hokkaido in January, 1983 to investigate the relationship between polarization characteristics of whistlers and their propagation distance after the ionospheric transmission in the Earth‚Äêionosphere waveguide. the phase differences of the two signals of whistlers detected by orthogonal (E‚ÄêW and N‚ÄêS) loop antennas have been measured and the following results found: (1) the polarization of whistlers which penetrate the ionosphere close to the observing station is righthanded over a wide frequency range; and (2) some whistlers are found to have propagated over a distance of ‚àº1500 km. These whistlers exhibit a right‚Äêhanded polarization at some frequencies and a left‚Äêhanded polarization at other frequencies. However, the averaging of the observed polarizations over a wide frequency results in a nearly linear polarization; this agrees qualitatively with previous theoretical calculations by Crary. Copyright ¬© 1983 Wiley Periodicals, Inc., A Wiley Company</t>
  </si>
  <si>
    <t>72-79</t>
  </si>
  <si>
    <t>60000264;60000264;60000264;60000264;60002787</t>
  </si>
  <si>
    <t>7403893404;55736361200;55145417300;7005448456;7004637908</t>
  </si>
  <si>
    <t>Okada, Toshimi;Tanaka, Yoshihito;Hayakawa, Masashi;Iwai, Akira;Shimakura, Shin</t>
  </si>
  <si>
    <t>Chiba;Nagoya</t>
  </si>
  <si>
    <t>Chiba University;Nagoya University</t>
  </si>
  <si>
    <t>60002787;60000264</t>
  </si>
  <si>
    <t>Okada T.</t>
  </si>
  <si>
    <t>Experimental study of the relationship between the propagation distance and the polarization characteristics of whistlers</t>
  </si>
  <si>
    <t>10.1002/ecja.4400661210</t>
  </si>
  <si>
    <t>2-s2.0-0020894521</t>
  </si>
  <si>
    <t>['transfer vector', 'practical importance', 'optimum detection', 'multivariate filter']</t>
  </si>
  <si>
    <t>The problem of synthesis of the transfer vector-function of a multivariate filter which processes the information from outputs of array antenna elements is solved. Results are obtained for three processing effectiveness criteria of practical importance and their relationship to the algorithm for optimum detection of a multivariate stochastic signal is established.</t>
  </si>
  <si>
    <t>56-62</t>
  </si>
  <si>
    <t>7202673450;6506882699</t>
  </si>
  <si>
    <t>Gusev, V. G.;Cherenkova, Ye V.</t>
  </si>
  <si>
    <t>Gusev V.</t>
  </si>
  <si>
    <t>RELATIONSHIP BETWEEN ARRAY ANTENNA ADAPTIVE OPTIMIZATION ALGORITHMS AND THE ALGORITHM FOR OPTIMUM DETECTION OF A MULTIVARIATE STOCHASTIC SIGNAL.</t>
  </si>
  <si>
    <t>2-s2.0-0020896397</t>
  </si>
  <si>
    <t>['term studies', 'subcutaneous transmitters', 'removed prematurely', 'remote locations', 'readily .-', 'neck collars', 'former required', 'comparable ranges', 'attached transmitters', '6km );']</t>
  </si>
  <si>
    <t>Flipper-attached transmitters had the greatest range (&gt;13km) and thus enabled automatic recording of activity using event recorders at remote locations; however, Enhydra lutris commonly damaged the transmitting antenna within 3 wk and detached the unit within 3 months. Neck collars and ankle bracelets also were removed prematurely by otters and sometimes caused fatal injuries. Surgically implanted transmitters could not be damaged or removed by otters; these are recommended for long-term studies. Intraperitoneal and subcutaneous transmitters had comparable ranges (3-6km); the former required a more difficult surgical procedure, but appeared to be tolerated by otters more readily.-from Authors</t>
  </si>
  <si>
    <t>378-383</t>
  </si>
  <si>
    <t>Wildlife Society Bulletin</t>
  </si>
  <si>
    <t>60029445;60029445</t>
  </si>
  <si>
    <t>6701753893;7003874433</t>
  </si>
  <si>
    <t>Garshelis, D. L.;Siniff, D. B.</t>
  </si>
  <si>
    <t>Minneapolis</t>
  </si>
  <si>
    <t>University of Minnesota Twin Cities</t>
  </si>
  <si>
    <t>Garshelis D.L.</t>
  </si>
  <si>
    <t>Evaluation of radio-transmitter attachments for sea otters.</t>
  </si>
  <si>
    <t>2-s2.0-0020898079</t>
  </si>
  <si>
    <t>['¬© 1983', 'waveguide calculations', 'waveguide analysis', 'system applications', 'rights reserved', 'recent effort', 'ray methods', 'ray concepts', 'range display', 'prediction capabilities', 'practical beyond', 'paper deals', 'multimode systems', 'major products', 'layered media', 'hybrid mixture', 'electrical engineers', 'could take', 'calculating plane']</t>
  </si>
  <si>
    <t>Antennas | Radio-wave propagation</t>
  </si>
  <si>
    <t>This paper reviews IREPS and some of its major products, and follows with a description of a recent effort to improve IREPS signal-prediction capabilities in tropospheric ducting environments. The IREPS products discussed are the altitude-versus-range coverage display, the path-loss-versus-range display, and a new historical propagation-conditions summary display derived from a computer-based refractivity climatology. In the GHz range elevated tropospheric layers are multimode systems, and practical beyond-the-horizon field calculations for system applications such as IREPS require simplified procedures. These simplified procedures could involve approximations directed towards speeding up waveguide calculations, or could take the form of replacing waveguide methods by ray methods or by a hybrid mixture of waveguide and ray concepts. Involved in each of these alternatives, and within the context of the modified refractivity formalism, is the need for calculating plane-wave reflection coefficients or their equivalents for layered media. The modelling effort discussed in this paper deals with the feasibility of using asymptotic forms of the plane-wave reflection coefficients for the purpose of waveguide analysis for a trilinear ducting environment. ¬© 1983, The Institution of Electrical Engineers. All rights reserved.</t>
  </si>
  <si>
    <t>630-642</t>
  </si>
  <si>
    <t>60032503;60032503;60032503</t>
  </si>
  <si>
    <t>7102914103;6602776213;6603956870</t>
  </si>
  <si>
    <t>Baumgartner, G. B.;Hitney, H. V.;Pappert, R. A.</t>
  </si>
  <si>
    <t>San Diego</t>
  </si>
  <si>
    <t>Space and Naval Warfare Systems Center San Diego</t>
  </si>
  <si>
    <t>Baumgartner G.</t>
  </si>
  <si>
    <t>Duct propagation modelling for the Integrated-Refractive-Effects Prediction System (IREPS)</t>
  </si>
  <si>
    <t>10.1049/ip-f-1.1983.0096</t>
  </si>
  <si>
    <t>2-s2.0-0020902463</t>
  </si>
  <si>
    <t>['¬© 1983', 'years 1950', 'tropospheric inhomogeneities', 'troposcatter propagation', 'term variations', 'rights reserved', 'propagation mechanism', 'paper summarises', 'main characteristics', 'lower rate', 'including long', 'given rise', 'field strength', 'extensively studied', 'electrical engineers', 'distance interference', 'bandwidth capabilities', '30 mhz']</t>
  </si>
  <si>
    <t>Radiocommunication | Transhorizon radio links | Tropospheric propagation</t>
  </si>
  <si>
    <t>Above about 30 MHz the only tropospheric-propagation mechanism giving a significant field strength far beyond the radio-horizon is the scattering of radiowaves by tropospheric inhomogeneities. This mechanism has been extensively studied and has given rise to discussions between theoreticians, especially during the years 1950 to 1965. From that time, studies have been continued at a lower rate, and this propagation mechanism has been used for the planning of transhorizon radio links. Moreover, troposcatter propagation has to be taken into account for the prediction of long-distance interference. This paper summarises the main characteristics of the propagation by tropospheric inhomogeneities, including long-term and short-term variations of field strength, antenna gain degradation and limitations in bandwidth capabilities. ¬© 1983, The Institution of Electrical Engineers. All rights reserved.</t>
  </si>
  <si>
    <t>657-664</t>
  </si>
  <si>
    <t>60104081;60104081</t>
  </si>
  <si>
    <t>6602524498;7007113195</t>
  </si>
  <si>
    <t>Boithias, L.;Battesti, J.</t>
  </si>
  <si>
    <t>Issy-les-Moulineaux</t>
  </si>
  <si>
    <t>Orange Labs</t>
  </si>
  <si>
    <t>Boithias L.</t>
  </si>
  <si>
    <t>Propagation due to tropospheric inhomogeneities</t>
  </si>
  <si>
    <t>10.1049/ip-f-1.1983.0099</t>
  </si>
  <si>
    <t>2-s2.0-0020903005</t>
  </si>
  <si>
    <t>['located within', 'given portion', 'geostationary orbit', 'geographical region', '10 degrees']</t>
  </si>
  <si>
    <t>A communication satellite must be located within a given portion of the geostationary orbit to provide its required communication coverage. The extent of this usable orbital arc is a function of the geographical region to be served and the minimum desired earth station antenna elevation angle. In this paper, the usable orbital arcs for most of the world's countries are calculated for minimum ground antenna elevation angles of 5 and 10 degrees.</t>
  </si>
  <si>
    <t>Journal of engineering sciences</t>
  </si>
  <si>
    <t>Samarkandy, Mohammad K.</t>
  </si>
  <si>
    <t>Samarkandy M.</t>
  </si>
  <si>
    <t>USABLE SATELLITE ORBITAL ARCS FOR THE WORLD COUNTRIES.</t>
  </si>
  <si>
    <t>2-s2.0-0020904150</t>
  </si>
  <si>
    <t>['two pairs', 'tracking system', 'tracking purposes', 'subsequent transmission', 'remote sites', 'position data', 'pdm system', 'measuring system', 'measuring capability', 'hardware required', 'direction cosines', 'crossed baselines', 'ccf ).', 'baseline consisting']</t>
  </si>
  <si>
    <t>The phase difference measuring (PDM) system is an RF interferometer object-tracking system that utilizes the object's radiated telemetry power spectra for tracking purposes. The PDM system is being developed in-house at White Sands Missile Range as a highly mobile electronic angle-measuring system to augment existing position-measuring capability in range instrumentation systems. The system is comprised of two remote data acquisition stations (RDAS) and a cosine conversion facility (CCF). Each RDAS is comprised of two antenna arrays configured as crossed baselines. The RDAS equipment utilizes high-speed RF switching in a time-sharing technique designed to reduce the amount of hardware required at the remote sites to produce direction cosines. The CCF collects two direction cosines from each RDAS; it then transforms the direction cosines to position data for subsequent transmission to a range control center. This paper provides basic system theory and explains the proposed antenna RF switching techniques as well as the computer simulation analysis for a baseline consisting of two pairs of antennas.</t>
  </si>
  <si>
    <t>77-83</t>
  </si>
  <si>
    <t>ISA Transactions</t>
  </si>
  <si>
    <t>Parra, M. Z.</t>
  </si>
  <si>
    <t>Parra M.Z.</t>
  </si>
  <si>
    <t>WHITE SANDS MISSILE RANGE: A PHASE-DIFFERENCE MEASURING TRACKING SYSTEM.</t>
  </si>
  <si>
    <t>2-s2.0-0020905005</t>
  </si>
  <si>
    <t>['wide range', 'various levels', 'schottky diode', 'rectifier ),', 'proper losses', 'input power', 'gaas diode', 'ensure higher', 'conversion efficiency', 'calculations show', '5w ).']</t>
  </si>
  <si>
    <t>A system of equations which relate the characteristics of an element of the rectenna (antenna &amp; rectifier), in particular, the efficiency, with the parameters of the Schottky diode is presented. These equations are intended for the determination of the proper ohmic losses in the element of the rectenna. A method is developed for the minimization of proper losses for various levels of the input microwave power. The losses in Au-GaAs diode are calculated. The calculations show that this type of diode can ensure higher than 90% conversion efficiency in a wide range of the input power (from 0. 1 to 5w).</t>
  </si>
  <si>
    <t>81-84</t>
  </si>
  <si>
    <t>Moscow University Physics Bulletin (English Translation of Vestnik Moskovskogo Universiteta, Fizik</t>
  </si>
  <si>
    <t>6603418988;6603472575;6504149870;6507610480;6506594959</t>
  </si>
  <si>
    <t>Boyakhchyan, G. P.;Lesota, S. K.;Maslovskii, F. N.;Rachnikov, A. V.;Sambur, I. G.</t>
  </si>
  <si>
    <t>CALCULATION OF LOSSES IN THE RECTIFYING DIODE OF RECTENNA.</t>
  </si>
  <si>
    <t>2-s2.0-0020914134</t>
  </si>
  <si>
    <t>['signal arrivals', 'performance characteristics', 'optimum processor', 'namely linear', 'look direction', 'linear constraints', 'increased beamwidth', 'derivative constraints', 'circular arrays', 'beam spacings', 'array geometries', 'also termed']</t>
  </si>
  <si>
    <t>A class of linear constraints, also termed as derivative constraints, which is applicable to broad-band element space antenna array processors, is presented. The performance characteristics of the optimum processor with derivative constraints are demonstrated by computer studies involving two types of array geometries, namely linear and circular arrays. As a consequence of derivative constraints, the beamwidth in the look direction can be made as broad as desired and the beam spacings can be selected without fear of substantial signal suppression in the event of signal arrivals between beams. However, this increased beamwidth is achieved at the price of reducing array gain.</t>
  </si>
  <si>
    <t>1378-1393</t>
  </si>
  <si>
    <t>ASSP-31</t>
  </si>
  <si>
    <t>7102842938;7005144794</t>
  </si>
  <si>
    <t>Er, Meng Hwa;Cantoni, Antonio</t>
  </si>
  <si>
    <t>Er M.</t>
  </si>
  <si>
    <t>DERIVATIVE CONSTRAINTS FOR BROAD-BAND ELEMENT SPACE ANTENNA ARRAY PROCESSORS.</t>
  </si>
  <si>
    <t>2-s2.0-0020915415</t>
  </si>
  <si>
    <t>['united states', 'television programming', 'principal source', 'healthy market', 'dbs television', 'author looks', 'aluminum industry']</t>
  </si>
  <si>
    <t>Direct broadcast satellite (DBS) television could become the principal source of pay-television programming in the United States. The author looks at Alcoa's prototype program aiming at development of an all-aluminum dish antenna for DBS television. It is shown that, if the program is successful, DBS could open a healthy market for the aluminum industry.</t>
  </si>
  <si>
    <t>Modern Metals</t>
  </si>
  <si>
    <t>Pennington, Neiland</t>
  </si>
  <si>
    <t>Pennington N.</t>
  </si>
  <si>
    <t>SATELLITE TV CHALLENGES CABLE; PROMISES BIG MARKET FOR METAL.</t>
  </si>
  <si>
    <t>2-s2.0-0020927524</t>
  </si>
  <si>
    <t>['¬© 1983', 'well established', 'waves subjected', 'short wavelength', 'rights reserved', 'natural focusing', 'made devices', 'last decade', 'irregular surface', 'irregular medium', 'electrical engineers', 'different catstrophes', 'contrived focusing', 'caustic geometry', 'appropriate theory', 'antenna dishes']</t>
  </si>
  <si>
    <t>Catastrophes | Radio-wave propagation</t>
  </si>
  <si>
    <t>Contrived focusing is achieved by the disturbance of waves by man-made devices such as lenses or antenna dishes, and the theory of the process is well established. Natural focusing or caustics, on the other hand, are produced in waves subjected to natural, or nonspecial, disturbance such as propagation through an irregular medium or reflection from an irregular surface. The appropriate theory of such focusing had to await the mathematics of catastrophe theory developed only in the last decade, the different natural focusings being the different catstrophes. With it the caustic geometry of the focusings are described, as is the characteristic associated wave diffraction pattern. These can then be used, for example, to calculate intensity fluctuations in a randomly disturbed wave of short wavelength. ¬© 1983, The Institution of Electrical Engineers. All rights reserved.</t>
  </si>
  <si>
    <t>623-629</t>
  </si>
  <si>
    <t>Hannay, J. H.</t>
  </si>
  <si>
    <t>Bristol</t>
  </si>
  <si>
    <t>University of Bristol</t>
  </si>
  <si>
    <t>Hannay J.</t>
  </si>
  <si>
    <t>Natural focusing and catastrophes</t>
  </si>
  <si>
    <t>10.1049/ip-f-1.1983.0095</t>
  </si>
  <si>
    <t>2-s2.0-0020930179</t>
  </si>
  <si>
    <t>['wave incident', 'upper limit', 'special case', 'received power', 'power entering', 'optimum distributions', 'formulas changes', 'feeder section', 'different versions', 'completely matched']</t>
  </si>
  <si>
    <t>Different versions of formulas are obtained for power entering the receiver which take into account the mismatch at the ends of the feeder section for any form of the wave incident on the antenna. In the special case when the receiver is completely matched to the feeder section, one of the formulas changes into Burshtein-Kinber's formula. The upper limit of the received power for different additional conditions and the optimum distributions of the field which maximize the received power are obtained.</t>
  </si>
  <si>
    <t>Fel'd, Ya N.</t>
  </si>
  <si>
    <t>Fel'd Y.</t>
  </si>
  <si>
    <t>CONCERNING POWER THAT IS EXTRACTED BY A RECEIVING ANTENNA FROM THE INCIDENT FIELD.</t>
  </si>
  <si>
    <t>2-s2.0-0020930584</t>
  </si>
  <si>
    <t>['periodic antenna', 'parabolic reflector', 'controlled rotator', 'controlled facilities', 'also suitable', '12 ghz']</t>
  </si>
  <si>
    <t>The steerable, Directional Antenna System AC 002 was developed for radio monitoring applications in the frequency range 1 to 12 GHz and is also suitable for use in computer-controlled facilities. This high-focus, broadband antenna system with its 2. 7-m parabolic reflector and a crossed, logarithmic-periodic antenna for horizontal and vertical polarization used as the feed is positioned by a microprocessor-controlled rotator.</t>
  </si>
  <si>
    <t>14-16</t>
  </si>
  <si>
    <t>News from Rohde &amp; Schwarz</t>
  </si>
  <si>
    <t>Schiller, Manfred</t>
  </si>
  <si>
    <t>Schiller M.</t>
  </si>
  <si>
    <t>STEERABLE, DIRECTIONAL ANTENNA SYSTEM AC 002 FOR 1 THROUGH 12 GHz.</t>
  </si>
  <si>
    <t>2-s2.0-0020932337</t>
  </si>
  <si>
    <t>['stratified medium', 'skewed lattice', 'reflection coefficients', 'planar distribution', 'periodic structure', 'particular case', 'paper presents', 'general problem', 'efficient method', 'dielectric support']</t>
  </si>
  <si>
    <t>The paper presents an efficient method to compute the generalized scattering matrix of frequency selective surfaces constituted by a planar distribution of conducting patches periodically arranged in a skewed lattice and packed in a stratified dielectric medium. The scattering by the periodic structure has been solved as a particular case of the more general problem of scattering by an arbitrary planar distribution of conductors in a stratified medium. Further the influence of the dielectric support on the transmission and reflection coefficients in illustrated.</t>
  </si>
  <si>
    <t>361-364</t>
  </si>
  <si>
    <t>6701447666;7004085807</t>
  </si>
  <si>
    <t>Contu, S.;Tascone, R.</t>
  </si>
  <si>
    <t>Contu S.</t>
  </si>
  <si>
    <t>SCATTERING MATRIX OF PASSIVE ARRAYS IN A STRATIFIED DIELECTRIC.</t>
  </si>
  <si>
    <t>2-s2.0-0020935767</t>
  </si>
  <si>
    <t>['transmitting antenna', 'stereoscopic image', 'polarization ellipses', 'numerical calculation', 'magnetic vectors', 'isolated sensor', 'frequency range', 'electronics engineers', 'described comprising', '10 mhz']</t>
  </si>
  <si>
    <t>A system is described comprising of an isolated sensor to measure the polarization ellipses of the electric and magnetic vectors in the near field around a transmitting antenna or a scatterer in the frequency range from 0.5 to 10 MHz. The locus of the time-dependent Poynting vector is derived by numerical calculation. Results are displayed as a stereoscopic image. Copyright ¬© 1983 by The Institute of Electrical and Electronics Engineers, Inc.</t>
  </si>
  <si>
    <t>466-468</t>
  </si>
  <si>
    <t>M√úNTER, Klaus</t>
  </si>
  <si>
    <t>Braunschweig</t>
  </si>
  <si>
    <t>Physikalisch-Technische Bundesanstalt</t>
  </si>
  <si>
    <t>M√úNTER K.</t>
  </si>
  <si>
    <t>An Isolated Sensor Determining the Poynting Vector in the Near Field of a Radiating Antenna</t>
  </si>
  <si>
    <t>10.1109/TIM.1983.4315117</t>
  </si>
  <si>
    <t>2-s2.0-0020936597</t>
  </si>
  <si>
    <t>['scale applications', 'polarized targets', 'optimum design', 'neutrino telescopes', 'ion beams', 'dilution refrigerators', 'beams might']</t>
  </si>
  <si>
    <t>The optimum design of dilution refrigerators is discussed, as well as their large-scale applications in cryopumping, gravitational radiation antennas, polarized targets, neutrino telescopes, and in the production of stable atomic hydrogen or deuterium for intense polarized atom and ion beams. These beams might be useful in polarized plasma fusion reactors.</t>
  </si>
  <si>
    <t>144-151</t>
  </si>
  <si>
    <t>Acta Polytechnica Scandinavica, Applied Physics Series</t>
  </si>
  <si>
    <t>Niinikoski, T. O.</t>
  </si>
  <si>
    <t>Niinikoski T.</t>
  </si>
  <si>
    <t>LARGE-SCALE APPLICATIONS OF DILUTION REFRIGERATORS.</t>
  </si>
  <si>
    <t>2-s2.0-0020936814</t>
  </si>
  <si>
    <t>['several orders', 'several modes', 'previous measurements', 'magnitude higher', 'electronics engineers', 'electromagnetic radiation', 'discharge current']</t>
  </si>
  <si>
    <t>Measurements of the transient characteristics associated with the discharge of a simulated solar array are presented. A capacitively coupled probe is used to measure the discharge current, and antennas are used to measure the electromagnetic radiation. Discharges were observed at low surface voltages (&lt; 3 kV) and several modes of discharge were observed. The maximum discharge current is found to be 0.2 A. This value is several orders of magnitude higher than that reported by previous measurements. Experimental evidence suggests that the inverted voltage gradient is a very likely triggering mechanism for solar array discharges. Copyright ¬© 1983 by The Institute of Electrical and Electronics Engineers, Inc.</t>
  </si>
  <si>
    <t>4311-4315</t>
  </si>
  <si>
    <t>Leung, P.</t>
  </si>
  <si>
    <t>Leung P.</t>
  </si>
  <si>
    <t>Discharge characteristics of a simiulated solar cell array</t>
  </si>
  <si>
    <t>10.1109/TNS.1983.4333129</t>
  </si>
  <si>
    <t>2-s2.0-0020937801</t>
  </si>
  <si>
    <t>['urban areas', 'uhf band', 'small cart', 'signals transmitted', 'median values', 'field strength', 'downtown area']</t>
  </si>
  <si>
    <t>Mobile radio propagation tests in the UHF band were carried out in urban areas. Signals transmitted from radio base stations were received by dipole antennas installed on an automobile and a small cart. Median values of field strength on streets and sidewalks were then measured. In addition, floor height gain characteristics of field strength were measured for a building in the downtown area.</t>
  </si>
  <si>
    <t>724-725</t>
  </si>
  <si>
    <t>7005280804;6602131146;57220915606</t>
  </si>
  <si>
    <t>Tsuruhara, Toshinari;Akeyama, Akira;Satoh, Kohei</t>
  </si>
  <si>
    <t>Tsuruhara T.</t>
  </si>
  <si>
    <t>MOBILE RADIO PROPAGATION CHARACTERISTICS IN URBAN AREAS IN THE UHF BAND.</t>
  </si>
  <si>
    <t>2-s2.0-0020939156</t>
  </si>
  <si>
    <t>['wiley company', 'wide range', 'studied numerically', 'sa ),', 'radiation characteristics', 'polarization control', 'parasitic elements', 'opposite sense', 'lower frequencies', 'input impedance', 'inc .,', 'higher frequencies', 'frequency range', 'four arms', 'found also', 'excitation phase', 'current distributions', 'confirmed numerically', 'circular polarizations', 'change appreciably', 'broadband nature', 'angle due', '6 ghz']</t>
  </si>
  <si>
    <t>For the purpose of controlling the polarization of an Archimedean spiral antenna (SA), a parasitic spiral element is added on the same plane of a two‚Äêwire SA. the radiation characteristics have been studied numerically and experimentally. First, the current distributions on both the active and parasitic elements are calculated from Hallen‚Äêtype integral equations in the frequency range of 3 to 6 GHz. Comparing the current distributions with those of a two‚Äêwire SA and a four‚Äêwire four‚Äêterminal fed SA, we study the mechanism of polarization control. It is found that the present antenna operates as a linearly polarized element at lower frequencies and a circular polarization element at higher frequencies. It is found also that the input impedance does not change appreciably in frequency and hence the broadband nature of the conventional two‚Äêwire SA is retained. Finally, it is confirmed numerically that circular polarizations in the opposite sense can be obtained over a wide range of angle due to change in excitation phase when four arms are excited. Copyright ¬© 1983 Wiley Periodicals, Inc., A Wiley Company</t>
  </si>
  <si>
    <t>100-108</t>
  </si>
  <si>
    <t>60030526;60030526;60030526</t>
  </si>
  <si>
    <t>57190922558;56405174700;7403322826</t>
  </si>
  <si>
    <t>Nakamo, Hisamatsu;Yamauchi, Junji;Sugiyama, Yutaka</t>
  </si>
  <si>
    <t>Nakamo H.</t>
  </si>
  <si>
    <t>Parasitic effects and polarization diversity of archimedean spiral antenna</t>
  </si>
  <si>
    <t>10.1002/ecja.4400661213</t>
  </si>
  <si>
    <t>2-s2.0-0020940844</t>
  </si>
  <si>
    <t>['system requirements', 'fm distribution', 'authors propose', 'article concludes', '1750 mhz']</t>
  </si>
  <si>
    <t>The authors propose the distribution of the signals in frequency modulated form, in an intermediate frequency range from 950 to 1750 MHz. After considering the system requirements and demonstrating the feasibility of fm distribution in this context, the article concludes with an appraisal of the economic factors involved.</t>
  </si>
  <si>
    <t>274-283</t>
  </si>
  <si>
    <t>EBU Technical Review</t>
  </si>
  <si>
    <t>7006298087;7102704775;7102316679;6602368462</t>
  </si>
  <si>
    <t>Chaplin, J. G.;Fromm, H. H.;Monti, G.;Mussino, F.</t>
  </si>
  <si>
    <t>Chaplin J.</t>
  </si>
  <si>
    <t>SATELLITE BROADCAST RECEPTION: THE FM APPROACH TO SIGNAL DISTRIBUTION IN INDIVIDUAL AND COMMUNITY ANTENNA SYSTEMS.</t>
  </si>
  <si>
    <t>2-s2.0-0020941043</t>
  </si>
  <si>
    <t>['¬© 1983', 'wave height', 'various first', 'various definitions', 'theoretical considerations', 'state sensing', 'ship tracks', 'ship tracking', 'ship echoes', 'sea surface', 'sea echo', 'sea clutter', 'rights reserved', 'relevant electromagnetic', 'radar echoes', 'propagation loss', 'propagation factors', 'physical concepts', 'particular attention', 'paper reviews', 'order mechanisms', 'noise environment', 'experimental measurements', 'evolving radars', 'electrical engineers', 'doppler spectrum', 'doppler spectra', 'directional determination', 'detectability depends', 'current measurement', 'array characterisations', 'antenna gain', '30 mhz']</t>
  </si>
  <si>
    <t>Antennas | Radio wave propagation</t>
  </si>
  <si>
    <t>Vertically polarised MF/HF groundwave radar has been used over the frequency range 2-30 MHz for sea-state sensing, surface-current measurement and ship tracking. The paper reviews the propagation factors and noise environment which control the performance of such systems. The various definitions of antenna gain, propagation loss and sea backscattering coefficient are discussed and related to physical concepts. The various first-order and higher-order mechanisms of scattering are reviewed and related to the relevant electromagnetic and hydrodynamic processes involved. These processes, linked with the velocities of the water waves responsible, result in a Doppler spectrum of the radar echoes which may be used to infer the wave height and wave directional spectra on the sea surface. Particular attention is directed towards remaining problems in understanding these processes. In evolving radars for ship tracking, detectability depends on the knowledge of the Doppler spectra of the sea clutter and, in particular, on limitations in directional determination of ship echoes with practical antenna systems located on available coastal sites. In conclusion, experimental measurements of sea echo, ship tracks and antenna-array characterisations are compared with theoretical considerations. ¬© 1983, The Institution of Electrical Engineers. All rights reserved.</t>
  </si>
  <si>
    <t>579-590</t>
  </si>
  <si>
    <t>Shearman, E. D.R.</t>
  </si>
  <si>
    <t>Birmingham</t>
  </si>
  <si>
    <t>University of Birmingham</t>
  </si>
  <si>
    <t>Shearman E.</t>
  </si>
  <si>
    <t>Propagation and scattering in MF/HF groundwave radar</t>
  </si>
  <si>
    <t>10.1049/ip-f-1.1983.0092</t>
  </si>
  <si>
    <t>2-s2.0-0020941348</t>
  </si>
  <si>
    <t>['specific directions', 'rf heating', 'proper operation', 'polarization states', 'launching system', 'horn reflector', 'g .,', 'fusion plasma', 'electronics engineers', 'cassegrain type', 'cassegrain antenna']</t>
  </si>
  <si>
    <t>We explore the possibility of applying a quasi-optical beam waveguide of the Cassegrain type as a launching system for RF heating of a fusion plasma. The plane wave required for proper operation of the Cassegrain antenna can be obtained from the azimuthally polarized TE0n gyroton output by means of, e.g., a horn reflector with a stepped-twist reflector mounted in its throat. Our launcher has the potential to keep the loss level extremely low, continue the outputs of a number of gyrotrons, and direct the radiation on the plasma in specific directions and polarization states. Copyright ¬© 1983 by The Institute of Electrical and Electronics Engineers, Inc.</t>
  </si>
  <si>
    <t>255-258</t>
  </si>
  <si>
    <t>60032179;60032179;60032179</t>
  </si>
  <si>
    <t>7202393720;6602300691;7005335418</t>
  </si>
  <si>
    <t>Beyer, J. B.;Audenaerde, K.;Scharer, J. E.</t>
  </si>
  <si>
    <t>Madison</t>
  </si>
  <si>
    <t>University of Wisconsin-Madison</t>
  </si>
  <si>
    <t>Beyer J.B.</t>
  </si>
  <si>
    <t>A Beam Waveguide Launcher for High Power ECRH Heating in Large Tandem Mirror Machines</t>
  </si>
  <si>
    <t>10.1109/TPS.1983.4316265</t>
  </si>
  <si>
    <t>2-s2.0-0020941737</t>
  </si>
  <si>
    <t>['system bandwidth', 'satellite crowding', 'orbital spacing', 'ongoing study', 'major restriction', 'isolation improvements', 'geostationary orbit', 'feed geometry', 'communication bands', 'auxiliary feeds']</t>
  </si>
  <si>
    <t>Presently, satellite crowding in the geostationary orbit is becoming a major restriction on further development of operations in the communication bands. This paper reviews progress in an ongoing study of interferometric sidelobe suppression by auxiliary feeds in double-reflector antenna systems. The isolation improvements are explored and related to the feed geometry, orbital spacing between satellites, required excitation levels, and system bandwidth.</t>
  </si>
  <si>
    <t>405-416</t>
  </si>
  <si>
    <t>6701514415;7003821814;6602341224</t>
  </si>
  <si>
    <t>Arnbak, J.;Herben, M. H.A.J.;van Spaendonk, R. A.C.M.</t>
  </si>
  <si>
    <t>Arnbak J.</t>
  </si>
  <si>
    <t>IMPROVED ORBIT UTILIZATION USING AUXILIARY FEEDS IN EXISTING EARTH TERMINALS.</t>
  </si>
  <si>
    <t>2-s2.0-0020941911</t>
  </si>
  <si>
    <t>['uhf air', 'simultaneous operation', 'several transmitters', 'receiving antennas', 'minimum number', 'high isolation', 'eight transmitters', 'control systems', 'control system', '200 w']</t>
  </si>
  <si>
    <t>Interference-free and simultaneous operation of several transmitters and receivers in an air-traffic-control system with closely located transmitting and receiving antennas is only possible with a minimum number of antennas and maximum antenna isolation. VHF-UHF air-traffic-control systems are reported that enable via combining filters the connection of up to eight transmitters and receivers to one antenna mast. The high isolation between the transmitting and receiving antennas as well as the use of coaxial-line resonator filters with high selectivity ensure optimum transmission and reception with minimum frequency spacing of less than 1% and transmitter power ratings up to 200 w.</t>
  </si>
  <si>
    <t>24-26</t>
  </si>
  <si>
    <t>6506010854;6603957857</t>
  </si>
  <si>
    <t>Lex, Franz;Schirm, Lothar</t>
  </si>
  <si>
    <t>Lex F.</t>
  </si>
  <si>
    <t>VHF-UHF AIR-TRAFFIC-CONTROL SYSTEMS WITH CLOSELY LOCATED TRANSMITTING AND RECEIVING ANTENNAS.</t>
  </si>
  <si>
    <t>2-s2.0-0020946306</t>
  </si>
  <si>
    <t>['tdrss ).', 'radiating elements', 'power consumption', 'one time', 'microprocessor controller', 'hemispherical dome', 'erbs ).', 'controlled antenna', 'continuously selected', 'command relay', 'antenna gain', '30 watts', '20 watts', '14 dbi']</t>
  </si>
  <si>
    <t>The Electronic Switching Spherical Array (ESSA) is a microprocessor-controlled antenna for low orbiting spacecraft for telemetry and command relay through the Tracking and Data Relay Satellite System (TDRSS). The array is a hemispherical shape covered with disk radiating elements. A group of radiating elements are continuously selected by the microprocessor controller to form a beam in the direction of a TDRS. A radial switching power divider uses PIN diodes to select the desired radiating elements. The antenna gain is a function of the size of the hemispherical dome. A 30-inch diameter dome is presently being built for the Earth Radiation Budget Spacecraft (ERBS). Gain of this antenna over a hemisphere is 14 dBi and polarization is left hand circular. There are 145 radiating elements with 12 being used at one time to form a beam. The ESSA subsystem weighs 74 pounds and power consumption is 20 watts. RF power handling capability is 30 watts. The S-Band radiating elements have a 10 percent bandwidth that allows simultaneous transmission and reception.</t>
  </si>
  <si>
    <t>6602779508;6506335401</t>
  </si>
  <si>
    <t>Kudrna, K.;Hockensmith, R. P.</t>
  </si>
  <si>
    <t>Kudrna K.</t>
  </si>
  <si>
    <t>ELECTRONIC SWITCHING SPHERICAL ARRAY ANTENNA FOR THE EARTH RADIATION BUDGET SPACECRAFT.</t>
  </si>
  <si>
    <t>2-s2.0-0020946455</t>
  </si>
  <si>
    <t>['time agilities', 'signals present', 'phased array', 'output power', 'matrix estimate', 'good accuracy', 'element level', 'electronics engineers', 'correlation matrix', 'bearing angles']</t>
  </si>
  <si>
    <t>Signals from several uncorrelated emitters are received by a uniformly spaced linear phased array, and the bearing angles of the emitters are determined from output power measurements only. The output power is used to estimate the correlation matrix of the signals present at the element level. The beampointing and dwell-time agilities of a phased array are exploited, such that errors in the matrix estimate are minimized, subject to a constraint on the data collection time. A simple spectral estimation technique is described which improves on the accuracy and resolution of the maximum entropy spectrum while suppressing spurious responses. Simulations demonstrate clear resolution and good accuracy for closely spaced emitters using practical SNR's and data collection time. Copyright ¬© 1983 by The Institute of Electrical and Electronics Engineers, Inc.</t>
  </si>
  <si>
    <t>1409-1416</t>
  </si>
  <si>
    <t>Dufort, Edward C.</t>
  </si>
  <si>
    <t>High-Resolution Emitter Direction Finding Using a Phased Array Antenna</t>
  </si>
  <si>
    <t>10.1109/TASSP.1983.1164234</t>
  </si>
  <si>
    <t>2-s2.0-0020946922</t>
  </si>
  <si>
    <t>['radiometric data', 'partial synthesis', 'mineral exploration', 'freer area', 'eu ),', 'eth ).', 'equivalent thorium', 'color images', 'aerial gamma']</t>
  </si>
  <si>
    <t>Aerial gamma -ray data provide estimates of the apparent surface concentrations of potassium (K), equivalent uranium (eU), and equivalent thorium (eTh). These data can be expressed as 9 radiometric parameters. The USGS has developed a technique which combines any 3 of these parameters to form a composite color image. The color image provides a partial synthesis of the radiometric data that can be used to aid geologic mapping and mineral exploration. The sample data set, from the Freer area in S Texas, illustrates the use of the color images. -from Author</t>
  </si>
  <si>
    <t>722-735</t>
  </si>
  <si>
    <t>Geophysics</t>
  </si>
  <si>
    <t>Duval, J. S.</t>
  </si>
  <si>
    <t>Reston</t>
  </si>
  <si>
    <t>United States Geological Survey</t>
  </si>
  <si>
    <t>Duval J.S.</t>
  </si>
  <si>
    <t>Composite color images of aerial gamma-ray spectrometric data.</t>
  </si>
  <si>
    <t>10.1190/1.1441502</t>
  </si>
  <si>
    <t>2-s2.0-0020969117</t>
  </si>
  <si>
    <t>['tissue interface', 'test region', 'test medium', 'systems compare', 'simulation models', 'signal scattered', 'signal reflected', 'scattered signal', 'reference signal', 'phase changes', 'monitoring time', 'maximum range', 'linear function', 'electronics engineers', 'detection characteristics', 'cardiac cycle', 'blood vessels', 'biological tissue', '915 mhz', '913 ghz', '60 db']</t>
  </si>
  <si>
    <t>Two interferometer systems for monitoring time-varying biological impedances at 915 MHz and 913 GHz were developed. The systems compare the phase of the signal scattered from a region of biological tissue to that of a reference signal, using a phase sensitive detector. The phase changes of the scattered signal are an indication of the net changes within the test region due to various physiological processes, for example, the displacements of blood vessels during the cardiac cycle. The systems were tested with simulation models and their detection characteristics were found to be a linear function of the phase changes for return losses within the test region as high as 60 dB. Because of the interference between the signal scattered from the test region and the signal reflected at the antenna-tissue interface, the maximum range of operation of the systems was limited to a fraction of a wavelength in the test medium. Copyright ¬© 1983 by The Institute of Electrical and Electronics Engineers, Inc.</t>
  </si>
  <si>
    <t>561-565</t>
  </si>
  <si>
    <t>BME-30</t>
  </si>
  <si>
    <t>IEEE Transactions on Biomedical Engineering</t>
  </si>
  <si>
    <t>60017165;60028897;60028897;60017592</t>
  </si>
  <si>
    <t>6603879078;56803516700;57198626640;57191680887</t>
  </si>
  <si>
    <t>Thansandote, Artnarong;Stuchly, Stanislaw S.;Smith, Andrew M.;Wight, Jim S.</t>
  </si>
  <si>
    <t>Canada;Canada;Thailand</t>
  </si>
  <si>
    <t>Ottawa;Ottawa;Khon Kaen</t>
  </si>
  <si>
    <t>University of Ottawa;Carleton University;Khon Kaen University</t>
  </si>
  <si>
    <t>60028897;60017592;60017165</t>
  </si>
  <si>
    <t>Thansandote A.</t>
  </si>
  <si>
    <t>Monitoring Variations of Biological Impedances at Microwave Frequencies</t>
  </si>
  <si>
    <t>10.1109/TBME.1983.325051</t>
  </si>
  <si>
    <t>2-s2.0-0020970547</t>
  </si>
  <si>
    <t>['vlbi antenna', 'tectonic plates', 'sensitivity analyses', 'particularly useful', 'numerical results', 'mathematical background', 'expected movement', 'briefly described']</t>
  </si>
  <si>
    <t>The proposed Canadian Long Baseline Array (CLBA) and the use of several radio telescopes in the CLBA as very long baseline interferometry (VLBI) stations to determine possible movements of tectonic plates are briefly described. The need for a monitoring network surrounding each VLBI antenna is explained, and expected movement between two possible VLBI stations is estimated. The mathematical background of precision, reliability, and sensitivity analyses is outlined. These analyses are then applied to an actual monitoring network. The numerical results are discussed to show how these analyses are particularly useful for monitoring networks.-Authors</t>
  </si>
  <si>
    <t>1586-1597</t>
  </si>
  <si>
    <t>Canadian Journal of Earth Sciences</t>
  </si>
  <si>
    <t>60002306;60002306;60002306;60002306</t>
  </si>
  <si>
    <t>7004216474;57215982767;7004614283;55530454000</t>
  </si>
  <si>
    <t>Teskey, W. F.;Niemeier, W.;Sideris, M.;Lyall, R. G.</t>
  </si>
  <si>
    <t>Calgary</t>
  </si>
  <si>
    <t>University of Calgary</t>
  </si>
  <si>
    <t>Teskey W.F.</t>
  </si>
  <si>
    <t>Stability monitoring of a stationary VLBI antenna.</t>
  </si>
  <si>
    <t>10.1139/e83-148</t>
  </si>
  <si>
    <t>2-s2.0-0020970664</t>
  </si>
  <si>
    <t>['work indicates', 'wave propagation', 'various environmental', 'small changes', 'radar parameters', 'previous authors', 'mtfs decrease', 'mtfs along', 'look directions', 'l band', 'increasing angle', 'fm parts', 'essentially independent', 'confirming many', 'coherence functions']</t>
  </si>
  <si>
    <t>During the Marine Remote Sensing experiment of 1979 (MARSEN 79), we employed microwave techniques at X and L band to determine the dependence of ocean-wave radar modulation transfer functions (MTFs) on various environmental and radar parameters. In this paper, we present these MTFs along with coherence functions between the AM and FM parts of the backscattered microwave signal and show that they both depend on several of these parameters. In addition to confirming many of the properties of transfer functions reported by previous authors, this work indicates that MTFs decrease with increasing angle between wave propagation and antenna-look directions but are essentially independent of small changes in air-sea temperature difference. -from Authors</t>
  </si>
  <si>
    <t>9747-9756</t>
  </si>
  <si>
    <t>C14</t>
  </si>
  <si>
    <t>60027271;60027271;60027271</t>
  </si>
  <si>
    <t>7005333525;7202217661;7202736401</t>
  </si>
  <si>
    <t>Plant, W. J.;Keller, W. C.;Cross, A.</t>
  </si>
  <si>
    <t>Plant W.</t>
  </si>
  <si>
    <t>Parametric dependence of ocean wave- radar modulation transfer functions.</t>
  </si>
  <si>
    <t>10.1029/JC088iC14p09747</t>
  </si>
  <si>
    <t>2-s2.0-0020970778</t>
  </si>
  <si>
    <t>['¬© 1983', 'wind shields', 'tall masts', 'static collapse', 'shells symmetrically', 'relevant literature', 'particular emphasis', 'experimental results', 'buckling analyses', 'briefly reviewed', 'asymetrically supported']</t>
  </si>
  <si>
    <t>The static collapse of circular cylindrical sheels under steady wind loading is considered with particular emphasis on shell structures typical of wind shields for antennae on tall masts. The relevant literature is briefly reviewed and the basis for theoretical buckling analyses described. Experimental results for shells symmetrically and asymetrically supported are presented and as a result of these, and the buckling analyses, simple design criteria are derived. ¬© 1983.</t>
  </si>
  <si>
    <t>261-270</t>
  </si>
  <si>
    <t>Johns, D. J.</t>
  </si>
  <si>
    <t>Johns D.J.</t>
  </si>
  <si>
    <t>Wind-induced static instability of cylindrical shells</t>
  </si>
  <si>
    <t>10.1016/0167-6105(83)90147-2</t>
  </si>
  <si>
    <t>2-s2.0-0020971266</t>
  </si>
  <si>
    <t>['separate antennas', 'full polarization', 'diversity capability', '35 ghz']</t>
  </si>
  <si>
    <t>A pulse Doppler radar system operating at 35 GHz and having full polarization (linear and circular) diversity capability is described. Separate antennas are used for the transmitter and the receiver because this design approach allows better overall radar sensitivity. -from Authors</t>
  </si>
  <si>
    <t>758-765</t>
  </si>
  <si>
    <t>Journal of Climate &amp; Applied Meteorology</t>
  </si>
  <si>
    <t>60027716;60027716;60027716;60027716</t>
  </si>
  <si>
    <t>6701694756;6603487276;7004052140;6701856868</t>
  </si>
  <si>
    <t>Pasqualucci, F.;Bartram, B. W.;Kropfli, R. A.;Moninger, W. R.</t>
  </si>
  <si>
    <t>Pasqualucci F.</t>
  </si>
  <si>
    <t>A millimeter-wavelength dual- polarization Doppler radar for cloud and precipitation studies.</t>
  </si>
  <si>
    <t>10.1175/1520-0450(1983)022&lt;0758:AMWDPD&gt;2.0.CO;2</t>
  </si>
  <si>
    <t>2-s2.0-0020971723</t>
  </si>
  <si>
    <t>['year sea', 'theoretical brightness', 'temperature model', 'temperature measurements', 'snow within', 'snow cover', 'interpreting brighlncss', 'ice model', 'francis ltd', 'electric field', 'dielectric properties', 'dielectric measurements', '90 ¬∞']</t>
  </si>
  <si>
    <t>A first-year sea-ice model, consisting of the dielectric properties and the geometry of icc and snow cover, has been used for interpreting brighlncss-temperature measurements of low-salinity sea ice. Dielectric measurements were made on about 400 ice samples, the salinity of which ranged from 0 1 to1.5% by weight and the temperature from -18 to - 01¬∞C. Measurements were made with the electric field at angles of 0, 30 and 90¬∞ to the horizontal in the natural ice field. The effect of the fluctuations in the properties of ice and snow within the radiometer antenna beam has been included in the theoretical brightness-temperature model. ¬© 1983 Taylor and Francis Ltd.</t>
  </si>
  <si>
    <t>655-681</t>
  </si>
  <si>
    <t>Hallikalnen, Martti T.</t>
  </si>
  <si>
    <t>Finland</t>
  </si>
  <si>
    <t>Espoo</t>
  </si>
  <si>
    <t>Aalto University</t>
  </si>
  <si>
    <t>Hallikalnen M.</t>
  </si>
  <si>
    <t>A new low-salinity sea-ice model for UHF radiometry</t>
  </si>
  <si>
    <t>10.1080/01431168308948581</t>
  </si>
  <si>
    <t>2-s2.0-0020971904</t>
  </si>
  <si>
    <t>['thermoelastic theory', 'surgically implanted', 'second harmonics', 'rectangular pulses', 'pulsed 2', 'predictions based', 'nearly identical', 'electronics engineers', 'anesthetized animals', '655 ghz', '450 ghz']</t>
  </si>
  <si>
    <t>This paper presents direct measurements of acoustic pressure waves in brains of rats, cats, and guinea pigs irradiated with pulsed 2.450 and 5.655 GHz microwaves. A small disk hydrophone transducer was surgically implanted in brains of anesthetized animals. Rectangular pulses (3 kW peak, 2.5 and 5.5 Œºs wide at 2.450 GHz and 200 kW peak, 0.5 Œºs wide at 5.655 GHz) were applied through horns, waveguides, and direct contact antennas. The results clearly indicate that pulsed microwaves induce acoustic pressure waves in the brain, confirming earlier theoretical predictions. Furthermore, hydrophone output waveforms and on-line analyzed spectra show that fundamental and second harmonics were nearly identical to those predicted by the thermoelastic theory. However, the hydrophone records show complex sequences of higher order vibrational modes which deviate from predictions based on a homogeneous spherical model of the head. Copyright ¬© 1983 by The Institute of Electrical and Electronics Engineers, Inc.</t>
  </si>
  <si>
    <t>289-294</t>
  </si>
  <si>
    <t>60008213;60027561</t>
  </si>
  <si>
    <t>57202524954;56129745800</t>
  </si>
  <si>
    <t>Olsen, Richard G.;Lin, James C.</t>
  </si>
  <si>
    <t>Chicago;Pensacola</t>
  </si>
  <si>
    <t>University of Illinois at Chicago;Naval Aerospace Medical Research Laboratory</t>
  </si>
  <si>
    <t>60027561;60008213</t>
  </si>
  <si>
    <t>Olsen R.</t>
  </si>
  <si>
    <t>Microwave-Induced Pressure Waves in Mammalian Brains</t>
  </si>
  <si>
    <t>10.1109/TBME.1983.325118</t>
  </si>
  <si>
    <t>2-s2.0-0020972035</t>
  </si>
  <si>
    <t>['thin dipole', 'solve pocklington', 'paper presents', 'integral equation', 'input impedance', 'current distribution', 'arbitrary length']</t>
  </si>
  <si>
    <t>The paper presents an integral equation method of determining input impedance of a cylindrical antenna immersed in a lossy gyrotropic medium, such as plasma, in an external dc magnetic field. The method of moments has been used to solve Pocklington's integral equation. The input impedance and the current distribution on the surface of a thin dipole of arbitrary length have been computed as functions of anisotropic plasma parameters, external dc magnetic field and dipole-magnetic field orientation.</t>
  </si>
  <si>
    <t>1287-1302</t>
  </si>
  <si>
    <t>Rozprawy Elektrotechniczne</t>
  </si>
  <si>
    <t>Tundak, Tomasz</t>
  </si>
  <si>
    <t>Tundak T.</t>
  </si>
  <si>
    <t>INTEGRAL EQUATION METHOD AND NUMERICAL CALCULATIONS OF INPUT IMPEDANCE OF CYLINDRICAL ANTENNA IN A LOSSY ANISOTROPIC PLASMA.</t>
  </si>
  <si>
    <t>2-s2.0-0020982391</t>
  </si>
  <si>
    <t>['requirements contract', 'overall design', 'kuwait city', 'following items', 'existing buildings', 'contract includes', 'construction work']</t>
  </si>
  <si>
    <t>A Swiss project involving general planning for the new telecommunication center in Kuwait City is reported. The contract includes the following items: study and survey of the site and the existing buildings and facilities as well as proposal of the requirements contract for the new telecommunication center; demolition and reconstruction of certain existing facilities; overall design of the new telecommunication center; call for tenders; evaluation of tenders; and supervision of construction work.</t>
  </si>
  <si>
    <t>Technische Mitteilungen PTT</t>
  </si>
  <si>
    <t>6603264810;6504346878</t>
  </si>
  <si>
    <t>Ruckstuhl, Hans E.;Obrist, Karl</t>
  </si>
  <si>
    <t>Ruckstuhl H.E.</t>
  </si>
  <si>
    <t>New Telecommunication Center with Antenna Tower in Kuwait City.</t>
  </si>
  <si>
    <t>2-s2.0-0020985752</t>
  </si>
  <si>
    <t>['test antennas', 'strength meter', 'port measurements', 'noteworthy features', 'minus 20', 'measurement accuracy', 'level range', 'interference signals', 'high stability', 'generator output', 'frequency range', 'esvp offers', '1300 mhz']</t>
  </si>
  <si>
    <t>A new test receiver for wanted and interference signals is presented. It is the computer-controllable ESVP covering the frequency range from 20 to 1300 MHz and with a level range of minus 20 to plus 127 dB mu V. The ESVP offers a generator output for two-port measurements and, in conjunction with test antennas, functions as a field-strength meter. Noteworthy features are its high stability and measurement accuracy, wide dynamic range and excellent overall selectivity as well as ease of operation.</t>
  </si>
  <si>
    <t>7003506464;24833770100</t>
  </si>
  <si>
    <t>Stecher, Manfred;Wolle, Jochen</t>
  </si>
  <si>
    <t>Stecher M.</t>
  </si>
  <si>
    <t>AUTOMATIC TEST RECEIVER ESVP FOR 20 TO 1300 MHz.</t>
  </si>
  <si>
    <t>2-s2.0-0020985827</t>
  </si>
  <si>
    <t>['variable amounts', 'strongly suggesting', 'reaction centre', 'ps ii', 'preparations contain', 'photosystem ii', 'partial separation', 'obtain preparations', 'major chlorophyll', 'highly enriched', 'herbicide 3', 'dcmu ),', 'current knowledge', 'cp 47', 'complete separation']</t>
  </si>
  <si>
    <t>chlorophyll‚Äêprotein complexes | CP 47 | CPa ‚Äê1 | octyl glucoside | photosystem II | reaction centre | spinach</t>
  </si>
  <si>
    <t>Evidence is presented for the identification of the chlorophyll‚Äê protein complex CPa‚Äê1 (CP 47) as the reaction centre of photosystem II (PS II). We have developed a simple, rapid method using octyl glucoside solubilization to obtain preparations from spinach and barley that are highly enriched in PS II reaction centre activity (measured as the light‚Äêdriven reduction of diphenylcarbazide by 2,6‚Äêdichlorophen‚Äêolindophenol). These preparations contain only the two minor chlorophyll‚Äêprotein complexes CPa‚Äê1 and CPa‚Äê2. During centrifugation on a sucrose density gradient, there is a partial separation of the two CPa complexes from each other, and a complete separation from other chlorophyll‚Äêprotein complexes. The PS II activity comigrates with CPa‚Äê1 but not CPa‚Äê2, strongly suggesting that the former is the reaction centre complex of PS II. Reaction centre preparations are sensitive to the herbicide 3(3,4‚Äêdichlorophenyl)‚Äê1,1‚Äêdimethylurea (DCMU), but only at much higher concentrations than those required to inhibit intact thylakoid membranes. A model of PS II incorporating our current knowledge of the chlorophyll‚Äêprotein complexes is presented. It is proposed that CPa‚Äê2 and the chlorophyll a + b complex CP 29 may function as internal antenna complexes surrounding the reaction centre, with the addition of variable amounts of the major chlorophyll a+b light‚Äêharvesting complex. Copyright ¬© 1983 Alan R. Liss, Inc.</t>
  </si>
  <si>
    <t>171-179</t>
  </si>
  <si>
    <t>Journal of Cellular Biochemistry</t>
  </si>
  <si>
    <t>6701434742;7401825069</t>
  </si>
  <si>
    <t>Camm, Edith L.;Green, Beverley R.</t>
  </si>
  <si>
    <t>Camm E.</t>
  </si>
  <si>
    <t>Isolation of PS II reaction centre and its relationship to the minor chlorophyll‚Äêprotein complexes</t>
  </si>
  <si>
    <t>10.1002/jcb.240230114</t>
  </si>
  <si>
    <t>2-s2.0-0020987963</t>
  </si>
  <si>
    <t>['reference oscillation', 'noise contained', 'new method', 'input oscillations', 'complex conjugate']</t>
  </si>
  <si>
    <t>A new method is described for generating a reference oscillation in an adaptive antenna array (AAA), based on decorrelation of the noise in the complex-conjugate output signal with respect to the noise contained in the input oscillations. An analysis is given of the operation of an AAA with a device for producing the complex conjugate of signals.</t>
  </si>
  <si>
    <t>131-134</t>
  </si>
  <si>
    <t>7006796799;6507295457</t>
  </si>
  <si>
    <t>Kiselev, I. G.;Ivantsovskiy, V. S.</t>
  </si>
  <si>
    <t>Kiselev I.</t>
  </si>
  <si>
    <t>METHOD OF GENERATING A REFERENCE OSCILLATION IN AN ADAPTIVE ANTENNA ARRAY.</t>
  </si>
  <si>
    <t>2-s2.0-0020992455</t>
  </si>
  <si>
    <t>['total length', 'linear antenna', 'integral equation', 'exceed 1', 'balanced dipole', '5 wavelengths']</t>
  </si>
  <si>
    <t>The integral equation of a linear antenna is solved by the method of moments, using piecewise sinusoidal basis functions. If the total length of a balanced dipole does not exceed 1. 5 wavelengths, only three overlapping piecewise-sinusoidal functions need to be retained, of which only two have to be found in view of the symmetry.</t>
  </si>
  <si>
    <t>76-79</t>
  </si>
  <si>
    <t>Braude, V. B.</t>
  </si>
  <si>
    <t>Braude V.</t>
  </si>
  <si>
    <t>DESIGN OF LINEAR ELECTRIC DIPOLES BY THE METHOD OF MOMENTS.</t>
  </si>
  <si>
    <t>2-s2.0-0020992764</t>
  </si>
  <si>
    <t>['telecommunications traffic', 'striking examples', 'operate within', 'emergency links', 'earth stations', 'comsat applications', 'article discusses', 'around 500']</t>
  </si>
  <si>
    <t>Today satellites carry all forms of telecommunications traffic, of which television broadcasts represent only the most striking examples. In contrast to the earth stations in existence at the time of the historic Telstar transmission, in 1962, around 500 now operate within the auspices of the International Telecommunications Satellite Organization (INTELSAT) alone. This article discusses the present trend towards small dish earth stations which herald a dynamic new era in comsat applications. Subjects covered include Cassegrainian system, small dish specialist applications, and emergency links.</t>
  </si>
  <si>
    <t>1008-1010</t>
  </si>
  <si>
    <t>Engineering (London)</t>
  </si>
  <si>
    <t>Kernot, Bob</t>
  </si>
  <si>
    <t>Kernot B.</t>
  </si>
  <si>
    <t>BIG DISH, SMALL DISH.</t>
  </si>
  <si>
    <t>2-s2.0-0021005301</t>
  </si>
  <si>
    <t>['vhf sound', 'television belge', 'reinvestment projects', 'many countries', 'broadcast range']</t>
  </si>
  <si>
    <t>For new and reinvestment projects in the VHF sound-broadcast range (87. 5 to 108 MHz), the RTB (Radiodiffusion-Television Belge) and BRT (Belgische Radio en Televisie) use transmitting antennas for horizontal, vertical, circular, elliptic and oblique linear polarization, which are already operating successfully in many countries. These antennas are made up of the Directional Arrays HF 009.</t>
  </si>
  <si>
    <t>Thomanek, Leonhard</t>
  </si>
  <si>
    <t>Thomanek L.</t>
  </si>
  <si>
    <t>FOUR ELLIPTICALLY POLARIZING VHF ANTENNAS FOR FM SOUND BROADCASTING COVER LARGE PARTS OF BELGIUM.</t>
  </si>
  <si>
    <t>2-s2.0-0021005309</t>
  </si>
  <si>
    <t>['radiated energy', 'radar signals', 'observation time', 'noncoherent storage', 'nakagami distribution', 'echo signals', 'diurnal variation', 'correct detection', 'conditional probability']</t>
  </si>
  <si>
    <t>The effect of the diurnal variation of the amplitude fluctuation parameter of radar signals, obeying a Nakagami distribution, on the conditional probability of correct detection is analyzed. Control of the radiated energy and the observation time (by noncoherent storage) is suggested for stabilizing the conditional probability of the correct detection of echo signals during a day.</t>
  </si>
  <si>
    <t>121-122</t>
  </si>
  <si>
    <t>6603712080;57225370807;6506747441;6504403044</t>
  </si>
  <si>
    <t>Solodovnikov, G. K.;Levchenko, L. S.;Russkin, V. M.;Yatsutsenko, A. Ya</t>
  </si>
  <si>
    <t>Solodovnikov G.K.</t>
  </si>
  <si>
    <t>ANTENNA-WAVEGUIDE ENGINEERING. RADIO WAVE PROPAGATION MILLIMETER AND SUBMILLIMETER WAVE TECHNIQUES.</t>
  </si>
  <si>
    <t>2-s2.0-0021007048</t>
  </si>
  <si>
    <t>['whole system', 'signals received', 'several receivers', 'several antennas', 'rf cables', 'occasional checking', 'may consist', 'considerable number', 'automatic facility', 'antenna selectors']</t>
  </si>
  <si>
    <t>Antenna-signal distribution systems distribute the signals received over several antennas to several receivers, and may consist of a considerable number of multicouplers, antenna selectors and RF cables. Occasional checking of such a system is necessary, but very time-consuming when carried out manually. An automatic facility which checks out a whole system and locates faulty subassemblies and cables is reported.</t>
  </si>
  <si>
    <t>Hackl, Johann</t>
  </si>
  <si>
    <t>Hackl J.</t>
  </si>
  <si>
    <t>AUTOMATIC TESTING OF ANTENNA-SIGNAL DISTRIBUTION SYSTEMS IN HF RANGE.</t>
  </si>
  <si>
    <t>2-s2.0-0021010717</t>
  </si>
  <si>
    <t>['unusual size', 'sequences contained', 'second cdna', 'pupal poly', 'mesothoracic legs', 'localized within', 'kb region', 'inversion breakpoints', 'hybridization probes', 'homeotic genes', 'drosophila embryonic', 'dominant mutations', 'dna region', 'developmental pathways', 'chromosome walking', 'antennapedia locus', '903 clone', '9 kb', ')+ rna']</t>
  </si>
  <si>
    <t>Homeotic genes are involved in the control of developmental pathways: dominant mutations at the Antennapedia locus of Drosophila, for example, lead to replacement of the antennae on the head of the fly by mesothoracic legs. Using a combination of chromosome walking and jumping, we have cloned a DNA region from Drosophila containing Antennapedia. Five DNA inversion rearrangements which are associated with the Antennapedia mutant phenotype were localized within a 25-kb region. Genomic DNA sequences from this area were used as hybridization probes to screen cDNA libraries prepared from Drosophila embryonic and pupal poly(A)+ RNA. A 2.2-kb cDNA sequence (903) was isolated which appears to derive from at least four non-contiguous chromosomal regions that span 100 kb. It includes the positions of the inversion breakpoints. A second cDNA of 2.9 kb (909) is composed of sequences from at least three chromosomal regions, two of which are similar or identical to sequences contained in the 903 clone but the third is derived from genomic DNA within a putative 903 intron. The unusual size and complexity of this locus are discussed.</t>
  </si>
  <si>
    <t>2027-2036</t>
  </si>
  <si>
    <t>The EMBO journal</t>
  </si>
  <si>
    <t>17137010700;7102710290;57203032471</t>
  </si>
  <si>
    <t>Garber, R. L.;Kuroiwa, A.;Gehring, W. J.</t>
  </si>
  <si>
    <t>Garber R.L.</t>
  </si>
  <si>
    <t>Genomic and cDNA clones of the homeotic locus Antennapedia in Drosophila.</t>
  </si>
  <si>
    <t>10.1002/j.1460-2075.1983.tb01696.x</t>
  </si>
  <si>
    <t>2-s2.0-0021010766</t>
  </si>
  <si>
    <t>['warren procedure', 'similar results', 'significantly different', 'sialic acid', 'serum glucosidases', 'results indicate', 'readily cleared', 'peripheral sugars', 'partial removal', 'older people', 'neither galactose', 'immune complexes', 'igg purified', 'igg molecules', 'hydrolytic activity', 'galactose content', 'elevated levels', 'cystic fibrosis', 'core sugars', 'control subjects', 'cf subjects', '025 ).', '001 ).']</t>
  </si>
  <si>
    <t>We compare the complete carbohydrate composition of IgG purified from the serum of patients with cystic fibrosis (CF) with that of control subjects. Our results indicate that IgG from cystic fibrosis patients is underglycosylated with respect to galactose and sialic acid, the two terminal sugars on the antennae of the complex‚Äìtype oligosaccharide chains found on IgG. The galactose content, as determined by gas liquid chromatography, was 2.81 ¬± 0.86 (S.D.) mole/mole of IgG for normal subjects versus 1.5 ¬± 0.39 for CF subjects (P &lt; 0.025). Sialic acid content, as determined by the Warren procedure, was 1.33 ¬± 0.39 for normals versus 0.47 ¬± 0.10 for CF subjects (P &lt; 0.001). Neither galactose nor sialic acid values for the two groups overlapped. The contents of the core sugars, mannose and glucosamine, and of fucose were not significantly different. When the data are expressed as residues per 3 moles mannose, similar results are obtained. We suggest that immune complex formation, which has been documented in many CF patients, exposes sugar chains of IgG molecules to hydrolytic activity of serum glucosidases, resulting in partial removal of the more peripheral sugars. Because serum glycoproteins missing sialic acid and galactose are not readily cleared from the circulation, the observed changes may contribute to elevated levels of IgG and immune complexes in older people with CF. ¬© 1983 International Pediatrics Research Foundation, Inc.</t>
  </si>
  <si>
    <t>931-935</t>
  </si>
  <si>
    <t>Pediatric Research</t>
  </si>
  <si>
    <t>60000305;60000305</t>
  </si>
  <si>
    <t>56570995400;7006159098</t>
  </si>
  <si>
    <t>Margolies, Rita;Boat, Thomas F.</t>
  </si>
  <si>
    <t>Case Western Reserve University</t>
  </si>
  <si>
    <t>Margolies R.</t>
  </si>
  <si>
    <t>The carbohydrate convent of IgG from patients with cystic fibrosis</t>
  </si>
  <si>
    <t>10.1203/00006450-198312000-00001</t>
  </si>
  <si>
    <t>2-s2.0-0021015242</t>
  </si>
  <si>
    <t>['technological limits', 'system requirements', 'reflector technlogy', 'reconfigurability ).', 'frequency range', 'contoured beams', 'ariane compatibility']</t>
  </si>
  <si>
    <t>Summarises recent European work on the limits of satellite antenna coverage, concentrating on multiple and contoured beams for fixed satellite services. The performances of such systems are both technology- and system-dependent (technological limits such as reflector technlogy and system requirements such as Ariane compatibility and reconfigurability). The frequency range of interest for fixed services extends from 4 to 30 GHz.-Authors</t>
  </si>
  <si>
    <t>257-264</t>
  </si>
  <si>
    <t>ESA Journal</t>
  </si>
  <si>
    <t>Saitto, A.</t>
  </si>
  <si>
    <t>Noordwijk aan Zee</t>
  </si>
  <si>
    <t>ESTEC - European Space Research and Technology Centre</t>
  </si>
  <si>
    <t>Saitto A.</t>
  </si>
  <si>
    <t>Analysis of multiple/contoured beam limitations for telecommunications satellite transmissions.</t>
  </si>
  <si>
    <t>2-s2.0-0021026884</t>
  </si>
  <si>
    <t>['visual stimuli', 'verified quantitatively', 'two found', 'three subdivided', 'three found', 'small size', 'sex pheromone', 'positional variability', 'male moth', 'individuals whatever', 'hinders identification', 'glomerular organization', 'four varying', 'dimorph ism', 'detectable modifications', 'antennal lobes']</t>
  </si>
  <si>
    <t>3D reconstruction | brain | deutocerebrum | insect | neuropile</t>
  </si>
  <si>
    <t>The glomerular organization of the antennal lobes was analyzed in the moth Mamestra brassicae and comparatively in the butterfly Pieris brassicae. The invariance of the lobes in number, position, and size of the glomeruli was verified quantitatively in the moth for all the glomeruli in individuals of the same sex (67 in males, 68 in females) and for 56 sex‚Äêinvariant glomeruli which can be identified in all individuals whatever their sex. In the butterfly, the positional variability is greater than in the moth and hinders identification. The most conspicuous sex‚Äêvariant glomeruli are two adjoining macro‚Äêglomeruli in the male moth which have homologs of very small size in the female. No such dimorph ism was observed in Pieris, a species in which males are attracted to female by visual stimuli and not by a sex pheromone as in Mamestra. There are other sex‚Äêvariant glomeruli in Mamestra: four varying in location, three subdivided in the female, two found only in the male, and three found only in the female. Consequently, differing olfactory sensitivity related to species and sex could correlate with detectable modifications in the glomerular organization. A hypothesis on the function of glomeruli is discussed in which most of the glomeruli are viewed as ‚Äúolfactory general‚Äêists‚Äù giving rise collectively to proposed ‚Äúacross‚Äêglomeruli patterns‚Äù. Copyright ¬© 1983 Wiley‚ÄêLiss, Inc.</t>
  </si>
  <si>
    <t>80-96</t>
  </si>
  <si>
    <t>Journal of Comparative Neurology</t>
  </si>
  <si>
    <t>Rospars, Jean Pierre</t>
  </si>
  <si>
    <t>Versailles</t>
  </si>
  <si>
    <t>Centre de recherche √éle-de-France-Versailles - Grignon</t>
  </si>
  <si>
    <t>Rospars J.P.</t>
  </si>
  <si>
    <t>Invariance and sex‚Äêspecific variations of the glomerular organization in the antennal lobes of a moth, Mamestra brassicae, and a butterfly, Pieris brassicae</t>
  </si>
  <si>
    <t>10.1002/cne.902200108</t>
  </si>
  <si>
    <t>2-s2.0-0021046401</t>
  </si>
  <si>
    <t>['rights reserved', 'quinone functions', 'proteoliposomes containing', 'probably restoring', 'obviously due', 'isopropyl benzoqui', 'inorganic pyrophosphate', 'electron donors', 'depleted chromatophores', 'dependent processes', 'dbmib inhibits']</t>
  </si>
  <si>
    <t>A Tpase | Chromatophores | Dibromothymoquinone | Membrane potential | Photosynthetic electron transport | Pyrophosphatase | Rhodospirillum rubrum</t>
  </si>
  <si>
    <t>2,5-Dibromo-3-methyl-6-isopropyl benzoqui-none (DBMIB) inhibits the light-dependent membrane potential generation in Rhodospirillum rubrum chromatophores. The inhibition is relieved by electron donors and is obviously due to oxidation of the photosynthetic electron transfer chain components. In addition, high DBMIB concentrations elicit another effect probably caused by disruption of quinone functions in chromatophores. However, in quinone-depleted chromatophores and proteoliposomes containing the P-870 reaction center and light-harvesting antenna complexes, DBMIB stimulates membrane potential generation in the light, probably restoring some of the quinone-dependent processes in the membrane. DBMIB inhibits the inorganic pyrophosphate- and ATP-in-duced membrane potential generation in chromatophores. ¬© 1983 Informa UK Ltd All rights reserved: reproduction in whole or part not permitted.</t>
  </si>
  <si>
    <t>77-95</t>
  </si>
  <si>
    <t>Molecular Membrane Biology</t>
  </si>
  <si>
    <t>60007457;60007457</t>
  </si>
  <si>
    <t>6602251068;7004481474</t>
  </si>
  <si>
    <t>Oleskin, Alexander V.;Samuilov, Vitaly D.</t>
  </si>
  <si>
    <t>Lomonosov Moscow State University</t>
  </si>
  <si>
    <t>Oleskin A.</t>
  </si>
  <si>
    <t>The dibromothymoquinone effect on membrane potential generation in rhodospirillum rubrum chromatophores</t>
  </si>
  <si>
    <t>10.3109/09687688309149634</t>
  </si>
  <si>
    <t>2-s2.0-0021062165</t>
  </si>
  <si>
    <t>['probable mechanism', 'permit conclusions', 'partially transdetermined', 'ml vinblastine', 'known mutations', 'insect eye', 'high percentage', 'eye field', 'eye abnormalities', "erupt '.", 'drosophila cultures', 'anterior region', 'abnormally shaped', '5 œºg']</t>
  </si>
  <si>
    <t>Drosophila cultures, kept on a water-added medium containing 0.16-2.5 Œºg/ml vinblastine (Velban, Lilly), produced offspring with a high percentage of eye abnormalities. These were eyes completely missing or reduced (moderately or severely) in size, of abnormal shape ('kidney eyes') and partially transdetermined into hairy outgrowths resembling antennae. Several of the abnormalities were phenocopies of known mutations, like 'eyeless' or 'erupt'. The abnormally shaped and partially transdetermined eyes had characteristics, namely the appearance of abnormalities in the anterior region of the eye field, which permit conclusions about the probable mechanism of their production during development. These conclusions are in agreement with known facts concerning the mechanism of development of the insect eye and the mode of action of vinblastine.</t>
  </si>
  <si>
    <t>345-351</t>
  </si>
  <si>
    <t>Experimental Cell Biology</t>
  </si>
  <si>
    <t>Wolsky, A.</t>
  </si>
  <si>
    <t>NYU Grossman School of Medicine</t>
  </si>
  <si>
    <t>Wolsky A.</t>
  </si>
  <si>
    <t>Abnormal eye development in drosophila after treatment with vinblastine</t>
  </si>
  <si>
    <t>2-s2.0-0021077272</t>
  </si>
  <si>
    <t>['simple method', 'rhodopseudomonas sphaeroides', 'photoacoustic spectroscopy', 'photoacoustic spectra', 'energy transfer', 'energy storage', 'antenna carotenoids']</t>
  </si>
  <si>
    <t>Antenna carotenoids are investigated by photoacoustic spectroscopy in the photosynthetic bacteria Rhodospirillum rubrum and Rhodopseudomonas sphaeroides. Energy storage in these organisms is revealed by the photoacoustic spectra. A simple method is proposed to evaluate the efficiency of energy transfer between carotenoids and bacteriochlorophyll.</t>
  </si>
  <si>
    <t>1117-1122</t>
  </si>
  <si>
    <t>Canadian Journal of Biochemistry and Cell Biology</t>
  </si>
  <si>
    <t>60021501;60021501;60021501;60021501</t>
  </si>
  <si>
    <t>7006246972;7004079819;6603587501;35510906100</t>
  </si>
  <si>
    <t>Boucher, F.;Lavoie, L.;Antippa, A. F.;Leblanc, R. M.</t>
  </si>
  <si>
    <t>Trois-Rivieres</t>
  </si>
  <si>
    <t>Universit√© du Qu√©bec √† Trois-Rivi√®res</t>
  </si>
  <si>
    <t>Boucher F.</t>
  </si>
  <si>
    <t>Energy transfer in photosynthetic bacteria as examined by photoacoustic spectroscopy</t>
  </si>
  <si>
    <t>10.1139/o83-143</t>
  </si>
  <si>
    <t>2-s2.0-0021085365</t>
  </si>
  <si>
    <t>['waveguide coupling', 'wave singularity', 'transform continuously', 'plasma interaction', 'plasma density', 'neutral pressure', 'investigated theoretically', 'fusion plasmas', 'frequency heating', 'finite ion', 'experimentally verified', 'detailed measurements', 'antenna phasing', 'also investigated', '5 ev']</t>
  </si>
  <si>
    <t>Ion Bernstein wave excitation and propagation via finite ion-Larmor-radius mode transformation are investigated theoretically and experimentally. It is shown that in the ion cyclotron range of frequencies œâ‚â≤4Œ© i, with modest ion temperatures (Ti ‚â≤ 510 eV), the finite-Larmor-radius effect removes the wave singularity at the lower-hybrid resonance layer, enabling an externally initiated electron plasma wave to transform continuously into an ion Bernstein wave. In an ACT-1 hydrogen plasma (Te‚âÉ2.5 eV, Ti‚â≤2.0 eV), externally excited ion Bernstein waves have been observed for œâ ‚â≤ 2Œ©i as well as for œâ ‚â≤ 3Œ©1. The finite ion-Larmor-radius mode transformation process resulting in strong ion Bernstein wave excitation has been experimentally verified. Detailed measurements of the wave dispersion relation and of the wave-packet trajectory show excellent agreement with theory. The dependence of the excited ion Bernstein wave on the antenna phasing, on the plasma density, and on the neutral pressure (Ti) is also investigated. The present work provides information relevant to the physics of ion Bernstein wave propagation and waveguide coupling as well as to the rf-plasma interaction during ion-cyclotron-range-of-frequency heating in fusion plasmas. ¬© 1983 American Institute of Physics.</t>
  </si>
  <si>
    <t>298-309</t>
  </si>
  <si>
    <t>Physics of Fluids</t>
  </si>
  <si>
    <t>60018020;60018020;60018020</t>
  </si>
  <si>
    <t>56144605100;7404759730;7003326203</t>
  </si>
  <si>
    <t>Ono, M.;Wong, K. L.;Wurden, G. A.</t>
  </si>
  <si>
    <t>Princeton</t>
  </si>
  <si>
    <t>Princeton Plasma Physics Laboratory</t>
  </si>
  <si>
    <t>Harmonic launching of ion Bernstein waves via mode transformation</t>
  </si>
  <si>
    <t>10.1063/1.863972</t>
  </si>
  <si>
    <t>2-s2.0-0039753577</t>
  </si>
  <si>
    <t>['turbulent structure', 'time resolution', 'signals received', 'show clearly', 'scattering volume', 'powerful means', 'phase differences', 'phase determine', 'magnetic equator', 'first results', 'echoing region', 'different locations', 'different features', 'corresponding velocity', 'copyright 1983', '92 mhz']</t>
  </si>
  <si>
    <t>The radar interferometer technique first used at the magnetic equator in Peru is also a very powerful means for studying auroral plasma instabilities. We present here the first results, obtained with a 49.92 MHz, 20‚Äê25 KW peak power pulsed radar located in Ithaca, NY (42.5¬∞ N, 76.4¬∞ W). Strong auroral echoes were obtained during several highly active periods. Phase differences between the signals received on the two antennas accurately determine the E‚ÄêW position, within the scattering volume, of localized scattering centers, and changes in this phase determine the corresponding velocity. The signal Doppler shift describes radial (essentially N‚ÄêS) motion. The data provide detailed information on the turbulent structure of the echoing region and show clearly that different features in the Doppler power spectrum often represent signals coming from different locations. If we assume that the radial and transverse phase velocities represent real drift velocities, we can determine full horizontal velocity vectors from the data and hence the horizontal electric field, usually with a time resolution of the order of 15‚Äê30s. Copyright 1983 by the American Geophysical Union.</t>
  </si>
  <si>
    <t>401-404</t>
  </si>
  <si>
    <t>Geophysical Research Letters</t>
  </si>
  <si>
    <t>8450229600;7004549933;7102375730;6701477656</t>
  </si>
  <si>
    <t>Providakes, J. P.;Swartz, W. E.;Farley, D. T.;Fejer, B. G.</t>
  </si>
  <si>
    <t>Providakes J.</t>
  </si>
  <si>
    <t>First VHF auroral radar interferometer observations</t>
  </si>
  <si>
    <t>10.1029/GL010i005p00401</t>
  </si>
  <si>
    <t>2-s2.0-0041699597</t>
  </si>
  <si>
    <t>['¬© taylor', 'rigorous model', 'results demonstrate', 'physical reason', 'physical mechanism', 'paper investigates', 'inductive component', 'independent formula', 'francis group', 'field using', 'feeds near', 'feeding probe', 'feed position', 'feed location', 'feed inductance', 'coaxial feed', 'cavity model', 'c circuit']</t>
  </si>
  <si>
    <t>It has been demonstrated that a microstrip antenna excited in a non-degenerate resonant mode has a driving point impedance which can be modeled as a resonant parallel R-L-C circuit in series with the an inductor. The latter is an inductance which can be associated with the feeding probe or microstrip line feed of the antenna. This paper investigates the variation with feed location of this inductive component both experimentally and by a full modal expansion of the field using the ‚Äúcavity model‚Äù. The results demonstrate that the simple, feed position-independent formula for this inductive component is inadequate for certain applications involving loaded microstrip elements. The results also show that the cavity model can predict the variation of feed inductance with feed location reasonably well except near the edge of the patch. The physical mechanism for the variation of this inductive component as well as the physical reason why the cavity model overestimates this parameter with feeds near the edge are presented. A rigorous model of a coaxial feed is studied in which the primary exciting field is assumed to be an incident TEM wave in the cable. It is found that for elements thin enough for the cavity model to be applicable, use of the probe current distribution alone as the primary source yields impedances which differ only slightly from those provided by the rigorous model. However, other results are obtained which indicate the limits of such a simple feed model as the element thickness increases. ¬© Taylor &amp; Francis Group, LLC.</t>
  </si>
  <si>
    <t>327-346</t>
  </si>
  <si>
    <t>1532527X</t>
  </si>
  <si>
    <t>Electromagnetics</t>
  </si>
  <si>
    <t>60005837;60005837;60005837;60005837</t>
  </si>
  <si>
    <t>7202452162;6504182285;57010602200;7402507033</t>
  </si>
  <si>
    <t>Richards, William F.;Zinecker, Joseph R.;Clark, Richard D.;Long, Stuart A.</t>
  </si>
  <si>
    <t>Richards W.</t>
  </si>
  <si>
    <t>Experimental and theoretical investigation of the inductance associated with a microstrip antenna feed</t>
  </si>
  <si>
    <t>10.1080/02726348308915192</t>
  </si>
  <si>
    <t>2-s2.0-0042277858</t>
  </si>
  <si>
    <t>['wiley company', 'unipole arrays', 'theoretical results', 'structural parameters', 'single beam', 'shown numerically', 'remove one', 'network technique', 'inc .,', 'finite conductors', 'derive analytically', 'constant impedance', 'confirmed experimentally', 'axially symmetric', 'array antenna', 'antenna made']</t>
  </si>
  <si>
    <t>One of the self‚Äêcomplementary antennas is axially symmetric and three‚Äêdimensional. Since this antenna has an axially‚Äêsymmetrical antenna, made of a finite‚Äêsized plate, it becomes a hard‚Äêto‚Äêcontrol multibeam antenna. to obtain a single beam we remove one of the unipole arrays from a self‚Äêcomplementary unipole‚Äêslot array antenna made of two planes intersecting orthogonally. the unipole‚Äêslot array antenna to be studied then becomes a quasi‚Äêself‚Äêcomplementary antenna. First, we derive analytically that the unipole‚Äêslot antenna has a constant impedance of 2.30 and show that this antenna has a single beam. Next, to develop a broadband high gain antenna, we analyze a unipole‚Äêslot array antenna using a network technique and derive the relation between the gain and the structural parameters of an array antenna with a common scaling ratio. It is shown numerically that this quasi‚Äêself‚Äêcomplementary antenna maintains a constant impedance characteristic. These theoretical results are confirmed experimentally with an antenna made of finite conductors. Copyright ¬© 1983 Wiley Periodicals, Inc., A Wiley Company</t>
  </si>
  <si>
    <t>79-87</t>
  </si>
  <si>
    <t>60008435;60008435;60008435;60008435</t>
  </si>
  <si>
    <t>56843454200;7402992153;7402559951;7004205007</t>
  </si>
  <si>
    <t>Ishizone, Takayuki;Yokoyama, Yukio;Nishimura, Shoichi;Mushiake, Yasuto</t>
  </si>
  <si>
    <t>Ishizone T.</t>
  </si>
  <si>
    <t>Unipole‚Äêslot array antennas</t>
  </si>
  <si>
    <t>10.1002/ecja.4400660211</t>
  </si>
  <si>
    <t>2-s2.0-0043007554</t>
  </si>
  <si>
    <t>['without ocelli', 'veins m2', 'superfamily culicoidea', 'sucking disk', 'suborder nematocera', 'submedian fold', 'spiracles closed', 'short legs', 'segmented antennae', 'pupae enclosedin', 'petiolate cubitus', 'males holoptic', 'long mandibles', 'long hairs', 'like 11', 'homogeneous families', 'francis group', 'females dichoptic', 'family simuliidae', 'elongate basitarsomeres', 'either side', 'commonly called', 'black flies']</t>
  </si>
  <si>
    <t>The family Simuliidae or black flies as they are commonly called, belongs to the suborder Nematocera of the OrderDiptera. It is one of the most homogeneous families of the superfamily Culicoidea. The family includes small stout flies usually with horn-like 11-segmented antennae; long mandibles; short legs having elongate basitarsomeres; broad wings havingstrong costa, subcosta and radius, a submedian fold between veins M2 and Cu1; and non-petiolate cubitus; first tergum ofabdomen modified as a basal scale fringed with long hairs; males holoptic, females dichoptic, without ocelli; pupae enclosedin a cocoon and with bulbous or filamentous respiratory organs on either side of thorax; larvae with long cylindrical body, last segment bearing a sucking disk for attachment to substrata; spiracles closed. ¬© 1983 Taylor &amp; Francis Group, LLC.</t>
  </si>
  <si>
    <t>215-267</t>
  </si>
  <si>
    <t>Oriental Insects</t>
  </si>
  <si>
    <t>January-December 1983</t>
  </si>
  <si>
    <t>Datta, M.</t>
  </si>
  <si>
    <t>Zoological Survey of</t>
  </si>
  <si>
    <t>Datta M.</t>
  </si>
  <si>
    <t>A review of the simuliidae (diptera) from the oriental region</t>
  </si>
  <si>
    <t>10.1080/00305316.1983.10433696</t>
  </si>
  <si>
    <t>2-s2.0-0242530424</t>
  </si>
  <si>
    <t>['terr .)', 'protein complexes', 'polypeptides originating', 'polypeptide patterns', 'phospholipase a2', 'peripheral antennae', 'obtained results', 'junk publishers', 'dr w', 'crotalus terr', 'conspicuous role', 'chloroplast lipids', 'bean thylakoids', 'bean galactolipase']</t>
  </si>
  <si>
    <t>chloroplast lipids | gel electrophoresis | polypeptides | thylakoid membranes, treatment | treatment with phospholipase A 2 | with bean galactolipase</t>
  </si>
  <si>
    <t>Thylakoid membranes obtained from bean chloroplasts treated with bean galactolipase or phospholipase A2 (from Crotalus terr. terr.) showed marked changes in their polypeptide patterns when separated on SDS-PAGE. The obtained results have been discussed with regard to the relationship between chloroplast lipids and polypeptides originating from chlorophyll-protein complexes of bean thylakoids. A coexistence between galactolipids and the peripheral antennae in PS I complex and LHCP3 as well as a conspicuous role of phospholipids in PSI and PSII centre chlorophyll-protein complexes has to be underlined. ¬© 1983 Martinus Nijhoff/Dr W. Junk Publishers.</t>
  </si>
  <si>
    <t>229-239</t>
  </si>
  <si>
    <t>Krupa, Z.</t>
  </si>
  <si>
    <t>Lublin</t>
  </si>
  <si>
    <t>Maria Curie-Sklodowska University in Lublin</t>
  </si>
  <si>
    <t>Krupa Z.</t>
  </si>
  <si>
    <t>The action of lipase on chloroplast membranes: II. Polypeptide patterns of bean galactolipase- and phospholipase A&lt;inf&gt;2&lt;/inf&gt;-treated thylakoid membranes</t>
  </si>
  <si>
    <t>10.1007/BF00041818</t>
  </si>
  <si>
    <t>2-s2.0-0343477604</t>
  </si>
  <si>
    <t>['¬© 1983', 'study looked', 'strong enough', 'solitarizing stimulus', 'schistocerca gregaria', 'rearing nymphs', 'reared nymphs', 'reared adults', 'polymorphic locusts', 'opposite effect', 'olfactory stimuli', 'gregarizing effect', 'gregarization pheromone', 'expose isolated', 'desert locust', 'crowded locusts', 'body colour', 'antennaeless nymphs', 'adult locusts', 'adult faeces', '7 days', '4 days']</t>
  </si>
  <si>
    <t>Olfactory stimuli are known to alter the labile phase status of polymorphic locusts. This study looked at the way in which the gregarization pheromone, found in the faeces of crowd-reared nymphs, is perceived by nymphs of the desert locust, Schistocerca gregaria. It was necessary to expose isolated-reared nymphs to this stimulus for 7 days in order to see changes towards values typical of crowded locusts in nymphal social behaviour and body colour. Antennaeless nymphs were unable to perceive the stimulus. Faeces from crowd-reared adults, however, had an opposite effect; previously crowded nymphs, on isolation, lost their tendency to form social groups faster than controls, when exposed to the faeces of adult locusts. This solitarizing stimulus had an effect in 4 days. The stimulus was not strong enough to overcome the gregarizing effect of rearing nymphs in pairs. An experiment was carried out to discover if the antennae were also the organs of perception of the solitarizing stimulus. This was confounded by the fact that amputation of the antennae had a short-term solitarizing effect which masked the role of the antennae in perception of the solitarizing stimulus of the adult faeces. ¬© 1983.</t>
  </si>
  <si>
    <t>221-230</t>
  </si>
  <si>
    <t>Animal Behaviour</t>
  </si>
  <si>
    <t>Gillett, Sylvia D.</t>
  </si>
  <si>
    <t>York</t>
  </si>
  <si>
    <t>University of York</t>
  </si>
  <si>
    <t>Gillett S.</t>
  </si>
  <si>
    <t>Primer pheromones and polymorphism in the desert locust</t>
  </si>
  <si>
    <t>S0003347283801924</t>
  </si>
  <si>
    <t>10.1016/S0003-3472(83)80192-4</t>
  </si>
  <si>
    <t>2-s2.0-0343553164</t>
  </si>
  <si>
    <t>['threat accompanied', 'nestmate recognition', 'lateral excision', 'heterocolonial encounters', 'clear disturbance', 'agonistic behaviour']</t>
  </si>
  <si>
    <t>Pairs of Formica lugubris workers from the same colony were submitted to uni- or bi-lateral excision of the antennae. Laboratory based encounters assessed elements of agonistic behaviour by subjects. The ants lacking antennae always attacked each other, performing gaster flexing and seizing as in overt interspecific encounters. Indeed, impaired animals showed a clear disturbance of nestmate recognition and their behaviour mainly consisted of threat accompanied by an ‚Äúupright posture‚Äù, as seen in heterocolonial encounters by this species. ¬© 1983 Taylor &amp; FrancisGroup, LLC.</t>
  </si>
  <si>
    <t>201-206</t>
  </si>
  <si>
    <t>Bolletino di zoologia</t>
  </si>
  <si>
    <t>60004969;60004969;60004969</t>
  </si>
  <si>
    <t>57202967126;7403338539;7004307135</t>
  </si>
  <si>
    <t>Le Moli, Francesco;Mori, Alessandra;Parmigiani, Stefano</t>
  </si>
  <si>
    <t>Parma</t>
  </si>
  <si>
    <t>Universit√† di Parma</t>
  </si>
  <si>
    <t>Le Moli F.</t>
  </si>
  <si>
    <t>The effect of antennalectomy on attack behaviour of Formica lugubris Zett. (Hymenoptera: Formicidae)</t>
  </si>
  <si>
    <t>10.1080/11250008309439444</t>
  </si>
  <si>
    <t>2-s2.0-0343719414</t>
  </si>
  <si>
    <t>['significantly affected', 'setae located', 'retrospectively associated', 'outdoor cages', 'humidifier fans', 'host verification', 'host discrimination', 'exhibits drumming', 'environmental conditions', 'environmental chamber', 'electrophysiological techniques', 'diminished release', 'antennal ablations']</t>
  </si>
  <si>
    <t>Antennal receptors | Chlosyne lacinia | Drumming behavior | Foretarsal receptors | Host discrimination | Nymphalidae | Oviposition</t>
  </si>
  <si>
    <t>The role of antennae and foretarsi in oviposition and host discrimination was investigated in Chlosyne lacinia Geyer (Nymphalidae, Lepidoptera) a cluster laying nymphalid butterfly which exhibits drumming and antennal dipping behavior prior to oviposition. Ablation of the entire antennae drastically reduced oviposition, while fractional antennectomy reduced it in proportion to the number of antennal receptors removed. Host/non-host ovipositional discrimination was not significantly affected by antennal ablations. Ablation of the foretarsi abolished discrimination in a controlled environment chamber, but did not affect it in outdoor cages or in a greenhouse. This difference was retrospectively associated with a diminished release of host volatiles due to cooler leaf surface temperatures in the environmental chamber or with continuous air turbulance caused by humidifier fans in the environmental chamber. Electrophysiological techniques were used to demonstrate chemosensory activity in setae located on the foretarsi. We conclude that foretarsal contact chemoreceptors employed during drumming are used for host verification in environmental conditions where olfaction is unreliable. ¬© 1983 Springer-Verlag.</t>
  </si>
  <si>
    <t>179-187</t>
  </si>
  <si>
    <t>Entomologia Experimentalis et Applicata</t>
  </si>
  <si>
    <t>60013372;60024997</t>
  </si>
  <si>
    <t>7006811544;7101747163</t>
  </si>
  <si>
    <t>Calvert, William H.;Hanson, Frank E.</t>
  </si>
  <si>
    <t>Baltimore;Austin</t>
  </si>
  <si>
    <t>University of Maryland, Baltimore County (UMBC);The University of Texas at Austin</t>
  </si>
  <si>
    <t>60024997;60013372</t>
  </si>
  <si>
    <t>Calvert W.H.</t>
  </si>
  <si>
    <t>The role of sensory structures and preoviposition behavior in oviposition by the patch butterfly, Chlosyne lacinia</t>
  </si>
  <si>
    <t>2-s2.0-0344435124</t>
  </si>
  <si>
    <t>['two generations', 'termed biospecies', 'secondary hosts', 'secondary host', 'radial sector', 'progredious forms', 'progredious alatae', 'primary host', 'parthenogenetic forms', 'mutations leading', 'migration cycle', 'last family', 'indian subregion', 'holocyclic forms', 'fundatrix live', 'francis group', 'fore wing', 'cubitus 1', 'aphididae ).', 'anholocyclic forms', 'alate non', '5 generations', '2 generations', '1964 ).']</t>
  </si>
  <si>
    <t>The superfamily Aphidoidea includes three families Aphididae, Adelgidae and Phylloxeridae (the last family is not known from the Indian subregion. The Adelgidae (and Phylloxeridae) differ from the Aphididae in that both sexuales and parthenogenetic forms are oviparous (as opposed to viviparity in the parthenogenetic forms of Aphididae). The fore wing is devoid of radial sector, which is otherwise normally present in Aphididae. Adelgids in general have short 2‚Äì5 segmented antennae, with 2 primary rhinaria in apterae and 3 in alatae; the wings are usually held roof-like in repose and the cubitus 1 and 2 remain separate in the fore wing; siphunculi (evident in most Aphididae) are absent and cauda is not discernible. All adelgids are known to feed only on Coniferae and may have as many as 5 generations, while leading a heteroecious holocyclic life cycle (e.g. Picea-Abies), viz., fundatrix, gallicola (alata-migrans) sistines, progredious alatae (seupara) and apterae and sexuales, of which sexuales and fundatrix live on primary host, sistines on secondary host and remaining forms maintain the migration cycle. They may have also a monoecious anholocyclic life cycle with only 2 generations of sistines and progredious forms, where primary host are absent or two generations of pseudofundatrix and alate non-migrants, where secondary hosts are absent. This change from holocycle to anholocycle has been considered as a change of status of the species, which are termed biospecies (holocyclic forms) and agamospecies (anholocyclic forms) resulting from mutations leading to the loss of certain contiguous generations (Steffan, 1964). ¬© 1983 Taylor &amp; Francis Group, LLC.</t>
  </si>
  <si>
    <t>Ghosh, A. K.</t>
  </si>
  <si>
    <t>Geological Survey of</t>
  </si>
  <si>
    <t>Ghosh A.K.</t>
  </si>
  <si>
    <t>A review of the family adelgidae from the indian subregion (homoptera: Aphidoidea)</t>
  </si>
  <si>
    <t>10.1080/00305316.1983.10433690</t>
  </si>
  <si>
    <t>2-s2.0-0346184902</t>
  </si>
  <si>
    <t>['¬© taylor', 'wingless forms', 'verticillium wilt', 'verticillium albo', 'surface contaminants', 'spores borne', 'readily isolated', 'pea aphids', 'pea aphid', 'observations made', 'naturally affected', 'medicago saliva', 'greenhouse studies', 'francis group', 'either naturally', 'carrying v', 'artificially infested']</t>
  </si>
  <si>
    <t>Observations made in an irrigated field oi alfalfa (Medicago saliva) naturally affected by verticillium wilt have led to the discovery that the pea aphid (Acvrthosiphonpisuni) is a vector of Verticillium albo-atrum. From 19 to 90fV of aphids were carrying V. albo-atrum. I he pathogen was readily isolated from both winged and wingless forms. Laboratory studies indicated that spores of V. albo-atrum were carried as surface contaminants, most commonly on the legs and antennae of aphids. Greenhouse studies with pea aphids, either naturally or artificially infested with V. alho-atrum, proved that spores borne on this insect can induce disease symptoms on healthy, alfalfa. The significance of this discovery to the epidemiology and control of verticillium wilt of allalfa is discussed. ¬© Taylor &amp; Francis Group, LLC.</t>
  </si>
  <si>
    <t>141-147</t>
  </si>
  <si>
    <t>Canadian Journal of Plant Pathology</t>
  </si>
  <si>
    <t>60014549;60014549;60014549;60014549-100888222</t>
  </si>
  <si>
    <t>22734316700;7201947814;7003364703;7403674254</t>
  </si>
  <si>
    <t>Huang, H. C.;Harper, A. M.;Kokko, E. G.;Howard, R. J.</t>
  </si>
  <si>
    <t>Lethbridge;</t>
  </si>
  <si>
    <t>Lethbridge Research and Development Centre;Alberta Horticultural Research Center</t>
  </si>
  <si>
    <t>60014549;100888222</t>
  </si>
  <si>
    <t>Huang H.C.</t>
  </si>
  <si>
    <t>Aphid transmission of verticillium albo-atrum to alfalfa</t>
  </si>
  <si>
    <t>10.1080/07060668309501615</t>
  </si>
  <si>
    <t>2-s2.0-1542282259</t>
  </si>
  <si>
    <t>['trolley lines', 'transmission lines', 'power cables', 'medium frequency', 'continuous conductors', 'conductors become', 'communication system', 'base stations', 'antenna system']</t>
  </si>
  <si>
    <t>A medium frequency (MF) communication system can couple into and reradiate from continuous conductors in such a way that these conductors become not only the transmission lines but also the antenna system for the signals. The MF system described is based upon vehicular and personnel transceiver units, base stations and repeaters. It utilizes the existing mine wiring network (power cables, trolley lines, etc. ) to achieve whole mine coverage.</t>
  </si>
  <si>
    <t>Canadian Mining Journal</t>
  </si>
  <si>
    <t>6602906437;6503875539</t>
  </si>
  <si>
    <t>Dobroski, Harry;Gtolarczyk, Larry G.</t>
  </si>
  <si>
    <t>Dobroski H.</t>
  </si>
  <si>
    <t>RADIO COMMUNICATION IMPROVES PRODUCTIVITY, SAFETY.</t>
  </si>
  <si>
    <t>2-s2.0-17944388795</t>
  </si>
  <si>
    <t>['¬© taylor', 'substrate lenses', 'substrate lens', 'reflection coatings', 'quartz substrates', 'francis group', 'feed efficiency', 'elementary integrated', 'dielectric constants', 'calculated considering', 'arsenide substrates', 'also considered', 'adjustable backshorts']</t>
  </si>
  <si>
    <t>Efficiencies of elementary integrated-circuit feed antennas are calculated considering both the substrate and the optics. Calculations are made for dielectric constants of 4, for fused-quartz substrates, and 12, for silicon and gallium-arsenide substrates. The effect of substrate lenses, anti-reflection coatings, and adjustable backshorts is also considered. A feed efficiency of 60% is predicted for a slot on a substrate and substrate lens with dielectric constant 12, and 63% for a dipole on a substrate with dielectric constant 12 and lens of dielectric constant 4. ¬© Taylor &amp; Francis Group, LLC.</t>
  </si>
  <si>
    <t>239-254</t>
  </si>
  <si>
    <t>60031581;60031581;60031581</t>
  </si>
  <si>
    <t>7005675262;7202478023;7102803490</t>
  </si>
  <si>
    <t>Zah, Chung En;Compton, Richard C.;Rutledge, David B.</t>
  </si>
  <si>
    <t>California Institute of Technology</t>
  </si>
  <si>
    <t>Zah C.</t>
  </si>
  <si>
    <t>Efficiencies of elementary integrated-circuit feed antennas</t>
  </si>
  <si>
    <t>10.1080/02726348308915186</t>
  </si>
  <si>
    <t>2-s2.0-18944389855</t>
  </si>
  <si>
    <t>['¬© 1983', 'single large', 'significant improvement', 'scaled corrugated', 'radiation spectrum', 'previous measurements', 'low sidelobes', 'low frequencies', 'horn antennas', 'five wavelengths', 'five radiometers', '12 cm']</t>
  </si>
  <si>
    <t>Measurements have been made of the cosmic-background-radiation spectrum at five wavelengths (0.33, 0.9, 3, 6.3, and 12 cm) with use of radiometers with wavelength-scaled corrugated-horn antennas having very low sidelobes. A single large-mouth (0.7-m-diam) liquid-helium-cooled absolute reference load was used for all five radiometers. The results of the observations are consistent with previous measurements and represent a significant improvement in accuracy at low frequencies. ¬© 1983 The American Physical Society.</t>
  </si>
  <si>
    <t>1099-1102</t>
  </si>
  <si>
    <t>Physical Review Letters</t>
  </si>
  <si>
    <t>60029392;60029392;60029392;60029392;60021199;60029227;60021199;60000481;60000481</t>
  </si>
  <si>
    <t>24497446500;6603725955;57214036868;6602516329;8627117200;7007041263;7006084404;55152697700;55181000700</t>
  </si>
  <si>
    <t>Smoot, George F.;De Amici, Giovanni;Friedman, Scott D.;Witebsky, Chris;Mandolesi, Nazzareno;Partridge, R. Bruce;Sironi, Giorgio;Danese, Luigi;De Zotti, Gianfranco</t>
  </si>
  <si>
    <t>United States;United States;Italy;Italy</t>
  </si>
  <si>
    <t>Berkeley;Haverford;Rome;Padua</t>
  </si>
  <si>
    <t>Space Sciences Laboratory at UC Berkeley;Haverford College;Consiglio Nazionale delle Ricerche;Universit√† degli Studi di Padova</t>
  </si>
  <si>
    <t>60029392;60029227;60021199;60000481</t>
  </si>
  <si>
    <t>Smoot G.</t>
  </si>
  <si>
    <t>Low-frequency measurement of the spectrum of the cosmic background radiation</t>
  </si>
  <si>
    <t>10.1103/PhysRevLett.51.1099</t>
  </si>
  <si>
    <t>2-s2.0-25344470919</t>
  </si>
  <si>
    <t>['¬© 1983', 'waves propagating', 'wave analysis', 'vlf hiss', 'two antennae', 'time domain', 'spectral power', 'spectral characteristics', 'single point', 'single antenna', 'similarly described', 'relative phase', 'propagation characteristics', 'power spectrogram', 'magnetic antennae', 'emissions received', 'board correlator', 'better utilised', 'also allows', '1 electric']</t>
  </si>
  <si>
    <t>Natural VLF emissions received by a single antenna can be characterised at each point in the emissions' frequency-time domain by a power and a phase. Emissions received at a single point by two antennae with a fixed relative orientation in space can be similarly described by the cross-spectral power and relative phase. It is shown that the cross-spectral phase contains information on the propagation characteristics of the waves which is better utilised in wave analysis than the power. In fact, the phase information allows weak signals to be identified more readily than is possible from a power spectrogram. It also allows the recognition of waves propagating with different wave normal directions. Data from the Geos-1 electric and magnetic antennae, pre-processed by the on-board correlator, are used to study the cross-spectral characteristics of VLF hiss and chorus in the Earth's magnetosphere. ¬© 1983.</t>
  </si>
  <si>
    <t>1083-1097</t>
  </si>
  <si>
    <t>60025990;60002930;60002930</t>
  </si>
  <si>
    <t>7406580924;6603706866;7004587851</t>
  </si>
  <si>
    <t>Jones, Dyfrig;Lefeuvre, Francois;Parrot, Michel</t>
  </si>
  <si>
    <t>United Kingdom;France</t>
  </si>
  <si>
    <t>Cambridge;Orleans</t>
  </si>
  <si>
    <t>British Antarctic Survey;Laboratoire de Physique et de Chimie de l'Environnement et de l'Espace (LPC2E)</t>
  </si>
  <si>
    <t>60025990;60002930</t>
  </si>
  <si>
    <t>Jones D.</t>
  </si>
  <si>
    <t>Characteristics of VLF emissions manifested by their cross-spectral phase information</t>
  </si>
  <si>
    <t>10.1016/0032-0633(83)90097-1</t>
  </si>
  <si>
    <t>2-s2.0-31544431598</t>
  </si>
  <si>
    <t>['¬© taylor', 'unwanted loss', 'thus highlighting', 'thus attractive', 'precise condition', 'millimetre wavelengths', 'latter analysis', 'insular guide', 'guide attenuation', 'fully integrated', 'francis group', 'feeders establishes', 'feeder lengths', 'equality depending', 'distinctly advantageous', 'complete assessment', 'commonly considered', 'alternate use', 'additional source']</t>
  </si>
  <si>
    <t>The use of printed antenna techniques at millimetre wavelengths to create planar linear travelling wave antennas is commonly considered to be inhibited by the microstrip feeder loss and the alternate use of low loss dielectric feeders is thus attractive. In this investigation an additional source of unwanted loss is considered and a complete assessment, more favourable to microstrip, emerges. The fields of an insular guide antenna feeder are computed by a mode matching method to provide accurate data for the guide attenuation and also the launcher radiation loss when the insular guide is connected to a conventional rectangular metal waveguide using a horn launcher transition. This latter analysis is based both on a chopped surface wave distribution method and an alternative variational method. Similar loss data is computed for microstrip antenna feeders using existing theories and some experimental data presented. A comparison of total unwanted losses for both types of feeders establishes that microstrip is advantageous for feeder lengths up to about 20 wavelengths long, the precise condition for equality depending on many other factors which are discussed. If however the feeders are assumed to be fully integrated with an electrically compatible guide structure in the receiver or transmitter to remove the source of launcher radiation loss, insular guide is distinctly advantageous, thus highlighting the need for new technological developments in integrated millimetre linear antenna systems. ¬© Taylor &amp; Francis Group, LLC.</t>
  </si>
  <si>
    <t>217-237</t>
  </si>
  <si>
    <t>60009658;60009658</t>
  </si>
  <si>
    <t>7101865047;7403018268</t>
  </si>
  <si>
    <t>John, G.;James, J. R.</t>
  </si>
  <si>
    <t>Swindon</t>
  </si>
  <si>
    <t>Defence College of Management and Technology</t>
  </si>
  <si>
    <t>John G.</t>
  </si>
  <si>
    <t>Loss comparisons of insular guide and microstrip millimetre antenna array feeders</t>
  </si>
  <si>
    <t>10.1080/02726348308915185</t>
  </si>
  <si>
    <t>2-s2.0-33745433681</t>
  </si>
  <si>
    <t>['¬© 1983', 'sexual response', 'sex pheromone', 'production appers', 'isolated pheromone', 'female antennae', 'electroantennogram responses', '232 may', '10 pg', '1 ng']</t>
  </si>
  <si>
    <t>Blatta orientalis | electroantennogram | Oriental cockroach | sex pheromone</t>
  </si>
  <si>
    <t>A sex pheromone for adult male oriental cockroaches Blatta orientalis was isolated from the faeces of adult virgin female oriental cockroaches. It elicited a sexual response at 10 pg and 1 ng with B. orientalis and Periplaneta americana adult males, respectively. The site of production appers to be the crop, oesophagus, and proventriculus. Electroantennogram responses of male antennae toward the isolated pheromone were greater than those of the female antennae. The adult male oriental cockroach also responded to the American cockroach sex pheromone. The isolated pheromone with a mol. wt of 232 may be similar to one of the components of the American cockroach sex pheromone. ¬© 1983.</t>
  </si>
  <si>
    <t>605-609</t>
  </si>
  <si>
    <t>60000635;60000635;60000635;60000635</t>
  </si>
  <si>
    <t>6701362949;6603170611;7004348865;7006627334</t>
  </si>
  <si>
    <t>Warthen, J. D.;Uebel, E. C.;Lusby, W. R.;Adler, V. E.</t>
  </si>
  <si>
    <t>Beltsville</t>
  </si>
  <si>
    <t>USDA ARS Beltsville Agricultural Research Center</t>
  </si>
  <si>
    <t>Warthen J.</t>
  </si>
  <si>
    <t>Investigation of a sex pheromone for the oriental cockroach, Blatta orientalis</t>
  </si>
  <si>
    <t>10.1016/0022-1910(83)90011-2</t>
  </si>
  <si>
    <t>2-s2.0-33750296068</t>
  </si>
  <si>
    <t>['¬© taylor', 'subsequently implementation', 'subelement sensitivities', 'quartz substrates', 'initial systems', 'hybrid approach', 'heterodyne measurements', 'francis group', 'fabricated using', 'dipole elements', '000 k']</t>
  </si>
  <si>
    <t>Planar antenna arrays have been developed at 140 GHz using twin-dipole elements. The initial systems have been fabricated using a hybrid approach with beam lead Schottky GaAs diodes mounted on quartz substrates. Heterodyne measurements of subelement sensitivities have yielded DSB noise temperatures of 12, 000 K. Subsequently implementation of completely monolithic systems has been demonstrated using SIS technology. ¬© Taylor &amp; Francis Group, LLC.</t>
  </si>
  <si>
    <t>209-215</t>
  </si>
  <si>
    <t>116129390;60014313;60010547;60024592;60024592</t>
  </si>
  <si>
    <t>7006388096;7004375228;7004375784;7402174260;7103003384</t>
  </si>
  <si>
    <t>Fetterman, H. R.;Sollner, T. C.L.G.;Parrish, P. T.;Parker, C. D.;Mathews, R. H.</t>
  </si>
  <si>
    <t>United States;United States;United States;United States</t>
  </si>
  <si>
    <t>Lexington;Amherst MA;Princeton;</t>
  </si>
  <si>
    <t>Lincoln Laboratory;University of Massachusetts Amherst;Sarnoff Corporation;Lor Angele</t>
  </si>
  <si>
    <t>60024592;60014313;60010547;116129390</t>
  </si>
  <si>
    <t>Fetterman H.R.</t>
  </si>
  <si>
    <t>Printed dipole millimeter wave antenna for imaging array applications</t>
  </si>
  <si>
    <t>10.1080/02726348308915184</t>
  </si>
  <si>
    <t>2-s2.0-33847411912</t>
  </si>
  <si>
    <t>['upwind approach', 'two antennae', 'turning away', 'turn toward', 'stimuli besides', 'single antenna', 'sensory inputs', 'results support', 'repeated stimuli', 'opposite effect', 'often remained', 'male bombyx', 'light intensity', 'interneurons responded', 'interneurons assumed', 'intact animals', 'higher concentration', 'graded fashion', 'flopping states', 'flopping responses', 'flopping input', 'eliminate flip', 'eliciting flip', 'elicited flip', 'effective stimuli', 'directed turns', 'different concentrations', 'common flip', 'antennal position', 'antenna receiving', 'animal turning', 'airstream directed', '9 ).', '8 ).', '7 ).', '6 ).', '5 ).', '4 min', '3a ).', '2 ).']</t>
  </si>
  <si>
    <t>1. A group of extracellularly recorded descending interneurons in the ventral nerve cord of the male silkworm moth Bombyx mori share a common flip-flopping input. In response to repeated stimuli these flip-flopping interneurons switch back and forth between long lasting high and low firing rates (Figs. 1, 2). 2. Changes in the level of the female pheromone bombykol in an airstream directed at the antennae were the most effective stimuli in eliciting flip-flopping of the interneurons. Changes in light intensity, up or down, were the only other effective stimuli (Fig. 2, Table 1). 3. The low or high firing frequency states following a single stimulus presentation lasted as long as 4 min, although with some decrement (Fig. 3a). 4. The high and low states corresponded to two different positions of the antennae. Transitions between states were mirrored by changes in antennal position. Immobilizing the antennae did not eliminate flip-flopping (Fig. 5). 5. In intact animals, the two antennal positions corresponded to left and right turning movements of the legs and to left and right 'ruddering' of the abdomen (Fig. 6). 6. When bombykol-laden air puffs were presented to a single antenna, the neurons sometimes showed flip-flopping responses, but often remained in a 'favored' state between stimuli (Fig. 7). 7. When different concentrations of bombykol were presented to the two antennae, the interneurons assumed a high or low firing rate, consistent with a turn toward the antenna receiving the higher concentration. Different concentrations of bombykal to the two antennae (with equal, constant bombykol levels to the two antennae) elicited the opposite effect, i.e., firing rates consistent with turning away from the higher bombykal concentration (Fig. 8). 8. Most interneurons responded in graded fashion to other stimuli besides those which elicited flip-flopping (Fig. 9). Six response types were discriminated, based upon exclusive combinations of sensory inputs and upon the direction of the correlation between flip-flopping states and animal turning (Table 2). 9. All of the results support the hypothesis that these interneurons carry left and right turning instructions for pheromone-directed turns in the upwind approach of male Bombyx to the female. ¬© 1983 Springer-Verlag.</t>
  </si>
  <si>
    <t>297-307</t>
  </si>
  <si>
    <t>Journal of Comparative Physiology ‚ñ° A</t>
  </si>
  <si>
    <t>Olberg, Robert M.</t>
  </si>
  <si>
    <t>Olberg R.</t>
  </si>
  <si>
    <t>Pheromone-triggered flip-flopping interneurons in the ventral nerve cord of the silkworm moth, Bombyx mori</t>
  </si>
  <si>
    <t>10.1007/BF00606236</t>
  </si>
  <si>
    <t>2-s2.0-34250144423</t>
  </si>
  <si>
    <t>['wiley blackwell', 'rights reserved', 'remarkably intact', 'mandibular palp', 'male differs', 'main flagellum', 'individual taken', 'first description', 'female principally', 'expanded peduncle', 'anterior margin', 'antenna 1']</t>
  </si>
  <si>
    <t>Amphipoda | Lysianassidae | male | Sophrosyne</t>
  </si>
  <si>
    <t>The morphology of the male amphipod Sophrosyne robertsoni Stebbing &amp; Robertson (Fam. Lysianassidae) is established from a single, remarkably intact, individual taken from the stomach of a whiting caught near Oban, Scotland. The male differs from the female principally with reference to the expanded peduncle of antenna 1 and highly setose basal article of the main flagellum. The mandibular palp is more setose in the male and the anterior margin of peraeopod 7 basis markedly concave cf. the female. This is the first description of a male in any of the three known species in the genus. A revised generic diagnosis is appended. Copyright ¬© 1983, Wiley Blackwell. All rights reserved</t>
  </si>
  <si>
    <t>103-109</t>
  </si>
  <si>
    <t>Zoological Journal of the Linnean Society</t>
  </si>
  <si>
    <t>MOORE, P. G.</t>
  </si>
  <si>
    <t>Millport</t>
  </si>
  <si>
    <t>University Marine Biological Station</t>
  </si>
  <si>
    <t>MOORE P.</t>
  </si>
  <si>
    <t>On the male of Sophrosyne robertsoni Stebbing &amp; Robertson (Crustacea, Amphipoda)</t>
  </si>
  <si>
    <t>10.1111/j.1096-3642.1983.tb00525.x</t>
  </si>
  <si>
    <t>2-s2.0-35348971701</t>
  </si>
  <si>
    <t>['¬© 1983', 'using weber', 'type antennas', 'tunable detectors', 'gravitational radiation']</t>
  </si>
  <si>
    <t>A way of using Weber-type antennas as tunable detectors of gravitational radiation from pulsars is described. Preliminary laboratory tests on the feasibility of such an instrument give encouraging results. ¬© 1983 The American Physical Society.</t>
  </si>
  <si>
    <t>1285-1290</t>
  </si>
  <si>
    <t>Physical Review D</t>
  </si>
  <si>
    <t>60021199;60021199</t>
  </si>
  <si>
    <t>7003264879;16486670300</t>
  </si>
  <si>
    <t>Bordoni, F.;Fuligni, F.</t>
  </si>
  <si>
    <t>Consiglio Nazionale delle Ricerche</t>
  </si>
  <si>
    <t>Bordoni F.</t>
  </si>
  <si>
    <t>Parametric detector as a tunable antenna for continuous gravitational radiation</t>
  </si>
  <si>
    <t>10.1103/PhysRevD.28.1285</t>
  </si>
  <si>
    <t>2-s2.0-35949024769</t>
  </si>
  <si>
    <t>['third wave', 'plasma surface', 'plasma edge', 'launched simultaneously', 'hybrid waves', 'frequency f', 'f 2', 'arise near']</t>
  </si>
  <si>
    <t>Lower-hybrid waves at two different frequencies f1 and f 2 are launched simultaneously from two localized antennas, and a third wave is observed to arise near the plasma edge at the frequency f = f 2 - f1. This phenomenon can be explained by an echo effect near the plasma surface. ¬© 1983 American Institute of Physics.</t>
  </si>
  <si>
    <t>2772-2774</t>
  </si>
  <si>
    <t>7404759730;7003454886;56144605100</t>
  </si>
  <si>
    <t>Wong, K. L.;Skiff, F.;Ono, M.</t>
  </si>
  <si>
    <t>Wong K.</t>
  </si>
  <si>
    <t>Echo phenomenon associated with lower-hybrid wave launching</t>
  </si>
  <si>
    <t>10.1063/1.864066</t>
  </si>
  <si>
    <t>2-s2.0-36749108662</t>
  </si>
  <si>
    <t>['œü |.', 'œ ©.', 'œ ©', 'whole study', 'two modes', 'total potential', 'source normalized', 'similar results', 'roots approximation', 'primarily responsible', 'phase variation', 'necessary since', 'monochromatic frequency', 'mode h', 'main peak', 'main mode', 'higher gyroharmonic', 'h ),', 'electron gyrofrequency', 'dispersion curves', 'dispersion branch', 'directional effects', 'damped part', 'careful diagnosis', 'amplitude modulation']</t>
  </si>
  <si>
    <t>The electrostatic potential distribution of a point source antenna is studied numerically within the first dispersion branch defined by 1 &lt; Œ© &lt; 2, where Œ© is the monochromatic frequency of the source normalized to the electron gyrofrequency. The whole study is performed for the direction of radiation R‚ä• perpendicular to the magnetostatic field B0. The least-damped-roots approximation is used which allows the inclusion of two modes, the main mode (m) and the cyclotron harmonic mode (h ), the contribution of each being essential for the total potential estimate. It appears that under dense plasma conditions, only the mode h has a low-damped part in its dispersion curves and is primarily responsible for the behavior of the total potential |œÜ|. The potential then exhibits two different scales in its amplitude modulation as a function of R‚ä• and Œ©. The small-scale pattern reflects the phase variation of this mode and the large-scale pattern reflects both diffraction and directional effects. A careful diagnosis is necessary since, according to the distance R‚ä•, a main peak can occur at a frequency which is not the expected usual resonance frequency. Similar results are obtained for various dense plasma conditions provided that the electron plasma frequency Œ©p is larger than the higher gyroharmonic of the dispersion branch of concern, i.e., presently Œ©p ‚â´ 2. ¬© 1983 American Institute of Physics.</t>
  </si>
  <si>
    <t>1780-1788</t>
  </si>
  <si>
    <t>60027550-60104081</t>
  </si>
  <si>
    <t>Lemb√®ge, B.</t>
  </si>
  <si>
    <t>France;United States</t>
  </si>
  <si>
    <t>Issy-les-Moulineaux;Los Angeles</t>
  </si>
  <si>
    <t>Orange Labs;University of California, Los Angeles</t>
  </si>
  <si>
    <t>60104081;60027550</t>
  </si>
  <si>
    <t>Lemb√®ge B.</t>
  </si>
  <si>
    <t>Perpendicular distribution of electrostatic electron-cyclotron radiation under dense plasma conditions</t>
  </si>
  <si>
    <t>10.1063/1.864352</t>
  </si>
  <si>
    <t>2-s2.0-36749120131</t>
  </si>
  <si>
    <t>['weak singlet', 'typical viologen', 'prospective sensitisers', 'porphyrin sub', 'pentameric porphyrin', 'green intermediate', 'bulky substituents', 'basic media', 'aqueous solution', '6 ).', '13 ),']</t>
  </si>
  <si>
    <t>The synthesis of tetra-arylporphyrins, for studies in solar energy conversion, is described. They are derived from 5,10,15,20-meso-tetrakis(4- hydroxyphenyl)porphyrin (4) which, in basic media, forms a green intermediate that is probably the tetraphenoxide (6). The porphyrins (10) and (13), were synthesised as prospective sensitisers for catalysed microheterogenous water photo-oxidation. U.v./visible spectroscopy demonstrates that the porphyrin (10) aggregates in aqueous solution. Cyclic voltammetry shows that the porphyrin (13) behaves as a typical viologen with bulky substituents. A pentameric porphyrin (15) was synthesised and characterised in order to model energy transfer in photosynthetic chlorophyll antennae. There is some evidence that weak singlet-energy transfer occurs between the porphyrin sub-units of the pentamer.</t>
  </si>
  <si>
    <t>2535-2539</t>
  </si>
  <si>
    <t>Journal of the Chemical Society, Perkin Transactions 1</t>
  </si>
  <si>
    <t>Milgrom, Lionel R.</t>
  </si>
  <si>
    <t>Imperial College London</t>
  </si>
  <si>
    <t>Milgrom L.R.</t>
  </si>
  <si>
    <t>Synthesis of some new tetra-arylporphyrins for studies in solar energy conversion</t>
  </si>
  <si>
    <t>P19830002535</t>
  </si>
  <si>
    <t>10.1039/p19830002535</t>
  </si>
  <si>
    <t>2-s2.0-37049099069</t>
  </si>
  <si>
    <t>['wave period', 'studied without', 'second harmonic', 'resonant absorption', 'plasma geometry', 'particularly appropriate', 'moderate multiple', 'many circumstances', 'large compared', 'higher harmonics', 'geometrical optics', 'electron response', 'electromagnetic waves']</t>
  </si>
  <si>
    <t>The interaction of ions with electromagnetic waves at frequencies on the order of the ion cyclotron frequency is studied without the assumption of geometrical optics. Instead, it is assumed that the time for an ion to travel one wavelength is large compared with the wave period. Such a scaling admits nontrivial effects of the plasma geometry and is particularly appropriate to the ELMO Bumpy Torus experiment. The relevant frequency range is from one to a moderate multiple of the ion cyclotron frequency. It is shown that the ion response may be represented by the usual cold ion conductivity and with appropriate jump conditions across the fundamental resonant surface. Nonresonant energy transfer is calculated and shown to exist under many circumstances, depending on the antenna and electron response. Expressions are given for the resonant energy absorption at the fundamental and second harmonic. At higher harmonics, the nonresonant energy transfer is large compared with the resonant absorption. ¬© 1983 American Institute of Physics.</t>
  </si>
  <si>
    <t>998-1007</t>
  </si>
  <si>
    <t>Weitzner, Harold</t>
  </si>
  <si>
    <t>Courant Institute of Mathematical Sciences</t>
  </si>
  <si>
    <t>Weitzner H.</t>
  </si>
  <si>
    <t>Geometry effects on ion heating at ion cyclotron frequencies</t>
  </si>
  <si>
    <t>10.1063/1.864252</t>
  </si>
  <si>
    <t>2-s2.0-3743133160</t>
  </si>
  <si>
    <t>['« éle', 'tetradecadienyl acetate', 'pyralidae ).', 'pheromone component', 'mass spectrum', 'male antenna', 'field z', 'female extract', 'est l', 'attraction des', 'antenne du', ')‚ äê9']</t>
  </si>
  <si>
    <t>(Z,E)‚Äê9,11‚Äêtetradecadienyl acetate | Cone pyralid | Dioryctria abietella | Electroantennography | Gas chromatography | Lepidoptera | Mass spectrometry | Pyralidae | Sex pheromone | Single sensillum recordings</t>
  </si>
  <si>
    <t>Gas chromatographic analyses coupled with electro‚Äêantennographic detection indicated that (Z,E)‚Äê9,11‚Äêtetradecadienyl acetate (Z,E‚Äê9,11‚Äì14Ac) is a pheromone component of the cone pyralid Dioryctria abietella. Gas chromatographic ‚àí mass spectrometric analyses confirmed the presence of a tetradecadienyl acetate with mass spectrum and retention index identical to Z,E‚Äê9,11‚Äì14Ac. A receptor cell sensitive to both Z,E‚Äê9,11‚Äì14Ac and the female extract was identified on the male antenna. An additional receptor cell sensitive to (Z)‚Äê9‚Äêtetradecenyl acetate and (Z,E)‚Äê9,12‚Äêtetradecadienyl acetate was found on the male antenna but was not activated by the female extract. In the field Z,E‚Äê9,11‚Äì14Ac presented alone attracted significant numbers of male D. abietella. Addition of (Z)‚Äê9‚Äêtetra‚Äêdecenyl acetate inhibited the attraction of males to traps. Ph√©romone sexuelle de Dioryctria abietella (Lepidoptera: Pyralidae (Phycitinae) L'analyse en chromatographie gazeuse associ√©e √† une d√©tection √©lectroantennographique a montr√© que l'ac√©tate (Z,E)‚Äê9,11‚Äêt√©trad√©cadi√©nyle (Z,E‚Äê9,11‚Äì14: Ac) est l'un des composants de la ph√©romone de Dioryctria abietella Schiff (Lepid.: Pyralidae). Couplage chromatographie en phase gazeuse spectrometrie de masse a montr√© la pr√©sence d'ac√©tate t√©trad√©cadi√©nyle avec un spectre de masse et un indice de r√©tention identiques au Z,E‚Äê9,11‚Äì14: Ac. Un r√©cepteur cellulaire sensible √† la fois au Z,E‚Äê9,11‚Äì14: Ac et √† un extrait de la femelle a √©t√© identifi√© sous l'antenne du m«éle. Les analyses des antennogrammes et de la cellule isol√©e ont √©tay√© la caract√©risation du composant de la ph√©romone comme √©tant Z,E‚Äê9,11‚Äì14: Ac. Un r√©cepteur cellulaire additionnel sensible √† l'ac√©tate (Z)‚Äê9‚Äêt√©trad√©cad√©c√©nyle et √† l'ac√©tate (Z.E.)‚Äê9,12‚Äêt√©trad√©cadi√©nyle a √©t√© trouv√© sur l'antenne du m«éle, mais il n'√©tait pas activ√© par l'extrait de la femelle. Sur le terrain Z,E‚Äê9,11‚Äì14: Ac, pr√©sent√© seul, attirait des nombres importants de m«éles de D. abietella. L'addition de l'ac√©tate (Z)‚Äê9‚Äêt√©trad√©c√©nyle a inhib√© l'attraction des m«éles par les pi√®ges. 1983 The Netherlands Entomological Society</t>
  </si>
  <si>
    <t>20-26</t>
  </si>
  <si>
    <t>60029170;60029170;60029170;60016437</t>
  </si>
  <si>
    <t>7003385545;6603416331;7004376332;6603697234</t>
  </si>
  <si>
    <t>L√ñFSTEDT, CHRISTER;VAN DER PERS, JAN N.C.;L√ñFQVIST, JAN;LANNE, BOEL S.</t>
  </si>
  <si>
    <t>Sweden;Sweden</t>
  </si>
  <si>
    <t>Lund;Gothenburg</t>
  </si>
  <si>
    <t>Lunds Universitet;G√∂teborgs Universitet</t>
  </si>
  <si>
    <t>60029170;60016437</t>
  </si>
  <si>
    <t>L√ñFSTEDT C.</t>
  </si>
  <si>
    <t>SEX PHEROMONE OF THE CONE PYRALID DIORYCTRIA ABIETELLA</t>
  </si>
  <si>
    <t>10.1111/j.1570-7458.1983.tb03285.x</t>
  </si>
  <si>
    <t>2-s2.0-4243336980</t>
  </si>
  <si>
    <t>['‚ àº', 'whole earth', 'supernova explosions', 'spheroidal modes', 'recent recordings', 'quadrupole strength', 'quadrupole interaction', 'order h', 'order equation', 'order 10', 'monochromatic waves', 'modes n', 'mode amplitudes', 'indeed feasible', 'gravitational signals', 'favourable locations', 'explicitly solved', 'calculable earth', 'black hole', 'binary stars', 'astrophysical sources', 'amplitude level', ']¬∑ 10', '7 cm', '12 cm']</t>
  </si>
  <si>
    <t>Experimental tests of general relativity and observations of gravitational radiation | Fundamental aspects of astrophysics</t>
  </si>
  <si>
    <t>The first-order equation of motion for the excitation of a radially heterogeneous rotating self-gravitating Earth model by a plane gravitational wave is explicitly solved in terms of the calculable Earth's normal-mode amplitudes. It is shown that astrophysical sources with quadrupole strength of the order h=10-20 (e.g. monochromatic waves from binary stars, pulses from supernova explosions or from a black hole in the centre of the Galaxy) can excite the modes n S 2 m to an amplitude level of 10-7 cm (accompanying ground accelerations of 10-12 cm/s2) at favourable locations on Earth. All other toroidal and spheroidal modes are smaller in amplitude by at least a factor of ‚àº[1000/ n T l m ]¬∑10-4 and are not likely to be observed. Recent recordings of the Earth's eigenvibrations with amplitudes of the order 10-7 cm by means of gravitational-wave antennas give hope that the detection of gravitational signals by means of a quadrupole-quadrupole interaction with the whole Earth is indeed feasible. ¬© 1983 Societ√† Italiana di Fisica.</t>
  </si>
  <si>
    <t>49-71</t>
  </si>
  <si>
    <t>Il Nuovo Cimento C</t>
  </si>
  <si>
    <t>Ben-Menahem, A.</t>
  </si>
  <si>
    <t>Ben-Menahem A.</t>
  </si>
  <si>
    <t>Excitation of the Earth's eigenvibrations by gravitational radiation from astrophysical sources</t>
  </si>
  <si>
    <t>10.1007/BF02511372</t>
  </si>
  <si>
    <t>2-s2.0-51649166728</t>
  </si>
  <si>
    <t>['¬© taylor', 'substrate thickness', 'probe dimensions', 'patch boundaries', 'natural modes', 'largely associated', 'input resistance', 'input reactance', 'input impedance', 'improved theory', 'francis group', 'dielectric constant', 'analytical results']</t>
  </si>
  <si>
    <t>An improved theory for the input impedance of a probe-fed microstrip patch antenna has been developed. The natural modes are established on a transverse resonance condition which incorporates the angularly dependent reflection coefficients and a dynamic wall susceptance associated with the patch boundaries. The input reactance is shown to be largely associated with the evanescent waves confined to the vicinity of the probe while the input resistance is associated with the excitation of the mode at resonance. Analytical results are presented to describe the input impedance of a rectangular patch antenna as a function of its dimensions, substrate thickness and dielectric constant, probe dimensions and location and the frequency. ¬© Taylor &amp; Francis Group, LLC.</t>
  </si>
  <si>
    <t>387-399</t>
  </si>
  <si>
    <t>60001777;60000221</t>
  </si>
  <si>
    <t>22986768300;7403319959</t>
  </si>
  <si>
    <t>Venkataraman, Jayanti;Chang, David C.</t>
  </si>
  <si>
    <t>Rochester;Boulder</t>
  </si>
  <si>
    <t>Rochester Institute of Technology;University of Colorado Boulder</t>
  </si>
  <si>
    <t>Venkataraman J.</t>
  </si>
  <si>
    <t>Imput impedance to a probe-fed rectangular microstrip patch antenna</t>
  </si>
  <si>
    <t>10.1080/02726348308915195</t>
  </si>
  <si>
    <t>2-s2.0-56349122884</t>
  </si>
  <si>
    <t>National Science Foundation</t>
  </si>
  <si>
    <t>NSF</t>
  </si>
  <si>
    <t>['wavelengths typically', 'tracked smoothly', 'sinusoidal fluctuations', 'significant fluctuations', 'setting portions', 'sensed passively', 'satellite across', 'range 30', 'predicted path', 'measured simultaneously', 'march 1973', 'lower thermosphere', 'lower surface', 'local times', 'january 1971', 'ionospheric refraction', 'give rise', 'doppler experiment', 'density gradients', 'confined largely', 'apparent position', '60 km', '1295 mhz']</t>
  </si>
  <si>
    <t>From January 1971 to March 1973, the Millstone Hill L-band satellite tracking radar was employed in a study of ionospheric refraction. Satellites of the Navy Navigation Series were tracked smoothly by radar (at 1295 MHz) by commanding the 84-ft diameter antenna to follow the predicted path of the satellite across the sky, and allowing any measured angular errors slowly to close out the offsets. Simultaneously, the apparent position of the satellite was sensed passively by receiving (on the same antenna) the UHF beacon signals. Ionospheric refraction manifested itself during the rising and setting portions of the path as a displacement between the UHF and L-band apparent positions. In addition, quasi-sinusoidal fluctuations in the displacement were seen at intervals along thepath that are believed to be caused by traveling ionospheric disturbances. On 40% of all passes, these waves were present with wavelengths typically in the range 30-60 km. These TIDs were seen equally frequently at all local times and seasons. They did not give rise to significant fluctuations of total electron content along the line of sight to the satellite, as measured simultaneously by a differential-Doppler experiment. This suggests that they are confined largely to the lower thermosphere and manifest themselves in tilting the lower surface of the ionosphere where the density gradients are largest. The source of these TIDs is not known and they appear to have been little studied heretofore. ¬© 1983 Pergamon Press Ltd.</t>
  </si>
  <si>
    <t>255-265</t>
  </si>
  <si>
    <t>Journal of Atmospheric and Terrestrial Physics</t>
  </si>
  <si>
    <t>60024592;60015009</t>
  </si>
  <si>
    <t>7407664934;6603951723</t>
  </si>
  <si>
    <t>Evans, J. V.;Wand, R. H.</t>
  </si>
  <si>
    <t>Lexington;Westford</t>
  </si>
  <si>
    <t>Lincoln Laboratory;MIT Haystack Observatory</t>
  </si>
  <si>
    <t>Evans J.</t>
  </si>
  <si>
    <t>Traveling ionospheric disturbances detected by UHF angle-of-arrival measurements</t>
  </si>
  <si>
    <t>S0021916983800476</t>
  </si>
  <si>
    <t>10.1016/S0021-9169(83)80047-6</t>
  </si>
  <si>
    <t>2-s2.0-58149372283</t>
  </si>
  <si>
    <t>['whereas echoes', 'undisturbed conditions', 'stratospheric warming', 'results obtained', 'resulting variation', 'occurred sporadically', 'observed stratospheric', 'march 1980', 'height resolution', 'first time', 'altitude range', '90 km', '5 km']</t>
  </si>
  <si>
    <t>For the first time the SOUSY-VHF-Radar (lat. 52¬∞N, long. 10¬∞E, Germany) was used to carry out measurements during a minor and major stratospheric warming in February and March 1980, respectively. Echoes have been received from the stratosphere up to an altitude of about 30 km continuously during day and night, whereas echoes from the mesosphere were restricted to the daytime and occurred sporadically at different heights within the altitude range from 60 to 90 km. The three-dimensional velocity vector has been derived from Doppler measurements made in three different antenna beam directions with a height resolution of 1.5 km. The resulting variation in height and time of the observed stratospheric and mesospheric wind speed and direction is discussed with respect to the stratospheric warming and compared to results obtained during undisturbed conditions. ¬© 1983 Pergamon Press Ltd.</t>
  </si>
  <si>
    <t>161-168</t>
  </si>
  <si>
    <t>February 1983/March 1983</t>
  </si>
  <si>
    <t>60017695;60017695;60017695;60030718</t>
  </si>
  <si>
    <t>6603934466;6602773292;56420305400;7003755700</t>
  </si>
  <si>
    <t>R√ºster, R.;Czechowsky, P.;Schmidt, G.;Labitzke, K.</t>
  </si>
  <si>
    <t>Germany;Germany</t>
  </si>
  <si>
    <t>Berlin;Gottingen</t>
  </si>
  <si>
    <t>Freie Universit√§t Berlin;Max Planck Institute for Solar System Research</t>
  </si>
  <si>
    <t>60030718;60017695</t>
  </si>
  <si>
    <t>R√ºster R.</t>
  </si>
  <si>
    <t>VHF radar observations in the stratosphere and mesosphere during a stratospheric warming</t>
  </si>
  <si>
    <t>S0021916983800208</t>
  </si>
  <si>
    <t>10.1016/S0021-9169(83)80020-8</t>
  </si>
  <si>
    <t>2-s2.0-58149373175</t>
  </si>
  <si>
    <t>['two towers', 'thereby permitting', 'synchronization process', 'random positions', 'radio camera', 'power plant', 'phased array', 'opportunity located', 'one source', 'moved along', 'limited images', 'hilltop illuminated', 'highly distorted', 'electronics engineers', 'cm wavelength', 'cable strung', 'beamforming sources', 'antenna elements', '5 km', '2 km']</t>
  </si>
  <si>
    <t>In the radio camera, adaptive control techniques self-cohere the antenna elements of a phased array, thereby permitting the system to be distorted and even time varying. By doing so, enormous antenna arrays can be constructed. A two-dimensional (range-angle) radio camera imaging experiment is reported. A 39-m, X-band (3-cm wavelength) array was formed on a cable strung between two towers, each 10 m high, on a hilltop. A pulsed microwave transmitter on the hilltop illuminated the vicinity of Phoenix-ville, PA, some 7 km distant As the receiver was moved along the cable, echoes were recorded at random positions. The time-shared receiving array was highly distorted as well as time-varying, yet the radio camera processing produced nearly diffraction-limited images of three city blocks at a distance of 6.5 km in the town, and details of a power plant at a distance of 8.2 km. The use of two different pilot signals or beamforming sources for the self-synchronization process is demonstrated. One source is a corner reflector located in the town; the other is a target of opportunity located in the vicinity. Copyright ¬© 1983 by The Institute of Electrical and Electronics Engineers, Inc.</t>
  </si>
  <si>
    <t>1325-1326</t>
  </si>
  <si>
    <t>60102562;60102562;60102562</t>
  </si>
  <si>
    <t>7102870158;6603646118;7403297604</t>
  </si>
  <si>
    <t>Steinberg, Bernard D.;Whistler, William;Carlson, Donald</t>
  </si>
  <si>
    <t>Two-Dimensional Imaging with a Radio Camera</t>
  </si>
  <si>
    <t>10.1109/PROC.1983.12768</t>
  </si>
  <si>
    <t>2-s2.0-76249104411</t>
  </si>
  <si>
    <t>['¬© taylor', 'francis group', 'experimental data', 'equivalent waveguide', 'cavity model']</t>
  </si>
  <si>
    <t>A suspended patch antenna excited by an inverted microstrip line is analyzed by a spectral domain technique followed by an equivalent waveguide-to-cavity model. Accuracy of the results is confirmed by comparison with experimental data. ¬© Taylor &amp; Francis Group, LLC.</t>
  </si>
  <si>
    <t>289-298</t>
  </si>
  <si>
    <t>;60013372</t>
  </si>
  <si>
    <t>36846534600;36041035600</t>
  </si>
  <si>
    <t>Rivera, Juan;Itoh, Tatsuo</t>
  </si>
  <si>
    <t>Rivera J.</t>
  </si>
  <si>
    <t>Analysis of a suspended patch antenna excited by an inverted microstrip line</t>
  </si>
  <si>
    <t>10.1080/02726348308915189</t>
  </si>
  <si>
    <t>2-s2.0-77955433446</t>
  </si>
  <si>
    <t>['¬© 1983', 'two pheromones', 'strong activities', 'mass spectra', 'female faeces', 'electroantennogram technique', 'american cockroach', '5 œºg']</t>
  </si>
  <si>
    <t>American cockroach | EAG | Periplaneta americana | periplanone-A | periplanone-B</t>
  </si>
  <si>
    <t>Two sex pheromones of the American cockroach were isolated from female faeces and from the filter paper shelters on which 2130 adult females had been reared. The isolation was achieved by a rapid and accurate monitoring method using an electroantennogram technique with an adult male antenna. The two pheromones were suggested to be periplanone-A and periplanone-B by their mass spectra and strong activities in behavioural assay tests. The quantities of periplanone-A and periplanone-B were estimated to be 6.8 and 1.5 Œºg, respectively, by gas chromatographic analysis. ¬© 1983.</t>
  </si>
  <si>
    <t>65-70</t>
  </si>
  <si>
    <t>60002443;60002443;60002443;60002443;60002443</t>
  </si>
  <si>
    <t>6701378771;35886457300;7102487279;7201883157;16474771400</t>
  </si>
  <si>
    <t>Nishino, Chikao;Manabe, Shunichi;Kuwabara, Kyoko;Kimura, Ritsuko;Takayanagi, Hisao</t>
  </si>
  <si>
    <t>Nishino C.</t>
  </si>
  <si>
    <t>Isolation of sex pheromones of the american cockroach by monitoring with electroantennogram responses</t>
  </si>
  <si>
    <t>0020-1790(83)90065-3</t>
  </si>
  <si>
    <t>10.1016/0020-1790(83)90065-3</t>
  </si>
  <si>
    <t>2-s2.0-7844230538</t>
  </si>
  <si>
    <t>['vegetation interference', 'scale images', 'lower resolution', 'less cultural', 'detailed evaluations']</t>
  </si>
  <si>
    <t>Digital elevation data are inherently geometrically correct and, although of lower resolution than SLAR, are more versatile in accentuating geologic structure with less cultural and vegetation interference. Digital elevation data in the form of synthetic relief images and stereo pairs provide ideal data bases for guiding aerial reconnaissance and acquisition of large-scale images for detailed evaluations. -from Authors</t>
  </si>
  <si>
    <t>549-556</t>
  </si>
  <si>
    <t>Geological Society of America Bulletin</t>
  </si>
  <si>
    <t>60010065;60010065</t>
  </si>
  <si>
    <t>35577217600;7102657749</t>
  </si>
  <si>
    <t>Schowengerdt, R. A.;Glass, C. E.</t>
  </si>
  <si>
    <t>Schowengerdt R.</t>
  </si>
  <si>
    <t>Digitally processed topographic data for regional tectonic evaluations.</t>
  </si>
  <si>
    <t>10.1130/0016-7606(1983)94&lt;549:DPTDFR&gt;2.0.CO;2</t>
  </si>
  <si>
    <t>2-s2.0-84879879124</t>
  </si>
  <si>
    <t>['¬© 1983', 'using data', 'study analyses', 'statistical testing', 'rights reserved', 'regulated monopoly', 'profitability equations', 'portfolio type', 'observed performance', 'francis group', 'firm level', '77 period', '1978 ).']</t>
  </si>
  <si>
    <t>This study analyses the sample of Single Canadian Community Antenna Television (CATV) that were sold during the 1972-77 period and develops estimating equations for the value of such systems. These equations are based on a profit-maximization model derived from the theory of regulated monopoly and from the well known demand model for CATV systems originally developed by Noll et al. (1973) and extended to Canada by Munasinghe and Corbo (1978). The profitability equations are estimated from the observed performance of the system in the sample during 1972-77, by using data at the firm level. The observed sales price is compared to the capitalized expected profit, and it is concluded that a substantial risk premium exists. By statistical testing the hypothesis that the risk is of the portfolio type (based on the Capital Asset Pricing Model) is rejected. It is then concluded that the data are consistent with the attribution of all risk to the expectation of adverse regulatory action and/or anticipated institutional changes. ¬© 1983, Taylor &amp; Francis Group, LLC. All rights reserved.</t>
  </si>
  <si>
    <t>745-758</t>
  </si>
  <si>
    <t>Applied Economics</t>
  </si>
  <si>
    <t>60028897;60028897</t>
  </si>
  <si>
    <t>6602722065;55916167300</t>
  </si>
  <si>
    <t>Perrakis, Stylianos;Silva-Echenique, Julio</t>
  </si>
  <si>
    <t>University of Ottawa</t>
  </si>
  <si>
    <t>Perrakis S.</t>
  </si>
  <si>
    <t>The profitability and risk of CATV operations in Canada</t>
  </si>
  <si>
    <t>10.1080/00036848300000063</t>
  </si>
  <si>
    <t>2-s2.0-84911528798</t>
  </si>
  <si>
    <t>23-24</t>
  </si>
  <si>
    <t>IEEE Antennas and Propagation Society Newsletter</t>
  </si>
  <si>
    <t>Schrank, Hal</t>
  </si>
  <si>
    <t>Schrank H.</t>
  </si>
  <si>
    <t>Antenna Designer's Notebook</t>
  </si>
  <si>
    <t>10.1109/MAP.1983.27707</t>
  </si>
  <si>
    <t>2-s2.0-84933279401</t>
  </si>
  <si>
    <t>Gabriel, W. F.</t>
  </si>
  <si>
    <t>Gabriel W.</t>
  </si>
  <si>
    <t>Adaptive Processing Antenna Systems</t>
  </si>
  <si>
    <t>10.1109/MAP.1983.27703</t>
  </si>
  <si>
    <t>2-s2.0-84939018846</t>
  </si>
  <si>
    <t>Rudge, A. W.</t>
  </si>
  <si>
    <t>Leatherhead</t>
  </si>
  <si>
    <t>ERA Technology Ltd</t>
  </si>
  <si>
    <t>Rudge A.</t>
  </si>
  <si>
    <t>Current Trends in Antenna Technology and Prospects for the Next Decade</t>
  </si>
  <si>
    <t>10.1109/MAP.1983.27712</t>
  </si>
  <si>
    <t>2-s2.0-84939026007</t>
  </si>
  <si>
    <t>25-27</t>
  </si>
  <si>
    <t>Antenna Designer' Notebook</t>
  </si>
  <si>
    <t>10.1109/MAP.1983.27720</t>
  </si>
  <si>
    <t>2-s2.0-84939052737</t>
  </si>
  <si>
    <t>['vswr ),', 'spiral antenna', 'similar performance', 'radiation pattern', 'lsc antennas', 'experimentally investigated', 'experimental investigation', 'electronics engineers', 'copyright 1983', 'conical log', 'back ratio', 'axial ratio', 'antenna properties']</t>
  </si>
  <si>
    <t>The experimental investigation was made on a low silhouette conical (LSC) log-spiral antenna, which has an advantage of shorter height compared with a conical log-spiral antenna of similar performance. The LSC antennas were constructed, and such antenna properties as radiation pattern, front-to-back ratio, voltage standing wave ratio (VSWR), and axial ratio were experimentally investigated. Copyright 1983 by The Institute of Electrical and Electronics Engineers, Inc.</t>
  </si>
  <si>
    <t>347-352</t>
  </si>
  <si>
    <t>60016849-112839533;60016849</t>
  </si>
  <si>
    <t>56873615100;36921920100</t>
  </si>
  <si>
    <t>Yang, Liang Biao;Iizuka, Keigo</t>
  </si>
  <si>
    <t>Canada;China</t>
  </si>
  <si>
    <t>Toronto;Shanghai</t>
  </si>
  <si>
    <t>University of Toronto;Telecom. Technol. Res. Inst.</t>
  </si>
  <si>
    <t>60016849;112839533</t>
  </si>
  <si>
    <t>Yang L.</t>
  </si>
  <si>
    <t>Experimental Investigation on a Method of Lowering the Silhouette of Conical Log-Spiral Antenna</t>
  </si>
  <si>
    <t>10.1109/TAP.1983.1143024</t>
  </si>
  <si>
    <t>2-s2.0-84939353806</t>
  </si>
  <si>
    <t>['¬© 1983', 'probable mechanism', 'permit conclusions', 'partially transdetermined', 'ml vinblastine', 'known mutations', 'karger ag', 'insect eye', 'high percentage', 'eye field', 'eye abnormalities', 'drosophila cultures', 'anterior region', 'abnormally shaped', '5 œºg']</t>
  </si>
  <si>
    <t>Differentiation stream | Eye malformations | Homeosis | Non-synchronous differentiation | Transdetermination | Vinblastine</t>
  </si>
  <si>
    <t>Drosophila cultures, kept on a water-added medium containing 0.16-2.5 Œºg/ml vinblastine (Velban, Lilly), produced offspring with a high percentage of eye abnormalities. These were eyes completely missing or reduced (moderately or severely) in size, of abnormal shape (‚Äòkidney eyes‚Äô) and partially transdetermined into hairy outgrowths resembling antennae. Several of the abnormalities were phenocopies of known mutations, like ‚Äòeyeless‚Äô or ‚Äòerupt‚Äô. The abnormally shaped and partially transdetermined eyes had characteristics, namely the appearance of abnormalities in the anterior region of the eye field, which permit conclusions about the probable mechanism of their production during development. These conclusions are in agreement with known facts concerning the mechanism of development of the insect eye and the mode of action of vinblastine. ¬© 1983 S. Karger AG, Basel.</t>
  </si>
  <si>
    <t>Pathobiology</t>
  </si>
  <si>
    <t>Wolsky, Alexander</t>
  </si>
  <si>
    <t>10.1159/000163214</t>
  </si>
  <si>
    <t>2-s2.0-84940133964</t>
  </si>
  <si>
    <t>DAAG29-83-K-0003</t>
  </si>
  <si>
    <t>['¬© taylor', 'translational properties', 'rigorously formulate', 'rigorous analysis', 'resonant frequencies', 'perturbative approach', 'increasing use', 'galerkin method', 'francis group', 'cylindrical harmonics', 'computation time', 'asymptotically evaluate', 'antenna elements']</t>
  </si>
  <si>
    <t>The increasing use of microstrip antenna arrays calls for a rigorous analysis of the coupling between antenna elements. In this paper a full wave analysis is presented to rigorously formulate the resonance of a coupled two circular disk resonator using the Vector Hankel Transform, together with the translational properties of the cylindrical harmonics. The matched asymptotic expansion approach is then used to asymptotically evaluate the resonant frequencies of the structure. The Galerkin moment method and a perturbative approach which can also be used to calculate the resonant frequencies are reviewed. The results obtained using these methods are compared with those of the matched asymptotic expansion approach developed in this paper. It is shown that the asymptotic matching approach provides significant saving in computation time and furthermore supplies simpler expressions for the resonant frequencies as compared to the Galerkin method and the perturbative approach. ¬© Taylor &amp; Francis Group, LLC.</t>
  </si>
  <si>
    <t>347-370</t>
  </si>
  <si>
    <t>60022195;60022195</t>
  </si>
  <si>
    <t>7004110635;7202290923</t>
  </si>
  <si>
    <t>Habashy, T. M.;Kong, J. A.</t>
  </si>
  <si>
    <t>Habashy T.</t>
  </si>
  <si>
    <t>Coupling between two circular microstrip disk resonators</t>
  </si>
  <si>
    <t>10.1080/02726348308915193</t>
  </si>
  <si>
    <t>2-s2.0-84941430695</t>
  </si>
  <si>
    <t>['¬© taylor', 'large compared', 'fundamental solution', 'francis group', 'exact expressions', 'electromagnetic field', 'cylindrical substrates', 'asymptotic results']</t>
  </si>
  <si>
    <t>The fundamental solution for printed circuit antennas on cylindrical substrates is presented in this paper. Exact expressions are obtained for the electromagnetic field both inside the substrate as well as the surrounding free space produced by an arbitrarily oriented printed circuit dipole. Asymptotic results are derived for a cylindrical thin substrate whose diameter is large compared to wavelength. ¬© Taylor &amp; Francis Group, LLC.</t>
  </si>
  <si>
    <t>311-326</t>
  </si>
  <si>
    <t>60027550;60027561;60002947</t>
  </si>
  <si>
    <t>7004468161;7004462124;7102355233</t>
  </si>
  <si>
    <t>Alexopoulos, N. G.;Uslenghi, P. L.E.;Uzunoglu, N. K.</t>
  </si>
  <si>
    <t>United States;United States;Greece</t>
  </si>
  <si>
    <t>Chicago;Los Angeles;Athens</t>
  </si>
  <si>
    <t>University of Illinois at Chicago;University of California, Los Angeles;National Technical University of Athens</t>
  </si>
  <si>
    <t>60027561;60027550;60002947</t>
  </si>
  <si>
    <t>Microstrip dipoles on cylindrical structures</t>
  </si>
  <si>
    <t>10.1080/02726348308915191</t>
  </si>
  <si>
    <t>2-s2.0-84941487534</t>
  </si>
  <si>
    <t>['signal arrivals', 'performance characteristics', 'optimum processor', 'namely linear', 'look direction', 'linear constraints', 'increased beamwidth', 'electronics engineers', 'derivative constraints', 'circular arrays', 'beam spacings', 'array geometries', 'also termed']</t>
  </si>
  <si>
    <t>In this paper a class of linear constraints, also termed as derivative constraints, which is applicable to broad-band element space antenna array processors, is presented. The performance characteristics of the optimum processor with derivative constraints are demonstrated by computer studies involving two types of array geometries, namely linear and circular arrays. As a consequence of derivative constraints, the beamwidth in the look direction can be made as broad as desired and the beam spacings can be selected without fear of substantial signal suppression in the event of signal arrivals between beams. However, this increased beamwidth is achieved at the price of reducing array gain. Copyright ¬© 1983 by The Institute of Electrical and Electronics Engineers, Inc.</t>
  </si>
  <si>
    <t>Hwa Er, Meng;Cantoni, Antonio</t>
  </si>
  <si>
    <t>Hwa Er M.</t>
  </si>
  <si>
    <t>Solar wind monitor satellite: Derivative Constraints for Broad-Band Element Space Antenna Array Processors</t>
  </si>
  <si>
    <t>10.1109/TASSP.1983.1164219</t>
  </si>
  <si>
    <t>2-s2.0-84941603578</t>
  </si>
  <si>
    <t>['voyager 2', 'voyager 1', 'several models', 'sed ).', 'quantitative approach', 'process gives', 'observed values', 'noise recorded', 'must introduce', 'latter event', 'ions near', 'ions collected', 'grain impacts', 'electrostatic noise', 'copyright 1983', 'antennas resulting']</t>
  </si>
  <si>
    <t>The ring plane event detected by the Voyager 1 and 2 Planetary Radio Astronomy experiment is distinct from Saturn kilometric radiation (SKR) and from Saturn electrostatic discharges (SED). It consists of radio noises recorded only during Saturnian ring plane crossings. Several models are tested. The electrostatic noise on the antennas resulting from the passage of electrons and ions near the antennas (quasi‚Äêthermal noise) leads to order of magnitude much lower than the observed values. Shot noise due to electrons and ions collected and/or emitted by the antennas and spacecraft can explain the noise recorded during Saturn Voyager 1 ring plane crossing and partly what is observed in the case of Voyager 2. For this latter event we must introduce the shot noise due to grain impacts. A quantitative approach of this process gives an estimation of the dust size ‚àº 2.3 ¬µm just outside the G‚Äêring. Copyright 1983 by the American Geophysical Union.</t>
  </si>
  <si>
    <t>7101717988;6603962056;16236924800</t>
  </si>
  <si>
    <t>Aubier, M. G.;Meyer‚ÄêVernet, N.;Pedersen, B. M.</t>
  </si>
  <si>
    <t>Aubier M.</t>
  </si>
  <si>
    <t>Shot noise from grain and particle impacts in Saturn's ring plane</t>
  </si>
  <si>
    <t>10.1029/GL010i001p00005</t>
  </si>
  <si>
    <t>2-s2.0-84945086713</t>
  </si>
  <si>
    <t>['wide range', 'specific application', 'relative orientations', 'proper choice', 'polarization rotator', 'equispaced wire', 'electronics engineers', 'different directions']</t>
  </si>
  <si>
    <t>A quasi-optical and wide-angle (of incidence) polarization rotator is described and analyzed. It consists of three or more parallel, equispaced wire-grid polarizers whose wires are oriented in different directions. With the proper choice of the number of grids, their spacings, and their relative orientations, such a polarization rotator is capable of operating over a broad frequency band and a wide range of angles of incidence. A seven-grid 90¬∞ polarization rotator was designed to operate over a 42 percent relative bandwidth for a ¬±60¬∞ range of angles of incidence with less than 0.1 dB transmission loss. Various designs based upon our analysis are given. The impetus for this work is the specific application of this polarizer in a dually polarized multibeam satellite ground station antenna employing a linear array feed. The design of a seven-grid polarization rotator for the ground station antenna is presented. Copyright ¬© 1983 by The Institute of Electrical and Electronics Engineers, Inc.</t>
  </si>
  <si>
    <t>Broad-Band Wide-Angle Quasi-Optical Polarization Rotators</t>
  </si>
  <si>
    <t>10.1109/TAP.1983.1143004</t>
  </si>
  <si>
    <t>2-s2.0-84949078308</t>
  </si>
  <si>
    <t>['¬© taylor', 'wave effects', 'useful level', 'superstrate thickness', 'radiation resistance', 'radiation efficiency', 'moderate values', 'material effects', 'lossless materials', 'grounded substrate', 'francis group', 'dielectric substrate', 'dielectric constant']</t>
  </si>
  <si>
    <t>The radiation efficiency of printed circuit antennas due to surface-wave effects is optimized to 100% for lossless materials. This is attained with a magnetic superstrate layer on a dielectric substrate. A combination of substrate-superstrate thickness and material parameters results in the elimination of surface wave modes and, therefore, radiation efficiency optimization. When antennas are printed on a grounded substrate with moderate values of dielectric constant, elimination of surface wave modes and, therefore, 100% radiation efficiency due to material effects can be obtained only with the addition of a magnetic superstrate layer if radiation resistance is to be kept at a useful level. ¬© Taylor &amp; Francis Group, LLC.</t>
  </si>
  <si>
    <t>255-269</t>
  </si>
  <si>
    <t>7004468161;7404289310</t>
  </si>
  <si>
    <t>Alexopoulos, N. G.;Jackson, D. R.</t>
  </si>
  <si>
    <t>Radiation efficiency optimization for printed circuit antennas using magnetic superstrates</t>
  </si>
  <si>
    <t>10.1080/02726348308915187</t>
  </si>
  <si>
    <t>2-s2.0-84950429400</t>
  </si>
  <si>
    <t>['whole animal', 'strong mechanico', 'statocyst wall', 'statoconia mass', 'statoconia dynamics', 'snail helix', 'slightly raises', 'right position', 'previous experiments', 'positive œî', 'positive step', 'observations revealed', 'noticeable acm', 'movements inside', 'monophasic lowering', 'information gathered', 'hydraulic coupling', 'biphasic lowering', 'actual orientation', 'acm shows']</t>
  </si>
  <si>
    <t>A series of experiments has been carried out on antennal compensatory movements (acm) in the snail Helix. When the animal is oriented in the up-right position it lowers its ‚Äúantennae‚Äù, when oriented in the down-right position it slightly raises the ‚Äúantennae‚Äù. The acm has also been studied under dynamic conditions using as stimulus both a step and delta (Œî) function. The response to a positive Œî is a monophasic lowering of the antennae, whilst the negative Œî fails in eliciting any noticeable acm. The response to a positive step is a biphasic lowering of the ‚Äúantennae‚Äù, whilst the negative step fails in eliciting a corresponding symmetrical response. Furthermore, the acm has been studied without altering the actual orientation of the whole animal, affecting only the statoconia orientation inside the statocyst. The acm shows a time course like that obtained in previous experiments. The dynamics of the statoconia has been investigated directly observing their movements inside the organ. These observations revealed the existence both of a strong mechanico-hydraulic coupling between the statoconia and the statocyst wall and of an internal friction inside the statoconia mass. The information gathered from the analysis of the statoconia dynamics has been used to interpret the acm. ¬© 1983 Taylor &amp; FrancisGroup, LLC.</t>
  </si>
  <si>
    <t>269-283</t>
  </si>
  <si>
    <t>Pierantoni, Ruggero</t>
  </si>
  <si>
    <t>Camogli</t>
  </si>
  <si>
    <t>Istituto di Cibernetica e Biofisica del Consiglio Nazionale delle Richerche</t>
  </si>
  <si>
    <t>Pierantoni R.</t>
  </si>
  <si>
    <t>A fovea for gravity. A quantitative study on antennal compensatory movement in Helix</t>
  </si>
  <si>
    <t>10.1080/11250008309439452</t>
  </si>
  <si>
    <t>2-s2.0-84954948619</t>
  </si>
  <si>
    <t>['¬© 1983', 'western france', 'rostral shape', 'rights reserved', 'relative length', 'pereiopod 2', 'palaemon longirostris', 'mysis larvae', 'mandibular palp', 'local mysidacea', 'late june', 'late july', 'gironde estuary', 'estuarine area', 'carcinological fauna', 'antennae 1', 'adults consists', '130 kilometres']</t>
  </si>
  <si>
    <t>The carcinological fauna of the Gironde estuary (south-western France) includes eight species of Decapoda Natantia belonging to three different faunistic categories. Palaemon longirostris is a typically estuarine prawn, the range of which extends over some 130 kilometres from Pointe de Grave to Cadillac (Garonne River). The main morphological characters of this species are described: rostral shape, structure of antennae 1 and mandibular palp, relative length of the segments of pereiopod 2. In the estuarine area, the diet of the adults consists of local Mysidacea: Neomysis integer upstream, and Mesopodopsis slabberi downstream. In the estuary, mysis larvae are found from late June to late July; their density is higher downstream near the banks than upstream. During metamorphosis, the larval stages migrate upstream, favoured by the existence of residual bottom currents in the same direction. ¬© 1983, Brill. All rights reserved.</t>
  </si>
  <si>
    <t>251-270</t>
  </si>
  <si>
    <t>0011216X</t>
  </si>
  <si>
    <t>Crustaceana</t>
  </si>
  <si>
    <t>Claude Sorbe, Jean</t>
  </si>
  <si>
    <t>Bordeaux</t>
  </si>
  <si>
    <t>Universit√© de Bordeaux</t>
  </si>
  <si>
    <t>Claude Sorbe J.</t>
  </si>
  <si>
    <t>Les D√©capodes Natantia De L‚Äôestuaire De La Gironde (France). Contribution a L‚Äô√©tude Morphologique Et Biologique De Palaemon Longirostris H. Milne Edwards, 1837</t>
  </si>
  <si>
    <t>10.1163/156854083X00442</t>
  </si>
  <si>
    <t>2-s2.0-84966027847</t>
  </si>
  <si>
    <t>['¬© 1983', 'united kingdom', 'three pairs', 'thoracomeres 2', 'sexual maturation', 'sex change', 'settle alongside', 'separate branch', 'second antennae', 'rights reserved', 'paramuriceid gorgonians', 'one male', 'nov .,', 'new genus', 'new ascothoracid', 'maxillopodan stock', 'likely function', 'host calcite', 'gorgonolaureus incorporates', 'given rise', 'generalized ur', 'form galls', 'following growth', 'first thoracopod', 'family isidae', 'elevated humps', 'coelenterata ).', 'become mobile', 'ascothoracids cannot', 'adult parasite', 'adult female', 'acanella arbuscula']</t>
  </si>
  <si>
    <t>A new ascothoracid, Isidascus bassindalei gen.nov., sp.nov., has been discovered in the north-east Atlantic Ocean at a depth of over 2000 m. It forms permanent galls on the branches of Acanella arbuscula, a gorgonian of the Family Isidae (Octocorallia, Coelenterata). The new genus is related to Gorgonolaureus, species of which form galls on paramuriceid gorgonians. The gall of the present form unlike that of Gorgonolaureus incorporates a cup of host calcite. Twenty-three adult female specimens and one male were examined in this study. The adult parasite is characterized by elevated humps in a median dorsal position on each of thoracomeres 2,3 and 4. A further feature is a tapering filamentary appendage arising near the base of first thoracopod. The parasite apparently feeds on its host‚Äôs coenosarc. The likely function of the first and second antennae and each of the three pairs of stylet-form mouth parts is suggested. A case is made for inter-pretting the species as a protandrous sequential hermaphrodite. Whilst still immature, protanders apparently seek out and settle alongside an adult female. Later, following growth and sexual maturation they again become mobile and after copulation with the nearby female depart to prepare for sex change on a separate branch of the host. In view of the highly specialized form of the mouth-parts it is argued that in spite of otherwise close relationship the ascothoracids cannot have given rise to the cirripedes. The two groups probably adopted sedentary habits quite independently of each other whilst separately evolving from a more generalized Ur-Maxillopodan stock. ¬© 1983, Marine Biological Association of the United Kingdom. All rights reserved.</t>
  </si>
  <si>
    <t>161-180</t>
  </si>
  <si>
    <t>Journal of the Marine Biological Association of the United Kingdom</t>
  </si>
  <si>
    <t>Moyse, John</t>
  </si>
  <si>
    <t>Swansea</t>
  </si>
  <si>
    <t>Swansea University</t>
  </si>
  <si>
    <t>Moyse J.</t>
  </si>
  <si>
    <t>Isidascus bassindalei Gen.Nov., Sp.Nov. (Ascothoracida: Crustacea) from north-east atlantic with a note on the origin of barnacles</t>
  </si>
  <si>
    <t>10.1017/S0025315400049869</t>
  </si>
  <si>
    <t>2-s2.0-84972362266</t>
  </si>
  <si>
    <t>['used together', 'unknown gain', 'theoretical limitations', 'reference source', 'paper attempts', 'gain stability']</t>
  </si>
  <si>
    <t>Antennas | Gain measurement | Satellite earth‚Äêstations</t>
  </si>
  <si>
    <t>In the design of communication satellite systems, knowledge of earth‚Äêstation receive antenna gain and gain stability is essential. Gain measurement relies on the establishment of a constant receive signal flux. This paper attempts to show how a standard gain horn and a reference source can be used together with a closed‚Äêloop satellite ALC circuit to provide a stable, known received flux at the input of the earth‚Äêstation antenna with unknown gain. Theoretical limitations of the technique are discussed as a forerunner to future practical measurements. Elements of the reference receive chain are transportable and can therefore be used to cross‚Äêcalibrate antennas, even in the case of receive‚Äêonly terminals. Copyright ¬© 1983 John Wiley &amp; Sons, Ltd.</t>
  </si>
  <si>
    <t>141-146</t>
  </si>
  <si>
    <t>International Journal of Satellite Communications</t>
  </si>
  <si>
    <t>October/December 1983</t>
  </si>
  <si>
    <t>60012070;</t>
  </si>
  <si>
    <t>7101813803;6507481578</t>
  </si>
  <si>
    <t>Daly, P.;Tits, D.</t>
  </si>
  <si>
    <t>Leeds</t>
  </si>
  <si>
    <t>University of Leeds</t>
  </si>
  <si>
    <t>Daly P.</t>
  </si>
  <si>
    <t>Proposed novel technique for the measurement of antenna gain in satellite earth‚Äêstations</t>
  </si>
  <si>
    <t>10.1002/sat.4600010209</t>
  </si>
  <si>
    <t>2-s2.0-84981566132</t>
  </si>
  <si>
    <t>['ship motions', 'present service', 'possible modulation', 'new standard', 'major parameter', 'gas platforms', 'antenna system']</t>
  </si>
  <si>
    <t>Earth station | Maritime | SCPC | Ship‚Äêstation</t>
  </si>
  <si>
    <t>A new standard of INMARSAT ship earth station for multi‚Äêchannel operation could find particular application on large passenger ships and off‚Äêshore oil/gas platforms. This paper provides estimates of platform and ship motions and discusses general design requirements, notably of the antenna system. The discussion includes consideration of possible modulation and multiple access techniques. Single channel per carrier (SCPC) operation is advocated which permits easy integration with the present service to single channel INMARSAT Standard‚ÄêA ship earth stations. Major parameter/relative cost trade‚Äêoff curves needed in an overall ship earth station design optimization are presented. Copyright ¬© 1983 John Wiley &amp; Sons, Ltd.</t>
  </si>
  <si>
    <t>123-132</t>
  </si>
  <si>
    <t>100317062;100317062</t>
  </si>
  <si>
    <t>7007098885;6603025223</t>
  </si>
  <si>
    <t>Nouri, M.;Braine, M. R.</t>
  </si>
  <si>
    <t>Chelmsford</t>
  </si>
  <si>
    <t>Marconi Communication Systems Ltd</t>
  </si>
  <si>
    <t>Nouri M.</t>
  </si>
  <si>
    <t>Design considerations for a larger inmarsat standard ship earth station</t>
  </si>
  <si>
    <t>10.1002/sat.4600010207</t>
  </si>
  <si>
    <t>2-s2.0-84981568588</t>
  </si>
  <si>
    <t>['wiley blackwell', 'valuable supplement', 'tortricidae ).', 'sex pheromone', 'schiff .)', 'rights reserved', 'recorded continuously', 'receptor cells', 'r .)', 'previous studies', 'pheromone receptors', 'odour stimuli', 'gc techniques', 'gas chromatograph', 'female glands', 'agrotis showed', 'agrotis segetum', 'adoxophyes orana']</t>
  </si>
  <si>
    <t>Adoxophyes orana | Agrotis segetum | antennae | gas chromatography | Lepidoptera | pheromone detection | single‚Äêsensillum recording</t>
  </si>
  <si>
    <t>ABSTRACT. Single sensillum recordings were made from male antennal pheromone receptors of Agrotis segetum (Schiff.) (Noctuidae) and Adoxophyes orana (F.v.R.) (Tortricidae). A gas chromatograph (GC) was used to prepare and to deliver the odour stimuli. Samples of female abdominal gland extracts were injected into the column of the GC and the responses of the receptor cells to the effluent were recorded continuously. The receptor cells responded with an increase of their action potential frequency during elution of the major pheromone components. The pheromone receptors of Agrotis showed a much higher sensitivity than those of Adoxophyes. In the extract of female glands from Agrotis, compounds were detected which have not been identified in previous studies of the sex pheromone of this species. It is suggested that the combination of GC techniques with direct single sensillum recording may serve as a valuable supplement to electro‚Äêantennographic techniques. Copyright ¬© 1983, Wiley Blackwell. All rights reserved</t>
  </si>
  <si>
    <t>203-211</t>
  </si>
  <si>
    <t>Physiological Entomology</t>
  </si>
  <si>
    <t>60029170;60029170</t>
  </si>
  <si>
    <t>57190616192;7003385545</t>
  </si>
  <si>
    <t>PERS, J. N.C.VAN DER;L√ñFSTEDT, C.</t>
  </si>
  <si>
    <t>Sweden</t>
  </si>
  <si>
    <t>Lund</t>
  </si>
  <si>
    <t>Lunds Universitet</t>
  </si>
  <si>
    <t>PERS J.N.C.V.D.</t>
  </si>
  <si>
    <t>Continuous single sensillum recording as a detection method for moth pheromone components in the effluent of a gas chromatograph</t>
  </si>
  <si>
    <t>10.1111/j.1365-3032.1983.tb00350.x</t>
  </si>
  <si>
    <t>2-s2.0-84981580053</t>
  </si>
  <si>
    <t>['stepping cycles', 'step track', 'severe noise', 'paper describes', 'directly position']</t>
  </si>
  <si>
    <t>Antennas | Step‚Äêtrack | Tracking and controls</t>
  </si>
  <si>
    <t>The paper describes a new adaptive tracking system which, unlike simple step‚Äêtrack sytems, does not use the stepping cycles to directly position the antenna. The system can cope with severe noise; about 15 dB worse than step track. The system is cheap and practical. Results are given for both large and small dish antennas. Copyright ¬© 1983 John Wiley &amp; Sons, Ltd.</t>
  </si>
  <si>
    <t>133-140</t>
  </si>
  <si>
    <t>60031028;60103295</t>
  </si>
  <si>
    <t>35449666300;57190616339</t>
  </si>
  <si>
    <t>Edwards, D. J.;Terrell, P. M.</t>
  </si>
  <si>
    <t>Cambridge;London</t>
  </si>
  <si>
    <t>Cambridge Consultants Limited;British Telecommunications plc</t>
  </si>
  <si>
    <t>60103295;60031028</t>
  </si>
  <si>
    <t>Edwards D.</t>
  </si>
  <si>
    <t>The smoothed step‚Äêtrack antenna controller</t>
  </si>
  <si>
    <t>10.1002/sat.4600010208</t>
  </si>
  <si>
    <t>2-s2.0-84981593740</t>
  </si>
  <si>
    <t>['wiley blackwell', 'teleogryllus oceanicus', 'signals supplement', 'sex recognition', 'rights reserved', 'obvious use', 'multimodal communication', 'males spending', 'male conspecifics', 'le guillou', 'intersexual communication', 'female recognition', 'female conspecifics', 'elicit aggressive', 'either sex', 'directly contacted', 'detached antennae', 'cricket communication', 'courtship acts', 'corresponding controls', 'contact chemoreception', 'conspecifics suggest', 'conditioned substrates', 'conditioned substrate', 'chemical signals', 'chemical communication', 'body regions', 'antennal contact', 'aggressive response', 'aggressive acts', 'acoustic signals', 'acheta domesticus']</t>
  </si>
  <si>
    <t>acoustic behaviour | aggression | chemoreception | courtship | cricket | Sex recognition</t>
  </si>
  <si>
    <t>ABSTRACT. Contact chemoreception is important in female recognition by Teleogryllus oceanicus (Le Guillou) males. Antennal contact of female conspecifics, body regions, detached antennae and conditioned substrate elicited mostly courtship responses including courtship songs. Aggressive acts were produced only in response to male conspecifics. Male body regions, detached antennae and conditioned substrate elicited very few courtship or aggressive acts and no songs. This suggests that one or several communication modes, in addition to chemical communication, are necessary to elicit aggressive responses. Acheta domesticus (L.) males cannot rely upon chemical cues for recognition of either sex. Responses to conspecifics suggest that A. domesticus males produce aggressive acts immediately after antennal contact with either sex. Aggressive response to males usually persists, but response to females often switches to courtship. Responses to body regions, detached antennae, and conditioned substrate were few, with courtship and aggressive responses elicited by both male‚Äê and female‚Äêgenerated stimuli. The importance of contact chemoreception in cricket communication is suggested by (1) failure of hexane‚Äêwashed antennae to elicit aggressive or courtship acts, and (2) males spending more time in contact with body regions and conditioned substrates than with corresponding controls. Lack of response to male or female odour‚Äêladen air suggests that chemical signals are used by males only if directly contacted. Chemical and other signals supplement the obvious use of acoustic signals for intra‚Äê and intersexual communication in these crickets. The importance of multimodal communication in sex recognition is discussed. Copyright ¬© 1983, Wiley Blackwell. All rights reserved</t>
  </si>
  <si>
    <t>151-166</t>
  </si>
  <si>
    <t>60004354;60004354</t>
  </si>
  <si>
    <t>7005890728;7202206282</t>
  </si>
  <si>
    <t>HARDY, TAD N.;SHAW, KENNETH C.</t>
  </si>
  <si>
    <t>Ames</t>
  </si>
  <si>
    <t>Iowa State University</t>
  </si>
  <si>
    <t>HARDY T.N.</t>
  </si>
  <si>
    <t>The role of chemoreception in sex recognition by male crickets: Acheta domesticus and Teleogryllus oceanicus</t>
  </si>
  <si>
    <t>10.1111/j.1365-3032.1983.tb00344.x</t>
  </si>
  <si>
    <t>2-s2.0-84981594755</t>
  </si>
  <si>
    <t>['wiley blackwell', 'two units', 'slightly inhibited', 'single interneurons', 'rights reserved', 'recorded extracellularly', 'pheromone terminate', 'odour source', 'minute quantities', 'female pheromone', 'either bombykol', 'clean air', 'bombykal alone', 'air puffs', 'added bombykol']</t>
  </si>
  <si>
    <t>Bombyx mori | deutocerebrum | olfaction | sex pheromone</t>
  </si>
  <si>
    <t>ABSTRACT. In response to minute quantities of female sex pheromone, the male silkworm moth, Bombyx mori L., walks upwind to locate the odour source. The axons of antennal receptors specific for the two known components of the pheromone terminate in the deutocerebrum. In this study, single interneurons were recorded extracellularly in the deutocerebrum of the male silkworm moth. Responses were characterized as the antennae were presented with puffs of clean air, or air containing either or both components of the female pheromone, bombykol and bombykal. An apparatus is described which added bombykol or bombykal to a constant air stream flowing over the antenna. Most units (87%) showed qualitatively different responses to bombykol and bombykal. A majority of the pheromone‚Äêsensitive units (65%) also showed mechanosensory responses to air puffs. Two units were recorded which were slightly inhibited by either bombykol or bombykal alone, but were excited by a mixture of the two. Copyright ¬© 1983, Wiley Blackwell. All rights reserved</t>
  </si>
  <si>
    <t>419-428</t>
  </si>
  <si>
    <t>OLBERG, ROBERT M.</t>
  </si>
  <si>
    <t>OLBERG R.</t>
  </si>
  <si>
    <t>Interneurons sensitive to female pheromone in the deutocerebrum of the male silkworm moth, Bombyx mori</t>
  </si>
  <si>
    <t>10.1111/j.1365-3032.1983.tb00376.x</t>
  </si>
  <si>
    <t>2-s2.0-84981632772</t>
  </si>
  <si>
    <t>['wiley company', 'unbalanced type', 'radiation characteristics', 'paper describes', 'one wavelength', 'much higher', 'many areas', 'length taper', 'inc .,', 'ground plane', 'four directions', 'extensively studied', 'experimental analysis', 'even though', 'equal intervals', 'element pair', 'antenna pair', 'antenna exhibits', 'another type', 'also shown']</t>
  </si>
  <si>
    <t>A balanced wideband antenna based on the self‚Äêcomplementary principle is known as a log‚Äêperiodic antenna. Another type of self‚Äêcomplementary antenna, the unbalanced type, has not been extensively studied, even though it is useful in many areas, including mobile communication. This paper describes an unbalanced wideband antenna with an extremely simple structure based on the principle of the three‚Äêdimensional self‚Äêcomplementary antenna. A method for deriving a unidirectional and constant‚Äêimpedance antenna from a three‚Äêdimensional self‚Äêcomplementary antenna having several symmetrical radiation lobes is proposed, and a theoretical and experimental analysis of the radiation characteristics of a monopole‚Äêslot pair with a finite ground plane is given. It is shown that the radiation characteristics remain almost unchanged when the ground plane is larger than one wavelength in four directions from the center of the antenna pair. It is also shown that the gain in the maximum radiation direction of an element pair is much higher on a semi‚Äêinfinite ground plane than on an infinite ground plane. A wide‚Äêband antenna consisting of element‚Äêpairs spaced at equal intervals and with a length taper is described. the antenna exhibits a substantial array effect on the gain. the gain is higher than that of a monopole‚Äênotch array antenna with a ground plane. Copyright ¬© 1983 Wiley Periodicals, Inc., A Wiley Company</t>
  </si>
  <si>
    <t>101741957;60008435;60008435</t>
  </si>
  <si>
    <t>Kasahara, Takeshi;Sawaya, Kunio;Mushiake, Yasuto</t>
  </si>
  <si>
    <t>Sendai;Miyagi</t>
  </si>
  <si>
    <t>Tohoku University;Sendai Radio Technical College</t>
  </si>
  <si>
    <t>60008435;101741957</t>
  </si>
  <si>
    <t>Modified three‚Äêdimensional self‚Äêcomplementary array antenna over a finite ground plane</t>
  </si>
  <si>
    <t>10.1002/ecja.4400660108</t>
  </si>
  <si>
    <t>2-s2.0-84984312209</t>
  </si>
  <si>
    <t>['worst case', 'wiley company', 'test results', 'reflector surface', 'radiation properties', 'offset feeding', 'multibeam antenna', 'inc .,', 'horn feeder', 'design principle', 'beam separation', '9 ¬∞', '11 ghz']</t>
  </si>
  <si>
    <t>The design principle and construction of an offset bifocal reflector are discussed and some test results are presented. the reflector surface is designed in a three‚Äêdimensional configuration, and four typical bifocal reflector antennas characterized by the vertical and horizontal cross sections of the subreflector are derived. Mapping of the coordinate system set up on the horn feeder is accomplished with a geometrical optics technique, and it is found that an antenna with low distortion cross‚Äêpolarization degradation attributable to asymmetry is possible. A 1.3 m bifocal reflector antenna at 14/11 GHz with a beam separation of 9¬∞ was designed and fabricated, and its radiation properties were measured with offset feeding, which is useful in constructing a multibeam antenna. the radiation properties within this beam separation angle are equivalent to those of a single pencil‚Äêbeam antenna such as the Cassegrainian; the cross‚Äêpolarization level is less than ‚Äê30 dB in the worst case. Copyright ¬© 1983 Wiley Periodicals, Inc., A Wiley Company</t>
  </si>
  <si>
    <t>60021208;60021208</t>
  </si>
  <si>
    <t>KDDI Corporation</t>
  </si>
  <si>
    <t>Offset bifocal reflector antenna</t>
  </si>
  <si>
    <t>10.1002/ecja.4400660110</t>
  </si>
  <si>
    <t>2-s2.0-84984391600</t>
  </si>
  <si>
    <t>['wiley blackwell', 'two kinds', 'rights reserved', 'picosecond fluorescence', 'photons used', 'number n', 'much shorter', 'laser flash', 'e lifetime', 'dynamic properties', 'different lifetimes', 'close proximity', 'antenna chlorophylls', '680 nm', '25 ps']</t>
  </si>
  <si>
    <t>Dynamic properties of the picosecond fluorescence of highly enriched reaction‚Äêcenter particles of photosystem I (8 ‚Äê 10 chlorophylls/P700) prepared from spinach have been investigated. The number N of photons used to excite chlorophyll molecules per reaction center was controlled between 0.06 and 80. The 1/e lifetime was ca. 25 ps for N1. which is much shorter than previously measured lifetimes of photosystem I particles. The initial fluorescence intensity saturated at higher excitation intensities (N‚â≤ 1). This was interpreted in terms of interaction and annihilation among excited chlorophyll molecules which occur almost entirely within the duration of a laser flash. The spectrum‚Äêresolved fluorescence decay was faster at 690 than at 680 nm. This implies that two kinds of antenna chlorophylls, apart from and in close proximity to P700, have different lifetimes. Upon heat treatment a component with a much longer fluorescence decay time was observed. The growth of this component upon heat treatment at increasing temperatures showed a correlation with a decrease in the amount of P700 that could be photooxidized. Copyright ¬© 1983, Wiley Blackwell. All rights reserved</t>
  </si>
  <si>
    <t>207-213</t>
  </si>
  <si>
    <t>Photochemistry and Photobiology</t>
  </si>
  <si>
    <t>60033235;60033235;60033235;60033235;60033235;60027553</t>
  </si>
  <si>
    <t>7006690135;57209639164;7401510809;35414596000;7201407979;55974981900</t>
  </si>
  <si>
    <t>Kamogawa, Keui;Morris, John M.;Takagi, Yoshihiro;Nakashima, Nobuaki;Yoshihara, Keitaro;Ikegami, Isamu</t>
  </si>
  <si>
    <t>Okazaki;Tokyo</t>
  </si>
  <si>
    <t>National Institutes of Natural Sciences - Institute for Molecular Science;Teikyo University</t>
  </si>
  <si>
    <t>60033235;60027553</t>
  </si>
  <si>
    <t>Kamogawa K.</t>
  </si>
  <si>
    <t>PICOSECOND FLUORESCENCE STUDIES OF P700‚ÄêENRICHED PARTICLES OF SPINACH CHLOROPLASTS</t>
  </si>
  <si>
    <t>10.1111/j.1751-1097.1983.tb04460.x</t>
  </si>
  <si>
    <t>2-s2.0-84989676526</t>
  </si>
  <si>
    <t>['wiley blackwell', 'undissociated photosystem', 'total chlorophyll', 'spinach thylakoids', 'rights reserved', 'p700 ratio', 'minor component', 'complex may', 'chi b', 'b ratio', '180 ).']</t>
  </si>
  <si>
    <t>Abstract‚Äî An undissociated photosystem I complex may be isolated from spinach thylakoids by mild gel electrophoresis (CP1a) or Triton X‚Äê100. CP1a has a Chl a/b ratio of 11 and a Chl/P700 ratio of 120. while the Triton X‚Äê100 PS I complex (Chl a/b ratio of 5.9) has a larger antenna unit size (Chl/P700 ratio of 180). None of the Chl a/b‚Äêproteins of the main light‚Äêharvesting complex (apoproteins of 30‚Äì27 kD) are present in CP1a, and they account for less than 10% of the total chlorophyll in the Triton X‚Äê100 PS I complex. Instead, these PS I complexes have specific, but as yet little characterized, Chi a/b‚Äêproteins (apoproteins in the 26‚Äì21 kD range). With both PS I complexes, Chi b transfers light excitation to the 735 nm low temperature fluorescence band characteristic of photosystem I. We suggest that Chi b is an integral but minor component of photosystem I. Copyright ¬© 1983, Wiley Blackwell. All rights reserved</t>
  </si>
  <si>
    <t>205-210</t>
  </si>
  <si>
    <t>60023392;60024613;60025038;60025038</t>
  </si>
  <si>
    <t>7406781037;7409449087;55740347900;7102455882</t>
  </si>
  <si>
    <t>Anderson, Jan M.;Brown, Jeanette S.;Lam, Eric;Malkin, Richard</t>
  </si>
  <si>
    <t>United States;United States;Australia</t>
  </si>
  <si>
    <t>Berkeley;Washington, D.C.;Melbourne</t>
  </si>
  <si>
    <t>University of California, Berkeley;Carnegie Institution of Washington;CSIRO Plant Industry</t>
  </si>
  <si>
    <t>60025038;60024613;60023392</t>
  </si>
  <si>
    <t>Anderson J.</t>
  </si>
  <si>
    <t>CHLOROPHYLL b: AN INTEGRAL COMPONENT OF PHOTOSYSTEM I OF HIGHER PLANT CHLOROPLASTS</t>
  </si>
  <si>
    <t>10.1111/j.1751-1097.1983.tb03863.x</t>
  </si>
  <si>
    <t>2-s2.0-84989685235</t>
  </si>
  <si>
    <t>['wiley blackwell', 'value close', 'two components', 'small amplitude', 'small amount', 'slow component', 'shorter wavelength', 'rights reserved', 'relative yields', 'relative effects', 'reaction centers', 'preferentially excited', 'photosystems ii', 'photosystem ii', 'opposite dependence', 'middle component', 'major portion', 'lifetime increasing', 'kinetic components', 'increasing concentrations', 'functional antennae', 'fluorescence maximum', 'flowing samples', 'fast component', 'excited state', 'excitation wavelength', 'energy conversion', 'data indicate', 'chlorella vulgaris', 'chlamydomonas reinhardtii', '730 nm', '70 %.', '652 nm', '500 ps', '4 ns', '2 ns', '1100 ps']</t>
  </si>
  <si>
    <t>Single‚Äêphoton timing measurements on flowing samples of Chlorella vulgaris and Chlamydomonas reinhardtii at low excitation intensities at room temperature indicate two main kinetic components of the fluorescence at open reaction centers (F0) of photosystem II with lifetimes of approx. 130 and 500 ps and relative yields of about 30 and 70%. Closing the reaction centers progressively by preincubation of the algae with increasing concentrations of 3‚Äê(3‚Ä≤,4‚Ä≤‚Äêdichlorophenyl)‚Äêl,l‚Äêdimethylurea (DCMU) and hydroxylamine gave rise to a slow component with a lifetime increasing from 1.4 to 2.2 ns (Fmax) The yield of the slow component increased to 65‚Äê68% of the total fluorescence yield in parallel to a decrease in the yield of the fast component to a value close to zero at the fmax‚Äêlevel. The 130 ps lifetime of the fast component remained unchanged. The middle component showed an increase of its lifetime from 500 to 1100 ps and of its yield by a factor of 1.5. Spacing of the ps laser pulses by 12 Œºs allowed us to resolve a new long‚Äêlived fluorescence component of very small amplitude which is ascribed to a small amount of chlorophyll not connected to functional antennae. The opposite dependence of the yield of the fast and the slow component on the state of the reaction centers at almost constant lifetimes is consistent with a mechanism of energy conversion in largely separately functioning photosystem II units. Yields and lifetimes of these two components are in agreement with the high quantum yield of photosynthesis. The lower lifetime limit of 1.4 ns of the slow component is assigned to the average transfer time of an excited state from a closed to a neighboring open reaction center and the increase in the lifetime to 2.2 ns is evidence for a limited energy transfer between photosystems II. Relative effects of changing the excitation wavelength from 630 to 652 nm on the relative fluorescence yields of the kinetic components were studied at the fluorescence wavelengths 682, 703 and 730 nm. Our data indicate that (i) the middle component has its fluorescence maximum at shorter wavelength than the fast component and (ii) that the antennae chlorophylls giving rise to the middle component are preferentially excited by 652 nm light. It is concluded that the middle component originates from the light‚Äêharvesting chlorophyll alb protein complexes and the major portion of the fast component from the chlorophyll a antennae of open photosystem II reaction centers. Copyright ¬© 1983, Wiley Blackwell. All rights reserved</t>
  </si>
  <si>
    <t>435-443</t>
  </si>
  <si>
    <t>60005322;60072285;60072285</t>
  </si>
  <si>
    <t>57209053577;35501122300;24395584500</t>
  </si>
  <si>
    <t>Haehnel, Wolfgang;Holzwarth, Alfred R.;Wendler, Joachlm</t>
  </si>
  <si>
    <t>Mulheim an der Ruhr;Bochum</t>
  </si>
  <si>
    <t>Max Planck Institute for Chemical Energy Conversion;Ruhr-Universitat Bochum</t>
  </si>
  <si>
    <t>60072285;60005322</t>
  </si>
  <si>
    <t>Haehnel W.</t>
  </si>
  <si>
    <t>PICOSECOND FLUORESCENCE KINETICS and ENERGY TRANSFER IN THE ANTENNA CHLOROPHYLLS OF GREEN ALGAE</t>
  </si>
  <si>
    <t>10.1111/j.1751-1097.1983.tb04497.x</t>
  </si>
  <si>
    <t>2-s2.0-84989691410</t>
  </si>
  <si>
    <t>['wiley blackwell', 'various layers', 'thylakoidal membranes', 'suggested also', 'slices obtained', 'samples except', 'ripening periods', 'ripe tomato', 'ripe kiwi', 'rights reserved', 'results presented', 'remain green', 'reaction center', 'normal organization', 'kiwi pericarp', 'kiwi fruit', 'green pericarp', 'fluorescence emission', 'color break', 'chlorophyll organization', 'antenna occurred', 'antenna chlorophyll', '77 k', '730 nm', '696 nm']</t>
  </si>
  <si>
    <t>‚ÄîLow temperature (77 K) fluorescence emission spectra of slices obtained from the peel and various layers of the pericarp were recorded for fruits which remain green or undergo color break during ripening. Fluorescence emission peaks characteristic of the photosystem II antennae (ŒªF 686 nm) and reaction center (ŒªF 696 nm), as well as of the photosystem I antenna (ŒªF 730‚Äê740 nm), were present in the peel and all parts of the green pericarp of ripe kiwi, avocado and cantaloupe, as well as in ripe tomato and tangerine after color break. The pattern of the fluorescence emission spectra of all samples except that of the kiwi fruit was similar to that obtained from green photosynthetic tissue of leaves, indicating a normal organization of the chlorophyll‚Äêcontaining complexes of thylakoidal membranes. This pattern is characterized by a significantly higher emission at 730‚Äê740 nm relative to that of the 696 and 686 nm peaks. In contradistinction, the fluorescence emission at 686 and 696 nm was higher than that at 730 nm in the kiwi fruit, indicating a reduction in the size of the photosystem I antenna chlorophyll. In the innermost yellowish layers of the kiwi pericarp, a further loss of this antenna occurred, as well as disorganization of the photosystem II complex. The above conclusions are suggested also by measurements of variable fluorescence kinetics. The results presented here indicate that fluorescence spectroscopy might be used as a tool for the study of chlorophyll organization during the growth and ripening periods of fruit. Copyright ¬© 1983, Wiley Blackwell. All rights reserved</t>
  </si>
  <si>
    <t>60007493;60007903</t>
  </si>
  <si>
    <t>24564926000;7005705984</t>
  </si>
  <si>
    <t>Gross, Jeana;Ohad, Itzhak</t>
  </si>
  <si>
    <t>Israel;Germany</t>
  </si>
  <si>
    <t>Jerusalem;Bonn</t>
  </si>
  <si>
    <t>Hebrew University of Jerusalem;Universit√§t Bonn</t>
  </si>
  <si>
    <t>60007903;60007493</t>
  </si>
  <si>
    <t>Gross J.</t>
  </si>
  <si>
    <t>IN VIVO FLUORESCENCE SPECTROSCOPY OF CHLOROPHYLL IN VARIOUS UNRIPE AND RIPE FRUIT</t>
  </si>
  <si>
    <t>10.1111/j.1751-1097.1983.tb04458.x</t>
  </si>
  <si>
    <t>2-s2.0-84989743930</t>
  </si>
  <si>
    <t>['zinc phtalocyanine', 'wiley blackwell', 'rights reserved', 'raman spectra', 'pyridine group', 'present work', 'polymeric films', 'polymer structure', 'polymer matricies', 'photosynthetic apparatus', 'nitrogen atoms', 'model system', 'metal atoms', 'mean distances', 'excitation energy', 'examine characteristics', 'energy migration', 'dye molecules', 'dye imbedded', 'dye concentration', 'different types', 'coordination interaction']</t>
  </si>
  <si>
    <t>Abstract‚Äî The goal of the present work was to create and investigate a model system, using a dye imbedded into polymer structure, and to examine characteristics which would provide low heat dissipation and excitation diffusion characteristics approaching those seen in the ‚Äúantenna‚Äù of the photosynthetic apparatus. Zinc tetraphenoxyphtalocyanine served as a dye, and different types of polyvinyl pyridine polymers and polystyrene were used as polymer matricies. Measurements of the absorption, fluorescence and Raman spectra of the polymeric films with dye molecules show that along with Van der Waals interactions of the dye molecules with the side aromatic groups of the polymer there is a coordination interaction between the metal atoms of Zinc phtalocyanine and the nitrogen atoms of the pyridine group of the polymer. A model system shows low heat losses of excitation energy, when the dye concentration does not exceed 10‚Äê2M (mean distances between molecules of about 34 √Ö). Electronic excitation diffusion characteristics appeared to be close to those of the light harvesting antenna of the photosynthetic apparatus, indicating high efficiency of the energy migration in it. Copyright ¬© 1983, Wiley Blackwell. All rights reserved</t>
  </si>
  <si>
    <t>211-217</t>
  </si>
  <si>
    <t>100634526;100634526;100634526;100634526;100634526</t>
  </si>
  <si>
    <t>7201363256;6506334373;57191396297;57207907397;57191398449</t>
  </si>
  <si>
    <t>Rubin, L. B.;Braginskaja, O. V.;Bartenev, V. Ja;Paschenko, V. Z.;Pshezsheckii, V. S.</t>
  </si>
  <si>
    <t>Russia</t>
  </si>
  <si>
    <t>Physics Faculty of the University</t>
  </si>
  <si>
    <t>Rubin L.</t>
  </si>
  <si>
    <t>LASER SPECTROSCOPY OF MODEL PHOTOSYNTHETIC SYSTEMS</t>
  </si>
  <si>
    <t>10.1111/j.1751-1097.1983.tb03864.x</t>
  </si>
  <si>
    <t>2-s2.0-84989743966</t>
  </si>
  <si>
    <t>['whole antenna', 'typical difference', 'sensillum trichodeum', 'sensilla trichodea', 'responses resemble', 'response pattern', 'recorded simultaneously', 'ostrinia nubilalis', 'moth seems', 'male moth', 'electrical responses', 'configuration characteristics']</t>
  </si>
  <si>
    <t>antenna | electroantennogram | electrosensillogram | European corn borer | olfaction | Ostrina nubilalis | pheromone | sensilla trichodea | sensillum</t>
  </si>
  <si>
    <t>Electrical responses of the whole antenna (electroantennogram) and that of the single sensillum trichodeum (electrosensillogram) of male moth of the European corn borer, Ostrinia nubilalis, to their two pheromone components, (Z)‚Äê and (E)‚Äê11‚Äêtetradecenyl acetates, were recorded simultaneously. The configuration characteristics of both responses resemble each other, and demonstrate an interaction between sensilla trichodea. The typical difference in the response pattern between London (Ontario) and New York strains of this moth seems to be a property of the sensillum trichodeum. Copyright ¬© 1983 Wiley‚ÄêLiss, Inc.</t>
  </si>
  <si>
    <t>85-91</t>
  </si>
  <si>
    <t>Archives of Insect Biochemistry and Physiology</t>
  </si>
  <si>
    <t>Nagai, Toshio</t>
  </si>
  <si>
    <t>Agriculture et Agroalimentaire Canada</t>
  </si>
  <si>
    <t>Nagai T.</t>
  </si>
  <si>
    <t>On the relationship between the electroantennogram and simultaneously recorded single sensillum response of the european corn borer, Ostrinia nubilalis</t>
  </si>
  <si>
    <t>10.1002/arch.940010109</t>
  </si>
  <si>
    <t>2-s2.0-84990407306</t>
  </si>
  <si>
    <t>['¬© 1983', 'whistlers propagating', 'whistler mode', 'vlf transmitters', 'vlf signals', 'thesignal amplitude', 'smaller multi', 'siple varies', 'siple two', 'siple station', 'siple signals', 'signal spectrum', 'signal received', 'rights reserved', 'regularly received', 'received signal', 'ray analysis', 'properties consistent', 'predicted using', 'polarization properties', 'polarization error', 'path error', 'palmer station', 'observed nulls', 'navigation systems', 'ionospheric conditions', 'hop signals', 'expected values', 'df system', 'arrival bearings', 'amplitude spectrum', '90 ¬∞', '76 ¬∞', '65 ¬∞']</t>
  </si>
  <si>
    <t>Radio signals transmitted from the unique experimental VLF transmitter at Siple Station (76¬∞S, 84¬∞W), Antarctica, as well as VLF signals from communication and navigation systems and waves that propagate in the ionosphere and magnetosphere in the whistler mode, are regularly received and analysed at Palmer Station (65¬∞S, 64¬∞W), Antarctica. The amplitude and polarization properties of the Siple signals are predicted using a ray optics analysis. The amplitude of the signal received from Siple varies with frequency; observed nulls in the signal spectrum, where thesignal amplitude/alls 5‚Äì10 dB below what might be expected, are explained by the ray analysis. The amplitude spectrum is observed to be very sensitive to ionospheric conditions. Whereas the arrival bearings of signals from VLF transmitters other than Siple are found to be within 5¬∞ of their expected values, which is consistent with their expected vertical polarization and the operation of the DF system, an approximately 90¬∞ anomaly in the apparent arrival bearing of the signals from Siple is attributed to the essentially horizontal polarization of the received signal. The anomaly is found to be consistent with the theory of operation of the DF system. Occasional anomalies greater than 90¬∞ are explained in terms of a combination of polarization error and a smaller multi-path error. Siple two-hop signals and whistlers propagating on a common magnetospheric path showed arrival bearings and other properties consistent with a path end point within 200km of Siple. This suggests that these signals were received at Palmer with essentially vertical polarization. ¬© 1983, Pergamon Press Ltd.. All rights reserved.</t>
  </si>
  <si>
    <t>353-363</t>
  </si>
  <si>
    <t>Tkalcevic, S.</t>
  </si>
  <si>
    <t>STAR Lab</t>
  </si>
  <si>
    <t>Tkalcevic S.</t>
  </si>
  <si>
    <t>Very-low frequency signals (2‚Äì10 kHz) received at Palmer Station, Antarctica, from the 21.4 km dipole antenna at Siple Station, 1400 km distant</t>
  </si>
  <si>
    <t>S0021916983810964</t>
  </si>
  <si>
    <t>10.1016/S0021-9169(83)81096-4</t>
  </si>
  <si>
    <t>2-s2.0-84995045002</t>
  </si>
  <si>
    <t>['wiley blackwell', 'walossekia quinquespinosa', 'upper cambrian', 'southern sweden', 'small crustaceans', 'skara anulata', 'six forms', 'rights reserved', 'rehbachiella kinnekullensis', 'phosphatised integument', 'others may', 'oelandocaris oelandica', 'mandibulae served', 'headal limbs', 'head tagma', 'head region', 'five pairs', 'filter apparatus', 'dala peilertae', 'bredocaris admirabilis', 'active swimmers']</t>
  </si>
  <si>
    <t>Six monotypic new genera of small crustaceans with phosphatised integument are described from Upper Cambrian, mainly bituminous limestone of southern Sweden. These are Dala peilertae, Bredocaris admirabilis, Walossekia quinquespinosa, Rehbachiella kinnekullensis, Skara anulata and Oelandocaris oelandica. The well‚Äêpreserved details reveal a nauplius‚Äêlike organisation of the head region. At least in Bredocaris, Walossekia, and Rehbachiella the head tagma has only three to four specialised pairs of appendages; Skara and Oelandocaris have five pairs of headal limbs. The antennae and the mandibulae served for locomotion and for mastication. All species have a filter apparatus with a distinct filter groove and serially constructed appendages. Four of the six forms had developed a conspicuous median compound eye. Specialisation in the development of the limbs, etc., suggests that some of the forms were benthie, while others may have been epibcnthic and active swimmers, Crustacea, Dala, Bredocaris, Walossekia, Rehbachiella, Skara, Oelandocaris, soft‚Äêpart preservation, Upper Cambrian, Sweden. Copyright ¬© 1983, Wiley Blackwell. All rights reserved</t>
  </si>
  <si>
    <t>93-109</t>
  </si>
  <si>
    <t>Lethaia</t>
  </si>
  <si>
    <t>M√úLLER, KLAUS J.</t>
  </si>
  <si>
    <t>Universit√§t Bonn</t>
  </si>
  <si>
    <t>M√úLLER K.</t>
  </si>
  <si>
    <t>Crustacea with preserved soft parts from the Upper Cambrian of Sweden</t>
  </si>
  <si>
    <t>10.1111/j.1502-3931.1983.tb01704.x</t>
  </si>
  <si>
    <t>2-s2.0-84996629435</t>
  </si>
  <si>
    <t>['¬© 1983', 'used quantitatively', 'threshold level', 'specified value', 'sized computer', 'second one', 'sea clutter', 'rights reserved', 'reject compulsorily', 'rayleigh distribution', 'radar site', 'paper describes', 'noncoherent radar', 'mti residues', 'mti canceler', 'line canceler', 'frequency spectra', 'first one', 'completely removed', 'clutter signal', 'clutter beyond', 'cancellation ratios', 'areal integration', 'antenna scanning', 'amplitude fluctuation', '35 db']</t>
  </si>
  <si>
    <t>This paper describes a noncoherent MTI weather radar which makes it possible to reject ground clutter signals but to extract precipitation echo signals. Though the amplitudes of the ground clutter signal fluctuate somewhat due to radar system instabilities, antenna scanning and radar wave propagation effects, the frequency spectra are confined to a relatively narrow low region. Therefore, MTI signal processing is based on the fact that most of the energy of the clutter signal can be rejected by an MTI canceler which carresponds to a high pass filter. In this study, it was found that a no-feedback triple delay-line canceler is the most suitable for the standard weather radar of the Japan Meteorological Agency and that the attainable cancellation ratio is 35 dB, because the uniform noise Cannot be rejected by the MTI canceler. Then the MTI residues which cannot be rejected by the canceler will be completely removed by introducing two additional techniques. The first one is an areal integration which makes it possible to decrease some of the MTI signal intensity levels below the threshold level, and if this is not enough, the second one will be used to reject compulsorily the residues of the clutter beyond the specified value of cancellation ratios. Meanwhile, since the frequency spectra of the precipitation echo signal are rather uniformly distributed in half of the pulse recurrence frequency which corresponds to the signal processing frequency band, part of the energy of the signal can be extracted through the canceler. Therefore, by considering the deviation from Rayleigh distribution of the signal in amplitude and the randomness of the amplitude fluctuation, it was found that the MTI signal processing can be used quantitatively for radar rainfall measurements referring to the normal signal processing in the noncoherent radar. This paper further discusses the rejection of sea clutter. It is found that the proposed MTI signal processing system will make it possible to rapidly obtain objective radar data, as compared with the manual data handling of ground clutter rejection which has been conventional so far. And it will contribute to the development of a system of short-period rainfall prediction based on the radar data transmitted from each radar site in the country to the large-sized computer in JMA. ¬© 1983, Japan Meteorological Agency/Meteorological Research Institute. All rights reserved.</t>
  </si>
  <si>
    <t>187-243</t>
  </si>
  <si>
    <t>0031126X</t>
  </si>
  <si>
    <t>Papers in Meteorology and Geophysics</t>
  </si>
  <si>
    <t>Aoyagi, Jiro</t>
  </si>
  <si>
    <t>Tsukuba</t>
  </si>
  <si>
    <t>Meteorological Research Institute</t>
  </si>
  <si>
    <t>Aoyagi J.</t>
  </si>
  <si>
    <t>A Study on the MTI Weather Radar System for Rejecting Ground Clutter</t>
  </si>
  <si>
    <t>10.2467/mripapers.33.187</t>
  </si>
  <si>
    <t>2-s2.0-85004579804</t>
  </si>
  <si>
    <t>['und 5', 'secondary rhinaria', 'primary rhinaria', 'megoura viciae', 'main receptors', 'das alarmpheromon', 'alarm pheromone', 'acyrthosiphon pisum']</t>
  </si>
  <si>
    <t>(E)‚ÄêŒ≤‚Äêfarnesene | Acyrthosiphon pisum | Alarm pheromone | EAG responses | Megoura viciae | Primary and secondary rhinaria</t>
  </si>
  <si>
    <t>Electroantennograms (EAGs) were recorded to investigate which sensilla on the antenna of Acyrthosiphon pisum and Megoura viciae are able to perceive the alarm pheromone (E)‚ÄêŒ≤‚Äêfarnesene. The two primary rhinaria on the 6th and 5th antennal segment were shown to be the main receptors, although the secondary rhinaria on the 3rd segment might also respond: the latter are probably far less sensitive than the primary rhinaria. Elektroantennogramme von Blattl√§usen bei Stimulation mit dem Alarmpheromon (E)‚ÄêŒ≤‚ÄêFarnesen Welche Sensillen auf den Antennen von Acyrthosiphon pisum und Megoura viciae bef√§higt sind, das Alarmpheromon (E)‚ÄêŒ≤‚ÄêFarnesen wahrzunehmen, wurde mit Elektroantennogrammen untersucht. Es zeigte sich, daŒ≤ die beiden prim√§ren Rhinarien auf dem 6. und 5. Antennensegment die Hauptrezeptoren sind. Es kann nicht ausgeschlossen werden, daŒ≤ auch die sekund√§ren Rhinarien auf dem 3. Segment sensitiv sind, aber sie sind wesentlich unempfindlicher als die prim√§ren Rhinarien. 1983 The Netherlands Entomological Society</t>
  </si>
  <si>
    <t>79-82</t>
  </si>
  <si>
    <t>16489474700;35570786700</t>
  </si>
  <si>
    <t>WOHLERS, P.;TJALLINGII, W. F.</t>
  </si>
  <si>
    <t>WOHLERS P.</t>
  </si>
  <si>
    <t>ELECTROANTENNOGRAM RESPONSES OF APHIDS TO THE ALARM PHEROMONE (E)‚ÄêŒ≤‚ÄêFARNESENE</t>
  </si>
  <si>
    <t>10.1111/j.1570-7458.1983.tb03236.x</t>
  </si>
  <si>
    <t>2-s2.0-85005308455</t>
  </si>
  <si>
    <t>['significantly affected', 'setae located', 'retrospectively associated', 'outdoor cages', 'humidifier fans', 'host verification', 'host discrimination', 'exhibits drumming', 'environmental conditions', 'environmental chamber', 'electrophysiological techniques', 'diminished release', 'antennal ablations', 'air qui']</t>
  </si>
  <si>
    <t>The role of antennae and foretarsi in oviposition and host discrimination was investigated in Chlosyne lacinia Geyer (Nymphalidae, Lepidoptera) a cluster laying nymphalid butterfly which exhibits drumming and antennal dipping behavior prior to oviposition. Ablation of the entire antennae drastically reduced oviposition, while fractional antennectomy reduced it in proportion to the number of antennal receptors removed. Host/non‚Äêhost ovipositional discrimination was not significantly affected by antennal ablations. Ablation of the foretarsi abolished discrimination in a controlled environment chamber, but did not affect it in outdoor cages or in a greenhouse. This difference was retrospectively associated with a diminished release of host volatiles due to cooler leaf surface temperatures in the environmental chamber or with continuous air turbulance caused by humidifier fans in the environmental chamber. Electrophysiological techniques were used to demonstrate chemosensory activity in setae located on the foretarsi. We conclude that foretarsal contact chemoreceptors employed during drumming are used for host verification in environmental conditions where olfaction is unreliable. Influence sur la ponte de Chlosyne lacinia Geyer (Lep. Nymphalidae) des structures sensorielles et du comportement pr√©c√©dant la ponte Le r√¥le des antennes et des tarses ant√©rieurs sur la ponte et la s√©lection des h√¥tes a √©t√© √©tudi√© chez Chlosyne lacinia, papillon nymphalid√© aux pontes group√©es, dont le comportement avant la ponte comporte un tambourinage et un picotage antennaire. L'ablation int√©grate des antennes r√©duit brutalement la ponte, une antennotectomie partielle la reduit proportionnellement au nombre de r√©cepteurs antennaires √©limin√©s. Les ablations antennaires n'affectent pas significativement la discrimination entre plantes ‚Äî h√¥tes ou non. L'ablation des tarses ant√©rieurs supprime la discrimination en pi√®ce climatis√©e, mais non en serre ou en cages √° l'ext√©rieur. Cette diff√©rence peut √™tre expliqu√©e par une lib√©ration r√©duite de substances volatiles dans les chambres climatis√©es avec des surfaces foliaires plus froides ou par la turbulence permanente de l'air qui y √©tait provoqu√©e par les ventilateurs des humidificateurs. Des techniques √©lectrophysiologiques ont √©t√© utilis√©es pour d√©celer l'activit√© chimiosensorielle des setae des tarses ant√©rieurs. Nous concluons que des r√©cepteurs chimiques de contact des tarses ant√©rieurs sont utilis√©s pendant le tambourinage pour contr√¥ler l'h√¥te dans des conditions √©cologiques o√π l'olfaction est inutilisable. 1983 The Netherlands Entomological Society</t>
  </si>
  <si>
    <t>60013372;60020304</t>
  </si>
  <si>
    <t>CALVERT, WILLIAM H.;HANSON, FRANK E.</t>
  </si>
  <si>
    <t>College Park;Austin</t>
  </si>
  <si>
    <t>University of Maryland, College Park;The University of Texas at Austin</t>
  </si>
  <si>
    <t>60020304;60013372</t>
  </si>
  <si>
    <t>CALVERT W.</t>
  </si>
  <si>
    <t>THE ROLE OF SENSORY STRUCTURES AND PREOVIPOSITION BEHAVIOR IN OVIPOSITION BY THE PATCH BUTTERFLY, CHLOSYNE LACINIA</t>
  </si>
  <si>
    <t>10.1111/j.1570-7458.1983.tb03254.x</t>
  </si>
  <si>
    <t>2-s2.0-85005374381</t>
  </si>
  <si>
    <t>['¬© 1983', 'wandering behavior', 'spermatozoon competition', 'sexual maturity', 'rights reserved', 'repeated copulation', 'mating behavior', 'males fought', 'male consisted', 'japanese society', 'five minutes', 'female aged', 'emergence attraction', 'day 10', 'copulation lasted', 'applied entomology', 'acalolepta luxuriosa', '6th day', '4 min', '20 sec', '10 min']</t>
  </si>
  <si>
    <t>Mating behavior of the udo longicorn beetle, Acalolepta luxuriosa was observed in the field and the laboratory. Mating behavior of the male consisted of wandering (searching for the female), orientation to approaching the female, grasping, mounting, licking, and copulation. The wandering behavior of the male was the only means for the male to meet with the female. Copulation lasted about 20 sec to 10 min with an average of about 4 min. After copulation and during oviposition by females, males still remained in contact with the female in a position of amplexus, and copulation took place many times with an interval of about five minutes. Sexual maturity or reaction of the female to the male sexual activity increased as the female aged, reaching the maximum on the 6th day after emergence attraction of the male to the female also increased with the age of the male but more slowly, reaching the maximum on day 10. The competition between males for the access to the female was strong and males fought each other by grasping, pushing and taping with the antennae. The significance of repeated copulation in A. luxuriosa was discussed from the viewpoint of spermatozoon competition. ¬© 1983, JAPANESE SOCIETY OF APPLIED ENTOMOLOGY AND ZOOLOGY. All rights reserved.</t>
  </si>
  <si>
    <t>189-196</t>
  </si>
  <si>
    <t>Japanese Journal of Applied Entomology and Zoology</t>
  </si>
  <si>
    <t>100408795;60025976</t>
  </si>
  <si>
    <t>57192724195;57192725844</t>
  </si>
  <si>
    <t>Akutsu, Kisaku;Kuboki, Mikio</t>
  </si>
  <si>
    <t>Tokyo;Tachikawa</t>
  </si>
  <si>
    <t>Tokyo University of Agriculture;Tokyo Agricultural Experiment Station</t>
  </si>
  <si>
    <t>60025976;100408795</t>
  </si>
  <si>
    <t>Akutsu K.</t>
  </si>
  <si>
    <t>Mating Behavior of the Udo Longicorn Beetle, Acalolepta luxuriosa Bates (Coleoptera : Cerambycidae)</t>
  </si>
  <si>
    <t>10.1303/jjaez.27.189</t>
  </si>
  <si>
    <t>2-s2.0-85007699750</t>
  </si>
  <si>
    <t>['¬© 1983', 'rights reserved', 'mating behavior', 'japanese society', 'female body', 'essential role', 'contact chemoreceptors', 'chemosensory cues', 'applied entomology', 'analytical experiments', 'also shown', '17th day']</t>
  </si>
  <si>
    <t>Observations and analytical experiments were conducted on the mating behavior of the udo longicorn beetle, Acalolepta luxuriosa Bates. It was found that the vision does not play an essential role in the recognition of the female by the male. The males recognized sexually mature females through the contact chemoreceptors of antennae. The pheromone was supposed to be spread over the surface of the female body. The effect of pheromone in eliciting the mating behavior in the male decreased gradually to zero on the 17th day after the death of the female. It was also shown that the female may recognize males of the same species through the chemosensory cues of antennae and palpi. ¬© 1983, JAPANESE SOCIETY OF APPLIED ENTOMOLOGY AND ZOOLOGY. All rights reserved.</t>
  </si>
  <si>
    <t>247-251</t>
  </si>
  <si>
    <t>Analysis of Mating Behavior of Udo Longicorn Beetle, Acalolepta luxuriosa Bates (Coleoptera : Cerambycidae)</t>
  </si>
  <si>
    <t>10.1303/jjaez.27.247</t>
  </si>
  <si>
    <t>2-s2.0-85007893672</t>
  </si>
  <si>
    <t>['¬© 1983', 'type differed', 'rights reserved', 'pore shape', 'onion fly', 'olfactory function', 'mechanoreceptive sensilla', 'last two', 'japanese society', 'grooved sensilla', 'fly species', 'first sensilla', 'clavate sensilla', 'basiconic sensilla', 'applied entomology', 'also considered']</t>
  </si>
  <si>
    <t>Sensilla on the antennae of onion fly were investigated using scanning and transmission electron microscopes. On the scape and the pedicel only mechanoreceptive sensilla were found, whereas on the surface of the funicle trichoid sensilla, basiconic sensilla, grooved sensilla, and clavate sensilla were found. All of these were considered to have olfactory function. In a large olfactory pit, grooved sensilla, smooth-walled pit sensilla, and striated pit sensilla were found. The first sensilla were also considered to be olfactory, but the functions of the last two were not clear. In small olfactory pits, only basiconic sensilla with peculiar elongate surface pores were found. This characteristic in pore shape has not been reported in other fly species. These sensilla were also considered olfactory. Each type differed in its distribution on the funicle. These results were compared with previously published studies on several other species of fly. ¬© 1983, JAPANESE SOCIETY OF APPLIED ENTOMOLOGY AND ZOOLOGY. All rights reserved.</t>
  </si>
  <si>
    <t>170-181</t>
  </si>
  <si>
    <t>1347605X</t>
  </si>
  <si>
    <t>Applied Entomology and Zoology</t>
  </si>
  <si>
    <t>60025272;60025272;60025272</t>
  </si>
  <si>
    <t>57192731763;35399516500;24394552200</t>
  </si>
  <si>
    <t>Honda, Ikuro;Ishikawa, Yukio;Matsumoto, Yoshiharu</t>
  </si>
  <si>
    <t>Honda I.</t>
  </si>
  <si>
    <t>Morphological Studies on the Antennal Sensilla of the Onion Fly, Hylemya antiqua Meigen (Diptera: Anthomyiidae)</t>
  </si>
  <si>
    <t>10.1303/aez.18.170</t>
  </si>
  <si>
    <t>2-s2.0-85007898330</t>
  </si>
  <si>
    <t>22pt1</t>
  </si>
  <si>
    <t>Japanese Journal of Applied Physics, Part 1: Regular Papers and Short Notes and Review Papers</t>
  </si>
  <si>
    <t>60033089;60033089</t>
  </si>
  <si>
    <t>36345974600;57194923935</t>
  </si>
  <si>
    <t>Ono, Takashi;Shibamata, Takashi</t>
  </si>
  <si>
    <t>Tohoku Gakuin University</t>
  </si>
  <si>
    <t>Ono T.</t>
  </si>
  <si>
    <t>Feederless Reception Antenna by the Use of a Direct Modulation of Laser Diode</t>
  </si>
  <si>
    <t>10.1143/jjap.22.545</t>
  </si>
  <si>
    <t>2-s2.0-85024265337</t>
  </si>
  <si>
    <t>['¬© 1983', 'widely used', 'tolerance bounds', 'synthesis procedure', 'surface accuracy', 'specified reliability', 'specific applications', 'space exploration', 'solved using', 'random factors', 'radio astronomy', 'order second', 'numerical results', 'moment approach', 'minimum cost', 'material propertyvariation', 'assembly error', 'antenna structures', 'allocating tolerances']</t>
  </si>
  <si>
    <t>Surface accuracy of antenna structures which are widely used in communication, space exploration, and radio astronomy will be different from that which is desired, because of a variety of random factors, including operating altitude variation, structural member size tolerance, material propertyvariation, assembly error, and dead load variation. In this paper a first-order second-moment approach is given for the prediction of the surface accuracy reliability. A synthesis procedure, using nonlinear programming techniques, of allocating tolerances in antenna structures to achieve the minimum cost for specified reliability and tolerance bounds is presented. The formulated optimal tolerance allocation problem is solved using the Generalized Reduced Gradient code, OPT, and numerical results are given for specific applications. ¬© 1983 by ASME.</t>
  </si>
  <si>
    <t>Journal of Mechanical Design, Transactions of the ASME</t>
  </si>
  <si>
    <t>60023813;60010065</t>
  </si>
  <si>
    <t>China;United States</t>
  </si>
  <si>
    <t>Shanghai;Tucson</t>
  </si>
  <si>
    <t>Shanghai University;The University of Arizona</t>
  </si>
  <si>
    <t>Optimal allocation of antenna structural tolerances based on reliability</t>
  </si>
  <si>
    <t>2-s2.0-85024586809</t>
  </si>
  <si>
    <t>['successfully demonstrated', 'semiconductor timer', 'power requirements', 'power output', 'omega load', 'mlrs flight', 'mlrs ).', 'generator used', 'fuze antenna', 'fluidic generator', 'flight apogee', 'coupling capacitor', 'complementary metal', 'coil wire', 'arming device', '10 psig']</t>
  </si>
  <si>
    <t>A fluidic generator has been designed to satisfy the power requirements of a rocket proximity fuze. The design was based on the generator used with the XM445 time fuze for the Multiple Launch Rocket System (MLRS). Power output was increased to approximately 5 W at pressure above 10 psig by increasing the diameter of the coil wire (No. 30 versus 36 AWG), reducing the number of turns (550 versus 1500), and increasing the value of the coupling capacitor (0. 4 versus 0. 022 mu F) to achieve optimum matching into a 120- OMEGA load. The product was evaluated in a configuration where open space within the fuze nose cone was reduced to accommodate a fuze antenna. The ability of the generator to survive pressure extremes normally encountered in an MLRS flight and to provide sustaining power to a complementary metal-oxide-semiconductor timer at flight apogee was successfully demonstrated. The fluidic generator retains its ability to provide a second independent environmental signature to the safety and arming device.</t>
  </si>
  <si>
    <t>Harry Diamond Laboratories (Technical Memorandum) HDL-TM</t>
  </si>
  <si>
    <t>Campagnuolo, Carl J.</t>
  </si>
  <si>
    <t>Campagnuolo C.</t>
  </si>
  <si>
    <t>FLUIDIC GENERATOR TO POWER ROCKET PROXIMITY FUZE.</t>
  </si>
  <si>
    <t>2-s2.0-85040284015</t>
  </si>
  <si>
    <t>['system variables', 'short distances', 'radiofrequency power', 'present status', 'possible applicability', 'monolithic transmit', 'long distances', 'link distance', 'likely scenarios', 'electron tube', 'data rate', 'antenna size', '60 ghz', '30 ghz']</t>
  </si>
  <si>
    <t>Applications of intersatellite links operating at 60 GHz are reviewed. Likely scenarios, ranging from transmission of moderate and high data rates over long distances to low data rates over short distances, are examined. A limited parametric tradeoff is performed with system variables such as radiofrequency power, receiver noise temperature, link distance, data rate, and antenna size. Present status is discussed and projections are given for both electron tube and solid state transmitter technologies. Monolithic transmit and receive module technology, already under development at 20 to 30 GHz, is reviewed and its extension to 60 GHz, and possible applicability is discussed.</t>
  </si>
  <si>
    <t>NASA Technical Memorandum</t>
  </si>
  <si>
    <t>Jun 19- 22</t>
  </si>
  <si>
    <t>6603602016;7102929356;6701745506;7003952241;57225846132</t>
  </si>
  <si>
    <t>Anzic, G.;Connolly, D. J.;Haugland, E. J.;Kosmahl, H. G.;Chitwood, J. S.</t>
  </si>
  <si>
    <t>Anzic G.</t>
  </si>
  <si>
    <t>STUDY OF 60 GIGAHERTZ INTERSATELLITE LINK APPLICATIONS.</t>
  </si>
  <si>
    <t>2-s2.0-85040284711</t>
  </si>
  <si>
    <t>['vibration characteristics', 'tetrahedral truss', 'practical approaches', 'mesh reflector', 'knitted mesh', 'establishing large', 'detailed investigation', 'demonstration models', 'approach using']</t>
  </si>
  <si>
    <t>Practical approaches for establishing large, precise antenna reflectors in space are described. Reflector surfaces consisting of either solid panels or knitted mesh are considered. The approach using a deep articulated truss structure to support a mesh reflector is selected for detailed investigation. A new sequential deployment concept for the tetrahedral truss is explained. Good joint design is discussed, and examples are described both analytically and by means of demonstration models. The influence of curvature on the design and its vibration characteristics is investigated.</t>
  </si>
  <si>
    <t>NASA Contractor Reports</t>
  </si>
  <si>
    <t>7003905490;57203030074</t>
  </si>
  <si>
    <t>Hedgepeth, John;Adams, Louis R.</t>
  </si>
  <si>
    <t>Hedgepeth J.</t>
  </si>
  <si>
    <t>DESIGN CONCEPTS FOR LARGE REFLECTOR ANTENNA STRUCTURES.</t>
  </si>
  <si>
    <t>2-s2.0-85040293124</t>
  </si>
  <si>
    <t>['vacuum chamber', 'uniform tension', 'sided membrane', 'near vacuum']</t>
  </si>
  <si>
    <t>Vibration studies carried out in a vacuum chamber are reported for a three-sided membrane with inwardly curved edges. Uniform tension was transmitted by thin steel cables encased in the edges. Variation of ambient air pressure from atmospheric to near vacuum resulted in increased response frequencies and amplitudes. The first few vibration modes measured in a near vacuum are shown to be predictable by a finite-element structural analysis over a range of applied tension loads.</t>
  </si>
  <si>
    <t>NASA Technical Paper</t>
  </si>
  <si>
    <t>6602840493;6506220899;7003828343</t>
  </si>
  <si>
    <t>Sewall, John L.;Miserentino, Robert;Pappa, Richard S.</t>
  </si>
  <si>
    <t>Sewall J.</t>
  </si>
  <si>
    <t>VIBRATION STUDIES OF A LIGHTWEIGHT THREE-SIDED MEMBRANE SUITABLE FOR SPACE APPLICATION.</t>
  </si>
  <si>
    <t>2-s2.0-85040293191</t>
  </si>
  <si>
    <t>['underground noise', 'report discusses', 'observation point', 'gives rise', 'electromagnetic noise', 'also discussed']</t>
  </si>
  <si>
    <t>Information on vertical magnetic noise in the voice frequency band, both within and above mines, is needed for the evaluation of through-the-earth baseband electromagnetic communications where horizontal loop antennas are used. This report discusses the theory of the source of electromagnetic noise, propagation to an observation point and interaction with the local earth conductivity structure which gives rise to vertical magnetic noise. The relationship of surface to underground noise is also discussed.</t>
  </si>
  <si>
    <t>Report of Investigations - United States, Bureau of Mines</t>
  </si>
  <si>
    <t>Durkin, John</t>
  </si>
  <si>
    <t>Durkin J.</t>
  </si>
  <si>
    <t>VERTICAL MAGNETIC NOISE IN THE VOICE FREQUENCY BAND WITHIN AND ABOVE COAL MINES.</t>
  </si>
  <si>
    <t>2-s2.0-85040301786</t>
  </si>
  <si>
    <t>['useful modifications', 'system requires', 'single measurement', 'judge whether', 'industry must', 'ground contacting', 'equipment capable', 'century 80', 'british gas']</t>
  </si>
  <si>
    <t>By the end of the century 80% of British Gas customers will be supplied via PE (polyethylene) services. The industry must have equipment capable of detecting plastic pipe. British Gas has tested a one-man operated radar pipe locating instrument. The antenna is ground contacting and the system requires the operator to judge whether or not a pipe is present on the basis of interpreting a single measurement. Based on the results of these tests, the limitations of the instrument are discussed and some useful modifications are proposed.</t>
  </si>
  <si>
    <t>Gas world</t>
  </si>
  <si>
    <t xml:space="preserve">Anon, </t>
  </si>
  <si>
    <t>Anon</t>
  </si>
  <si>
    <t>PROBING RADAR PINPOINTS PE PIPE.</t>
  </si>
  <si>
    <t>2-s2.0-85040302946</t>
  </si>
  <si>
    <t>['tv set', 'new design', 'metallic cylinder', 'axis perpendicular', 'antenna rod']</t>
  </si>
  <si>
    <t>A new design of a TV antenna attained to the TV set is presented to allow unlimited freedom of motion in the adjustment of the antenna rod: The design uses two leaf springs wrapped around a stationary metallic cylinder to permit rotary movement. A self-cleaning friction joint permits simultaneous motion around the axis perpendicular to that of the metallic cylinder.</t>
  </si>
  <si>
    <t>RCA technical notes</t>
  </si>
  <si>
    <t>Benton, Ronald Eugene</t>
  </si>
  <si>
    <t>Benton R.E.</t>
  </si>
  <si>
    <t>TWO-JOINTED INDOOR TELEVISION ANTENNA.</t>
  </si>
  <si>
    <t>2-s2.0-85040303047</t>
  </si>
  <si>
    <t>['two pairs', 'tv chassis', 'thus tending', 'power line', 'points indicated', 'house wiring', 'half dipole', 'essentially disconnected', 'electrical lengths']</t>
  </si>
  <si>
    <t>A monopole antenna fed against the ground plate provided by the TV chassis is shown and improved by an additional length added to the chassis antenna section, thus tending to equalize the electrical lengths of the half dipole (monopole) sections. The above concept is used in a power cord antenna with two pairs of high impedance chokes which effectively 'open' the power line at points indicated. Thus, the maze of house wiring is essentially disconnected from the antenna. The design of the power cord antenna is illustrated and described.</t>
  </si>
  <si>
    <t>6506797708;7402534432</t>
  </si>
  <si>
    <t>Woodward, Oakley Mc Donald;Greaves, Milton Peter</t>
  </si>
  <si>
    <t>Woodward O.</t>
  </si>
  <si>
    <t>LINE CORD ANTENNA WITH IMPROVED DIPOLE-LIKE PERFORMANCE.</t>
  </si>
  <si>
    <t>2-s2.0-85040303067</t>
  </si>
  <si>
    <t>['systems called', 'receiving antenna', 'original proposals', 'earth could']</t>
  </si>
  <si>
    <t>Original proposals for Direct Broadcast Satellite (DBS) systems called for high power spacecraft transponders so that the size of the receiving antenna on earth could be reduced. Alternate proposals use conventional lower power transponders. A receiver for the bifurcated signal transmission, essentially the inverse of a transmitter, is described. The technique presented could also be employed to transmit high definition TV signals.</t>
  </si>
  <si>
    <t>6507985340;7006198514</t>
  </si>
  <si>
    <t>Staras, Harold;Schiff, Leonard Norman</t>
  </si>
  <si>
    <t>Staras H.</t>
  </si>
  <si>
    <t>LOW POWER DBS SERVICE USING DUAL TRANSPONDER CHANNELS.</t>
  </si>
  <si>
    <t>2-s2.0-85040303251</t>
  </si>
  <si>
    <t>['unbalanced configuration', 'uhf range', 'tuned circuits', 'television receiver', 'monopole antenna', 'less expensive']</t>
  </si>
  <si>
    <t>A power line cord for a television receiver is partitioned into sections by tuned circuits so as to form a multiband receiving antenna. The antenna looks 10 inches long in the UHF range, 20 inches long in the high VHF range and 30 inches long in the low VHF range. An unbalanced configuration can also be used. It is shown how the line cord antenna may be implemented using tuning stubs. The antenna has been found to perform as well as a monopole antenna and is less expensive.</t>
  </si>
  <si>
    <t>Holmes, David Dunlap</t>
  </si>
  <si>
    <t>Holmes D.</t>
  </si>
  <si>
    <t>LINE CORD ANTENNA FOR A TELEVISION RECEIVER.</t>
  </si>
  <si>
    <t>2-s2.0-85040303431</t>
  </si>
  <si>
    <t>['water roughness', 'water pollutants', 'using large', 'temporal resolution', 'surface temperature', 'spatial resolution', 'science program', 'observation needs', 'mission guidelines', 'inclination ranges', 'ice boundaries', 'general earth', 'basic space', '98 degree', '60 degree', '3 days', '2200 km', '1 km', '1 day']</t>
  </si>
  <si>
    <t>Requirements are defined for Earth-observation microwave radiometry for the decade of the 1990s by using large-space-antenna (LSA) systems with apertures in the range from 50 to 200 m. General Earth-observation needs, specific measurement requirements, orbit-mission guidelines and constraints, and general radiometer requirements are defined. General Earth-observation needs are derived from NASA's basic space-science program. Specific measurands include soil moisture, sea-surface temperature, salinity, water roughness, ice boundaries, and water pollutants. Measurements are required with spatial resolution from 10 to 1 km and with temporal resolution from 3 days to 1 day. The primary orbit altitude and inclination ranges are from 450 to 2200 km and 60 degree to 98 degree , respectively.</t>
  </si>
  <si>
    <t>NASA Reference Publication</t>
  </si>
  <si>
    <t>6603019839;7201653336</t>
  </si>
  <si>
    <t>Keafer, Lloyd S.;Harrington, Richard F.</t>
  </si>
  <si>
    <t>Keafer L.</t>
  </si>
  <si>
    <t>RADIOMETER REQUIREMENTS FOR EARTH-OBSERVATION SYSTEMS USING LARGE SPACE ANTENNAS.</t>
  </si>
  <si>
    <t>2-s2.0-85040303439</t>
  </si>
  <si>
    <t>['radiation pattern', 'proposed antenna', 'power cord', 'one quarter', 'monopole antenna', 'ground planes', 'fm radio', 'basic arrangement', 'also illustrated', 'ac power']</t>
  </si>
  <si>
    <t>A monopole antenna for TV, FM radio and other receivers is proposed tht utilizes the receiver's power cord. A basic arrangement of a one quarter -wave monopole operating against a one-half -wave diameter ground plane is shown as a basis for understanding the proposed antenna. Two monopole antennas are illustrated that evolve from the basic arrangement, with all three having basically the same radiation pattern. The ground planes of all antennas are shown and their operations are explained. The arrangement where the ac power-cord is utilized as part of the antenna is also illustrated.</t>
  </si>
  <si>
    <t>Wilson, Robert Morris</t>
  </si>
  <si>
    <t>Wilson R.M.</t>
  </si>
  <si>
    <t>LINE CORD ANTENNA WITH COAXIAL SECTION.</t>
  </si>
  <si>
    <t>2-s2.0-85040303452</t>
  </si>
  <si>
    <t>['terms pertaining', 'steering antenna', 'standard since', 'shoulder lobe', 'second revision', 'radiation sphere', 'principal half', 'power beamwidths', 'polarizaton pattern', 'polar pattern', 'phase pattern', 'periscope antenna', 'null steering', 'major revision', 'fresnel zone', 'first issued', 'field pattern', 'directional null', 'difference pattern', 'conformal antenna', 'antenna technology', 'antenna patterns']</t>
  </si>
  <si>
    <t>This standard is a major revision of IEEE Std 145-1973 which it supersedes. It is the second revision of the standard since it was first issued in 1969. The standard also includes terms reflecting the advances in antenna technology that have transpired since 1973. New terms include microstrip antenna, printed circuit antenna, periscope antenna, active array antenna system, coutoured beam antenna, conformal antenna and null-steering antenna. The terms pertaining to antenna patterns have been expanded in this revision. New terms include axial ratio pattern, beam solid angle, co-polar and cross-polar pattern, difference pattern, directional null, far-field pattern, Fresnel zone, mean side lobe level, near-field pattern, null steering, phase pattern, polarizaton pattern, principal half-power beamwidths, radiation pattern cut, radiation sphere, solid beam efficiency and shoulder lobe.</t>
  </si>
  <si>
    <t>IEEE STANDARD DEFINITIONS OF TERMS FOR ANTENNAS.</t>
  </si>
  <si>
    <t>2-s2.0-85040303593</t>
  </si>
  <si>
    <t>['void detection', 'transceive mode', 'field results', 'easily detected', 'detecting cavities', 'concrete pavement', 'arrangement allowed']</t>
  </si>
  <si>
    <t>An evaluation of an impulse radar system for detecting cavities under concrete pavement is discussed, and field results are presented. It was found that a dual antenna mode of surveying was ideal for void detection. In this mode one antenna operated in a transceive mode and a second, offset from the first, operated in a receive-only mode. This arrangement allowed a refraction-type profile survey to be performed, which enabled subpavement voids to be easily detected.</t>
  </si>
  <si>
    <t>CRREL Report (US Army Cold Regions Research and Engineering Laboratory)</t>
  </si>
  <si>
    <t>7202441285;7005357917</t>
  </si>
  <si>
    <t>Kovacs, Austin;Morey, Rexford M.</t>
  </si>
  <si>
    <t>Kovacs A.</t>
  </si>
  <si>
    <t>DETECTION OF CAVITIES UNDER CONCRETE PAVEMENT.</t>
  </si>
  <si>
    <t>2-s2.0-85040303849</t>
  </si>
  <si>
    <t>['uniformly spaced', 'receiving antenna', 'line cord', 'high vhf', 'coils wrapped', 'approximately 0', 'also used']</t>
  </si>
  <si>
    <t>The coils wrapped about the line cord which is also used as a receiving antenna, act as stubs for partitioning the line cord into segments which are used for the UHF, high VHF and low VHF ranges. It is shown how each coil comprises two #22 stranded conductors which are uniformly spaced (approximately 0. 0025 inch center to center) by 300 v isolation and closely wrapped around line cord. The uncoiled wires comprising three coils are 6, 15 and 42 inches long, respectively.</t>
  </si>
  <si>
    <t>Williams, Laurence C.</t>
  </si>
  <si>
    <t>Williams L.</t>
  </si>
  <si>
    <t>STUB TUNED LINE CORD ANTENNA.</t>
  </si>
  <si>
    <t>2-s2.0-85040304052</t>
  </si>
  <si>
    <t>['well defined', 'technical detail', 'scientific basis', 'sampled cells', 'report describes', 'radar returns', 'ocean backscatter', 'much broader', 'magnetic tapes', 'longer investigation', 'initial focus', 'hf frequency', 'hf backscatter', 'experimental site', 'experimental portion', 'different wind', 'data set', 'data compilation', 'beam pattern', 'appendices catalogue', 'antenna performance', 'antenna pattern', 'antenna hardware', '4 mhz']</t>
  </si>
  <si>
    <t>The fieldwork and data compilation are described which are part of a much broader and longer investigation of ocean and ice feature remote sensing by terrestrial based radar systems operating at hf frequency. The performance of a 24 element fixed (nonsteered) phased antenna array at hf (25. 4 MHz) was tested and a data set of hf backscatter from an ocean radar range where the sampled cells were well defined in range and azimuth was collected. The experimental site was established at Northern Bay Sands Provincial Park north-west of St. John's, Newfoundland. The antenna hardware was assembled on the beach. The site was maintained for 12 days including set-up and demobilization. The initial focus was to evaluate the antenna performance by mapping the beam pattern. After the antenna pattern was established a series of data collection intervals followed to sample hf ocean backscatter for different wind, wave and surface current conditions. This report describes the scientific basis for the research and the technical detail of the experimental portion. The Tables and the Appendices catalogue the magnetic tapes of the radar returns (ocean backscatter) as well as waverider buoy data (ocean wave height).</t>
  </si>
  <si>
    <t>83-10</t>
  </si>
  <si>
    <t>C-CORE Publication (Centre for Cold Ocean Resources Engineering)</t>
  </si>
  <si>
    <t>6602416896;57197304137</t>
  </si>
  <si>
    <t>Winsor, W. D.;Klein, Ken</t>
  </si>
  <si>
    <t>Winsor W.</t>
  </si>
  <si>
    <t>FEASIBILITY STUDY OF USING HF GROUNDWAVE RADAR FOR SEA ICE AND ICEBERG DETECTION: EVALUATION OF AN HF ANTENNA AND DATA COLLECTION OF OCEAN SPECTRA.</t>
  </si>
  <si>
    <t>2-s2.0-85040498341</t>
  </si>
  <si>
    <t>['uniform flow', 'suitable approach', 'paraboloidal antennas', 'limited interpolation', 'give force', 'focal length', 'esdu 82031', 'corrections made', 'contour plots', 'coefficient data', 'blank grid', '180 deg', '120 deg']</t>
  </si>
  <si>
    <t>ESDU 83020 provides pressure distribution data for both surfaces of simple, isolated, paraboloidal antennas in uniform flow. For incidences of 0 and 180 deg the data are presented as radial pressure distributions for focal length/diameter (f/d) ratios from 0. 2 to infinity (a flat disc). For incidences of 60, 90 and 120 deg, plots of constant pressure contours are provided for f/d ratios of 0. 35 and 0. 4. A suitable approach is suggested for interpolation for other incidences and limited interpolation or extrapolation for other f/d ratios, and a blank grid is included on which contour plots can be developed. The pressure distribution data have been integrated (the procedure is given) to give force and moment coefficient values and compatibility with coefficient data from ESDU 82031 is ensured. Corrections made to the basic experimental data are discussed.</t>
  </si>
  <si>
    <t>Engineering Sciences Data Unit, Data Items</t>
  </si>
  <si>
    <t>PARABOLOIDAL ANTENNAS: WIND LOADING. PART 2. SURFACE PRESSURE DISTRIBUTION.</t>
  </si>
  <si>
    <t>2-s2.0-85040498720</t>
  </si>
  <si>
    <t>['protection ratio', 'polarized performance', 'paper gives', 'models described', 'frequency offsets', 'channel value', 'broadcasting satellites', 'axis angle']</t>
  </si>
  <si>
    <t>This paper gives an overview of mathematical models used in the software package developed for use at the 1983 Regional Administrative Radio Conference on broadcasting satellites. The models described are those used in the Spectrum Orbit Utilization Program (SOUP) analysis. The geometric relationships necessary to model broadcasting satellite systems are discussed. Antenna models represent co-polarized and cross-polarized performance as functions of the off-axis angle. The protection ratio is modeled as a co-channel value and a template representing systems with frequency offsets.</t>
  </si>
  <si>
    <t>Miller, Edward F.</t>
  </si>
  <si>
    <t>GEOMETRIC MODELS, ANTENNA GAINS, AND PROTECTION RATIOS AS DEVELOPED FOR BC SAT-R2 CONFERENCE SOFTWARE.</t>
  </si>
  <si>
    <t>2-s2.0-85040501233</t>
  </si>
  <si>
    <t>['two photosystems', 'relative concentration', 'red light', 'reaction center', 'ratio carotenoids', 'photosynthetic antennae', 'light control', 'kitajima method', 'junk publishers', 'green light', 'fluorescence emission', 'dr w', 'ca 690', 'ca 684', 'absorption spectra', '650 nm', '470 nm']</t>
  </si>
  <si>
    <t>Chlorophyll-complexes | diatom | emission and excitation fluorescence | photosystems</t>
  </si>
  <si>
    <t>Colored light modifies the relative concentration of chlorophyll-forms of the diatom Phaeodactylum tricornutum compared to white-light control. No change in the ratio carotenoids/chlorophylls was observed after 4 days exposure to green light (max: 530 nm), blue light (max: 470 nm) or red light (Œª &gt; 650 nm) of same intensity. However, the absorption spectra were modified, the content in Ca 684, Ca 690, Ca 699 forms increased in red and green light cultures and photosynthetic unit size of PS II decreased by 30% in green and blue light cultures. Fluorescence emission and fluorescence excitation spectra according to the Butler and Kitajima method (1975) were carried out for each culture. Ca 669 form was predominant in the two photosystems. The newly appeared far red forms fluoresce at 715 nm like PS I forms. We conclude that these new forms originated in a rearrangement of PS II forms. They do not transmit excitation energy to reaction center of PS I and are disconnected from the other chlorophyll-forms of the photosynthetic antennae. ¬© 1983 Martinus Nijhoff/Dr W. Junk Publishers.</t>
  </si>
  <si>
    <t>21-33</t>
  </si>
  <si>
    <t>60000179;60031625;60000179</t>
  </si>
  <si>
    <t>7006626676;6603107475;6603434143</t>
  </si>
  <si>
    <t>Caron, Lise;Jupin, Henri;Berkaloff, Claire</t>
  </si>
  <si>
    <t>Perpignan;Paris</t>
  </si>
  <si>
    <t>Universite de Perpignan;√âcole Normale Sup√©rieure</t>
  </si>
  <si>
    <t>60031625;60000179</t>
  </si>
  <si>
    <t>Caron L.</t>
  </si>
  <si>
    <t>Effects of light quality on chlorophyll-forms Ca 684, Ca 690 and Ca 699 of the diatom Phaeodactylum tricornutum</t>
  </si>
  <si>
    <t>10.1007/BF00041798</t>
  </si>
  <si>
    <t>2-s2.0-9544247924</t>
  </si>
  <si>
    <t>['¬© 1983', 'surface currents', 'surface current', 'rights reserved', 'resulting errors', 'excitation source', 'electrical engineers']</t>
  </si>
  <si>
    <t>Electromagnetic waves | Surface currents</t>
  </si>
  <si>
    <t>Surface currents induced on imperfectly conducting objects are obtained from the surface current of a perfectly conducting object using the impedance boundary conditions on its surface. The resulting errors in computation of these surface currents are determined and are shown to depend on the excitation source. ¬© 1983, The Institution of Electrical Engineers. All rights reserved.</t>
  </si>
  <si>
    <t>Electronics Letters</t>
  </si>
  <si>
    <t>60009697;60009697;60010294</t>
  </si>
  <si>
    <t>7005104207;8092251400;7006843696</t>
  </si>
  <si>
    <t>Sebak, A. A.;Shafai, L.;Mohsen, A.</t>
  </si>
  <si>
    <t>Egypt;Canada</t>
  </si>
  <si>
    <t>Giza;Winnipeg</t>
  </si>
  <si>
    <t>Cairo University;University of Manitoba</t>
  </si>
  <si>
    <t>60010294;60009697</t>
  </si>
  <si>
    <t>Sebak A.A.</t>
  </si>
  <si>
    <t>Generation of field scattered by imperfectly conducting objects from the solution of a perfectly conducting object</t>
  </si>
  <si>
    <t>10.1049/el:19830018</t>
  </si>
  <si>
    <t>2-s2.0-0021095979</t>
  </si>
  <si>
    <t>['¬© 1983', 'rights reserved', 'performance characteristics', 'new type', 'millimetre waves', 'groove guide', 'electrical engineers']</t>
  </si>
  <si>
    <t>Antennas | Groove guide | Leaky-wave antenna | Millimetre waves</t>
  </si>
  <si>
    <t>A transverse equivalent network is presented for a new type of leaky-wave antenna based on the groove guide and suitable for millimetre waves. Employing this network, the antenna's performance characteristics are explained and systematic design considerations are deduced. ¬© 1983, The Institution of Electrical Engineers. All rights reserved.</t>
  </si>
  <si>
    <t>18-20</t>
  </si>
  <si>
    <t>60032350;60108318</t>
  </si>
  <si>
    <t>7004439932;7005564352</t>
  </si>
  <si>
    <t>Lampariello, P.;Oliner, A. A.</t>
  </si>
  <si>
    <t>United States;Italy</t>
  </si>
  <si>
    <t>New York;Rome</t>
  </si>
  <si>
    <t>NYU Tandon School of Engineering;Sapienza Universit√† di Roma</t>
  </si>
  <si>
    <t>60108318;60032350</t>
  </si>
  <si>
    <t>Lampariello P.</t>
  </si>
  <si>
    <t>Theory and design considerations for a new millimetre-wave leaky groove-guide antenna</t>
  </si>
  <si>
    <t>10.1049/el:19830013</t>
  </si>
  <si>
    <t>2-s2.0-0021095980</t>
  </si>
  <si>
    <t>['¬© 1983', 'usual conditions', 'toroidal plasma', 'size increase', 'radial eigenmodes', 'plasma density', 'mode increases', 'easily tracked']</t>
  </si>
  <si>
    <t>The conditions for excitation of a standing magnetosonic wave structure in the region between the ion-ion hybrid cut-off layer and an antenna situated near the wall on the outside of a toroidal plasma have been derived. It is shown that low-order radial eigenmodes may be excited under usual conditions, but the order of the mode increases as the plasma density and its size increase. Such radial eigenmodes are shown to be more easily tracked than the usual magnetosonic toroidal eigenmodes. ¬© 1983.</t>
  </si>
  <si>
    <t>193-197</t>
  </si>
  <si>
    <t>Physics Letters A</t>
  </si>
  <si>
    <t>60009386;60009386</t>
  </si>
  <si>
    <t>57213539586;22999053900</t>
  </si>
  <si>
    <t>Cotsaftis, M.;Sy, W. N.C.</t>
  </si>
  <si>
    <t>Fontenay-aux-Roses</t>
  </si>
  <si>
    <t>CEA Fontenay aux Roses</t>
  </si>
  <si>
    <t>Cotsaftis M.</t>
  </si>
  <si>
    <t>Radial magnetosonic eigenmodes in a toroidal plasma with an ion-ion hybrid layer</t>
  </si>
  <si>
    <t>0375-9601(83)90045-2</t>
  </si>
  <si>
    <t>10.1016/0375-9601(83)90045-2</t>
  </si>
  <si>
    <t>2-s2.0-49049124543</t>
  </si>
  <si>
    <t>United States - Israel Binational Agricultural Research and Development Fund</t>
  </si>
  <si>
    <t>BARD</t>
  </si>
  <si>
    <t>['¬© 1983', 'stimulated phosphorylation', 'stages following', 'residual thylakoids', 'residual 32', 'reaction centers', 'protein phosphorylation', 'protein complex', 'polypeptides present', 'polypeptides found', 'plastid differentiation', 'membrane stacking', 'lhc polypeptides', 'less labeled', 'incorporate 32p', 'harvesting chlorophyll', 'grown cells', 'grana lamellae', 'following removal', 'early phase', 'different stages', 'cycloheximide ).', 'complete restoration', 'chlamydomonas reinhardii', 'cells occurred', 'cells greened', 'antennae components', 'antenna components', '34 kda', '24 kda']</t>
  </si>
  <si>
    <t>(C. reinhardii) | Chloroplast biogenesis | Protein phosphorylation | Thylakoid membrane</t>
  </si>
  <si>
    <t>Thylakoid polypeptide phosphorylation has been studied in vivo and in vitro during plastid differentiation in Chlamydomonas reinhardii y-1. Pulse labeling cells at different stages of greening with [32P]orthophosphate revealed differences in the pattern of protein phosphorylation. In the early phase of greening the 44-47 kDa reaction center II polypeptides were labeled but the 22-24 kDa polypeptides of the light-harvesting chlorophyll a b-protein complex (LHC) were not. Later in the greening, coinciding with the formation of the antenna of Photosystem I and membrane stacking, the converse was found. Furthermore, the 22-24 kDa polypeptides of grana lamellae were less labeled than the same polypeptides found in the corresponding stroma lamellae. Polypeptides in the molecular mass range of 32-34 kDa were phosphorylated at all stages following the onset of greening. Dark-grown cells did not incorporate 32P in vivo or in vitro into the polypeptides present in the residual thylakoids. Similarly, cells greened in the presence of chloramphenicol, in which the synthesis of reaction centers is inhibited, showed no light-stimulated phosphorylation in vitro. However, the residual 32-34 kDa and 44-47 kDa polypeptides found in thylakoids of these cells were phosphorylated in vivo, whereas the LHC polypeptides synthesized in the presence of chloramphenicol were not. Phosphorylation of the LHC polypeptides (22-24 kDa) in these cells occurred if new reaction center polypeptides and all antennae components were formed, following removal of the inhibitor and further incubation of the cells in the light. Phosphorylation of LHC polypeptides was not resumed if active reaction centers were formed in the absence of complete restoration of all antenna components (incubation in the dark or light with addition of cycloheximide). It is concluded that phosphorylation is correlated with the thylakoid polypeptide content and organization. ¬© 1983.</t>
  </si>
  <si>
    <t>234-241</t>
  </si>
  <si>
    <t>BBA - Bioenergetics</t>
  </si>
  <si>
    <t>60007903;60007903</t>
  </si>
  <si>
    <t>57197245532;7005705984</t>
  </si>
  <si>
    <t>Owens, Geoffrey C.;Ohad, Itzhak</t>
  </si>
  <si>
    <t>Jerusalem</t>
  </si>
  <si>
    <t>Hebrew University of Jerusalem</t>
  </si>
  <si>
    <t>Owens G.C.</t>
  </si>
  <si>
    <t>Changes in thylakoid polypeptide phosphorylation during membrane biogenesis in Chlamydomonas reinhardii y-1</t>
  </si>
  <si>
    <t>10.1016/0005-2728(83)90179-2</t>
  </si>
  <si>
    <t>2-s2.0-0020680223</t>
  </si>
  <si>
    <t>['¬© 1983', 'symmetric front', 'rights reserved', 'field patterns', 'fed paraboloids', 'electrical engineers', 'crosspolarisation properties', 'crosspolarisation discriminations', 'correlation interval']</t>
  </si>
  <si>
    <t>Antennas | Reflector antennas</t>
  </si>
  <si>
    <t>The crosspolarisation properties of symmetric front-fed paraboloids with random surface errors are investigated. Average crosspolar far-field patterns and crosspolarisation discriminations are computed for different RMS surface errors. The influence of the correlation interval and phase-error model used is indicated. ¬© 1983, The Institution of Electrical Engineers. All rights reserved.</t>
  </si>
  <si>
    <t>49-50</t>
  </si>
  <si>
    <t>60032882;60032882;60032882</t>
  </si>
  <si>
    <t>7003516549;7003821814;35610223800</t>
  </si>
  <si>
    <t>Vissers, J. M.M.;Herben, M. H.A.J.;Maanders, E. J.</t>
  </si>
  <si>
    <t>Eindhoven</t>
  </si>
  <si>
    <t>Technische Universiteit Eindhoven</t>
  </si>
  <si>
    <t>Vissers J.</t>
  </si>
  <si>
    <t>Crosspolarisation properties of reflector antennas with random surface errors</t>
  </si>
  <si>
    <t>10.1049/el:19830037</t>
  </si>
  <si>
    <t>2-s2.0-0020496803</t>
  </si>
  <si>
    <t>171-175</t>
  </si>
  <si>
    <t>Karplyuk, K. S.</t>
  </si>
  <si>
    <t>Karplyuk K.</t>
  </si>
  <si>
    <t>Effect of longitudinal waves on the input conductance of a ring aperture antenna</t>
  </si>
  <si>
    <t>10.1007/BF01039840</t>
  </si>
  <si>
    <t>2-s2.0-0020703864</t>
  </si>
  <si>
    <t>['¬© 1983', 'tropospheric attenuation', 'spurious effects', 'single beam', 'reference beam', 'records made', 'major problem', 'identically affected', 'antenna systems']</t>
  </si>
  <si>
    <t>The fluctuations in the tropospheric attenuation constitute a major problem when S-component source variations are studied. On records made by means of 'single beam' antenna systems, separating solar variations from spurious effects can be very difficult. The twin-beam, beam ratio technique circumvents this problem by deriving a ratio with respect to a reference beam which is identically affected by the tropospheric attenuation and by receiver gain variations. ¬© 1983 D. Reidel Publishing Co.</t>
  </si>
  <si>
    <t>1573093X</t>
  </si>
  <si>
    <t>Solar Physics</t>
  </si>
  <si>
    <t>Tapping, K. F.</t>
  </si>
  <si>
    <t>Ottawa ON,</t>
  </si>
  <si>
    <t>Tapping K.F.</t>
  </si>
  <si>
    <t>A beam ratio technique for microwave observation of S-component sources</t>
  </si>
  <si>
    <t>10.1007/BF00148252</t>
  </si>
  <si>
    <t>2-s2.0-0043023082</t>
  </si>
  <si>
    <t>84.40 | Antennas, transmission lines and propagation</t>
  </si>
  <si>
    <t>1827613X</t>
  </si>
  <si>
    <t>0375930X</t>
  </si>
  <si>
    <t>Lettere al Nuovo Cimento</t>
  </si>
  <si>
    <t>Pantano, P.</t>
  </si>
  <si>
    <t>Rende</t>
  </si>
  <si>
    <t>Universit√† della Calabria</t>
  </si>
  <si>
    <t>Pantano P.</t>
  </si>
  <si>
    <t>Inhomogeneous dispersive and dissipative nonlinear transmission lines and solitons</t>
  </si>
  <si>
    <t>10.1007/BF02719452</t>
  </si>
  <si>
    <t>2-s2.0-51249185659</t>
  </si>
  <si>
    <t>['¬© 1983', 'wide range', 'scattering cross', 'rights reserved', 'reflector sizes', 'method applies', 'experimental results', 'electrical engineers', 'angular errors']</t>
  </si>
  <si>
    <t>Antennas | Reflector antennas | Scattering</t>
  </si>
  <si>
    <t>A method is presented for the determination of the reduction in scattering cross-section levels due to angular errors between plates in trihedral radar corner reflectors. The method applies to any regular reflector shape and for any incident ray direction in the reflector main beam zone; it owes its viability to a recently developed technique for determining trihedral reflector effective areas. The analysis is not exact, but gives good agreement with experimental results for a wide range of reflector sizes. ¬© 1983, The Institution of Electrical Engineers. All rights reserved.</t>
  </si>
  <si>
    <t>115-117</t>
  </si>
  <si>
    <t>Keen, K. M.</t>
  </si>
  <si>
    <t>Keith M. Keen &amp; Associates Ilford</t>
  </si>
  <si>
    <t>Keen K.</t>
  </si>
  <si>
    <t>Prediction of scattering cross-section reductions due to plate orthogonality errors in trihedral radar reflectors</t>
  </si>
  <si>
    <t>10.1049/el:19830082</t>
  </si>
  <si>
    <t>2-s2.0-0021093758</t>
  </si>
  <si>
    <t>['¬© 1983', 'three types', 'spiral axis', 'rights reserved', 'reflected current', 'radiation fields', 'particularly around', 'modes 1', 'mode 3', 'j ),', 'experimental results', 'electrical engineers', 'determined numerically', 'current distributions', 'conical beams', 'balanced mode', 'axial ratio', 'axial beam', 'also found', '3 db']</t>
  </si>
  <si>
    <t>Antennas | Numerical analysis</t>
  </si>
  <si>
    <t>The radiation fields of a 4-arm Archimedean spiral antenna excited with three types of balanced mode, M1(1, j, -1, -j), M2(1, -1, 1, -1) and M3(1, -j, -1, j), are evaluated on the basis of the current distributions which are determined numerically. An axial beam and conical beams are presented with experimental results. It is demonstrated that an axial ratio of less than 3 dB can be obtained over a wide angle range of about ¬± 60¬∞, when the spiral is excited with modes 1 and 2. It is also found that the axial ratio for mode 3 is liable to be deteriorated by the reflected current, particularly around the spiral axis. ¬© 1983, The Institution of Electrical Engineers. All rights reserved.</t>
  </si>
  <si>
    <t>78-80</t>
  </si>
  <si>
    <t>55633340100;57220533028;35444845400</t>
  </si>
  <si>
    <t>Nakano, H.;Yamauchi, J.;Hashimoto, S.</t>
  </si>
  <si>
    <t>Numerical analysis of 4-arm Archimedean spiral antenna</t>
  </si>
  <si>
    <t>10.1049/el:19830056</t>
  </si>
  <si>
    <t>2-s2.0-0021093773</t>
  </si>
  <si>
    <t>['shaped sensilla', 'rotated around', 'longitudinal axis', 'gryllus bimaculatus', 'antennal receptors']</t>
  </si>
  <si>
    <t>In the cricket, Gryllus bimaculatus, compensatory head movements are elicited by cereal and antennal receptors when the animals are rotated around their longitudinal axis. The cereal afferences originate in the club-shaped sensilla, whereas the antennal ones probably arise in receptors measuring displacements of the flagellum at the joint between scapus and pedicellus. The clubshaped cereal sensilla are true gravity receptors different from the proprioceptive gravity receptor systems characteristic of most insects. ¬© 1983 Springer-Verlag.</t>
  </si>
  <si>
    <t>93-98</t>
  </si>
  <si>
    <t>60029428;100479456</t>
  </si>
  <si>
    <t>7102191721;7006213002</t>
  </si>
  <si>
    <t>Horn, Eberhard;Bischof, Hans Joachim</t>
  </si>
  <si>
    <t>Karlsruhe;Bielefeld</t>
  </si>
  <si>
    <t>Karlsruhe Institute of Technology, Campus South;Fakult√§t f√ºr Physik</t>
  </si>
  <si>
    <t>Horn E.</t>
  </si>
  <si>
    <t>Gravity reception in crickets: The influence of cereal and antennal afferences on the head position</t>
  </si>
  <si>
    <t>10.1007/BF00605292</t>
  </si>
  <si>
    <t>2-s2.0-0020597544</t>
  </si>
  <si>
    <t>['¬© 1983', 'substantial part', 'results indicate', 'predictions based', 'power available', 'mode coupling', 'magnetoacoustic modes', 'magnetoacoustic mode', 'loading resistance', 'good agreement', 'fiva device']</t>
  </si>
  <si>
    <t>The magnetoacoustic modes are excited in the FIVA device at low power level. The results are in good agreement with the predictions based on the excitation of the fast magnetoacoustic wave in the transversely magnetized wave-guide. The resonance quality factor, antenna-mode coupling and loading resistance are measured. The results indicate that a substantial part of the power available at the antenna can be deposited in the magnetoacoustic mode. ¬© 1983.</t>
  </si>
  <si>
    <t>517-526</t>
  </si>
  <si>
    <t>Nuclear Instruments and Methods In Physics Research</t>
  </si>
  <si>
    <t>Bure≈°, M.</t>
  </si>
  <si>
    <t>Stockholm</t>
  </si>
  <si>
    <t>The Royal Institute of Technology (KTH)</t>
  </si>
  <si>
    <t>Bure≈° M.</t>
  </si>
  <si>
    <t>Low power excitation of MHD waves in the FIVA device</t>
  </si>
  <si>
    <t>0167-5087(83)90390-3</t>
  </si>
  <si>
    <t>10.1016/0167-5087(83)90390-3</t>
  </si>
  <si>
    <t>2-s2.0-0020721438</t>
  </si>
  <si>
    <t>['technique showed', 'superficial differences', 'shadowing effects', 'orthogonal arrays', 'optical diffraction', 'nerve membranes', 'localized regions', 'lepidopteran antennae', 'large numbers', 'initial impressions', 'gap junctions', 'fracture studies', 'basic structure', 'arrays may', 'arrays appear', '1 nm']</t>
  </si>
  <si>
    <t>Freeze-fracture studies of Lepidopteran antennae have revealed the presence of orthogonal arrays of particles on antennal nerve membranes. Initial impressions were that several different arrays were present. Optical diffraction was used to examine the arrays on the electron micrograph negatives. This technique showed that all the arrays were derived from the same basic structure, suggesting that the superficial differences in appearance were due to shadowing effects. The particles are arranged in a lattice with spacings of 10.7 nm X 9.1 nm. The arrays are not clear-cut but tend to break up, producing a disorganized region around their edges. The particles are shown to have depressions in them. However, the evidence available suggests that the arrays do not have the other characteristics of gap junctions. The arrays appear not to be present on most of the nerve membrane faces, occurring only in localized regions of the nerve membranes where they are present in large numbers. This suggests that the arrays may have a specialized local function.</t>
  </si>
  <si>
    <t>289-301</t>
  </si>
  <si>
    <t>Journal of Cell Science</t>
  </si>
  <si>
    <t>7004672233;36742461000</t>
  </si>
  <si>
    <t>Flower, N. E.;Briers, J. D.</t>
  </si>
  <si>
    <t>Flower N.</t>
  </si>
  <si>
    <t>Particle arrays on insect nerve membranes.</t>
  </si>
  <si>
    <t>2-s2.0-0020728072</t>
  </si>
  <si>
    <t>['trap bait', 'tetradecenyl acetates', 'tetradecenyl acetate', 'tetradecenol inhibited', 'staudinger ).', 'specifically attracted', 'react via', 'pheromone blend', 'monitoring purposes', 'mass spectrometry', 'male moths', 'low concentrations', 'gas chromatography', 'flame ionization', 'five species', 'euxoa drewseni', 'dodecenyl acetate', 'detector antennae', 'component blend', 'antennal receptor', '1000 œºg']</t>
  </si>
  <si>
    <t>(Z)-5-dodecenyl acetate | (Z)-7-dodecenyl acetate | (Z)-7-pentadecenyl acetate | (Z)-7-tetradecenyl acetate | attractant inhibitor | Chorizagrotis thanatologia | Euxoa drewseni | Lepidoptera | Noctuidae | parapheromone | sex pheromone</t>
  </si>
  <si>
    <t>Eleven compounds structurally similar to known lepidopterous pheromone components were identified in the extract from 18 calling female moths of Euxoa drewseni (Staudinger). The identifications were done by gas chromatography-mass spectrometry and high-resolution gas chromatography with flame ionization and electroantennographic detectors simultaneously. Detector antennae were from five species of moths. In the field, male moths were specifically attracted to a three-component blend of dodecyl, (Z)-5-dodecenyl, and (Z)-7-tetradecenyl acetates in a ratio of 2:6:1. This blend at 1000 Œºg/rubber septum dispenser is recommended as a trap bait for monitoring purposes. Low concentrations of (Z)-7-dodecenyl acetate or (Z)-7-tetradecenol inhibited the attraction of moths to the three-component blend. (Z)-7-Pentadecenyl acetate functioned as a parapheromone in place of (Z)-7-tetradecenyl acetate in the pheromone blend, and they appear to react via the same antennal receptor. ¬© 1983 Plenum Publishing Corporation.</t>
  </si>
  <si>
    <t>335-346</t>
  </si>
  <si>
    <t>Journal of Chemical Ecology</t>
  </si>
  <si>
    <t>Struble, D. L.</t>
  </si>
  <si>
    <t>Lethbridge</t>
  </si>
  <si>
    <t>Lethbridge Research and Development Centre</t>
  </si>
  <si>
    <t>Struble D.L.</t>
  </si>
  <si>
    <t>Sex pheromone components of Euxoa drewseni Chemical identification, electrophysiological evaluation, and field attractancy tests</t>
  </si>
  <si>
    <t>10.1007/BF00988453</t>
  </si>
  <si>
    <t>2-s2.0-34250153754</t>
  </si>
  <si>
    <t>['¬© 1983', 'severe limitation', 'rights reserved', 'noise ratio', 'mutual coupling', 'element coupling', 'electrical engineers', 'coupling effect', 'cancellation performance']</t>
  </si>
  <si>
    <t>Adaptive arrays | Antennas</t>
  </si>
  <si>
    <t>The effect of inner-element coupling on the cancellation performance of a fully adaptive Yagi array is considered. Graphs of the output residue power as functions of interference-to-noise ratio and bandwidth with and without the inner-coupling effect are presented. It is seen that mutual coupling, like any other frequency-dependent error source, poses a severe limitation to the ability of the array to counteract sidelobe interference. ¬© 1983, The Institution of Electrical Engineers. All rights reserved.</t>
  </si>
  <si>
    <t>176-177</t>
  </si>
  <si>
    <t>60030551;60030551;60028654;60028654</t>
  </si>
  <si>
    <t>7005691179;7401909668;6602176521;7801384305</t>
  </si>
  <si>
    <t>Leviatan, Y.;Adams, A. T.;Stockmann, P. H.;Miedaner, D. R.</t>
  </si>
  <si>
    <t>Syracuse;Syracuse</t>
  </si>
  <si>
    <t>Syracuse University;SRC, Inc.</t>
  </si>
  <si>
    <t>60030551;60028654</t>
  </si>
  <si>
    <t>Leviatan Y.</t>
  </si>
  <si>
    <t>Cancellation performance degradation of a fully adaptive Yagi array due to inner-element coupling</t>
  </si>
  <si>
    <t>10.1049/el:19830122</t>
  </si>
  <si>
    <t>2-s2.0-0021093866</t>
  </si>
  <si>
    <t>['¬© 1983', 'two u', 'rights reserved', 'previously developed', 'mutual coupling', 'magnetic wall', 'good agreement', 'equivalence theorem', 'electrical engineers', 'electric wall', 'circuited antennas']</t>
  </si>
  <si>
    <t>Antennas | Microstrip antennas</t>
  </si>
  <si>
    <t>A method has been previously developed for the computations of mutual coupling between the usual rectangular printed antennas. In the letter the short-circuited antennas with three magnetic walls and an electric wall (Fig. 2) are investigated. Using the cavity, model with hybrid boundary conditions (magnetic wall and electric wall) and the equivalence theorem, the problem is reduced to the interactions of two U-shaped magnetic currents. Theory and experiment are in very good agreement. ¬© 1983, The Institution of Electrical Engineers. All rights reserved.</t>
  </si>
  <si>
    <t>178-180</t>
  </si>
  <si>
    <t>100815960;60104081-118839438</t>
  </si>
  <si>
    <t>57207430298;7202044329</t>
  </si>
  <si>
    <t>Penard, E.;Daniel, J. P.</t>
  </si>
  <si>
    <t>France;France;France</t>
  </si>
  <si>
    <t>Issy-les-Moulineaux;;Rennes</t>
  </si>
  <si>
    <t>Orange Labs;Laboratoire Antennes et Rayonnement;Universit√© de Rennes</t>
  </si>
  <si>
    <t>60104081;118839438;100815960</t>
  </si>
  <si>
    <t>Penard E.</t>
  </si>
  <si>
    <t>Mutual coupling between short-circuited microstrip antennas</t>
  </si>
  <si>
    <t>10.1049/el:19830124</t>
  </si>
  <si>
    <t>2-s2.0-0021093867</t>
  </si>
  <si>
    <t>['¬© 1983', 'spectrum analysis', 'scaling factor', 'optimum array', 'optical society', 'general analysis', 'field patterns']</t>
  </si>
  <si>
    <t>A general analysis is presented of an interferometric acoustooptic signal processor for simultaneous direction finding and spectrum analysis. Topics include amplitude window weighting function, scaling factor, error tolerance analysis, linear periodic vs aperiodic arrays, and comparison between microwave and optical antenna array far-field patterns. Finally a specific design example is given of synthesizing an optimum array. ¬© 1983, Optical Society of America.</t>
  </si>
  <si>
    <t>867-872</t>
  </si>
  <si>
    <t>1559128X</t>
  </si>
  <si>
    <t>Applied Optics</t>
  </si>
  <si>
    <t>Lee, Jim P.Y.</t>
  </si>
  <si>
    <t>Interferometric acoustooptic signal processor for simultaneous direction finding and spectrum analysis</t>
  </si>
  <si>
    <t>10.1364/AO.22.000867</t>
  </si>
  <si>
    <t>2-s2.0-0020720982</t>
  </si>
  <si>
    <t>['¬© 1983', 'rights reserved', 'measured impedances', 'ground plane', 'electrical engineers']</t>
  </si>
  <si>
    <t>Antennas | Dielectric resonators</t>
  </si>
  <si>
    <t>An antenna which consists of a resonant rectangular parallelepiped dielectric on top of a ground plane is described. Calculated radiation patterns and measured impedances are presented, and the effects of feed probe length variations are discussed. ¬© 1983, The Institution of Electrical Engineers. All rights reserved.</t>
  </si>
  <si>
    <t>218-219</t>
  </si>
  <si>
    <t>7102448153;7402507033;7103095047</t>
  </si>
  <si>
    <t>McAllister, M. W.;Long, S. A.;Conway, G. L.</t>
  </si>
  <si>
    <t>McAllister M.</t>
  </si>
  <si>
    <t>Rectangular dielectric resonator antenna</t>
  </si>
  <si>
    <t>10.1049/el:19830150</t>
  </si>
  <si>
    <t>2-s2.0-0020717557</t>
  </si>
  <si>
    <t>['¬© 1983', 'rights reserved', 'one way', 'metallic sphere', 'electrical engineers']</t>
  </si>
  <si>
    <t>Antennas | Radar | Radio telescopes</t>
  </si>
  <si>
    <t>Spaceborne synthetic aperture and scatterometer radars currently under development for earth remote sensing may require the provision of ground calibration targets with very large scattering cross-sections. One way of providing these would be to adapt existing parabolic radio telescopes or satellite earth station antennas by replacing the feed by a metallic sphere. A dichroic surface would facilitate tracking. ¬© 1983, The Institution of Electrical Engineers. All rights reserved.</t>
  </si>
  <si>
    <t>225-226</t>
  </si>
  <si>
    <t>Keith M. Keen &amp; Associates</t>
  </si>
  <si>
    <t>Use of radio telescopes or satellite Earth station antennas as ultra-high scattering cross-section calibration targets for spaceborne remote sensing radars</t>
  </si>
  <si>
    <t>10.1049/el:19830155</t>
  </si>
  <si>
    <t>2-s2.0-0020719122</t>
  </si>
  <si>
    <t>['¬© 1983', 'rights reserved', 'point impedance', 'parallel plates', 'one component', 'new approach', 'general position', 'electrical engineers', 'dyadic green', 'cylindrical antenna']</t>
  </si>
  <si>
    <t>Antennas | Electromagnetic field theory</t>
  </si>
  <si>
    <t>A new approach is presented for evaluation of driving-point impedance, requiring only one component of the dyadic Green's function through replacement of the equivalent surface magnetic current at the aperture by an equivalent volume polarisation current. The analysis is applied to a cylindrical antenna at a general position between parallel plates. ¬© 1983, The Institution of Electrical Engineers. All rights reserved.</t>
  </si>
  <si>
    <t>216-218</t>
  </si>
  <si>
    <t>60031004-60003675;60031004</t>
  </si>
  <si>
    <t>35570164700;7101655357</t>
  </si>
  <si>
    <t>Bialkowski, M. E.;Khan, P. J.</t>
  </si>
  <si>
    <t>Australia;Poland</t>
  </si>
  <si>
    <t>Brisbane;Warsaw</t>
  </si>
  <si>
    <t>The University of Queensland;Politechnika Warszawska</t>
  </si>
  <si>
    <t>60031004;60003675</t>
  </si>
  <si>
    <t>Bialkowski M.</t>
  </si>
  <si>
    <t>Driving-point impedance of a linear cylindrical antenna</t>
  </si>
  <si>
    <t>10.1049/el:19830149</t>
  </si>
  <si>
    <t>2-s2.0-0020721307</t>
  </si>
  <si>
    <t>['œª peak', '¬© 1983', 'variable fluorescence', 'usually unresolved', 'two long', 'two hypotheses', 'specific finding', 'simultaneous recording', 'several frequencies', 'room temperature', 'phase fluorimetry', 'peak location', 'new method', 'minor changes', 'lifetime vs', 'lifetime values', 'lifetime measurements', 'lifetime components', 'functional antenna', 'frequency effect', 'former band', 'fluorescence spectra', 'fluorescence lifetimes', 'fluorescence intensity', 'examined species', 'emission wavelength', 'elementary components', 'delayed fluorescence', 'cooling process', 'chlorella cells', 'charge recombination', 'called photosystem', 'antenna core', 'also valid', 'algal cells', 'additional information', '8 ns', '77 k', '740 nm', '6 ns', '53 ns', '46 ns', '40 ns', '3 ns', '139 mhz']</t>
  </si>
  <si>
    <t>(Alga) | Fluorescence lifetime | Phase fluorimetry | Photosynthesis</t>
  </si>
  <si>
    <t>A new method for decomposing fluorescence emission spectra into their elementary components, based on the simultaneous recording of fluorescence intensity and lifetime vs. the emission wavelength, has been applied to the spectra of algal cells at liquid nitrogen temperature. A model of Gaussian components fits both œÑ(Œª) and F(Œª) spectra with the same parameters. The fluorescence lifetimes have been measured by phase fluorimetry at two modulation frequencies: 29 and 139 MHz. The final Gaussian decomposition is able to describe both the 29 and 139 MHz spectra. The following conclusions concerning the fluorescence spectra of Chlorella cells at 77 K can be drawn. These conclusions are also valid with minor changes for the other examined species. (1) An overlapping of different emitting bands occurs in all the spectra; therefore, a direct lifetime reading from phase delay measurement necessitates measurements being made at several frequencies. (2) At the Fmax fluorescence level, the lifetime values of the two emissions usually associated with variable fluorescence are 0.53 ns (for B‚Ä≤1; Œª peak 688 nm), and 1.46 ns (for B‚Ä≤2; Œª peak 698 nm); these lifetimes are shorter than those we have measured at room temperature (approx. 1.8 ns). (3) Superimposed on B‚Ä≤1 and B‚Ä≤2 and with approximatively the same peak location, two long-lifetime components (B‚Ä≥1, 4.8 ns; B‚Ä≥2, 5.6 ns) are present. Two hypotheses can be proposed to explain these emissions: (i) the long-lifetime components arise from subsets of chlorophyll a disconnected from the functional antenna by the cooling process; and (ii) charge recombination in reaction centers leads to delayed fluorescence. (4) In the Œª &gt; 710 nm region, two main bands are required to describe the so-called Photosystem I emission: B3 (0.8 ns; Œª peak 715 nm) and B4 (3.3 ns; Œª peak 724 nm). The former band, usually unresolved in the amplitude fluorescence spectra, is a specific finding from lifetime measurements and has been associated with the antenna core of Photosystem I. No additional information has been obtained for B4. A supplementary small band (B5, 0.40 ns; Œª peak {reversed tilde equals} 740 nm) is necessary to take into account the frequency effect and the œÑ(Œª) decrease in the Œª &gt; 740 nm spectral range. ¬© 1983.</t>
  </si>
  <si>
    <t>60008134;60008134</t>
  </si>
  <si>
    <t>7003638379;24514121300</t>
  </si>
  <si>
    <t>Moya, Ismael;Garcia, Raphael</t>
  </si>
  <si>
    <t>Paris</t>
  </si>
  <si>
    <t>CNRS Centre National de la Recherche Scientifique</t>
  </si>
  <si>
    <t>Moya I.</t>
  </si>
  <si>
    <t>Phase fluorimetric lifetime spectra. I. In algal cells at 77 K</t>
  </si>
  <si>
    <t>10.1016/0005-2728(83)90064-6</t>
  </si>
  <si>
    <t>2-s2.0-0011232539</t>
  </si>
  <si>
    <t>['¬© 1983', 'thus reduced', 'reaction center', 'ps ii', 'protein complexes', 'protein complex', 'previously reported', 'present also', 'polypeptide pattern', 'plant physiol', 'parent strain', 'one polypeptide', 'mutant exhibits', 'methods enzymol', 'mentioned polypeptides', 'lp mutant', 'lp cells', 'like complex', 'interconnecting antenna', 'high fluorescence', 'four polypeptides', 'fold higher', 'energy transfer', 'electron flow', 'effective cross', 'cp ia', 'chlamydomonas reinhardii', 'chlamydomonas comprise', 'additional data', 'acta 680', '686 nm', '644 ),', '446 ).', '360 ).', '22 according', '22 ),', '1 cells', '., shochat', '., malkin']</t>
  </si>
  <si>
    <t>(C. reinhardii) | Chlorophyll-protein complex | Fluorescence | Photosystem I | Reaction center I</t>
  </si>
  <si>
    <t>The polypeptide pattern, chlorophyll-protein complexes, fluorescence emission spectra and light intensity required for saturation of electron flow via Photosystem (PS) II and PS I in a pale-green photoautotrophic mutant, y-lp, were compared to those of the parent strain, Chlamydomonas reinhardii y-1 cells. The mutant exhibits a 686 nm fluorescence yield at 25¬∞C and 77 K 2-6-fold higher than that of the parent strain cells, and is deficient in thylakoid polypeptides 14, 17.2, 18 and 22 according to the nomenclature of Chua (Chua, N.-H. (1980) Methods Enzymol. 60C, 434-446). All chlorophyll-protein complexes ascribed to PS II and the CP I complex were present in both type of cells. However, a chlorophyll-protein complex CP Ia containing - in the parent strain - the 66-68 kDa polypeptides of CP I and the four above-mentioned polypeptides, was absent in the mutant. It was previously reported that a chlorophyll-protein complex, CP O, obtained from C. reinhardii contains five polypeptides, namely, 14, 15, 17.2, 18 and 22 (Wollman, F.A. and Bennoun, P. (1982) Biochim. Biophys. Acta 680, 352-360). A CP O-like complex was present also in the mutant y-lp cells but it contains only one polypeptide, 15. Energy transfer from PS II to PS I was not impaired in the mutant, although a 4-fold higher light intensity was required for the saturation of PS I electron flow in the y-lp cells as compared with the parent strain. No difference was found in the light saturation curves for PS II activity between the mutant and parent strain cells. Based on these and additional data (Gershoni, J.M., Shochat, S., Malkin, S. and Ohad, I. (1982) Plant Physiol. 70, 637-644), it is concluded that the chlorophyll-protein complexes of PS I in Chlamydomonas comprise a reaction center-core antenna complex containing the 66-68 kDa polypeptides (CP I), a connecting antenna consisting of four polypeptides (14, 17.2, 18 and 22), and a light-harvesting antenna containing one polypeptide, 15. These appear to be organized as a complex, CP Ia. The interconnecting antenna is deficient in the y-lp mutant and thus the CP Ia complex is unstable and energy is not transferred from CP O to CP I. The effective cross-section of PS I antenna is thus reduced and a high fluorescence is emitted at 686 nm. ¬© 1983.</t>
  </si>
  <si>
    <t>498-507</t>
  </si>
  <si>
    <t>6603493422;7005705984</t>
  </si>
  <si>
    <t>Ish-Shalom, Dvorah;Ohad, Itzhak</t>
  </si>
  <si>
    <t>Ish-Shalom D.</t>
  </si>
  <si>
    <t>Organization of chlorophyll-protein complexes of Photosystem I in Chlamydomonas reinhardii</t>
  </si>
  <si>
    <t>000527288390066X</t>
  </si>
  <si>
    <t>10.1016/0005-2728(83)90066-X</t>
  </si>
  <si>
    <t>2-s2.0-0020537027</t>
  </si>
  <si>
    <t>EMBO</t>
  </si>
  <si>
    <t>['¬© 1983', 'two types', 'two strains', 'rhodopseudomonas acidophila', 'protein complexes', 'photosynthetic membranes', 'partially purified', 'harvesting pigments', 'harvesting pigment', 'constituent light', 'antenna complexes']</t>
  </si>
  <si>
    <t>(Rps. acidophila) | Bacterial photosynthesis | Bacteriochlorophyll | Caroteroid | Light-harvesting complex | Pigment-protein complex</t>
  </si>
  <si>
    <t>The photosynthetic membranes of two strains of Rhodopseudomonas acidophila (7750 and 7050) have been resolved into their constituent light-harvesting pigment-protein complexes. Four different types of antenna complexes (B880, B800-830 and two types of B800-850) have been isolated and partially purified. In each case the light-harvesting pigments (bacteriochlorophyll a and carotenoids) are bound to rather low molecular weight polypeptides (in the 5000-9000 region). ¬© 1983.</t>
  </si>
  <si>
    <t>427-435</t>
  </si>
  <si>
    <t>60001490;60001490;60001490;60001490;60031514</t>
  </si>
  <si>
    <t>7006465617;7801457787;7202985997;7201433617;16074327500</t>
  </si>
  <si>
    <t>Cogdell, Richard J.;Durant, Irene;Valentine, Jane;Lindsay, J. Gordon;Schmidt, Karin</t>
  </si>
  <si>
    <t>Germany;United Kingdom</t>
  </si>
  <si>
    <t>Gottingen;Glasgow</t>
  </si>
  <si>
    <t>Georg-August-Universit√§t G√∂ttingen;University of Glasgow</t>
  </si>
  <si>
    <t>60031514;60001490</t>
  </si>
  <si>
    <t>Cogdell R.J.</t>
  </si>
  <si>
    <t>The isolation and partial characterisation of the light-harvesting pigment-protein complement of Rhodopseudomonas acidophila</t>
  </si>
  <si>
    <t>10.1016/0005-2728(83)90058-0</t>
  </si>
  <si>
    <t>2-s2.0-0020632373</t>
  </si>
  <si>
    <t>Ministry of Education, Culture, Sports, Science and Technology</t>
  </si>
  <si>
    <t>Monbusho</t>
  </si>
  <si>
    <t>['¬© 1983', 'purified chlorophyll', 'photosynthetic pigments', 'particles reconstituted', 'lyophilized photosystem', 'long wavelength', 'high efficiency', 'form capable', 'ether extracts', 'ether extraction', 'enriched particles', 'apparently incorporated', 'also incorporated', 'added together', 'acta 376', '700 nm', '30 molecules']</t>
  </si>
  <si>
    <t>(Spinach chloroplast) | Carotenoid | Chlorophyll | P-700 | Photosystem I</t>
  </si>
  <si>
    <t>Reincorporation of photosynthetic pigments into chlorophyll-depleted and P-700-enriched particles prepared by ether extraction of lyophilized Photosystem I particles (Ikegami, I. and Katoh, S. (1975) Biochim. Biophys. Acta 376, 588-592) was carried out. On addition of the ether extracts to the P-700-enriched particles, 20-30 molecules of chlorophyll per P-700 were apparently incorporated into the particles in a form capable of transferring absorbed energy to P-700 with high efficiency. Carotenoids were also incorporated and can serve as antenna. The particles reconstituted with purified chlorophyll a showed a highly efficient energy transfer only when lipids, such as monogalactosyldiacylglycerol or phosphatidylcholine, were added together. Reconstitution with ether extracts also restored a long-wavelength-absorbing chlorophyll form with a maximum at about 700 nm and a prominent fluorescence emission band at a long wavelength at liquid nitrogen temperature. ¬© 1983.</t>
  </si>
  <si>
    <t>492-497</t>
  </si>
  <si>
    <t>Ikegami, Isamu</t>
  </si>
  <si>
    <t>Teikyo University</t>
  </si>
  <si>
    <t>Ikegami I.</t>
  </si>
  <si>
    <t>Reconstitution of antenna in P-700-enriched particles from spinach chloroplasts</t>
  </si>
  <si>
    <t>10.1016/0005-2728(83)90065-8</t>
  </si>
  <si>
    <t>2-s2.0-4244180231</t>
  </si>
  <si>
    <t>['¬© 1983', 'time resolutions', 'time resolution', 'thermal model', 'simultaneous microwave', 'shock waves', 'ray observations', 'particular burst', 'observed delays', 'microwave peaks', 'microwave observations', 'may 8', 'hard x', 'event show', 'energy range', '7 ghz', '490 kev', '37 ut', '240 ms', '22 ghz', '1980 starting', '100 ms', '10 ms', '1 ms']</t>
  </si>
  <si>
    <t>Simultaneous microwave and X-ray observations are presented for a solar flare detected on May 8, 1980 starting at 19:37 UT. The X-ray observations were made with the Hard X-Ray Burst Spectrometer on the Solar Maximum Mission and covered the energy range from 28-490 keV with a time resolution of 10 ms. The microwave observations were made with the 5 and 45 foot antennas at the Itapetinga Radio Observatory at frequencies of 7 and 22 GHz, with time resolutions of 100 ms and 1 ms, respectively. Detailed correlation analysis of the different time profiles of the event show that the major impulsive peaks in the X-ray flux preceded the corresponding microwave peaks at 22 GHz by about 240 ms. For this particular burst the 22 GHz peaks preceded the 7 GHz by about 1.5 s. Observed delays of the microwave peaks are too large for a simple electron beam model but they can be reconciled with the speeds of shock waves in a thermal model. ¬© 1983 D. Reidel Publishing Co.</t>
  </si>
  <si>
    <t>311-319</t>
  </si>
  <si>
    <t>60012729;60012729;60012729;60006337;60006337-60010043;60006337;60006337</t>
  </si>
  <si>
    <t>7201921496;16423437500;7402461263;7103023874;6603608821;7006562897;6601984341</t>
  </si>
  <si>
    <t>Kaufmann, P.;Strauss, F. M.;Costa, J. E.R.;Dennis, B. R.;Kiplinger, A.;Frost, K. J.;Orwig, L. E.</t>
  </si>
  <si>
    <t>Brazil;United States;United States</t>
  </si>
  <si>
    <t>Sao Jose dos Campos;Landover;Greenbelt</t>
  </si>
  <si>
    <t>Instituto Nacional de Pesquisas Espaciais;Applied Research Corporation;NASA Goddard Space Flight Center</t>
  </si>
  <si>
    <t>60012729;60010043;60006337</t>
  </si>
  <si>
    <t>Kaufmann P.</t>
  </si>
  <si>
    <t>Microwave and hard X-Ray observations of a solar flare with a time resolution better than 100 ms</t>
  </si>
  <si>
    <t>10.1007/BF00157464</t>
  </si>
  <si>
    <t>2-s2.0-0010211659</t>
  </si>
  <si>
    <t>287-296</t>
  </si>
  <si>
    <t>Alibegov, M. M.</t>
  </si>
  <si>
    <t>Alibegov M.M.</t>
  </si>
  <si>
    <t>Determining the coordinates of sources of solar radio bursts in the regime of conical scanning</t>
  </si>
  <si>
    <t>10.1007/BF01033938</t>
  </si>
  <si>
    <t>2-s2.0-0020732994</t>
  </si>
  <si>
    <t>Deutsche Forschungsgemeinschaft</t>
  </si>
  <si>
    <t>DFG</t>
  </si>
  <si>
    <t>['¬© 1983', 'whole cells', 'wavelength dependence', 'triplet state', 'surrounding molecules', 'selective spin', 'ring v', 'rights reserved', 'proteins via', 'precursors chlorophyllide', 'hydrogen bond', 'fifth ligand', 'excitation spectroscopy', 'energy transferfrom', 'could show', 'central mg']</t>
  </si>
  <si>
    <t>Bacteriochlorophyll | Biosynthesis | Fluorescence | Rhodopseudomonas sphaeroides</t>
  </si>
  <si>
    <t>By ODMR in zero-field the porphyrins of the BChl-biosynthesis in whole cells of Rhodopseudomonas sphaeroides R-26 are investigated. In the optical emission spectrum 11 pigments could be identified using ODMR in combination with emission and excitation spectroscopy. The properties of these pigments were analyzed in respect to their interactions with the surrounding molecules. An energy transferfrom the triplet state of Zn-protoporphyrin to the antenna pigment singlet system was proved by DE-ODMR. The wavelength dependence of the zfs parameters within the individual emission band is explained by a model of selective spin-orbit-coupling. In the case of the precursors chlorophyllide a and pheophorbide a, for example, we could show that the pigments are bound to proteins via a hydrogen bond to the ketocarbonylgroup of ring V and that porphyrins with a central Mg-atom have an additional bond via a Fifth ligand of the Mg. ¬© 1983, Walter de Gruyter. All rights reserved.</t>
  </si>
  <si>
    <t>220-229</t>
  </si>
  <si>
    <t>Zeitschrift fur Naturforschung - Section C Journal of Biosciences</t>
  </si>
  <si>
    <t>60015815;60015815;60015815</t>
  </si>
  <si>
    <t>57080750000;6603701731;57209549313</t>
  </si>
  <si>
    <t>Beck, J.;von Sch√ºtz, J. U.;Wolf, H. C.</t>
  </si>
  <si>
    <t>Stuttgart</t>
  </si>
  <si>
    <t>Universit√§t Stuttgart</t>
  </si>
  <si>
    <t>Beck J.</t>
  </si>
  <si>
    <t>Optically Detected Magnetic Resonance of Porphyrin Complexes in the Bacterium Rhodopseudomonas sphaeroides</t>
  </si>
  <si>
    <t>10.1515/znc-1983-3-411</t>
  </si>
  <si>
    <t>2-s2.0-84943042336</t>
  </si>
  <si>
    <t>['¬© 1983', 'verified experimentally', 'shown analytically', 'rights reserved', 'rather sensitive', 'proper length', 'plane pattern', 'parasitic dipole', 'equalised e', 'electrical engineers', 'dipole length']</t>
  </si>
  <si>
    <t>Antennas | Waveguide antennas</t>
  </si>
  <si>
    <t>The effect of a parasitic dipole above a waveguide slot antenna is shown analytically and verified experimentally. The E-plane radiation pattern is shown to be rather sensitive to the change of dipole length, and an equalised E- and H-plane pattern is obtained by choosing a proper length of dipole. ¬© 1983, The Institution of Electrical Engineers. All rights reserved.</t>
  </si>
  <si>
    <t>280-282</t>
  </si>
  <si>
    <t>60032144;60032144;60032144</t>
  </si>
  <si>
    <t>57194906171;57194906038;14046878300</t>
  </si>
  <si>
    <t>Yong-Hee, Lee;Dong-Hee, Hong;Jung-Woong, Ra</t>
  </si>
  <si>
    <t>South Korea</t>
  </si>
  <si>
    <t>Daejeon</t>
  </si>
  <si>
    <t>Korea Advanced Institute of Science and Technology</t>
  </si>
  <si>
    <t>Yong-Hee L.</t>
  </si>
  <si>
    <t>Waveguide slot antenna with a coupled dipole above the slot</t>
  </si>
  <si>
    <t>10.1049/el:19830196</t>
  </si>
  <si>
    <t>2-s2.0-0020734739</t>
  </si>
  <si>
    <t>['¬© 1983', 'rights reserved', 'operate simultaneously', 'letter describes', 'electrical engineers']</t>
  </si>
  <si>
    <t>The letter describes a single-element rectangular microstrip antenna which can operate simultaneously for two different frequency bands. ¬© 1983, The Institution of Electrical Engineers. All rights reserved.</t>
  </si>
  <si>
    <t>298-300</t>
  </si>
  <si>
    <t>60000745-60025578;60000745</t>
  </si>
  <si>
    <t>57206565697;7401934487</t>
  </si>
  <si>
    <t>Zhong, S. S.;Lo, Y. T.</t>
  </si>
  <si>
    <t>Xi'an;Urbana</t>
  </si>
  <si>
    <t>Xidian University;University of Illinois Urbana-Champaign</t>
  </si>
  <si>
    <t>60025578;60000745</t>
  </si>
  <si>
    <t>Zhong S.S.</t>
  </si>
  <si>
    <t>Single-element rectangular microstrip antenna for dual-frequency operation</t>
  </si>
  <si>
    <t>10.1049/el:19830208</t>
  </si>
  <si>
    <t>2-s2.0-0020736171</t>
  </si>
  <si>
    <t>['¬© 1983', 'satisfactory within', 'rights reserved', 'optimised readily', 'electrical engineers', 'computed results']</t>
  </si>
  <si>
    <t>Antennas | Feeds</t>
  </si>
  <si>
    <t>Small primary feeds with a 90¬∞ trapezoidally corrugated flange are studied. It is found that their performance is satisfactory within a wide frequency band and can be optimised readily. The computed results are also verified experimentally. ¬© 1983, The Institution of Electrical Engineers. All rights reserved.</t>
  </si>
  <si>
    <t>297-298</t>
  </si>
  <si>
    <t>60009697;60009697;60009697</t>
  </si>
  <si>
    <t>7004922524;8092251400;57027512900</t>
  </si>
  <si>
    <t>Kishk, A. A.;Shafai, L.;Ittipiboon, A.</t>
  </si>
  <si>
    <t>Winnipeg</t>
  </si>
  <si>
    <t>University of Manitoba</t>
  </si>
  <si>
    <t>Kishk A.</t>
  </si>
  <si>
    <t>Performance of small primary feeds with trapezoidal and sinusoidal corrugations</t>
  </si>
  <si>
    <t>10.1049/el:19830207</t>
  </si>
  <si>
    <t>2-s2.0-0020737323</t>
  </si>
  <si>
    <t>['¬© 1983', 'rights reserved', 'moderate directivity', 'elliptical beamshape', 'electrical engineers', 'ecs ),']</t>
  </si>
  <si>
    <t>Antennas | Polarisation | Satellite antennas</t>
  </si>
  <si>
    <t>A double cylindrical reflector satellite antenna of moderate directivity, and yielding an elliptical beamshape, developed for the European Communications Satellite System (ECS), is described, emphasising its high overall efficiency and applicability to other tasks which can exploit its inherent wide bandwidth. ¬© 1983, The Institution of Electrical Engineers. All rights reserved.</t>
  </si>
  <si>
    <t>307-309</t>
  </si>
  <si>
    <t>60031159;60031159;60031159-118839387;60031159-118839387</t>
  </si>
  <si>
    <t>6603814793;7402238321;6603060697;6503990767</t>
  </si>
  <si>
    <t>Saitto, A.;Patel, D.;Doro, G.;Trombetta, B.</t>
  </si>
  <si>
    <t>Netherlands;India</t>
  </si>
  <si>
    <t>Noordwijk aan Zee;</t>
  </si>
  <si>
    <t>ESTEC - European Space Research and Technology Centre;Selenia</t>
  </si>
  <si>
    <t>60031159;118839387</t>
  </si>
  <si>
    <t>High-efficiency satellite antenna</t>
  </si>
  <si>
    <t>10.1049/el:19830214</t>
  </si>
  <si>
    <t>2-s2.0-0020738099</t>
  </si>
  <si>
    <t>['¬© 1983', 'soluble bchl', 'singlet quenching', 'results show', 'prosthecochloris aestuarii', 'photosynthetic membranes', 'photosynthetic bacteria', 'oxide complexes', 'lauryldimethylamine n', 'fluorescence yield', 'excitation intensity', 'current models', '70 bchl', '600 bchl', '25 bchl']</t>
  </si>
  <si>
    <t>Antenna complex | Bacterial photosynthesis | Bacteriochlorophyll | Fluorescence quenching | Pigment-protein complex</t>
  </si>
  <si>
    <t>We have measured the singlet-singlet quenching of the bacteriochlorophyll (BChl) fluorescence yield as a function of excitation intensity in a number of antenna complexes isolated from photosynthetic bacteria. Our results show that the lithium dodecyl sulfate (LDS)-B875, LDS-B800 - 850 and lauryldimethylamine N-oxide complexes of Rhodopseudomonas sphaeroides contain 8, greater than 25 and greater than 600 BChl a molecules, respectively. The size of the Rhodopspirillum rubrum B880 complex is greater than 70 BChl a and that of the water-soluble BChl a complex from Prosthecochloris aestuarii about 20-25 BChl a. These results are discussed in relation to current models of the arrangement of antenna complexes within the photosynthetic membranes. ¬© 1983.</t>
  </si>
  <si>
    <t>30-36</t>
  </si>
  <si>
    <t>60003878;60020650;60003878;60003878</t>
  </si>
  <si>
    <t>35599806700;13105070700;24498309900;7202691944</t>
  </si>
  <si>
    <t>Van Grondelle, Rienk;Hunter, C. Neil;Bakker, Jacques G.C.;Kramer, Herman J.M.</t>
  </si>
  <si>
    <t>United Kingdom;Netherlands</t>
  </si>
  <si>
    <t>Bristol;Leiden</t>
  </si>
  <si>
    <t>University of Bristol;Sterrewacht Leiden</t>
  </si>
  <si>
    <t>60020650;60003878</t>
  </si>
  <si>
    <t>Van Grondelle R.</t>
  </si>
  <si>
    <t>Size and structure of antenna complexes of photosynthetic bacteria as studied by singlet-singlet quenching of the bacteriochlorophyll fluorescence yield</t>
  </si>
  <si>
    <t>10.1016/0005-2728(83)90005-1</t>
  </si>
  <si>
    <t>2-s2.0-48749149466</t>
  </si>
  <si>
    <t>['¬© 1983', 'rights reserved', 'optoelectronic switch', 'line antenna', 'integrated set', 'high power', 'generated via', 'electrical engineers', 'directly used', 'broadband slot']</t>
  </si>
  <si>
    <t>Antennas | Optoelectronics</t>
  </si>
  <si>
    <t>Short electromagnetic pulses of high power are generated via an optoelectronic switch. By means of an integrated set-up it is demonstrated that these pulses can be directly used to drive a broadband slot-line antenna. In this way, radiation of high-power microwave pulses is achieved. ¬© 1983, The Institution of Electrical Engineers. All rights reserved.</t>
  </si>
  <si>
    <t>316-317</t>
  </si>
  <si>
    <t>60000401;60000401;60000401</t>
  </si>
  <si>
    <t>7006464996;7005845150;7005584951</t>
  </si>
  <si>
    <t>Heidemann, R.;Pfeiffer, T. H.;J√§ger, D.</t>
  </si>
  <si>
    <t>Munster</t>
  </si>
  <si>
    <t>Westf√§lische Wilhelms-Universit√§t M√ºnster</t>
  </si>
  <si>
    <t>Heidemann R.</t>
  </si>
  <si>
    <t>Optoelectronically pulsed slot-line antennas</t>
  </si>
  <si>
    <t>10.1049/el:19830218</t>
  </si>
  <si>
    <t>2-s2.0-0020734665</t>
  </si>
  <si>
    <t>['¬© 1983', 'rights reserved', 'properly displacing', 'maximum crosspolarisation', 'experiments conducted', 'electrical engineers', 'crosspolarisation properties', 'choke position', 'beam circularity']</t>
  </si>
  <si>
    <t>Antennas | Horn antennas</t>
  </si>
  <si>
    <t>Results of experiments conducted for the purpose of investigating the effects of the choke position on the beam circularity and the crosspolarisation properties in double-choked small horn antennas are presented. It is shown that the value of the maximum crosspolarisation can be suppressed below ‚àí 37 dB by properly displacing the choke position from the circular waveguide aperture. ¬© 1983, The Institution of Electrical Engineers. All rights reserved.</t>
  </si>
  <si>
    <t>329-330</t>
  </si>
  <si>
    <t>60194543;60014652</t>
  </si>
  <si>
    <t>7201750560;55709894900</t>
  </si>
  <si>
    <t>Miyata, K.;Suzuki, M.</t>
  </si>
  <si>
    <t>Akita;Sapporo</t>
  </si>
  <si>
    <t>National Institute of Technology, Akita College;Hokkaido University</t>
  </si>
  <si>
    <t>Effects of choke-load position on radiation properties in double-choked small horn antennas</t>
  </si>
  <si>
    <t>10.1049/el:19830227</t>
  </si>
  <si>
    <t>2-s2.0-0020736629</t>
  </si>
  <si>
    <t>['thin antennas', 'kink instability', 'inertial theory', 'good conductor', 'carrying conductor', 'brief review']</t>
  </si>
  <si>
    <t>A brief review is given of the principal results achieved by M. A. Leontovich in electrodynamics. Among them are approximate boundary conditions on the surface of a good conductor the parabolic equation method for solving diffraction problems the theory of thin antennas the inertial theory of constriction of a powerful pulsed discharge conditions for suppressing the kink instability of a current-carrying conductor, and other results. ¬© 1983 American Institute of Physics.</t>
  </si>
  <si>
    <t>353-355</t>
  </si>
  <si>
    <t>Soviet Physics - Uspekhi</t>
  </si>
  <si>
    <t>57225795264;16518441500;7004187743</t>
  </si>
  <si>
    <t>Levin, M. L.;Rytov, S. M.;Shafranov, V. D.</t>
  </si>
  <si>
    <t>Levin M.L.</t>
  </si>
  <si>
    <t>M. A. Leontovich‚Äôs researches in electrodynamics</t>
  </si>
  <si>
    <t>10.1070/PU1983v026n04ABEH004389</t>
  </si>
  <si>
    <t>2-s2.0-84886843764</t>
  </si>
  <si>
    <t>['substantially reduced', 'pupal cuticle', 'peripodial membrane', 'imaginal cuticle', 'early morphogenesis', 'disrupt curling', 'columnar epithelium', 'antennal disc', 'antennal anlagen', 'actually facilitates']</t>
  </si>
  <si>
    <t>Drosophila | Imaginal disc | Morphogenesis | Tissue culture</t>
  </si>
  <si>
    <t>The early morphogenesis of the eye-antennal disc of Drosophila in response to 20-hydroxy ecdysone involves the curling of the eye anlagen dorsally over the antenna. During this process, the area of the peripodial membrane is substantially reduced. The peripodial membrane is taut at this stage, and if it is cut the curling of the disc cannot continue, and the eye anlagen returns to its original position within one minute of the operation. In contrast, cutting the columnar epithelium between the eye and antennal anlagen does not disrupt curling, but actually facilitates it. During curling, the cells of the peripodial membrane appear healthy, and exhibit basal extensions. We suggest that the curling of the eye is mediated by the conversion of cuboidal peripodial membrane cells into pseudostratified columnar epithelium at the edges of the peripodial membrane. Subsequently, cells of the peripodial membrane secrete first a pupal cuticle, and then an imaginal cuticle. ¬© 1983 Springer-Verlag.</t>
  </si>
  <si>
    <t>1432041X</t>
  </si>
  <si>
    <t>Wilhelm Roux's Archives of Developmental Biology</t>
  </si>
  <si>
    <t>60022132;60022132;60022132</t>
  </si>
  <si>
    <t>7101779145;16471372800;55299697700</t>
  </si>
  <si>
    <t>Milner, Martin John;Bleasby, Alison Jane;Pyott, Andrew</t>
  </si>
  <si>
    <t>St Andrews</t>
  </si>
  <si>
    <t>University of St Andrews</t>
  </si>
  <si>
    <t>Milner M.J.</t>
  </si>
  <si>
    <t>The role of the peripodial membrane in the morphogenesis of the eye-antennal disc of Drosophila melanogaster</t>
  </si>
  <si>
    <t>10.1007/BF00848686</t>
  </si>
  <si>
    <t>2-s2.0-0000853360</t>
  </si>
  <si>
    <t>['relative efficacy', 'principal pheromone', 'physiological sensitivities', 'pheromonal component', 'paraconfusus aggregation', 'orientation cue', 'natural pheromone', 'male antennae', 'least sensitive', 'ipsdienol enantiortiers', 'interspecific allomone', 'intermediately sensitive', 'highly sensitive', 'female antennae', 'estimated concentrations', 'essentially insensitive', 'enantiomeric sensitivities', 'dramatically less', 'conspecific pheromone', 'chiral sensitivity', 'behavioral implications', 'antennal stimulant', 'antennal responsiveness', ')-(-)- ipsenol', ')-(+)- ipsdienol', ')- cis']</t>
  </si>
  <si>
    <t>aggregation pheromone | allomone | bark beetle | Coleoptera | electroantennogram | electrophysiology | enantiomer | interruption | Ips paraconfusus | Scolytidae</t>
  </si>
  <si>
    <t>Antennae of male and female Ips paraconfusus were equally and highly sensitive to their male-produced, multicomponent aggregation pheromone. Female and male antennae were highly sensitive to the pheromonal component, (S)-(-)-ipsenol, but essentially insensitive to its antipode, (R)-(+)-ipsenol. Further, female and male antennae were more sensitive to the pheromonal component, (S)-cis-verbenol, than to its antipode, (R)-cis-verbenol. Dramatic sexual dimorphism in chiral sensitivity to the ipsdienol enantiortiers was found, with female antennae being more sensitive to the conspecific pheromonal enantiomer, (S)-(+)-ipsdienol, and male antennae being more sensitive to the antipode, (R)-(-)-ipsdienol. Since (R)-(-)-ipsdienol is the principal pheromone of California Ips pini and interrupts I. paraconfusus aggregation, male antennae appear to be more sensitive to an interspecific allomone than a conspecific pheromone. Of the conspecific pheromonal enantiomers, both male and female antennae were most sensitive to (S)-(+)-ipsdienol, intermediately sensitive to (S)-(-)-ipsenol, and least sensitive to (S)-cis-verbenol. However, when enantiomeric sensitivities were compared to the estimated concentrations of these components in the natural pheromone, (S)-(~)-ipsenol tended to equal or approach the potency of (S)-(+)-ipsdienol as an antennal stimulant, while antennal responsiveness to (S)-cis-verbenol was dramatically less than for the other two pheromonal components. The behavioral implications of such physiological sensitivities are discussed in regard to perception of multicomponent synergistic pheromones and the relative efficacy of each component as an orientation cue. ¬© 1983 Plenum Publishing Corporation.</t>
  </si>
  <si>
    <t>561-584</t>
  </si>
  <si>
    <t>Light, D. M.</t>
  </si>
  <si>
    <t>Davis</t>
  </si>
  <si>
    <t>University of California, Davis</t>
  </si>
  <si>
    <t>Light D.</t>
  </si>
  <si>
    <t>Sensitivity of antennae of male and female Ips paraconfusus (Coleoptera: Scolytidae) to their natural aggregation pheromone and its enantiomeric components</t>
  </si>
  <si>
    <t>10.1007/BF00990410</t>
  </si>
  <si>
    <t>2-s2.0-0004591670</t>
  </si>
  <si>
    <t>['¬© 1983', 'wide range', 'well understood', 'two situations', 'transmitting antenna', 'therefore begin', 'surprisingly still', 'standing problem', 'several decades', 'separate article', 'receiving system', 'receiving sites', 'receiving antenna', 'potential differences', 'physical mechanism', 'opposite case', 'line systems', 'line system', 'line radiation', 'line characteristics', 'large quasi', 'large number', 'interference due', 'interdisciplinary problem', 'growing interest', 'going back', 'electromagnetic induction', 'earth produce', 'dc current', 'brief survey', 'basically reduced', '1968 ),', '1949 ).']</t>
  </si>
  <si>
    <t>The subject of 'Power-Line Radiation and its Coupling to the Ionosphere and Magnetosphere' is one of the topics of growing interest as an interdisciplinary problem on the impact of man-made or power-line systems on natural radio noise in our environment. Obviously we have two situations in terms of locations of the primary source origin or transmitting and receiving sites. One is the case when a man-made or power-line system is active as a transmitting antenna or radiator and radiates electromagnetic waves that tend to couple to the ionosphere and magnetosphere. The other is the opposite case where a man-made or power-line system is passive as a receiving antenna and the primary source origin is located in the ionosphere or magnetosphere. Then, potential differences of finite conductivity induced within the Earth produce a large quasi-dc current in a power-line system through its neutral grounded points. While both these cases are currently receiving considerable attention over a wide range of interdisciplinary and multidisciplinary communities among man-made and natural radio noise workers, the study of power-line characteristics as a transmitting or receiving system or antenna is not new, going back as early as to the 1920s (Beverage et al., 1923), but has been a long-standing problem over several decades. This forms the groundwork for resolving environmental problems of the interference due to electromagnetic induction and radiation from man-made or power-line systems. In spite of a large number of investigations on wave propagation along and radiation from a wire above the ground (Sunde, 1968), to which all the problems are basically reduced, its physical mechanism of radiation is surprisingly still not well understood (Jenssen, 1949). We therefore begin with a brief survey of this problem, as details are discussed in a separate article in this issue. ¬© 1983 D. Reidel Publishing Company.</t>
  </si>
  <si>
    <t>33-41</t>
  </si>
  <si>
    <t>Space Science Reviews</t>
  </si>
  <si>
    <t>Kikuchi, H.</t>
  </si>
  <si>
    <t>Nihon University</t>
  </si>
  <si>
    <t>Kikuchi H.</t>
  </si>
  <si>
    <t>Overview of power-line radiation and its coupling to the ionosphere and magnetosphere</t>
  </si>
  <si>
    <t>10.1007/BF00173690</t>
  </si>
  <si>
    <t>2-s2.0-0012663943</t>
  </si>
  <si>
    <t>['œ ≤,', 'œ ≤', '¬© 1983', 'two polypeptides', 'rights reserved', 'rhodospirillum rubrum', 'relative intensity', 'protein complex', 'polyacrylamide gels', 'minimal oligomer', 'minimal mass', 'holochrome protein', 'holochrome b880', 'equimolar ratio', 'data indicate', 'approximately 60', 'antenna bacteriochlorophyll', '23 000', '2 mol', '1 mol']</t>
  </si>
  <si>
    <t>An antenna bacteriochlorophyll-protein complex (holochrome B880) was isolated from chromatophores of Rhodospirillum rubrum. The yield of chromatophore bacteriochlorophyll recovered as holochrome was about 90% in the initial crude fractions and about 75% after two chromatographic purification steps. The holochrome protein is estimated to account for approximately 60% of the total chromatophore proteins. According to sodium dodecyl sulfatepolyacrylamide gel electrophoresis, this preparation contains two different polypeptides, designated Œ± and Œ≤, of apparent Mr 7600 and 6400. Very likely, polypeptide Œ± is the organic solvent soluble polypeptide earlier isolated and sequenced in other laboratories. According to their relative intensity of staining by Coomassie Brilliant Blue in Polyacrylamide gels, polypeptides Œ± and Œ≤ are present in an equimolar ratio. Amino acid analysis of the holochrome and of the polypeptides Œ± and Œ≤ prepared from it shows the two polypeptides to have different amino acid compositions and agrees with a 1:1 mole ratio. Bacteriochlorophyll and spirilloxanthin, the pigments of the holochrome, are present in a 2:1 mole ratio. The minimal mass of protein (minimal molecular weight) associated with 2 mol of bacteriochlorophyll and 1 mol of spirilloxanthin is 23 000. The data indicate that the minimal oligomer has an Œ±2Œ≤2 structure. The holochrome preparation contains about 10% each of pigments and of phospholipids per unit weight of protein. These phospholipids are phosphatidylethanolamine, phosphatidylglycerol, and diphosphatidylglycerol; they are present in approximate mole ratios of 1.0, 0.5, and 0.5, respectively, per 23 000 g of protein. ¬© 1983, American Chemical Society. All rights reserved.</t>
  </si>
  <si>
    <t>2491-2497</t>
  </si>
  <si>
    <t>60009507;60009507;60009507</t>
  </si>
  <si>
    <t>56259745200;7102324164;7006937587</t>
  </si>
  <si>
    <t>Picorel, Rafael;B√©langer, Gilles;Gingras, Gabriel</t>
  </si>
  <si>
    <t>Montreal</t>
  </si>
  <si>
    <t>University of Montreal</t>
  </si>
  <si>
    <t>Picorel R.</t>
  </si>
  <si>
    <t>Antenna Holochrome B880 of Rhodospirillum rubrum S1. Pigment, Phospholipid, and Polypeptide Composition</t>
  </si>
  <si>
    <t>10.1021/bi00279a028</t>
  </si>
  <si>
    <t>2-s2.0-0020575355</t>
  </si>
  <si>
    <t>['optimum choice', 'optical coupling', 'josephson detector', 'hcn laser', 'fir antenna', 'experimental difficulties', 'conical antenna', 'calculated efficiency', '891 ghz', '2 reflecting', '1 thz']</t>
  </si>
  <si>
    <t>Far infrared antenna | Josephson Junction | optical coupling</t>
  </si>
  <si>
    <t>We present the first absolute measurement of the optical coupling of a FIR antenna with a Josephson detector. We have studied a wide band FIR coupling system made of a conical antenna (discone) and a focussing paraboloid mirror. The calculated efficiency is (6.8¬±0.3)10-2 for the optimum choice of parameters at 1 THz. The best measurements using a HCN laser at 891 GHz are in agreement while the average achieved coupling is (2.3¬±0.4)10-2 reflecting the experimental difficulties. ¬© 1983 Plenum Publishing Corporation.</t>
  </si>
  <si>
    <t>407-422</t>
  </si>
  <si>
    <t>International Journal of Infrared and Millimeter Waves</t>
  </si>
  <si>
    <t>60101845;60101845;60101845;60007136</t>
  </si>
  <si>
    <t>6602315066;23023589900;7004202960;56796502600</t>
  </si>
  <si>
    <t>Henaux, J. C.;Vernet, G.;Adde, R.;Bolomey, J. C.</t>
  </si>
  <si>
    <t>Orsay;Gif-sur-Yvette</t>
  </si>
  <si>
    <t>Institut d'√âlectronique Fondamentale, Orsay;Laboratoire des Signaux et Syst√®mes</t>
  </si>
  <si>
    <t>60101845;60007136</t>
  </si>
  <si>
    <t>Henaux J.</t>
  </si>
  <si>
    <t>Absolute measurement at 1 THz of the optical coupling of a F.I.R. conical antenna with a Josephson detector</t>
  </si>
  <si>
    <t>10.1007/BF01009170</t>
  </si>
  <si>
    <t>2-s2.0-0020748764</t>
  </si>
  <si>
    <t>['studied theoretically', 'corner reflector', 'antenna configuration', '11 ¬∞']</t>
  </si>
  <si>
    <t>corner reflector antenna | Schottky barrier diode | submillimeter wave detection</t>
  </si>
  <si>
    <t>The coupling of a Gaussian radiation beam to a corner reflector with a four-wavelength long wire antenna was studied theoretically and experimentally. The antenna configuration in conjunction with a Schottky barrier diode is recently used widely as a fast submillimeter wave detector. The optimum angle focusing the radiation to the antenna has been obtained and is 11¬∞ (half-width at the 8.7dB points). ¬© 1983 Plenum Publishing Corporation.</t>
  </si>
  <si>
    <t>321-325</t>
  </si>
  <si>
    <t>36818671300;55731638400;56243818700;6701477559</t>
  </si>
  <si>
    <t>Mizuno, K.;Suzuki, T.;Ono, S.;Sagae, K.</t>
  </si>
  <si>
    <t>Mizuno K.</t>
  </si>
  <si>
    <t>Optimum coupling of a Gaussian beam to a corner reflector with a four-wavelength antenna</t>
  </si>
  <si>
    <t>10.1007/BF01009162</t>
  </si>
  <si>
    <t>2-s2.0-0020750159</t>
  </si>
  <si>
    <t>['wave power', 'using impedance', 'theoretically studied', 'strong antenna', 'results show', 'generated sea', 'freedom systems', 'design frequency', 'body dimensions', 'attracting significantly']</t>
  </si>
  <si>
    <t>The performance of two single degree-of-freedom systems - the heaving vertical circular and the vertical oscillating water column - are theoretically studied. The systems are optimized by using impedance-matching at the design frequency. This frequency is that of the peak of the wave energy spectrum in a wind-generated sea. The results show that the optimized system acts as a strong antenna, attracting significantly more wave power than is incident in its body dimensions.</t>
  </si>
  <si>
    <t>MCormick, Michael E.</t>
  </si>
  <si>
    <t>MCormick M.</t>
  </si>
  <si>
    <t>ANALYSIS OF OPTIMAL OCEAN WAVE ENERGY CONVERSION.</t>
  </si>
  <si>
    <t>2-s2.0-0020751430</t>
  </si>
  <si>
    <t>['verbenone enantiomers', 'verbenol enantiomers', 'verbenol ),', 'trap catches', 'sympatric species', 'significant reduction', 'sex ratio', 'relative sensitivities', 'produced odorants', 'produced enantiomer', 'phenylethanol ),', 'male antennae', 'linalool ).', 'host terpenes', 'higher dosages', 'frontalin );', 'found generally', 'field bioassays', 'female beetles', 'equally responsive', 'dosage range', 'dominated attraction', 'bark beetle', 'antennal sensitivities', 'aggregation synergist', '4 r', '1 r', ')-(-)- verbenone', ')-(-)- trans', ')-(-)- enantiomer']</t>
  </si>
  <si>
    <t>allomone | bark beetle | Coleoptera | electroantennogram | electrophysiology | enantiomer | interruption | Ips paraconfusus | pheromone | Scolytidae</t>
  </si>
  <si>
    <t>The antennal sensitivities of both male and female Ips paraconfusus were found generally to be greatest for conspecific aggregation pheromones (ipsdienol, ipsenol); intermediate for an additional conspecific pheromone (cis-verbenol), an aggregation synergist (2-phenylethanol), and pheromones/allomones of sympatric species (trans-verbenol, verbenone, and frontalin); and lowest for both host terpenes (alpha-pinene and myrcene) and other bark beetle-produced odorants (exo-brevicomin and linalool). Of the enantiomeric compounds tested, antennae of both sexes did not differ in sensitivity between the trans-verbenol enantiomers at low dosage levels; but at higher dosages, the conspecific-produced enantiomer, (1 R,4 S,5 R)-(+)-trans-verbenol, elicited larger mean EAG responses than its antipode, (1 S,4 R, 5 S)-(-)-trans-verbenol. At the mid-dosage range, female antennae tended to be slightly more responsive to (S)-(-)-verbenone than to (R)-(+)-verbenone, while male antennae were equally responsive to stimulations by either verbenone enantiomer. In field bioassays there was a large and significant reduction in trap catches of I. paraconfusus on traps where the (S)-(-)- or (R)-(+)-enantiomers of verbenone were evaporated beside logs containing boring conspecific males. Only when the (S)-(-)-enantiomer of verbenone was evaporated beside logs containing boring males did the sex ratio of I. paraconfusus trapped shift from female-dominated to male-dominated attraction. Thus both physiological and behavioral data suggest a differential chiral sensitivity of female beetles for the verbenone enantiomers. The relative sensitivities between different chiral compounds derived from one or the other of the common precursoral host terpenes, (S)-(-)- and (R)-(+)alpha-pinene or myrcene, are discussed. ¬© 1983 Plenum Publishing Corporation.</t>
  </si>
  <si>
    <t>585-606</t>
  </si>
  <si>
    <t>Sensitivity of antennae of male and female Ips paraconfusus (Coleoptera: Scolytidae) to its pheromone and other behavior-modifying chemicals</t>
  </si>
  <si>
    <t>10.1007/BF00990411</t>
  </si>
  <si>
    <t>2-s2.0-33746338295</t>
  </si>
  <si>
    <t>['¬© 1983', 'uniform field', 'transmission line', 'terminated one', 'radiation theory', 'line theory', 'interfering circuits', 'ground effects', 'experimental measurements', 'current distribution', 'accurate calculation']</t>
  </si>
  <si>
    <t>In this paper we present useful calculations for a prediction of the electromagnetic field created by interfering circuits on a linear horizontal transmission line over an imperfectly conducting ground. The interfering circuits are assimilated to antennas and treated by using the dipole-radiation theory. The current distribution is determinated by the transmission-line theory. We present here the computational procedure allowing a fast and accurate calculation of the electromagnetic fields components of a series of dipoles. We give the linear characteristics Z, Y of the transmission line by incorporating the ground effects. The response of a terminated one-wire transmission line set over the ground and excited by a non-uniform field is given. A comparison between computed results given by the model and experimental measurements is provided. ¬© 1983 D. Reidel Publishing Company.</t>
  </si>
  <si>
    <t>49-58</t>
  </si>
  <si>
    <t>60138276;60138276;60138276</t>
  </si>
  <si>
    <t>57191482369;56232946900;6603359419</t>
  </si>
  <si>
    <t>Umbert, A.;Fontaine, J.;Plumey, J. P.</t>
  </si>
  <si>
    <t>Clermont-Ferrand</t>
  </si>
  <si>
    <t>Universit√© Clermont Auvergne</t>
  </si>
  <si>
    <t>Umbert A.</t>
  </si>
  <si>
    <t>A computing model and its experimental testing for an evaluation of electromagnetic interferences created by interfering circuits on transmission or high-voltage lines above a dissipative ground</t>
  </si>
  <si>
    <t>10.1007/BF00173692</t>
  </si>
  <si>
    <t>2-s2.0-34250149068</t>
  </si>
  <si>
    <t>['¬© 1983', 'two frequencies', 'tested antenna', 'rights reserved', 'matching techniques', 'matched independently', 'impedance matched', 'feed dual', 'electrical engineers', 'configuration reported', '425 ghz', '32 ghz', '1 33']</t>
  </si>
  <si>
    <t>A single-feed dual-frequency microstrip antenna is reported. It can be impedance-matched independently at the two frequencies of operation. The tested antenna has a VSWR of 1 33 at 2-32 GHz and 1-2 at 9-425 GHz. The configuration reported here can be impedance matched over a wider frequency range using standard impedance-matching techniques. ¬© 1983, The Institution of Electrical Engineers. All rights reserved.</t>
  </si>
  <si>
    <t>357-358</t>
  </si>
  <si>
    <t>56224976000;7404810889</t>
  </si>
  <si>
    <t>Garg, Ramesh;Rao, K. V.S.</t>
  </si>
  <si>
    <t>Garg R.</t>
  </si>
  <si>
    <t>Dual frequency microstrip antenna</t>
  </si>
  <si>
    <t>10.1049/el:19830247</t>
  </si>
  <si>
    <t>2-s2.0-0020749630</t>
  </si>
  <si>
    <t>['¬© 1983', 'rights reserved', 'reflector antennas', 'periodic structure', 'electrical engineers']</t>
  </si>
  <si>
    <t>Antennas | Reflector antennas | Strut radiation</t>
  </si>
  <si>
    <t>A periodic structure has been investigated and optimised which can be used to cover the struts of reflector antennas in order to reduce the far sidelobes caused by scattering from the struts. ¬© 1983, The Institution of Electrical Engineers. All rights reserved.</t>
  </si>
  <si>
    <t>371-373</t>
  </si>
  <si>
    <t>Hombach, V.</t>
  </si>
  <si>
    <t>Darmstadt</t>
  </si>
  <si>
    <t>Forschungsinstitut der Deutschen Bundespost</t>
  </si>
  <si>
    <t>Hombach V.</t>
  </si>
  <si>
    <t>Reduction of sidelobe level of reflector antennas by covering feed struts with a periodic structure</t>
  </si>
  <si>
    <t>10.1049/el:19830257</t>
  </si>
  <si>
    <t>2-s2.0-0020750164</t>
  </si>
  <si>
    <t>['¬© 1983', 'rights reserved', 'practical limitations', 'operational parameters', 'heavy precipitation', 'feed elements', 'electrical engineers']</t>
  </si>
  <si>
    <t>Antennas | Feeds | Polarisation control</t>
  </si>
  <si>
    <t>The performance of two nondissipative devices used as feed elements for adaptive uplink depolarisation control in 18 GHz TV feeder links is analysed. The operational parameters under the presence of heavy precipitation are evaluated and practical limitations are discussed. ¬© 1983, The Institution of Electrical Engineers. All rights reserved.</t>
  </si>
  <si>
    <t>374-376</t>
  </si>
  <si>
    <t>Nouri, M.</t>
  </si>
  <si>
    <t>Marconi Communication Systems Limited</t>
  </si>
  <si>
    <t>Uplink depolarisation control in TV feeder link Earth stations</t>
  </si>
  <si>
    <t>10.1049/el:19830259</t>
  </si>
  <si>
    <t>2-s2.0-0020750950</t>
  </si>
  <si>
    <t>['¬© 1983', 'two polarisations', 'te11 modes', 'rights reserved', 'electrical engineers', 'curved guide', 'crosspolar discrimination', 'circular waveguide', 'antenna feeder', '12 ghz']</t>
  </si>
  <si>
    <t>Antenna feeders | Crosspolar discrimination | Losses | Waveguides</t>
  </si>
  <si>
    <t>The two polarisations of TE11 modes are shown to be nondegenerated in a circular waveguide when its cross-section is ‚Äòconveniently deformed'. So the crosspolar discrimination is improved in such a curved guide. This permits the use of this structure as an antenna feeder at frequencies about 12 GHz. ¬© 1983, The Institution of Electrical Engineers. All rights reserved.</t>
  </si>
  <si>
    <t>382-383</t>
  </si>
  <si>
    <t>60008134;60008134;60008134</t>
  </si>
  <si>
    <t>6602515237;7801572299;7003385210</t>
  </si>
  <si>
    <t>Jecko, F.;Penaud, N.;Papiernik, A.</t>
  </si>
  <si>
    <t>Jecko F.</t>
  </si>
  <si>
    <t>TE&lt;inf&gt;11&lt;/inf&gt; modes in straight and curved circular waveguide with ‚Äòdeformed‚Äô cross-section</t>
  </si>
  <si>
    <t>10.1049/el:19830265</t>
  </si>
  <si>
    <t>2-s2.0-0020751830</t>
  </si>
  <si>
    <t>76-ER0 4310</t>
  </si>
  <si>
    <t>['¬© 1983', 'silicomolybdate reaction', 'results demonstrate', 'photosystem ii', 'oxygen evolution', 'mg chl', 'magnesium medium', 'greatly reduced', '1 ).']</t>
  </si>
  <si>
    <t>(Porphyridium cruentum) | (Red alga) | Light-harvesting antenna | Oxygen evolution | Photosystem II | Phycobilisome</t>
  </si>
  <si>
    <t>Photosystem II phycobilisome particles were isolated from the red alga Porphyridium cruentum in a sucrose-phosphate-citrate-magnesium medium. These particles showed high rates of oxygen evolution in the water-to-silicomolybdate reaction (2300 Œºmol O2.mg chl-1.h-1). Photosystem I, according to fluorescence emission spectra (-196¬∞C), was greatly reduced or absent. The results demonstrate a close physical relationship of photosystem II with the phycobilisomes which are the major light harvesting antennae in this organism. ¬© 1983.</t>
  </si>
  <si>
    <t>185-188</t>
  </si>
  <si>
    <t>FEBS Letters</t>
  </si>
  <si>
    <t>60015033;60015033</t>
  </si>
  <si>
    <t>57200949511;7005758772</t>
  </si>
  <si>
    <t>Clement-Metral, Jenny D.;Gantt, Elisabeth</t>
  </si>
  <si>
    <t>Smithsonian Institution</t>
  </si>
  <si>
    <t>Clement-Metral J.</t>
  </si>
  <si>
    <t>Isolation of oxygen-evolving phycobilisome-photosystem II particles from Porphyridium cruentum</t>
  </si>
  <si>
    <t>10.1016/0014-5793(83)80274-9</t>
  </si>
  <si>
    <t>2-s2.0-0004494164</t>
  </si>
  <si>
    <t>['two cases', 'tonic excitation', 'tonic behaviour', 'time course', 'tables 2', 'sugar cells', 'stimulus substances', 'stimulus concentration', 'stimuli tested', 'several sugars', 'remarkable differences', 'receptors responded', 'receptor cell', 'low concentrations', 'investigated electrophysiologically', 'higher concentrations', 'hemilepistus reaumuri', 'gustatory cells', 'four groups', 'fatty acids', 'different sugars', 'different manner', 'desert woodlice', 'desert isopod', 'chemoreceptor units', 'chemical substances', 'chain mono', 'chain length', 'calcium cells', 'b ).', 'aqueous rinse', 'antennal nerve', '5 ).', '4 ).', '300 imp', '3 ).']</t>
  </si>
  <si>
    <t>1. Chemoreceptor units were investigated electrophysiologically in the apical sensory cone on the antenna of the desert isopod, Hemilepistus reaumuri. Activity of 141 single units was recorded from fibres in the antennal nerve. 2. The receptors responded to a variety of chemical substances with excitation up to 300 imp/s or with inhibition. They were classified into distinct physiological response types with non-overlapping response spectra (Table 1). 3. Two physiological response types were excited by airborne odour stimuli: (a) butyric acid cells were sensitive to short-chain fatty acids and aldehydes (Table 3); (b) amine cells responded to short-chain mono- and diamines (Table 5). 4. Four groups of gustatory cells were found: (c) sugar cells responded to several sugars and Œ±-glucosides (Table 6); (d) calcium cells were excited by CaCl2 which was inhibitory in most other cells; (e) amino acid cells were found in only two cases, responding to 1-asparagine and 1-methionine; (f) 29 cells responded only to an aqueous rinse of desert woodlice, and not to other stimuli tested. 5. Olfactory cells responded to n-fatty acids (namines, respectively) with phasic-tonic excitation at low concentrations, but with phasic excitation followed by an off-response at higher concentrations (Figs. 1, 3). Complete inhibition could be caused by applying still higher concentrations of the same substances. 6. Transition from phasic-tonic to phasic responses occurred at low initial impulse frequencies with some stimulus substances, but at high initial frequencies with other substances in the same receptor cell (Figs. 1, 3). Chain length of the stimulus molecule influenced phasic-tonic behaviour in a different manner in both olfactory cell groups (Tables 2, 4). 7. No influence of stimulus concentration on time course was found in sugar cells (Figs. 4a, b, 5). There were, however, remarkable differences in the poststimulatory frequency decay for different sugars (Fig. 4a, b). ¬© 1983 Springer-Verlag.</t>
  </si>
  <si>
    <t>219-229</t>
  </si>
  <si>
    <t>Seelinger, G√ºnter</t>
  </si>
  <si>
    <t>Institut f√ºr Zoologie</t>
  </si>
  <si>
    <t>Seelinger G.</t>
  </si>
  <si>
    <t>Response characteristics and specificity of chemoreceptors in Hemilepistus reaumuri (Crustacea, Isopoda)</t>
  </si>
  <si>
    <t>10.1007/BF00611186</t>
  </si>
  <si>
    <t>2-s2.0-0011863095</t>
  </si>
  <si>
    <t>['¬© 1983', 'various types', 'spectral content', 'several lens', 'rights reserved', 'receiving antenna', 'governing parameters', 'frequency range', 'filter plates', 'distortion imposed', 'comparative properties', 'acoustical society', 'acoustic lens', 'acoustic antennas', 'achieved frequency', '1000 khz']</t>
  </si>
  <si>
    <t>Graphical experimental data in the form of passive receiving scanning beam patterns is presented for several high resolution acoustic lens-acoustic filter plate combinations. They show the comparative properties of various types of flat and curved filter plates when used in such acoustic antennas. Experimental data relating the achieved frequency-independent constant beamwidth of the several lens-filter plate combinations to the governing parameters of the filter plates are summarized for empirical design purposes. The basic experiments reported were conducted over the frequency range from 25 to 1000 kHz but the results can be scaled to any frequency range of the corresponding scaled width. As a receiving antenna, the acoustic lens-acoustic filter plate device eliminates the distortion imposed on the spectral content of a received multifrequency signal as a function of angle-off-boresight which is inherent in the use of conventional variable beamwidth directional receiving antennas. ¬© 1983, Acoustical Society of America. All rights reserved.</t>
  </si>
  <si>
    <t>2193-2199</t>
  </si>
  <si>
    <t>100379692;101193725;106216542;106216542;106216542</t>
  </si>
  <si>
    <t>54887160900;55472787300;6508315469;6505596571;7003515998</t>
  </si>
  <si>
    <t>Sternberg, Robert L.;Anderson, Warren A.;Dickson, Owen P.;Ilson, Howard F.;Marchese, Peter S.</t>
  </si>
  <si>
    <t>New London;Newport;Boston</t>
  </si>
  <si>
    <t>Naval Underwater Systems Cent;Naval Underwater Systems Cent;Office of Naval Research</t>
  </si>
  <si>
    <t>106216542;101193725;100379692</t>
  </si>
  <si>
    <t>Sternberg R.</t>
  </si>
  <si>
    <t>Log-periodic acoustic lens-acoustic filter plate study. ii</t>
  </si>
  <si>
    <t>10.1121/1.389544</t>
  </si>
  <si>
    <t>2-s2.0-0020765169</t>
  </si>
  <si>
    <t>610-612</t>
  </si>
  <si>
    <t>Measurement Techniques</t>
  </si>
  <si>
    <t>7103313639;6701453221</t>
  </si>
  <si>
    <t>Tishchenko, V. A.;Tokatly, V. I.</t>
  </si>
  <si>
    <t>Tishchenko V.</t>
  </si>
  <si>
    <t>Field intensity measurement of a short dipole antenna</t>
  </si>
  <si>
    <t>10.1007/BF00834473</t>
  </si>
  <si>
    <t>2-s2.0-0020769066</t>
  </si>
  <si>
    <t>['¬© 1983', 'tracking radar', 'thermal noise', 'target glint', 'rights reserved', 'difference frequencies', 'cassegrain antenna']</t>
  </si>
  <si>
    <t>Antennas | Radar</t>
  </si>
  <si>
    <t>A tracking radar which employs a new frequency comparison monopulse technique by means of sum and difference frequencies is described. A Cassegrain antenna with a five-horn feed transmits and receives two carrier frequencies, and tracking errors due to target glint and thermal noise are reduced by using a wideband FM technique. ¬© 1983, NA. All rights reserved.</t>
  </si>
  <si>
    <t>438-440</t>
  </si>
  <si>
    <t>Connor, F. R.</t>
  </si>
  <si>
    <t>Connor F.</t>
  </si>
  <si>
    <t>New monopulse tracking radar</t>
  </si>
  <si>
    <t>10.1049/el:19830300</t>
  </si>
  <si>
    <t>2-s2.0-0021098551</t>
  </si>
  <si>
    <t>['¬© 1983', 'transport components', 'transport capacity', 'saturating light', 'saturated rates', 'ratio changed', 'radiation decreased', 'photosystem ii', 'partly accounted', 'markedly different', 'marked increase', 'main chlorophyll', 'lowest radiation', 'low radiation', 'light regimes', 'light intensity', 'fold lower', 'fold decrease', 'enriched light', 'electron transport', 'different proportions', 'different light', 'decreasing radiation', 'decreased electron', 'cytochrome f', 'components correlated', 'chloroplasts isolated', 'chlorophyll basis', 'chlorophyll associated', 'antenna size', 'adapted peas', '3 cp']</t>
  </si>
  <si>
    <t>(Pea chloroplast) | Chlorophyll-protein complex | Electron transport | Light adaptation | Light-harvesting complex | Thylakoid membrane</t>
  </si>
  <si>
    <t>The hypothesis that chloroplasts having different light-saturated rates of photosynthesis will have different proportions of the intrinsic thylakoid complexes engaged in light-harvesting and electron transport (Anderson, J.M. (1982) Mol. Cell. Biochem. 46, 161-172) has been tested. Peas were grown in light regimes which varied in light intensity, quality and time of irradiance, and ranged from sunlight through red to blue-enriched light of very low radiation. The electron-transport capacity at saturating light of Photosystem I and Photosystem II of chloroplasts isolated from light-adapted peas was 2-fold and 5-6-fold lower, respectively, in the lowest radiation compared to sunlight. There was a marked increase in the amount of total chlorophyll associated with the main chlorophyll a b-proteins (LHCP1, LHCP2 and LHCP3) and a 2-fold decrease in the core reaction centre complex of Photosystem II (CP a) as the radiation decreased; the LHCP1-3 CP a ratio changed from 3.5 to 9.0. The amount of chlorophyll associated with Photosystem I varied from 34% in sunlight to 27% in the lowest radiation, but the antenna size of Photosystem I was not markedly different; there was a 2-fold decrease in the amount of cytochrome f on a chlorophyll basis, which partly accounted for the decreased electron-transport capacity of Photosystem I. Since the increases or decreases in the levels of each of the components correlated with decreasing radiation, it is clear that the light-adaptation of both light-harvesting and electron-transport components is indeed closely co-ordinated. ¬© 1983.</t>
  </si>
  <si>
    <t>391-399</t>
  </si>
  <si>
    <t>60023392;60023392</t>
  </si>
  <si>
    <t>16473058300;7406781037</t>
  </si>
  <si>
    <t>Leong, Ta Yan;Anderson, Jan M.</t>
  </si>
  <si>
    <t>CSIRO Plant Industry</t>
  </si>
  <si>
    <t>Leong T.</t>
  </si>
  <si>
    <t>Changes in composition and function of thylakoid membranes as a result of photosynthetic adaptation of chloroplasts from pea plants grown under different light conditions</t>
  </si>
  <si>
    <t>10.1016/0005-2728(83)90046-4</t>
  </si>
  <si>
    <t>2-s2.0-0008892889</t>
  </si>
  <si>
    <t>U.S. Department of Energy</t>
  </si>
  <si>
    <t>USDOE</t>
  </si>
  <si>
    <t>['¬© 1983', 'virtually indistinguishable', 'stained sds', 'separated phycoerythrin', 'results suggest', 'reconstitution experiments', 'reassociated physobilisomes', 'reassociated phycobilisomes', 'polypeptide composition', 'phycocyanin complexes', 'phycocyanin complex', 'molar ratios', 'harvesting antennae', 'functional reassociation', 'functional phycobilisomes', 'febs lett', 'excitation spectra', 'energy transfer', 'described earlier', 'coomassie blue', 'allophycocyanin fractions', '675 nm', '., lipschultz']</t>
  </si>
  <si>
    <t>(Blue-green alga) | Allophycocyanin | Energy transfer | Phycobilisome | Phycocyanin | Phycoerythrin</t>
  </si>
  <si>
    <t>The relationship of the structure and function of the light-harvesting antennae in the blue-green alga Nostoc sp. was further elucidated by reconstitution experiments. Separated phycoerythrin-phycocyanin complexes and allophycocyanin fractions were reassociated as described earlier (Canaani, O., Lipschultz, C.A. and Gantt, E. (1980) FEBS Lett. 115, 225-229) into functional phycobilisomes with a 70% yield. Native and reassociated physobilisomes had molar ratios of about 1.4:1.1:1.0 of phycoerythrin:phycocyanin:allophycocyanim. Energy transfer was demonstrated by their fluorescence emission maximum at approx. 675 nm (20¬∞C), and their excitation spectra (emission wavelength 680 nm) which reflected the contribution of the three constitutive phycobiliproteins. Scans of Coomassie blue-stained SDS-polyacrylamide gels showed that the polypeptide composition of native and reassociated phycobilisomes was virtually indistinguishable. Reassociation of phycobilisomes was dependent on the interaction of allophycocyanin and phycocyanin, because it could be blocked with antisera to phycocyanin and allophycocyanin, but not to phycoerythrin. In addition, reassociation did not occur when a 31 000 Da polypeptide, which is part of the phycoerythrin-phycocyanin complex, was reduced in size (by 4000 Da). These results suggest that at least two domains are required for functional reassociation of phycobilisomes involving phycocyanin and allophycocyanin. ¬© 1983.</t>
  </si>
  <si>
    <t>340-349</t>
  </si>
  <si>
    <t>6602112112;7005758772</t>
  </si>
  <si>
    <t>Canaani, Ora;Gantt, Elisabeth</t>
  </si>
  <si>
    <t>Canaani O.</t>
  </si>
  <si>
    <t>Native and in vitro-associated phycobilisomes of Nostoc sp. Composition, energy transfer, and effect of antibodies</t>
  </si>
  <si>
    <t>0005-2728(83)90039-7</t>
  </si>
  <si>
    <t>10.1016/0005-2728(83)90039-7</t>
  </si>
  <si>
    <t>2-s2.0-33845350219</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</si>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</sst>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2">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0" fontId="2" fillId="3" borderId="0" xfId="2"/>
    <xf numFmtId="164" fontId="0" fillId="0" borderId="0" xfId="0" applyNumberFormat="1"/>
    <xf numFmtId="0" fontId="0" fillId="6" borderId="0" xfId="0" applyFill="1"/>
    <xf numFmtId="16" fontId="0" fillId="0" borderId="0" xfId="0" applyNumberFormat="1"/>
    <xf numFmtId="17" fontId="0" fillId="0" borderId="0" xfId="0" applyNumberFormat="1"/>
    <xf numFmtId="0" fontId="4" fillId="0" borderId="0" xfId="0" applyFont="1"/>
    <xf numFmtId="18" fontId="0" fillId="0" borderId="0" xfId="0" applyNumberForma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1981"/>
      <sheetName val="1982"/>
    </sheetNames>
    <sheetDataSet>
      <sheetData sheetId="0"/>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EF48A-B7F2-404E-BC71-FF2269312EDD}">
  <dimension ref="A1:AW754"/>
  <sheetViews>
    <sheetView tabSelected="1" topLeftCell="AJ1" workbookViewId="0">
      <selection activeCell="AO11" sqref="AO11"/>
    </sheetView>
  </sheetViews>
  <sheetFormatPr baseColWidth="10" defaultRowHeight="16" x14ac:dyDescent="0.2"/>
  <sheetData>
    <row r="1" spans="1:49" s="13" customFormat="1" x14ac:dyDescent="0.2">
      <c r="A1" s="16"/>
      <c r="B1" s="16" t="s">
        <v>7552</v>
      </c>
      <c r="C1" s="16" t="s">
        <v>7551</v>
      </c>
      <c r="D1" s="16" t="s">
        <v>7550</v>
      </c>
      <c r="E1" s="16" t="s">
        <v>7549</v>
      </c>
      <c r="F1" s="16" t="s">
        <v>7548</v>
      </c>
      <c r="G1" s="16" t="s">
        <v>7547</v>
      </c>
      <c r="H1" s="16" t="s">
        <v>7546</v>
      </c>
      <c r="I1" s="16" t="s">
        <v>7545</v>
      </c>
      <c r="J1" s="16" t="s">
        <v>7544</v>
      </c>
      <c r="K1" s="16" t="s">
        <v>7543</v>
      </c>
      <c r="L1" s="16" t="s">
        <v>7542</v>
      </c>
      <c r="M1" s="16" t="s">
        <v>7541</v>
      </c>
      <c r="N1" s="16" t="s">
        <v>7540</v>
      </c>
      <c r="O1" s="16" t="s">
        <v>7539</v>
      </c>
      <c r="P1" s="16" t="s">
        <v>7538</v>
      </c>
      <c r="Q1" s="16" t="s">
        <v>7537</v>
      </c>
      <c r="R1" s="21" t="s">
        <v>7536</v>
      </c>
      <c r="S1" s="16" t="s">
        <v>7535</v>
      </c>
      <c r="T1" s="16" t="s">
        <v>7535</v>
      </c>
      <c r="U1" s="16" t="s">
        <v>7534</v>
      </c>
      <c r="V1" s="21" t="s">
        <v>7533</v>
      </c>
      <c r="W1" s="16" t="s">
        <v>7532</v>
      </c>
      <c r="X1" s="15" t="s">
        <v>7531</v>
      </c>
      <c r="Y1" s="20" t="s">
        <v>7530</v>
      </c>
      <c r="Z1" s="19" t="s">
        <v>7515</v>
      </c>
      <c r="AA1" s="16" t="s">
        <v>7529</v>
      </c>
      <c r="AB1" s="16" t="s">
        <v>7528</v>
      </c>
      <c r="AC1" s="16" t="s">
        <v>7527</v>
      </c>
      <c r="AD1" s="16" t="s">
        <v>7526</v>
      </c>
      <c r="AE1" s="16" t="s">
        <v>7525</v>
      </c>
      <c r="AF1" s="16" t="s">
        <v>7524</v>
      </c>
      <c r="AG1" s="16" t="s">
        <v>7523</v>
      </c>
      <c r="AH1" s="16" t="s">
        <v>7522</v>
      </c>
      <c r="AI1" s="16" t="s">
        <v>7521</v>
      </c>
      <c r="AJ1" s="16" t="s">
        <v>7520</v>
      </c>
      <c r="AK1" s="15" t="s">
        <v>7519</v>
      </c>
      <c r="AL1" s="16" t="s">
        <v>7518</v>
      </c>
      <c r="AM1" s="18" t="s">
        <v>7517</v>
      </c>
      <c r="AN1" s="17" t="s">
        <v>7516</v>
      </c>
      <c r="AO1" s="17" t="s">
        <v>7515</v>
      </c>
      <c r="AP1" s="16" t="s">
        <v>7514</v>
      </c>
      <c r="AQ1" s="16" t="s">
        <v>7513</v>
      </c>
      <c r="AR1" s="16" t="s">
        <v>7512</v>
      </c>
      <c r="AS1" s="16" t="s">
        <v>7511</v>
      </c>
      <c r="AT1" s="15" t="s">
        <v>7510</v>
      </c>
      <c r="AU1" s="14" t="s">
        <v>7509</v>
      </c>
      <c r="AV1" s="14" t="s">
        <v>7508</v>
      </c>
      <c r="AW1" s="14" t="s">
        <v>7507</v>
      </c>
    </row>
    <row r="2" spans="1:49" x14ac:dyDescent="0.2">
      <c r="A2">
        <v>0</v>
      </c>
      <c r="B2" t="s">
        <v>7506</v>
      </c>
      <c r="C2" t="s">
        <v>7505</v>
      </c>
      <c r="D2" t="s">
        <v>7504</v>
      </c>
      <c r="F2" t="s">
        <v>7503</v>
      </c>
      <c r="G2" t="s">
        <v>15</v>
      </c>
      <c r="H2" t="s">
        <v>14</v>
      </c>
      <c r="I2" t="s">
        <v>7502</v>
      </c>
      <c r="J2">
        <v>60015033</v>
      </c>
      <c r="K2" t="s">
        <v>7438</v>
      </c>
      <c r="L2" t="s">
        <v>978</v>
      </c>
      <c r="M2" t="s">
        <v>10</v>
      </c>
      <c r="N2">
        <v>2</v>
      </c>
      <c r="O2" t="s">
        <v>7501</v>
      </c>
      <c r="P2" t="s">
        <v>7500</v>
      </c>
      <c r="Q2" t="s">
        <v>7435</v>
      </c>
      <c r="R2" s="7">
        <v>30497</v>
      </c>
      <c r="S2" s="8">
        <f t="shared" ref="S2:S30" si="0">YEAR(R2)</f>
        <v>1983</v>
      </c>
      <c r="T2" s="8">
        <v>1983</v>
      </c>
      <c r="U2" s="8">
        <f t="shared" ref="U2:U30" si="1">2022-T2</f>
        <v>39</v>
      </c>
      <c r="V2" s="7">
        <v>30497</v>
      </c>
      <c r="W2" t="s">
        <v>6916</v>
      </c>
      <c r="X2" s="2">
        <v>1.59</v>
      </c>
      <c r="Y2" s="6">
        <f t="shared" ref="Y2:Y65" si="2">(X2-$Z$4)/($Z$3-$Z$4)</f>
        <v>4.2444141907583888E-2</v>
      </c>
      <c r="AA2">
        <v>52728</v>
      </c>
      <c r="AB2">
        <v>16791</v>
      </c>
      <c r="AD2" t="s">
        <v>5</v>
      </c>
      <c r="AE2">
        <v>723</v>
      </c>
      <c r="AF2">
        <v>3</v>
      </c>
      <c r="AH2" t="s">
        <v>7499</v>
      </c>
      <c r="AI2" t="s">
        <v>7498</v>
      </c>
      <c r="AJ2" t="s">
        <v>7497</v>
      </c>
      <c r="AK2" t="s">
        <v>7496</v>
      </c>
      <c r="AL2">
        <v>6</v>
      </c>
      <c r="AM2" s="5">
        <f t="shared" ref="AM2:AM30" si="3">AL2/U2</f>
        <v>0.15384615384615385</v>
      </c>
      <c r="AN2" s="4">
        <f t="shared" ref="AN2:AN65" si="4">(AM2-$AO$4)/($AO$3-$AO$4)</f>
        <v>2.3301197099000962E-4</v>
      </c>
      <c r="AO2" s="3"/>
      <c r="AP2">
        <v>0</v>
      </c>
      <c r="AQ2" t="s">
        <v>7495</v>
      </c>
      <c r="AR2" t="s">
        <v>1</v>
      </c>
      <c r="AS2" t="s">
        <v>7494</v>
      </c>
      <c r="AT2" s="2" t="s">
        <v>0</v>
      </c>
      <c r="AU2" s="1">
        <f t="shared" ref="AU2:AU30" si="5">(Y2*0.7+AN2*0.3)*100</f>
        <v>2.9780802926605725</v>
      </c>
      <c r="AV2" s="1">
        <f t="shared" ref="AV2:AV30" si="6">(Y2*0.5+AN2*0.5)*100</f>
        <v>2.1338576939286948</v>
      </c>
      <c r="AW2" s="1">
        <f t="shared" ref="AW2:AW30" si="7">(Y2*0.3+AN2*0.7)*100</f>
        <v>1.2896350951968172</v>
      </c>
    </row>
    <row r="3" spans="1:49" x14ac:dyDescent="0.2">
      <c r="A3">
        <v>1</v>
      </c>
      <c r="B3" t="s">
        <v>7493</v>
      </c>
      <c r="C3" t="s">
        <v>7492</v>
      </c>
      <c r="D3">
        <v>5272883900464</v>
      </c>
      <c r="F3" t="s">
        <v>7491</v>
      </c>
      <c r="G3" t="s">
        <v>15</v>
      </c>
      <c r="H3" t="s">
        <v>14</v>
      </c>
      <c r="I3" t="s">
        <v>7490</v>
      </c>
      <c r="J3">
        <v>60023392</v>
      </c>
      <c r="K3" t="s">
        <v>7489</v>
      </c>
      <c r="L3" t="s">
        <v>3103</v>
      </c>
      <c r="M3" t="s">
        <v>821</v>
      </c>
      <c r="N3">
        <v>2</v>
      </c>
      <c r="O3" t="s">
        <v>7488</v>
      </c>
      <c r="P3" t="s">
        <v>7487</v>
      </c>
      <c r="Q3" t="s">
        <v>7486</v>
      </c>
      <c r="R3" s="7">
        <v>30497</v>
      </c>
      <c r="S3" s="8">
        <f t="shared" si="0"/>
        <v>1983</v>
      </c>
      <c r="T3" s="8">
        <v>1983</v>
      </c>
      <c r="U3" s="8">
        <f t="shared" si="1"/>
        <v>39</v>
      </c>
      <c r="V3" s="7">
        <v>30497</v>
      </c>
      <c r="W3" t="s">
        <v>6916</v>
      </c>
      <c r="X3" s="2">
        <v>1.59</v>
      </c>
      <c r="Y3" s="6">
        <f t="shared" si="2"/>
        <v>4.2444141907583888E-2</v>
      </c>
      <c r="Z3">
        <v>37.460999999999999</v>
      </c>
      <c r="AA3">
        <v>52728</v>
      </c>
      <c r="AB3">
        <v>16791</v>
      </c>
      <c r="AD3" t="s">
        <v>5</v>
      </c>
      <c r="AE3">
        <v>723</v>
      </c>
      <c r="AF3">
        <v>3</v>
      </c>
      <c r="AH3" t="s">
        <v>7485</v>
      </c>
      <c r="AI3" t="s">
        <v>7484</v>
      </c>
      <c r="AJ3" t="s">
        <v>7483</v>
      </c>
      <c r="AK3" t="s">
        <v>7482</v>
      </c>
      <c r="AL3">
        <v>47</v>
      </c>
      <c r="AM3" s="5">
        <f t="shared" si="3"/>
        <v>1.2051282051282051</v>
      </c>
      <c r="AN3" s="4">
        <f t="shared" si="4"/>
        <v>1.8252604394217418E-3</v>
      </c>
      <c r="AO3" s="3">
        <v>660.25</v>
      </c>
      <c r="AP3">
        <v>0</v>
      </c>
      <c r="AR3" t="s">
        <v>1</v>
      </c>
      <c r="AT3" s="2" t="s">
        <v>0</v>
      </c>
      <c r="AU3" s="1">
        <f t="shared" si="5"/>
        <v>3.0258477467135241</v>
      </c>
      <c r="AV3" s="1">
        <f t="shared" si="6"/>
        <v>2.2134701173502815</v>
      </c>
      <c r="AW3" s="1">
        <f t="shared" si="7"/>
        <v>1.4010924879870383</v>
      </c>
    </row>
    <row r="4" spans="1:49" x14ac:dyDescent="0.2">
      <c r="A4">
        <v>2</v>
      </c>
      <c r="B4" t="s">
        <v>7481</v>
      </c>
      <c r="C4" t="s">
        <v>7480</v>
      </c>
      <c r="F4" t="s">
        <v>7479</v>
      </c>
      <c r="G4" t="s">
        <v>15</v>
      </c>
      <c r="H4" t="s">
        <v>14</v>
      </c>
      <c r="I4" t="s">
        <v>7478</v>
      </c>
      <c r="N4">
        <v>1</v>
      </c>
      <c r="O4" t="s">
        <v>7477</v>
      </c>
      <c r="P4">
        <v>6603992026</v>
      </c>
      <c r="R4" s="7">
        <v>30476</v>
      </c>
      <c r="S4" s="8">
        <f t="shared" si="0"/>
        <v>1983</v>
      </c>
      <c r="T4" s="8">
        <v>1983</v>
      </c>
      <c r="U4" s="8">
        <f t="shared" si="1"/>
        <v>39</v>
      </c>
      <c r="V4" s="7">
        <v>30476</v>
      </c>
      <c r="W4" t="s">
        <v>6869</v>
      </c>
      <c r="X4" s="2">
        <v>0.375</v>
      </c>
      <c r="Y4" s="6">
        <f t="shared" si="2"/>
        <v>1.0010410827260351E-2</v>
      </c>
      <c r="Z4">
        <v>0</v>
      </c>
      <c r="AA4">
        <v>135194</v>
      </c>
      <c r="AB4">
        <v>24918</v>
      </c>
      <c r="AD4" t="s">
        <v>5</v>
      </c>
      <c r="AE4">
        <v>19</v>
      </c>
      <c r="AF4">
        <v>12</v>
      </c>
      <c r="AH4" t="s">
        <v>7476</v>
      </c>
      <c r="AI4" t="s">
        <v>7475</v>
      </c>
      <c r="AJ4" t="s">
        <v>7474</v>
      </c>
      <c r="AK4" t="s">
        <v>7473</v>
      </c>
      <c r="AL4">
        <v>4</v>
      </c>
      <c r="AM4" s="5">
        <f t="shared" si="3"/>
        <v>0.10256410256410256</v>
      </c>
      <c r="AN4" s="4">
        <f t="shared" si="4"/>
        <v>1.5534131399333974E-4</v>
      </c>
      <c r="AO4" s="3">
        <v>0</v>
      </c>
      <c r="AP4">
        <v>0</v>
      </c>
      <c r="AR4" t="s">
        <v>1</v>
      </c>
      <c r="AT4" s="2">
        <v>1.3140000000000001</v>
      </c>
      <c r="AU4" s="1">
        <f t="shared" si="5"/>
        <v>0.70538899732802474</v>
      </c>
      <c r="AV4" s="1">
        <f t="shared" si="6"/>
        <v>0.50828760706268461</v>
      </c>
      <c r="AW4" s="1">
        <f t="shared" si="7"/>
        <v>0.31118621679734426</v>
      </c>
    </row>
    <row r="5" spans="1:49" x14ac:dyDescent="0.2">
      <c r="A5">
        <v>3</v>
      </c>
      <c r="B5" t="s">
        <v>7472</v>
      </c>
      <c r="C5" t="s">
        <v>7471</v>
      </c>
      <c r="F5" t="s">
        <v>7470</v>
      </c>
      <c r="G5" t="s">
        <v>15</v>
      </c>
      <c r="H5" t="s">
        <v>14</v>
      </c>
      <c r="I5" t="s">
        <v>7469</v>
      </c>
      <c r="N5">
        <v>2</v>
      </c>
      <c r="O5" t="s">
        <v>7468</v>
      </c>
      <c r="P5" t="s">
        <v>7467</v>
      </c>
      <c r="Q5" t="s">
        <v>342</v>
      </c>
      <c r="R5" s="7">
        <v>30468</v>
      </c>
      <c r="S5" s="8">
        <f t="shared" si="0"/>
        <v>1983</v>
      </c>
      <c r="T5" s="8">
        <v>1983</v>
      </c>
      <c r="U5" s="8">
        <f t="shared" si="1"/>
        <v>39</v>
      </c>
      <c r="V5" s="7">
        <v>30468</v>
      </c>
      <c r="W5" t="s">
        <v>7466</v>
      </c>
      <c r="X5" s="2">
        <v>0.14899999999999999</v>
      </c>
      <c r="Y5" s="6">
        <f t="shared" si="2"/>
        <v>3.977469902031446E-3</v>
      </c>
      <c r="AA5">
        <v>5431972</v>
      </c>
      <c r="AB5">
        <v>15425</v>
      </c>
      <c r="AC5">
        <v>15738906</v>
      </c>
      <c r="AD5" t="s">
        <v>5</v>
      </c>
      <c r="AE5">
        <v>26</v>
      </c>
      <c r="AF5">
        <v>7</v>
      </c>
      <c r="AH5" t="s">
        <v>7465</v>
      </c>
      <c r="AL5">
        <v>0</v>
      </c>
      <c r="AM5" s="5">
        <f t="shared" si="3"/>
        <v>0</v>
      </c>
      <c r="AN5" s="4">
        <f t="shared" si="4"/>
        <v>0</v>
      </c>
      <c r="AO5" s="3"/>
      <c r="AP5">
        <v>0</v>
      </c>
      <c r="AR5" t="s">
        <v>1</v>
      </c>
      <c r="AT5" s="2" t="s">
        <v>0</v>
      </c>
      <c r="AU5" s="1">
        <f t="shared" si="5"/>
        <v>0.2784228931422012</v>
      </c>
      <c r="AV5" s="1">
        <f t="shared" si="6"/>
        <v>0.19887349510157229</v>
      </c>
      <c r="AW5" s="1">
        <f t="shared" si="7"/>
        <v>0.11932409706094337</v>
      </c>
    </row>
    <row r="6" spans="1:49" x14ac:dyDescent="0.2">
      <c r="A6">
        <v>4</v>
      </c>
      <c r="B6" t="s">
        <v>7464</v>
      </c>
      <c r="C6" t="s">
        <v>7463</v>
      </c>
      <c r="F6" t="s">
        <v>7462</v>
      </c>
      <c r="G6" t="s">
        <v>15</v>
      </c>
      <c r="H6" t="s">
        <v>14</v>
      </c>
      <c r="I6" t="s">
        <v>7461</v>
      </c>
      <c r="J6" t="s">
        <v>7460</v>
      </c>
      <c r="K6" t="s">
        <v>7459</v>
      </c>
      <c r="L6" t="s">
        <v>7458</v>
      </c>
      <c r="M6" t="s">
        <v>4251</v>
      </c>
      <c r="N6">
        <v>5</v>
      </c>
      <c r="O6" t="s">
        <v>7457</v>
      </c>
      <c r="P6" t="s">
        <v>7456</v>
      </c>
      <c r="Q6" t="s">
        <v>7455</v>
      </c>
      <c r="R6" s="7">
        <v>30468</v>
      </c>
      <c r="S6" s="8">
        <f t="shared" si="0"/>
        <v>1983</v>
      </c>
      <c r="T6" s="8">
        <v>1983</v>
      </c>
      <c r="U6" s="8">
        <f t="shared" si="1"/>
        <v>39</v>
      </c>
      <c r="V6" s="7">
        <v>30468</v>
      </c>
      <c r="W6" t="s">
        <v>2466</v>
      </c>
      <c r="X6" s="2">
        <v>0.61899999999999999</v>
      </c>
      <c r="Y6" s="6">
        <f t="shared" si="2"/>
        <v>1.6523851472197752E-2</v>
      </c>
      <c r="AA6">
        <v>14966</v>
      </c>
      <c r="AB6">
        <v>12936</v>
      </c>
      <c r="AC6" t="s">
        <v>2465</v>
      </c>
      <c r="AD6" t="s">
        <v>5</v>
      </c>
      <c r="AE6">
        <v>73</v>
      </c>
      <c r="AF6">
        <v>6</v>
      </c>
      <c r="AH6" t="s">
        <v>7454</v>
      </c>
      <c r="AI6" t="s">
        <v>7453</v>
      </c>
      <c r="AK6" t="s">
        <v>7452</v>
      </c>
      <c r="AL6">
        <v>1</v>
      </c>
      <c r="AM6" s="5">
        <f t="shared" si="3"/>
        <v>2.564102564102564E-2</v>
      </c>
      <c r="AN6" s="4">
        <f t="shared" si="4"/>
        <v>3.8835328498334935E-5</v>
      </c>
      <c r="AO6" s="3"/>
      <c r="AP6">
        <v>0</v>
      </c>
      <c r="AR6" t="s">
        <v>1</v>
      </c>
      <c r="AT6" s="2" t="s">
        <v>0</v>
      </c>
      <c r="AU6" s="1">
        <f t="shared" si="5"/>
        <v>1.1578346629087926</v>
      </c>
      <c r="AV6" s="1">
        <f t="shared" si="6"/>
        <v>0.82813434003480424</v>
      </c>
      <c r="AW6" s="1">
        <f t="shared" si="7"/>
        <v>0.49843401716081603</v>
      </c>
    </row>
    <row r="7" spans="1:49" x14ac:dyDescent="0.2">
      <c r="A7">
        <v>5</v>
      </c>
      <c r="B7" t="s">
        <v>7451</v>
      </c>
      <c r="C7" t="s">
        <v>7450</v>
      </c>
      <c r="F7" t="s">
        <v>7449</v>
      </c>
      <c r="G7" t="s">
        <v>15</v>
      </c>
      <c r="H7" t="s">
        <v>14</v>
      </c>
      <c r="I7" t="s">
        <v>7448</v>
      </c>
      <c r="J7">
        <v>100456861</v>
      </c>
      <c r="K7" t="s">
        <v>7447</v>
      </c>
      <c r="L7" t="s">
        <v>1397</v>
      </c>
      <c r="M7" t="s">
        <v>80</v>
      </c>
      <c r="N7">
        <v>1</v>
      </c>
      <c r="O7" t="s">
        <v>7446</v>
      </c>
      <c r="P7">
        <v>36811179500</v>
      </c>
      <c r="Q7">
        <v>100456861</v>
      </c>
      <c r="R7" s="7">
        <v>30468</v>
      </c>
      <c r="S7" s="8">
        <f t="shared" si="0"/>
        <v>1983</v>
      </c>
      <c r="T7" s="8">
        <v>1983</v>
      </c>
      <c r="U7" s="8">
        <f t="shared" si="1"/>
        <v>39</v>
      </c>
      <c r="V7" s="7">
        <v>30468</v>
      </c>
      <c r="W7" t="s">
        <v>6127</v>
      </c>
      <c r="X7" s="2">
        <v>0.8</v>
      </c>
      <c r="Y7" s="6">
        <f t="shared" si="2"/>
        <v>2.1355543098155415E-2</v>
      </c>
      <c r="AA7">
        <v>3407594</v>
      </c>
      <c r="AB7">
        <v>23456</v>
      </c>
      <c r="AC7">
        <v>14321351</v>
      </c>
      <c r="AD7" t="s">
        <v>5</v>
      </c>
      <c r="AE7">
        <v>152</v>
      </c>
      <c r="AF7">
        <v>2</v>
      </c>
      <c r="AH7" t="s">
        <v>7445</v>
      </c>
      <c r="AI7" t="s">
        <v>7444</v>
      </c>
      <c r="AK7" t="s">
        <v>7443</v>
      </c>
      <c r="AL7">
        <v>32</v>
      </c>
      <c r="AM7" s="5">
        <f t="shared" si="3"/>
        <v>0.82051282051282048</v>
      </c>
      <c r="AN7" s="4">
        <f t="shared" si="4"/>
        <v>1.2427305119467179E-3</v>
      </c>
      <c r="AO7" s="3"/>
      <c r="AP7">
        <v>0</v>
      </c>
      <c r="AR7" t="s">
        <v>1</v>
      </c>
      <c r="AT7" s="2" t="s">
        <v>0</v>
      </c>
      <c r="AU7" s="1">
        <f t="shared" si="5"/>
        <v>1.5321699322292806</v>
      </c>
      <c r="AV7" s="1">
        <f t="shared" si="6"/>
        <v>1.1299136805051067</v>
      </c>
      <c r="AW7" s="1">
        <f t="shared" si="7"/>
        <v>0.72765742878093265</v>
      </c>
    </row>
    <row r="8" spans="1:49" x14ac:dyDescent="0.2">
      <c r="A8">
        <v>6</v>
      </c>
      <c r="B8" t="s">
        <v>7442</v>
      </c>
      <c r="C8" t="s">
        <v>7441</v>
      </c>
      <c r="D8">
        <v>14579383802749</v>
      </c>
      <c r="F8" t="s">
        <v>7440</v>
      </c>
      <c r="G8" t="s">
        <v>15</v>
      </c>
      <c r="H8" t="s">
        <v>14</v>
      </c>
      <c r="I8" t="s">
        <v>7439</v>
      </c>
      <c r="J8">
        <v>60015033</v>
      </c>
      <c r="K8" t="s">
        <v>7438</v>
      </c>
      <c r="L8" t="s">
        <v>978</v>
      </c>
      <c r="M8" t="s">
        <v>10</v>
      </c>
      <c r="N8">
        <v>2</v>
      </c>
      <c r="O8" t="s">
        <v>7437</v>
      </c>
      <c r="P8" t="s">
        <v>7436</v>
      </c>
      <c r="Q8" t="s">
        <v>7435</v>
      </c>
      <c r="R8" s="7">
        <v>30466</v>
      </c>
      <c r="S8" s="8">
        <f t="shared" si="0"/>
        <v>1983</v>
      </c>
      <c r="T8" s="8">
        <v>1983</v>
      </c>
      <c r="U8" s="8">
        <f t="shared" si="1"/>
        <v>39</v>
      </c>
      <c r="V8" s="7">
        <v>30466</v>
      </c>
      <c r="W8" t="s">
        <v>7434</v>
      </c>
      <c r="X8" s="2">
        <v>1.593</v>
      </c>
      <c r="Y8" s="6">
        <f t="shared" si="2"/>
        <v>4.2524225194201973E-2</v>
      </c>
      <c r="AA8">
        <v>145793</v>
      </c>
      <c r="AB8">
        <v>17481</v>
      </c>
      <c r="AD8" t="s">
        <v>5</v>
      </c>
      <c r="AE8">
        <v>156</v>
      </c>
      <c r="AF8">
        <v>1</v>
      </c>
      <c r="AH8" t="s">
        <v>7433</v>
      </c>
      <c r="AI8" t="s">
        <v>7432</v>
      </c>
      <c r="AJ8" t="s">
        <v>7431</v>
      </c>
      <c r="AK8" t="s">
        <v>7430</v>
      </c>
      <c r="AL8">
        <v>28</v>
      </c>
      <c r="AM8" s="5">
        <f t="shared" si="3"/>
        <v>0.71794871794871795</v>
      </c>
      <c r="AN8" s="4">
        <f t="shared" si="4"/>
        <v>1.0873891979533781E-3</v>
      </c>
      <c r="AO8" s="3"/>
      <c r="AP8">
        <v>1</v>
      </c>
      <c r="AR8" t="s">
        <v>7429</v>
      </c>
      <c r="AT8" s="2">
        <v>4.1239999999999997</v>
      </c>
      <c r="AU8" s="1">
        <f t="shared" si="5"/>
        <v>3.0093174395327393</v>
      </c>
      <c r="AV8" s="1">
        <f t="shared" si="6"/>
        <v>2.1805807196077676</v>
      </c>
      <c r="AW8" s="1">
        <f t="shared" si="7"/>
        <v>1.3518439996827956</v>
      </c>
    </row>
    <row r="9" spans="1:49" x14ac:dyDescent="0.2">
      <c r="A9">
        <v>7</v>
      </c>
      <c r="B9" t="s">
        <v>7428</v>
      </c>
      <c r="C9" t="s">
        <v>7427</v>
      </c>
      <c r="F9" t="s">
        <v>7426</v>
      </c>
      <c r="G9" t="s">
        <v>15</v>
      </c>
      <c r="H9" t="s">
        <v>14</v>
      </c>
      <c r="I9" t="s">
        <v>7425</v>
      </c>
      <c r="J9">
        <v>60008134</v>
      </c>
      <c r="K9" t="s">
        <v>7108</v>
      </c>
      <c r="L9" t="s">
        <v>7107</v>
      </c>
      <c r="M9" t="s">
        <v>431</v>
      </c>
      <c r="N9">
        <v>3</v>
      </c>
      <c r="O9" t="s">
        <v>7424</v>
      </c>
      <c r="P9" t="s">
        <v>7423</v>
      </c>
      <c r="Q9" t="s">
        <v>7422</v>
      </c>
      <c r="R9" s="7">
        <v>30448</v>
      </c>
      <c r="S9" s="8">
        <f t="shared" si="0"/>
        <v>1983</v>
      </c>
      <c r="T9" s="8">
        <v>1983</v>
      </c>
      <c r="U9" s="8">
        <f t="shared" si="1"/>
        <v>39</v>
      </c>
      <c r="V9" s="7">
        <v>30448</v>
      </c>
      <c r="W9" t="s">
        <v>6869</v>
      </c>
      <c r="X9" s="2">
        <v>0.375</v>
      </c>
      <c r="Y9" s="6">
        <f t="shared" si="2"/>
        <v>1.0010410827260351E-2</v>
      </c>
      <c r="AA9">
        <v>135194</v>
      </c>
      <c r="AB9">
        <v>24918</v>
      </c>
      <c r="AD9" t="s">
        <v>5</v>
      </c>
      <c r="AE9">
        <v>19</v>
      </c>
      <c r="AF9">
        <v>10</v>
      </c>
      <c r="AH9" t="s">
        <v>7421</v>
      </c>
      <c r="AI9" t="s">
        <v>7420</v>
      </c>
      <c r="AJ9" t="s">
        <v>7419</v>
      </c>
      <c r="AK9" t="s">
        <v>7418</v>
      </c>
      <c r="AL9">
        <v>1</v>
      </c>
      <c r="AM9" s="5">
        <f t="shared" si="3"/>
        <v>2.564102564102564E-2</v>
      </c>
      <c r="AN9" s="4">
        <f t="shared" si="4"/>
        <v>3.8835328498334935E-5</v>
      </c>
      <c r="AO9" s="3"/>
      <c r="AP9">
        <v>0</v>
      </c>
      <c r="AR9" t="s">
        <v>1</v>
      </c>
      <c r="AT9" s="2">
        <v>1.3140000000000001</v>
      </c>
      <c r="AU9" s="1">
        <f t="shared" si="5"/>
        <v>0.70189381776317461</v>
      </c>
      <c r="AV9" s="1">
        <f t="shared" si="6"/>
        <v>0.50246230778793433</v>
      </c>
      <c r="AW9" s="1">
        <f t="shared" si="7"/>
        <v>0.30303079781269393</v>
      </c>
    </row>
    <row r="10" spans="1:49" x14ac:dyDescent="0.2">
      <c r="A10">
        <v>8</v>
      </c>
      <c r="B10" t="s">
        <v>7417</v>
      </c>
      <c r="C10" t="s">
        <v>7416</v>
      </c>
      <c r="F10" t="s">
        <v>7415</v>
      </c>
      <c r="G10" t="s">
        <v>15</v>
      </c>
      <c r="H10" t="s">
        <v>14</v>
      </c>
      <c r="I10" t="s">
        <v>6475</v>
      </c>
      <c r="J10">
        <v>118839956</v>
      </c>
      <c r="K10" t="s">
        <v>7414</v>
      </c>
      <c r="L10" t="s">
        <v>6473</v>
      </c>
      <c r="M10" t="s">
        <v>271</v>
      </c>
      <c r="N10">
        <v>1</v>
      </c>
      <c r="O10" t="s">
        <v>7413</v>
      </c>
      <c r="P10">
        <v>7007098885</v>
      </c>
      <c r="Q10">
        <v>118839956</v>
      </c>
      <c r="R10" s="7">
        <v>30448</v>
      </c>
      <c r="S10" s="8">
        <f t="shared" si="0"/>
        <v>1983</v>
      </c>
      <c r="T10" s="8">
        <v>1983</v>
      </c>
      <c r="U10" s="8">
        <f t="shared" si="1"/>
        <v>39</v>
      </c>
      <c r="V10" s="7">
        <v>30448</v>
      </c>
      <c r="W10" t="s">
        <v>6869</v>
      </c>
      <c r="X10" s="2">
        <v>0.375</v>
      </c>
      <c r="Y10" s="6">
        <f t="shared" si="2"/>
        <v>1.0010410827260351E-2</v>
      </c>
      <c r="AA10">
        <v>135194</v>
      </c>
      <c r="AB10">
        <v>24918</v>
      </c>
      <c r="AD10" t="s">
        <v>5</v>
      </c>
      <c r="AE10">
        <v>19</v>
      </c>
      <c r="AF10">
        <v>10</v>
      </c>
      <c r="AH10" t="s">
        <v>7412</v>
      </c>
      <c r="AI10" t="s">
        <v>7411</v>
      </c>
      <c r="AJ10" t="s">
        <v>7410</v>
      </c>
      <c r="AK10" t="s">
        <v>7409</v>
      </c>
      <c r="AL10">
        <v>0</v>
      </c>
      <c r="AM10" s="5">
        <f t="shared" si="3"/>
        <v>0</v>
      </c>
      <c r="AN10" s="4">
        <f t="shared" si="4"/>
        <v>0</v>
      </c>
      <c r="AO10" s="3"/>
      <c r="AP10">
        <v>0</v>
      </c>
      <c r="AR10" t="s">
        <v>1</v>
      </c>
      <c r="AT10" s="2">
        <v>1.3140000000000001</v>
      </c>
      <c r="AU10" s="1">
        <f t="shared" si="5"/>
        <v>0.70072875790822453</v>
      </c>
      <c r="AV10" s="1">
        <f t="shared" si="6"/>
        <v>0.5005205413630176</v>
      </c>
      <c r="AW10" s="1">
        <f t="shared" si="7"/>
        <v>0.30031232481781051</v>
      </c>
    </row>
    <row r="11" spans="1:49" x14ac:dyDescent="0.2">
      <c r="A11">
        <v>9</v>
      </c>
      <c r="B11" t="s">
        <v>7408</v>
      </c>
      <c r="C11" t="s">
        <v>7407</v>
      </c>
      <c r="F11" t="s">
        <v>7406</v>
      </c>
      <c r="G11" t="s">
        <v>15</v>
      </c>
      <c r="H11" t="s">
        <v>14</v>
      </c>
      <c r="I11" t="s">
        <v>7405</v>
      </c>
      <c r="J11">
        <v>60072501</v>
      </c>
      <c r="K11" t="s">
        <v>7404</v>
      </c>
      <c r="L11" t="s">
        <v>7403</v>
      </c>
      <c r="M11" t="s">
        <v>80</v>
      </c>
      <c r="N11">
        <v>1</v>
      </c>
      <c r="O11" t="s">
        <v>7402</v>
      </c>
      <c r="P11">
        <v>7101932815</v>
      </c>
      <c r="Q11">
        <v>60072501</v>
      </c>
      <c r="R11" s="7">
        <v>30448</v>
      </c>
      <c r="S11" s="8">
        <f t="shared" si="0"/>
        <v>1983</v>
      </c>
      <c r="T11" s="8">
        <v>1983</v>
      </c>
      <c r="U11" s="8">
        <f t="shared" si="1"/>
        <v>39</v>
      </c>
      <c r="V11" s="7">
        <v>30448</v>
      </c>
      <c r="W11" t="s">
        <v>6869</v>
      </c>
      <c r="X11" s="2">
        <v>0.375</v>
      </c>
      <c r="Y11" s="6">
        <f t="shared" si="2"/>
        <v>1.0010410827260351E-2</v>
      </c>
      <c r="AA11">
        <v>135194</v>
      </c>
      <c r="AB11">
        <v>24918</v>
      </c>
      <c r="AD11" t="s">
        <v>5</v>
      </c>
      <c r="AE11">
        <v>19</v>
      </c>
      <c r="AF11">
        <v>10</v>
      </c>
      <c r="AH11" t="s">
        <v>7401</v>
      </c>
      <c r="AI11" t="s">
        <v>7400</v>
      </c>
      <c r="AJ11" t="s">
        <v>7399</v>
      </c>
      <c r="AK11" t="s">
        <v>7398</v>
      </c>
      <c r="AL11">
        <v>1</v>
      </c>
      <c r="AM11" s="5">
        <f t="shared" si="3"/>
        <v>2.564102564102564E-2</v>
      </c>
      <c r="AN11" s="4">
        <f t="shared" si="4"/>
        <v>3.8835328498334935E-5</v>
      </c>
      <c r="AO11" s="3"/>
      <c r="AP11">
        <v>0</v>
      </c>
      <c r="AR11" t="s">
        <v>1</v>
      </c>
      <c r="AT11" s="2">
        <v>1.3140000000000001</v>
      </c>
      <c r="AU11" s="1">
        <f t="shared" si="5"/>
        <v>0.70189381776317461</v>
      </c>
      <c r="AV11" s="1">
        <f t="shared" si="6"/>
        <v>0.50246230778793433</v>
      </c>
      <c r="AW11" s="1">
        <f t="shared" si="7"/>
        <v>0.30303079781269393</v>
      </c>
    </row>
    <row r="12" spans="1:49" x14ac:dyDescent="0.2">
      <c r="A12">
        <v>10</v>
      </c>
      <c r="B12" t="s">
        <v>7397</v>
      </c>
      <c r="C12" t="s">
        <v>7396</v>
      </c>
      <c r="F12" t="s">
        <v>7395</v>
      </c>
      <c r="G12" t="s">
        <v>15</v>
      </c>
      <c r="H12" t="s">
        <v>14</v>
      </c>
      <c r="I12" t="s">
        <v>7394</v>
      </c>
      <c r="J12">
        <v>60004750</v>
      </c>
      <c r="K12" t="s">
        <v>4426</v>
      </c>
      <c r="L12" t="s">
        <v>4425</v>
      </c>
      <c r="M12" t="s">
        <v>175</v>
      </c>
      <c r="N12">
        <v>2</v>
      </c>
      <c r="O12" t="s">
        <v>7393</v>
      </c>
      <c r="P12" t="s">
        <v>7392</v>
      </c>
      <c r="Q12" t="s">
        <v>4422</v>
      </c>
      <c r="R12" s="7">
        <v>30448</v>
      </c>
      <c r="S12" s="8">
        <f t="shared" si="0"/>
        <v>1983</v>
      </c>
      <c r="T12" s="8">
        <v>1983</v>
      </c>
      <c r="U12" s="8">
        <f t="shared" si="1"/>
        <v>39</v>
      </c>
      <c r="V12" s="7">
        <v>30448</v>
      </c>
      <c r="W12" t="s">
        <v>6869</v>
      </c>
      <c r="X12" s="2">
        <v>0.375</v>
      </c>
      <c r="Y12" s="6">
        <f t="shared" si="2"/>
        <v>1.0010410827260351E-2</v>
      </c>
      <c r="AA12">
        <v>135194</v>
      </c>
      <c r="AB12">
        <v>24918</v>
      </c>
      <c r="AD12" t="s">
        <v>5</v>
      </c>
      <c r="AE12">
        <v>19</v>
      </c>
      <c r="AF12">
        <v>10</v>
      </c>
      <c r="AH12" t="s">
        <v>7391</v>
      </c>
      <c r="AI12" t="s">
        <v>7390</v>
      </c>
      <c r="AK12" t="s">
        <v>7389</v>
      </c>
      <c r="AL12">
        <v>1</v>
      </c>
      <c r="AM12" s="5">
        <f t="shared" si="3"/>
        <v>2.564102564102564E-2</v>
      </c>
      <c r="AN12" s="4">
        <f t="shared" si="4"/>
        <v>3.8835328498334935E-5</v>
      </c>
      <c r="AO12" s="3"/>
      <c r="AP12">
        <v>0</v>
      </c>
      <c r="AR12" t="s">
        <v>1</v>
      </c>
      <c r="AT12" s="2">
        <v>1.3140000000000001</v>
      </c>
      <c r="AU12" s="1">
        <f t="shared" si="5"/>
        <v>0.70189381776317461</v>
      </c>
      <c r="AV12" s="1">
        <f t="shared" si="6"/>
        <v>0.50246230778793433</v>
      </c>
      <c r="AW12" s="1">
        <f t="shared" si="7"/>
        <v>0.30303079781269393</v>
      </c>
    </row>
    <row r="13" spans="1:49" x14ac:dyDescent="0.2">
      <c r="A13">
        <v>11</v>
      </c>
      <c r="B13" t="s">
        <v>7388</v>
      </c>
      <c r="C13" t="s">
        <v>7387</v>
      </c>
      <c r="F13" t="s">
        <v>7386</v>
      </c>
      <c r="G13" t="s">
        <v>15</v>
      </c>
      <c r="H13" t="s">
        <v>14</v>
      </c>
      <c r="I13" t="s">
        <v>7385</v>
      </c>
      <c r="J13">
        <v>60138276</v>
      </c>
      <c r="K13" t="s">
        <v>7384</v>
      </c>
      <c r="L13" t="s">
        <v>7383</v>
      </c>
      <c r="M13" t="s">
        <v>431</v>
      </c>
      <c r="N13">
        <v>3</v>
      </c>
      <c r="O13" t="s">
        <v>7382</v>
      </c>
      <c r="P13" t="s">
        <v>7381</v>
      </c>
      <c r="Q13" t="s">
        <v>7380</v>
      </c>
      <c r="R13" s="7">
        <v>30437</v>
      </c>
      <c r="S13" s="8">
        <f t="shared" si="0"/>
        <v>1983</v>
      </c>
      <c r="T13" s="8">
        <v>1983</v>
      </c>
      <c r="U13" s="8">
        <f t="shared" si="1"/>
        <v>39</v>
      </c>
      <c r="V13" s="7">
        <v>30437</v>
      </c>
      <c r="W13" t="s">
        <v>7320</v>
      </c>
      <c r="X13" s="2">
        <v>2.4740000000000002</v>
      </c>
      <c r="Y13" s="6">
        <f t="shared" si="2"/>
        <v>6.6042017031045633E-2</v>
      </c>
      <c r="AA13">
        <v>386308</v>
      </c>
      <c r="AB13">
        <v>28261</v>
      </c>
      <c r="AC13">
        <v>15729672</v>
      </c>
      <c r="AD13" t="s">
        <v>5</v>
      </c>
      <c r="AE13">
        <v>35</v>
      </c>
      <c r="AF13">
        <v>1</v>
      </c>
      <c r="AH13" t="s">
        <v>7379</v>
      </c>
      <c r="AI13" t="s">
        <v>7378</v>
      </c>
      <c r="AK13" t="s">
        <v>7377</v>
      </c>
      <c r="AL13">
        <v>1</v>
      </c>
      <c r="AM13" s="5">
        <f t="shared" si="3"/>
        <v>2.564102564102564E-2</v>
      </c>
      <c r="AN13" s="4">
        <f t="shared" si="4"/>
        <v>3.8835328498334935E-5</v>
      </c>
      <c r="AO13" s="3"/>
      <c r="AP13">
        <v>0</v>
      </c>
      <c r="AR13" t="s">
        <v>1</v>
      </c>
      <c r="AT13" s="2">
        <v>8.0169999999999995</v>
      </c>
      <c r="AU13" s="1">
        <f t="shared" si="5"/>
        <v>4.6241062520281444</v>
      </c>
      <c r="AV13" s="1">
        <f t="shared" si="6"/>
        <v>3.3040426179771987</v>
      </c>
      <c r="AW13" s="1">
        <f t="shared" si="7"/>
        <v>1.9839789839262525</v>
      </c>
    </row>
    <row r="14" spans="1:49" x14ac:dyDescent="0.2">
      <c r="A14">
        <v>12</v>
      </c>
      <c r="B14" t="s">
        <v>7376</v>
      </c>
      <c r="C14" t="s">
        <v>7375</v>
      </c>
      <c r="F14" t="s">
        <v>7374</v>
      </c>
      <c r="G14" t="s">
        <v>15</v>
      </c>
      <c r="H14" t="s">
        <v>14</v>
      </c>
      <c r="I14" t="s">
        <v>7313</v>
      </c>
      <c r="J14">
        <v>60014439</v>
      </c>
      <c r="K14" t="s">
        <v>7312</v>
      </c>
      <c r="L14" t="s">
        <v>7311</v>
      </c>
      <c r="M14" t="s">
        <v>10</v>
      </c>
      <c r="N14">
        <v>1</v>
      </c>
      <c r="O14" t="s">
        <v>7310</v>
      </c>
      <c r="P14">
        <v>7102068858</v>
      </c>
      <c r="Q14">
        <v>60014439</v>
      </c>
      <c r="R14" s="7">
        <v>30437</v>
      </c>
      <c r="S14" s="8">
        <f t="shared" si="0"/>
        <v>1983</v>
      </c>
      <c r="T14" s="8">
        <v>1983</v>
      </c>
      <c r="U14" s="8">
        <f t="shared" si="1"/>
        <v>39</v>
      </c>
      <c r="V14" s="7">
        <v>30437</v>
      </c>
      <c r="W14" t="s">
        <v>7022</v>
      </c>
      <c r="X14" s="2">
        <v>0.85499999999999998</v>
      </c>
      <c r="Y14" s="6">
        <f t="shared" si="2"/>
        <v>2.28237366861536E-2</v>
      </c>
      <c r="AA14">
        <v>980331</v>
      </c>
      <c r="AB14">
        <v>23342</v>
      </c>
      <c r="AC14">
        <v>15731561</v>
      </c>
      <c r="AD14" t="s">
        <v>5</v>
      </c>
      <c r="AE14">
        <v>9</v>
      </c>
      <c r="AF14">
        <v>5</v>
      </c>
      <c r="AH14" t="s">
        <v>7373</v>
      </c>
      <c r="AI14" t="s">
        <v>7372</v>
      </c>
      <c r="AJ14" t="s">
        <v>7371</v>
      </c>
      <c r="AK14" t="s">
        <v>7370</v>
      </c>
      <c r="AL14">
        <v>12</v>
      </c>
      <c r="AM14" s="5">
        <f t="shared" si="3"/>
        <v>0.30769230769230771</v>
      </c>
      <c r="AN14" s="4">
        <f t="shared" si="4"/>
        <v>4.6602394198001925E-4</v>
      </c>
      <c r="AO14" s="3"/>
      <c r="AP14">
        <v>0</v>
      </c>
      <c r="AR14" t="s">
        <v>1</v>
      </c>
      <c r="AT14" s="2">
        <v>2.6259999999999999</v>
      </c>
      <c r="AU14" s="1">
        <f t="shared" si="5"/>
        <v>1.6116422862901523</v>
      </c>
      <c r="AV14" s="1">
        <f t="shared" si="6"/>
        <v>1.1644880314066808</v>
      </c>
      <c r="AW14" s="1">
        <f t="shared" si="7"/>
        <v>0.71733377652320929</v>
      </c>
    </row>
    <row r="15" spans="1:49" x14ac:dyDescent="0.2">
      <c r="A15">
        <v>13</v>
      </c>
      <c r="B15" t="s">
        <v>7369</v>
      </c>
      <c r="F15" t="s">
        <v>7368</v>
      </c>
      <c r="G15" t="s">
        <v>15</v>
      </c>
      <c r="H15" t="s">
        <v>14</v>
      </c>
      <c r="I15" t="s">
        <v>7367</v>
      </c>
      <c r="N15">
        <v>1</v>
      </c>
      <c r="O15" t="s">
        <v>7366</v>
      </c>
      <c r="P15">
        <v>6507606718</v>
      </c>
      <c r="R15" s="7">
        <v>30437</v>
      </c>
      <c r="S15" s="8">
        <f t="shared" si="0"/>
        <v>1983</v>
      </c>
      <c r="T15" s="8">
        <v>1983</v>
      </c>
      <c r="U15" s="8">
        <f t="shared" si="1"/>
        <v>39</v>
      </c>
      <c r="V15" s="7">
        <v>30437</v>
      </c>
      <c r="W15" t="s">
        <v>296</v>
      </c>
      <c r="X15" s="2">
        <v>0.627</v>
      </c>
      <c r="Y15" s="6">
        <f t="shared" si="2"/>
        <v>1.6737406903179305E-2</v>
      </c>
      <c r="AA15" t="s">
        <v>295</v>
      </c>
      <c r="AB15">
        <v>50091</v>
      </c>
      <c r="AD15" t="s">
        <v>5</v>
      </c>
      <c r="AE15">
        <v>109</v>
      </c>
      <c r="AF15">
        <v>2</v>
      </c>
      <c r="AH15" t="s">
        <v>294</v>
      </c>
      <c r="AI15" t="s">
        <v>7365</v>
      </c>
      <c r="AK15" t="s">
        <v>7364</v>
      </c>
      <c r="AL15">
        <v>4</v>
      </c>
      <c r="AM15" s="5">
        <f t="shared" si="3"/>
        <v>0.10256410256410256</v>
      </c>
      <c r="AN15" s="4">
        <f t="shared" si="4"/>
        <v>1.5534131399333974E-4</v>
      </c>
      <c r="AO15" s="3"/>
      <c r="AP15">
        <v>0</v>
      </c>
      <c r="AR15" t="s">
        <v>1</v>
      </c>
      <c r="AT15" s="2" t="s">
        <v>0</v>
      </c>
      <c r="AU15" s="1">
        <f t="shared" si="5"/>
        <v>1.1762787226423517</v>
      </c>
      <c r="AV15" s="1">
        <f t="shared" si="6"/>
        <v>0.8446374108586322</v>
      </c>
      <c r="AW15" s="1">
        <f t="shared" si="7"/>
        <v>0.51299609907491284</v>
      </c>
    </row>
    <row r="16" spans="1:49" x14ac:dyDescent="0.2">
      <c r="A16">
        <v>14</v>
      </c>
      <c r="B16" t="s">
        <v>7363</v>
      </c>
      <c r="C16" t="s">
        <v>7362</v>
      </c>
      <c r="F16" t="s">
        <v>7361</v>
      </c>
      <c r="G16" t="s">
        <v>15</v>
      </c>
      <c r="H16" t="s">
        <v>14</v>
      </c>
      <c r="I16" t="s">
        <v>7360</v>
      </c>
      <c r="J16">
        <v>60008435</v>
      </c>
      <c r="K16" t="s">
        <v>4008</v>
      </c>
      <c r="L16" t="s">
        <v>4007</v>
      </c>
      <c r="M16" t="s">
        <v>55</v>
      </c>
      <c r="N16">
        <v>4</v>
      </c>
      <c r="O16" t="s">
        <v>7359</v>
      </c>
      <c r="P16" t="s">
        <v>7358</v>
      </c>
      <c r="Q16" t="s">
        <v>5947</v>
      </c>
      <c r="R16" s="7">
        <v>30437</v>
      </c>
      <c r="S16" s="8">
        <f t="shared" si="0"/>
        <v>1983</v>
      </c>
      <c r="T16" s="8">
        <v>1983</v>
      </c>
      <c r="U16" s="8">
        <f t="shared" si="1"/>
        <v>39</v>
      </c>
      <c r="V16" s="7">
        <v>30437</v>
      </c>
      <c r="W16" t="s">
        <v>7343</v>
      </c>
      <c r="X16" s="2">
        <v>0.61499999999999999</v>
      </c>
      <c r="Y16" s="6">
        <f t="shared" si="2"/>
        <v>1.6417073756706976E-2</v>
      </c>
      <c r="AA16">
        <v>1959271</v>
      </c>
      <c r="AB16">
        <v>12141</v>
      </c>
      <c r="AC16">
        <v>15729559</v>
      </c>
      <c r="AD16" t="s">
        <v>5</v>
      </c>
      <c r="AE16">
        <v>4</v>
      </c>
      <c r="AF16">
        <v>3</v>
      </c>
      <c r="AH16" t="s">
        <v>7357</v>
      </c>
      <c r="AI16" t="s">
        <v>7356</v>
      </c>
      <c r="AJ16" t="s">
        <v>7355</v>
      </c>
      <c r="AK16" t="s">
        <v>7354</v>
      </c>
      <c r="AL16">
        <v>6</v>
      </c>
      <c r="AM16" s="5">
        <f t="shared" si="3"/>
        <v>0.15384615384615385</v>
      </c>
      <c r="AN16" s="4">
        <f t="shared" si="4"/>
        <v>2.3301197099000962E-4</v>
      </c>
      <c r="AO16" s="3"/>
      <c r="AP16">
        <v>0</v>
      </c>
      <c r="AR16" t="s">
        <v>1</v>
      </c>
      <c r="AT16" s="2" t="s">
        <v>0</v>
      </c>
      <c r="AU16" s="1">
        <f t="shared" si="5"/>
        <v>1.1561855220991883</v>
      </c>
      <c r="AV16" s="1">
        <f t="shared" si="6"/>
        <v>0.83250428638484919</v>
      </c>
      <c r="AW16" s="1">
        <f t="shared" si="7"/>
        <v>0.50882305067050992</v>
      </c>
    </row>
    <row r="17" spans="1:49" x14ac:dyDescent="0.2">
      <c r="A17">
        <v>15</v>
      </c>
      <c r="B17" t="s">
        <v>7353</v>
      </c>
      <c r="C17" t="s">
        <v>7352</v>
      </c>
      <c r="F17" t="s">
        <v>7351</v>
      </c>
      <c r="G17" t="s">
        <v>15</v>
      </c>
      <c r="H17" t="s">
        <v>14</v>
      </c>
      <c r="I17" t="s">
        <v>7350</v>
      </c>
      <c r="J17" t="s">
        <v>7349</v>
      </c>
      <c r="K17" t="s">
        <v>7348</v>
      </c>
      <c r="L17" t="s">
        <v>7347</v>
      </c>
      <c r="M17" t="s">
        <v>2065</v>
      </c>
      <c r="N17">
        <v>4</v>
      </c>
      <c r="O17" t="s">
        <v>7346</v>
      </c>
      <c r="P17" t="s">
        <v>7345</v>
      </c>
      <c r="Q17" t="s">
        <v>7344</v>
      </c>
      <c r="R17" s="7">
        <v>30437</v>
      </c>
      <c r="S17" s="8">
        <f t="shared" si="0"/>
        <v>1983</v>
      </c>
      <c r="T17" s="8">
        <v>1983</v>
      </c>
      <c r="U17" s="8">
        <f t="shared" si="1"/>
        <v>39</v>
      </c>
      <c r="V17" s="7">
        <v>30437</v>
      </c>
      <c r="W17" t="s">
        <v>7343</v>
      </c>
      <c r="X17" s="2">
        <v>0.61499999999999999</v>
      </c>
      <c r="Y17" s="6">
        <f t="shared" si="2"/>
        <v>1.6417073756706976E-2</v>
      </c>
      <c r="AA17">
        <v>1959271</v>
      </c>
      <c r="AB17">
        <v>12141</v>
      </c>
      <c r="AC17">
        <v>15729559</v>
      </c>
      <c r="AD17" t="s">
        <v>5</v>
      </c>
      <c r="AE17">
        <v>4</v>
      </c>
      <c r="AF17">
        <v>3</v>
      </c>
      <c r="AH17" t="s">
        <v>7342</v>
      </c>
      <c r="AI17" t="s">
        <v>7341</v>
      </c>
      <c r="AJ17" t="s">
        <v>7340</v>
      </c>
      <c r="AK17" t="s">
        <v>7339</v>
      </c>
      <c r="AL17">
        <v>1</v>
      </c>
      <c r="AM17" s="5">
        <f t="shared" si="3"/>
        <v>2.564102564102564E-2</v>
      </c>
      <c r="AN17" s="4">
        <f t="shared" si="4"/>
        <v>3.8835328498334935E-5</v>
      </c>
      <c r="AO17" s="3"/>
      <c r="AP17">
        <v>0</v>
      </c>
      <c r="AR17" t="s">
        <v>1</v>
      </c>
      <c r="AT17" s="2" t="s">
        <v>0</v>
      </c>
      <c r="AU17" s="1">
        <f t="shared" si="5"/>
        <v>1.1503602228244381</v>
      </c>
      <c r="AV17" s="1">
        <f t="shared" si="6"/>
        <v>0.82279545426026546</v>
      </c>
      <c r="AW17" s="1">
        <f t="shared" si="7"/>
        <v>0.49523068569609269</v>
      </c>
    </row>
    <row r="18" spans="1:49" x14ac:dyDescent="0.2">
      <c r="A18">
        <v>16</v>
      </c>
      <c r="B18" t="s">
        <v>7338</v>
      </c>
      <c r="C18" t="s">
        <v>7337</v>
      </c>
      <c r="F18" t="s">
        <v>7336</v>
      </c>
      <c r="G18" t="s">
        <v>15</v>
      </c>
      <c r="H18" t="s">
        <v>14</v>
      </c>
      <c r="I18" t="s">
        <v>7335</v>
      </c>
      <c r="J18">
        <v>60009507</v>
      </c>
      <c r="K18" t="s">
        <v>7334</v>
      </c>
      <c r="L18" t="s">
        <v>7333</v>
      </c>
      <c r="M18" t="s">
        <v>1229</v>
      </c>
      <c r="N18">
        <v>3</v>
      </c>
      <c r="O18" t="s">
        <v>7332</v>
      </c>
      <c r="P18" t="s">
        <v>7331</v>
      </c>
      <c r="Q18" t="s">
        <v>7330</v>
      </c>
      <c r="R18" s="7">
        <v>30437</v>
      </c>
      <c r="S18" s="8">
        <f t="shared" si="0"/>
        <v>1983</v>
      </c>
      <c r="T18" s="8">
        <v>1983</v>
      </c>
      <c r="U18" s="8">
        <f t="shared" si="1"/>
        <v>39</v>
      </c>
      <c r="V18" s="7">
        <v>30437</v>
      </c>
      <c r="W18" t="s">
        <v>76</v>
      </c>
      <c r="X18" s="2">
        <v>1.43</v>
      </c>
      <c r="Y18" s="6">
        <f t="shared" si="2"/>
        <v>3.8173033287952803E-2</v>
      </c>
      <c r="AA18">
        <v>62960</v>
      </c>
      <c r="AB18">
        <v>16867</v>
      </c>
      <c r="AC18">
        <v>15204995</v>
      </c>
      <c r="AD18" t="s">
        <v>5</v>
      </c>
      <c r="AE18">
        <v>22</v>
      </c>
      <c r="AF18">
        <v>10</v>
      </c>
      <c r="AH18" t="s">
        <v>7329</v>
      </c>
      <c r="AI18" t="s">
        <v>7328</v>
      </c>
      <c r="AK18" t="s">
        <v>7327</v>
      </c>
      <c r="AL18">
        <v>73</v>
      </c>
      <c r="AM18" s="5">
        <f t="shared" si="3"/>
        <v>1.8717948717948718</v>
      </c>
      <c r="AN18" s="4">
        <f t="shared" si="4"/>
        <v>2.8349789803784504E-3</v>
      </c>
      <c r="AO18" s="3"/>
      <c r="AP18">
        <v>0</v>
      </c>
      <c r="AR18" t="s">
        <v>1</v>
      </c>
      <c r="AT18" s="2">
        <v>3.1619999999999999</v>
      </c>
      <c r="AU18" s="1">
        <f t="shared" si="5"/>
        <v>2.7571616995680497</v>
      </c>
      <c r="AV18" s="1">
        <f t="shared" si="6"/>
        <v>2.0504006134165627</v>
      </c>
      <c r="AW18" s="1">
        <f t="shared" si="7"/>
        <v>1.3436395272650756</v>
      </c>
    </row>
    <row r="19" spans="1:49" x14ac:dyDescent="0.2">
      <c r="A19">
        <v>17</v>
      </c>
      <c r="B19" t="s">
        <v>7326</v>
      </c>
      <c r="C19" t="s">
        <v>7325</v>
      </c>
      <c r="F19" t="s">
        <v>7324</v>
      </c>
      <c r="G19" t="s">
        <v>15</v>
      </c>
      <c r="H19" t="s">
        <v>14</v>
      </c>
      <c r="I19" t="s">
        <v>7323</v>
      </c>
      <c r="J19">
        <v>60002561</v>
      </c>
      <c r="K19" t="s">
        <v>7322</v>
      </c>
      <c r="L19" t="s">
        <v>56</v>
      </c>
      <c r="M19" t="s">
        <v>55</v>
      </c>
      <c r="N19">
        <v>1</v>
      </c>
      <c r="O19" t="s">
        <v>7321</v>
      </c>
      <c r="P19">
        <v>57210535752</v>
      </c>
      <c r="Q19">
        <v>60002561</v>
      </c>
      <c r="R19" s="7">
        <v>30437</v>
      </c>
      <c r="S19" s="8">
        <f t="shared" si="0"/>
        <v>1983</v>
      </c>
      <c r="T19" s="8">
        <v>1983</v>
      </c>
      <c r="U19" s="8">
        <f t="shared" si="1"/>
        <v>39</v>
      </c>
      <c r="V19" s="7">
        <v>30437</v>
      </c>
      <c r="W19" t="s">
        <v>7320</v>
      </c>
      <c r="X19" s="2">
        <v>2.4740000000000002</v>
      </c>
      <c r="Y19" s="6">
        <f t="shared" si="2"/>
        <v>6.6042017031045633E-2</v>
      </c>
      <c r="AA19">
        <v>386308</v>
      </c>
      <c r="AB19">
        <v>28261</v>
      </c>
      <c r="AC19">
        <v>15729672</v>
      </c>
      <c r="AD19" t="s">
        <v>5</v>
      </c>
      <c r="AE19">
        <v>35</v>
      </c>
      <c r="AF19">
        <v>1</v>
      </c>
      <c r="AH19" t="s">
        <v>7319</v>
      </c>
      <c r="AI19" t="s">
        <v>7318</v>
      </c>
      <c r="AK19" t="s">
        <v>7317</v>
      </c>
      <c r="AL19">
        <v>5</v>
      </c>
      <c r="AM19" s="5">
        <f t="shared" si="3"/>
        <v>0.12820512820512819</v>
      </c>
      <c r="AN19" s="4">
        <f t="shared" si="4"/>
        <v>1.9417664249167467E-4</v>
      </c>
      <c r="AO19" s="3"/>
      <c r="AP19">
        <v>0</v>
      </c>
      <c r="AR19" t="s">
        <v>1</v>
      </c>
      <c r="AT19" s="2">
        <v>8.0169999999999995</v>
      </c>
      <c r="AU19" s="1">
        <f t="shared" si="5"/>
        <v>4.6287664914479443</v>
      </c>
      <c r="AV19" s="1">
        <f t="shared" si="6"/>
        <v>3.3118096836768656</v>
      </c>
      <c r="AW19" s="1">
        <f t="shared" si="7"/>
        <v>1.9948528759057862</v>
      </c>
    </row>
    <row r="20" spans="1:49" x14ac:dyDescent="0.2">
      <c r="A20">
        <v>18</v>
      </c>
      <c r="B20" t="s">
        <v>7316</v>
      </c>
      <c r="C20" t="s">
        <v>7315</v>
      </c>
      <c r="F20" t="s">
        <v>7314</v>
      </c>
      <c r="G20" t="s">
        <v>15</v>
      </c>
      <c r="H20" t="s">
        <v>14</v>
      </c>
      <c r="I20" t="s">
        <v>7313</v>
      </c>
      <c r="J20">
        <v>60014439</v>
      </c>
      <c r="K20" t="s">
        <v>7312</v>
      </c>
      <c r="L20" t="s">
        <v>7311</v>
      </c>
      <c r="M20" t="s">
        <v>10</v>
      </c>
      <c r="N20">
        <v>1</v>
      </c>
      <c r="O20" t="s">
        <v>7310</v>
      </c>
      <c r="P20">
        <v>7102068858</v>
      </c>
      <c r="Q20">
        <v>60014439</v>
      </c>
      <c r="R20" s="7">
        <v>30437</v>
      </c>
      <c r="S20" s="8">
        <f t="shared" si="0"/>
        <v>1983</v>
      </c>
      <c r="T20" s="8">
        <v>1983</v>
      </c>
      <c r="U20" s="8">
        <f t="shared" si="1"/>
        <v>39</v>
      </c>
      <c r="V20" s="7">
        <v>30437</v>
      </c>
      <c r="W20" t="s">
        <v>7022</v>
      </c>
      <c r="X20" s="2">
        <v>0.85499999999999998</v>
      </c>
      <c r="Y20" s="6">
        <f t="shared" si="2"/>
        <v>2.28237366861536E-2</v>
      </c>
      <c r="AA20">
        <v>980331</v>
      </c>
      <c r="AB20">
        <v>23342</v>
      </c>
      <c r="AC20">
        <v>15731561</v>
      </c>
      <c r="AD20" t="s">
        <v>5</v>
      </c>
      <c r="AE20">
        <v>9</v>
      </c>
      <c r="AF20">
        <v>5</v>
      </c>
      <c r="AH20" t="s">
        <v>7309</v>
      </c>
      <c r="AI20" t="s">
        <v>7308</v>
      </c>
      <c r="AJ20" t="s">
        <v>7307</v>
      </c>
      <c r="AK20" t="s">
        <v>7306</v>
      </c>
      <c r="AL20">
        <v>12</v>
      </c>
      <c r="AM20" s="5">
        <f t="shared" si="3"/>
        <v>0.30769230769230771</v>
      </c>
      <c r="AN20" s="4">
        <f t="shared" si="4"/>
        <v>4.6602394198001925E-4</v>
      </c>
      <c r="AO20" s="3"/>
      <c r="AP20">
        <v>0</v>
      </c>
      <c r="AR20" t="s">
        <v>1</v>
      </c>
      <c r="AT20" s="2">
        <v>2.6259999999999999</v>
      </c>
      <c r="AU20" s="1">
        <f t="shared" si="5"/>
        <v>1.6116422862901523</v>
      </c>
      <c r="AV20" s="1">
        <f t="shared" si="6"/>
        <v>1.1644880314066808</v>
      </c>
      <c r="AW20" s="1">
        <f t="shared" si="7"/>
        <v>0.71733377652320929</v>
      </c>
    </row>
    <row r="21" spans="1:49" x14ac:dyDescent="0.2">
      <c r="A21">
        <v>19</v>
      </c>
      <c r="B21" t="s">
        <v>7305</v>
      </c>
      <c r="C21" t="s">
        <v>7304</v>
      </c>
      <c r="F21" t="s">
        <v>7303</v>
      </c>
      <c r="G21" t="s">
        <v>15</v>
      </c>
      <c r="H21" t="s">
        <v>14</v>
      </c>
      <c r="I21" t="s">
        <v>7302</v>
      </c>
      <c r="J21">
        <v>60022132</v>
      </c>
      <c r="K21" t="s">
        <v>7301</v>
      </c>
      <c r="L21" t="s">
        <v>7300</v>
      </c>
      <c r="M21" t="s">
        <v>271</v>
      </c>
      <c r="N21">
        <v>3</v>
      </c>
      <c r="O21" t="s">
        <v>7299</v>
      </c>
      <c r="P21" t="s">
        <v>7298</v>
      </c>
      <c r="Q21" t="s">
        <v>7297</v>
      </c>
      <c r="R21" s="7">
        <v>30437</v>
      </c>
      <c r="S21" s="8">
        <f t="shared" si="0"/>
        <v>1983</v>
      </c>
      <c r="T21" s="8">
        <v>1983</v>
      </c>
      <c r="U21" s="8">
        <f t="shared" si="1"/>
        <v>39</v>
      </c>
      <c r="V21" s="7">
        <v>30437</v>
      </c>
      <c r="W21" t="s">
        <v>7296</v>
      </c>
      <c r="X21" s="2" t="s">
        <v>0</v>
      </c>
      <c r="Y21" s="6" t="e">
        <f t="shared" si="2"/>
        <v>#VALUE!</v>
      </c>
      <c r="AA21">
        <v>3400794</v>
      </c>
      <c r="AB21">
        <v>67718</v>
      </c>
      <c r="AC21" t="s">
        <v>7295</v>
      </c>
      <c r="AD21" t="s">
        <v>5</v>
      </c>
      <c r="AE21">
        <v>192</v>
      </c>
      <c r="AF21" s="9">
        <v>44289</v>
      </c>
      <c r="AH21" t="s">
        <v>1729</v>
      </c>
      <c r="AI21" t="s">
        <v>7294</v>
      </c>
      <c r="AJ21" t="s">
        <v>7293</v>
      </c>
      <c r="AK21" t="s">
        <v>7292</v>
      </c>
      <c r="AL21">
        <v>29</v>
      </c>
      <c r="AM21" s="5">
        <f t="shared" si="3"/>
        <v>0.74358974358974361</v>
      </c>
      <c r="AN21" s="4">
        <f t="shared" si="4"/>
        <v>1.1262245264517131E-3</v>
      </c>
      <c r="AO21" s="3"/>
      <c r="AP21">
        <v>0</v>
      </c>
      <c r="AR21" t="s">
        <v>1</v>
      </c>
      <c r="AT21" s="2" t="s">
        <v>0</v>
      </c>
      <c r="AU21" s="1" t="e">
        <f t="shared" si="5"/>
        <v>#VALUE!</v>
      </c>
      <c r="AV21" s="1" t="e">
        <f t="shared" si="6"/>
        <v>#VALUE!</v>
      </c>
      <c r="AW21" s="1" t="e">
        <f t="shared" si="7"/>
        <v>#VALUE!</v>
      </c>
    </row>
    <row r="22" spans="1:49" x14ac:dyDescent="0.2">
      <c r="A22">
        <v>20</v>
      </c>
      <c r="B22" t="s">
        <v>7291</v>
      </c>
      <c r="C22" t="s">
        <v>7290</v>
      </c>
      <c r="F22" t="s">
        <v>7289</v>
      </c>
      <c r="G22" t="s">
        <v>15</v>
      </c>
      <c r="H22" t="s">
        <v>14</v>
      </c>
      <c r="I22" t="s">
        <v>7288</v>
      </c>
      <c r="N22">
        <v>3</v>
      </c>
      <c r="O22" t="s">
        <v>7287</v>
      </c>
      <c r="P22" t="s">
        <v>7286</v>
      </c>
      <c r="Q22" t="s">
        <v>510</v>
      </c>
      <c r="R22" s="7">
        <v>30436</v>
      </c>
      <c r="S22" s="8">
        <f t="shared" si="0"/>
        <v>1983</v>
      </c>
      <c r="T22" s="8">
        <v>1983</v>
      </c>
      <c r="U22" s="8">
        <f t="shared" si="1"/>
        <v>39</v>
      </c>
      <c r="V22" s="7">
        <v>30436</v>
      </c>
      <c r="W22" t="s">
        <v>7285</v>
      </c>
      <c r="X22" s="2" t="s">
        <v>0</v>
      </c>
      <c r="Y22" s="6" t="e">
        <f t="shared" si="2"/>
        <v>#VALUE!</v>
      </c>
      <c r="AA22">
        <v>385670</v>
      </c>
      <c r="AB22">
        <v>21100441384</v>
      </c>
      <c r="AC22">
        <v>21695296</v>
      </c>
      <c r="AD22" t="s">
        <v>5</v>
      </c>
      <c r="AE22">
        <v>26</v>
      </c>
      <c r="AF22">
        <v>4</v>
      </c>
      <c r="AH22" t="s">
        <v>7284</v>
      </c>
      <c r="AI22" t="s">
        <v>7283</v>
      </c>
      <c r="AK22" t="s">
        <v>7282</v>
      </c>
      <c r="AL22">
        <v>1</v>
      </c>
      <c r="AM22" s="5">
        <f t="shared" si="3"/>
        <v>2.564102564102564E-2</v>
      </c>
      <c r="AN22" s="4">
        <f t="shared" si="4"/>
        <v>3.8835328498334935E-5</v>
      </c>
      <c r="AO22" s="3"/>
      <c r="AP22">
        <v>0</v>
      </c>
      <c r="AR22" t="s">
        <v>1</v>
      </c>
      <c r="AT22" s="2" t="s">
        <v>0</v>
      </c>
      <c r="AU22" s="1" t="e">
        <f t="shared" si="5"/>
        <v>#VALUE!</v>
      </c>
      <c r="AV22" s="1" t="e">
        <f t="shared" si="6"/>
        <v>#VALUE!</v>
      </c>
      <c r="AW22" s="1" t="e">
        <f t="shared" si="7"/>
        <v>#VALUE!</v>
      </c>
    </row>
    <row r="23" spans="1:49" x14ac:dyDescent="0.2">
      <c r="A23">
        <v>21</v>
      </c>
      <c r="B23" t="s">
        <v>7281</v>
      </c>
      <c r="C23" t="s">
        <v>7280</v>
      </c>
      <c r="F23" t="s">
        <v>7279</v>
      </c>
      <c r="G23" t="s">
        <v>15</v>
      </c>
      <c r="H23" t="s">
        <v>14</v>
      </c>
      <c r="I23" t="s">
        <v>3444</v>
      </c>
      <c r="J23" t="s">
        <v>7274</v>
      </c>
      <c r="K23" t="s">
        <v>7278</v>
      </c>
      <c r="L23" t="s">
        <v>7277</v>
      </c>
      <c r="M23" t="s">
        <v>3243</v>
      </c>
      <c r="N23">
        <v>2</v>
      </c>
      <c r="O23" t="s">
        <v>7276</v>
      </c>
      <c r="P23" t="s">
        <v>7275</v>
      </c>
      <c r="Q23" t="s">
        <v>7274</v>
      </c>
      <c r="R23" s="7">
        <v>30434</v>
      </c>
      <c r="S23" s="8">
        <f t="shared" si="0"/>
        <v>1983</v>
      </c>
      <c r="T23" s="8">
        <v>1983</v>
      </c>
      <c r="U23" s="8">
        <f t="shared" si="1"/>
        <v>39</v>
      </c>
      <c r="V23" s="7">
        <v>30434</v>
      </c>
      <c r="W23" t="s">
        <v>6869</v>
      </c>
      <c r="X23" s="2">
        <v>0.375</v>
      </c>
      <c r="Y23" s="6">
        <f t="shared" si="2"/>
        <v>1.0010410827260351E-2</v>
      </c>
      <c r="AA23">
        <v>135194</v>
      </c>
      <c r="AB23">
        <v>24918</v>
      </c>
      <c r="AD23" t="s">
        <v>5</v>
      </c>
      <c r="AE23">
        <v>19</v>
      </c>
      <c r="AF23">
        <v>9</v>
      </c>
      <c r="AH23" t="s">
        <v>7273</v>
      </c>
      <c r="AI23" t="s">
        <v>7272</v>
      </c>
      <c r="AJ23" t="s">
        <v>7271</v>
      </c>
      <c r="AK23" t="s">
        <v>7270</v>
      </c>
      <c r="AL23">
        <v>5</v>
      </c>
      <c r="AM23" s="5">
        <f t="shared" si="3"/>
        <v>0.12820512820512819</v>
      </c>
      <c r="AN23" s="4">
        <f t="shared" si="4"/>
        <v>1.9417664249167467E-4</v>
      </c>
      <c r="AO23" s="3"/>
      <c r="AP23">
        <v>0</v>
      </c>
      <c r="AR23" t="s">
        <v>1</v>
      </c>
      <c r="AT23" s="2">
        <v>1.3140000000000001</v>
      </c>
      <c r="AU23" s="1">
        <f t="shared" si="5"/>
        <v>0.70655405718297482</v>
      </c>
      <c r="AV23" s="1">
        <f t="shared" si="6"/>
        <v>0.51022937348760133</v>
      </c>
      <c r="AW23" s="1">
        <f t="shared" si="7"/>
        <v>0.31390468979222774</v>
      </c>
    </row>
    <row r="24" spans="1:49" x14ac:dyDescent="0.2">
      <c r="A24">
        <v>22</v>
      </c>
      <c r="B24" t="s">
        <v>7269</v>
      </c>
      <c r="C24" t="s">
        <v>7268</v>
      </c>
      <c r="F24" t="s">
        <v>7267</v>
      </c>
      <c r="G24" t="s">
        <v>15</v>
      </c>
      <c r="H24" t="s">
        <v>14</v>
      </c>
      <c r="I24" t="s">
        <v>7266</v>
      </c>
      <c r="J24">
        <v>60000401</v>
      </c>
      <c r="K24" t="s">
        <v>7265</v>
      </c>
      <c r="L24" t="s">
        <v>7264</v>
      </c>
      <c r="M24" t="s">
        <v>80</v>
      </c>
      <c r="N24">
        <v>3</v>
      </c>
      <c r="O24" t="s">
        <v>7263</v>
      </c>
      <c r="P24" t="s">
        <v>7262</v>
      </c>
      <c r="Q24" t="s">
        <v>7261</v>
      </c>
      <c r="R24" s="7">
        <v>30434</v>
      </c>
      <c r="S24" s="8">
        <f t="shared" si="0"/>
        <v>1983</v>
      </c>
      <c r="T24" s="8">
        <v>1983</v>
      </c>
      <c r="U24" s="8">
        <f t="shared" si="1"/>
        <v>39</v>
      </c>
      <c r="V24" s="7">
        <v>30434</v>
      </c>
      <c r="W24" t="s">
        <v>6869</v>
      </c>
      <c r="X24" s="2">
        <v>0.375</v>
      </c>
      <c r="Y24" s="6">
        <f t="shared" si="2"/>
        <v>1.0010410827260351E-2</v>
      </c>
      <c r="AA24">
        <v>135194</v>
      </c>
      <c r="AB24">
        <v>24918</v>
      </c>
      <c r="AD24" t="s">
        <v>5</v>
      </c>
      <c r="AE24">
        <v>19</v>
      </c>
      <c r="AF24">
        <v>9</v>
      </c>
      <c r="AH24" t="s">
        <v>7260</v>
      </c>
      <c r="AI24" t="s">
        <v>7259</v>
      </c>
      <c r="AJ24" t="s">
        <v>7258</v>
      </c>
      <c r="AK24" t="s">
        <v>7257</v>
      </c>
      <c r="AL24">
        <v>20</v>
      </c>
      <c r="AM24" s="5">
        <f t="shared" si="3"/>
        <v>0.51282051282051277</v>
      </c>
      <c r="AN24" s="4">
        <f t="shared" si="4"/>
        <v>7.7670656996669868E-4</v>
      </c>
      <c r="AO24" s="3"/>
      <c r="AP24">
        <v>0</v>
      </c>
      <c r="AR24" t="s">
        <v>1</v>
      </c>
      <c r="AT24" s="2">
        <v>1.3140000000000001</v>
      </c>
      <c r="AU24" s="1">
        <f t="shared" si="5"/>
        <v>0.72402995500722556</v>
      </c>
      <c r="AV24" s="1">
        <f t="shared" si="6"/>
        <v>0.53935586986135253</v>
      </c>
      <c r="AW24" s="1">
        <f t="shared" si="7"/>
        <v>0.3546817847154794</v>
      </c>
    </row>
    <row r="25" spans="1:49" x14ac:dyDescent="0.2">
      <c r="A25">
        <v>23</v>
      </c>
      <c r="B25" t="s">
        <v>7256</v>
      </c>
      <c r="C25" t="s">
        <v>7255</v>
      </c>
      <c r="D25">
        <v>5272883900051</v>
      </c>
      <c r="F25" t="s">
        <v>7254</v>
      </c>
      <c r="G25" t="s">
        <v>15</v>
      </c>
      <c r="H25" t="s">
        <v>14</v>
      </c>
      <c r="I25" t="s">
        <v>7253</v>
      </c>
      <c r="J25" t="s">
        <v>7252</v>
      </c>
      <c r="K25" t="s">
        <v>7251</v>
      </c>
      <c r="L25" t="s">
        <v>7250</v>
      </c>
      <c r="M25" t="s">
        <v>7249</v>
      </c>
      <c r="N25">
        <v>4</v>
      </c>
      <c r="O25" t="s">
        <v>7248</v>
      </c>
      <c r="P25" t="s">
        <v>7247</v>
      </c>
      <c r="Q25" t="s">
        <v>7246</v>
      </c>
      <c r="R25" s="7">
        <v>30428</v>
      </c>
      <c r="S25" s="8">
        <f t="shared" si="0"/>
        <v>1983</v>
      </c>
      <c r="T25" s="8">
        <v>1983</v>
      </c>
      <c r="U25" s="8">
        <f t="shared" si="1"/>
        <v>39</v>
      </c>
      <c r="V25" s="7">
        <v>30428</v>
      </c>
      <c r="W25" t="s">
        <v>6916</v>
      </c>
      <c r="X25" s="2">
        <v>1.59</v>
      </c>
      <c r="Y25" s="6">
        <f t="shared" si="2"/>
        <v>4.2444141907583888E-2</v>
      </c>
      <c r="AA25">
        <v>52728</v>
      </c>
      <c r="AB25">
        <v>16791</v>
      </c>
      <c r="AD25" t="s">
        <v>5</v>
      </c>
      <c r="AE25">
        <v>723</v>
      </c>
      <c r="AF25">
        <v>1</v>
      </c>
      <c r="AH25" t="s">
        <v>7245</v>
      </c>
      <c r="AI25" t="s">
        <v>7244</v>
      </c>
      <c r="AJ25" t="s">
        <v>7243</v>
      </c>
      <c r="AK25" t="s">
        <v>7242</v>
      </c>
      <c r="AL25">
        <v>69</v>
      </c>
      <c r="AM25" s="5">
        <f t="shared" si="3"/>
        <v>1.7692307692307692</v>
      </c>
      <c r="AN25" s="4">
        <f t="shared" si="4"/>
        <v>2.6796376663851106E-3</v>
      </c>
      <c r="AO25" s="3"/>
      <c r="AP25">
        <v>0</v>
      </c>
      <c r="AR25" t="s">
        <v>1</v>
      </c>
      <c r="AT25" s="2" t="s">
        <v>0</v>
      </c>
      <c r="AU25" s="1">
        <f t="shared" si="5"/>
        <v>3.0514790635224256</v>
      </c>
      <c r="AV25" s="1">
        <f t="shared" si="6"/>
        <v>2.2561889786984501</v>
      </c>
      <c r="AW25" s="1">
        <f t="shared" si="7"/>
        <v>1.4608988938744742</v>
      </c>
    </row>
    <row r="26" spans="1:49" x14ac:dyDescent="0.2">
      <c r="A26">
        <v>24</v>
      </c>
      <c r="B26" t="s">
        <v>7241</v>
      </c>
      <c r="C26" t="s">
        <v>7240</v>
      </c>
      <c r="F26" t="s">
        <v>7239</v>
      </c>
      <c r="G26" t="s">
        <v>15</v>
      </c>
      <c r="H26" t="s">
        <v>14</v>
      </c>
      <c r="I26" t="s">
        <v>5860</v>
      </c>
      <c r="J26" t="s">
        <v>7238</v>
      </c>
      <c r="K26" t="s">
        <v>7237</v>
      </c>
      <c r="L26" t="s">
        <v>7236</v>
      </c>
      <c r="M26" t="s">
        <v>7235</v>
      </c>
      <c r="N26">
        <v>4</v>
      </c>
      <c r="O26" t="s">
        <v>7234</v>
      </c>
      <c r="P26" t="s">
        <v>7233</v>
      </c>
      <c r="Q26" t="s">
        <v>7232</v>
      </c>
      <c r="R26" s="7">
        <v>30420</v>
      </c>
      <c r="S26" s="8">
        <f t="shared" si="0"/>
        <v>1983</v>
      </c>
      <c r="T26" s="8">
        <v>1983</v>
      </c>
      <c r="U26" s="8">
        <f t="shared" si="1"/>
        <v>39</v>
      </c>
      <c r="V26" s="7">
        <v>30420</v>
      </c>
      <c r="W26" t="s">
        <v>6869</v>
      </c>
      <c r="X26" s="2">
        <v>0.375</v>
      </c>
      <c r="Y26" s="6">
        <f t="shared" si="2"/>
        <v>1.0010410827260351E-2</v>
      </c>
      <c r="AA26">
        <v>135194</v>
      </c>
      <c r="AB26">
        <v>24918</v>
      </c>
      <c r="AD26" t="s">
        <v>5</v>
      </c>
      <c r="AE26">
        <v>19</v>
      </c>
      <c r="AF26">
        <v>8</v>
      </c>
      <c r="AH26" t="s">
        <v>7231</v>
      </c>
      <c r="AI26" t="s">
        <v>7230</v>
      </c>
      <c r="AJ26" t="s">
        <v>7229</v>
      </c>
      <c r="AK26" t="s">
        <v>7228</v>
      </c>
      <c r="AL26">
        <v>5</v>
      </c>
      <c r="AM26" s="5">
        <f t="shared" si="3"/>
        <v>0.12820512820512819</v>
      </c>
      <c r="AN26" s="4">
        <f t="shared" si="4"/>
        <v>1.9417664249167467E-4</v>
      </c>
      <c r="AO26" s="3"/>
      <c r="AP26">
        <v>0</v>
      </c>
      <c r="AR26" t="s">
        <v>1</v>
      </c>
      <c r="AT26" s="2">
        <v>1.3140000000000001</v>
      </c>
      <c r="AU26" s="1">
        <f t="shared" si="5"/>
        <v>0.70655405718297482</v>
      </c>
      <c r="AV26" s="1">
        <f t="shared" si="6"/>
        <v>0.51022937348760133</v>
      </c>
      <c r="AW26" s="1">
        <f t="shared" si="7"/>
        <v>0.31390468979222774</v>
      </c>
    </row>
    <row r="27" spans="1:49" x14ac:dyDescent="0.2">
      <c r="A27">
        <v>25</v>
      </c>
      <c r="B27" t="s">
        <v>7227</v>
      </c>
      <c r="C27" t="s">
        <v>7226</v>
      </c>
      <c r="F27" t="s">
        <v>7225</v>
      </c>
      <c r="G27" t="s">
        <v>15</v>
      </c>
      <c r="H27" t="s">
        <v>14</v>
      </c>
      <c r="I27" t="s">
        <v>7224</v>
      </c>
      <c r="J27">
        <v>60009697</v>
      </c>
      <c r="K27" t="s">
        <v>7223</v>
      </c>
      <c r="L27" t="s">
        <v>7222</v>
      </c>
      <c r="M27" t="s">
        <v>1229</v>
      </c>
      <c r="N27">
        <v>3</v>
      </c>
      <c r="O27" t="s">
        <v>7221</v>
      </c>
      <c r="P27" t="s">
        <v>7220</v>
      </c>
      <c r="Q27" t="s">
        <v>7219</v>
      </c>
      <c r="R27" s="7">
        <v>30420</v>
      </c>
      <c r="S27" s="8">
        <f t="shared" si="0"/>
        <v>1983</v>
      </c>
      <c r="T27" s="8">
        <v>1983</v>
      </c>
      <c r="U27" s="8">
        <f t="shared" si="1"/>
        <v>39</v>
      </c>
      <c r="V27" s="7">
        <v>30420</v>
      </c>
      <c r="W27" t="s">
        <v>6869</v>
      </c>
      <c r="X27" s="2">
        <v>0.375</v>
      </c>
      <c r="Y27" s="6">
        <f t="shared" si="2"/>
        <v>1.0010410827260351E-2</v>
      </c>
      <c r="AA27">
        <v>135194</v>
      </c>
      <c r="AB27">
        <v>24918</v>
      </c>
      <c r="AD27" t="s">
        <v>5</v>
      </c>
      <c r="AE27">
        <v>19</v>
      </c>
      <c r="AF27">
        <v>8</v>
      </c>
      <c r="AH27" t="s">
        <v>7218</v>
      </c>
      <c r="AI27" t="s">
        <v>7217</v>
      </c>
      <c r="AJ27" t="s">
        <v>7216</v>
      </c>
      <c r="AK27" t="s">
        <v>7215</v>
      </c>
      <c r="AL27">
        <v>2</v>
      </c>
      <c r="AM27" s="5">
        <f t="shared" si="3"/>
        <v>5.128205128205128E-2</v>
      </c>
      <c r="AN27" s="4">
        <f t="shared" si="4"/>
        <v>7.767065699666987E-5</v>
      </c>
      <c r="AO27" s="3"/>
      <c r="AP27">
        <v>0</v>
      </c>
      <c r="AR27" t="s">
        <v>1</v>
      </c>
      <c r="AT27" s="2">
        <v>1.3140000000000001</v>
      </c>
      <c r="AU27" s="1">
        <f t="shared" si="5"/>
        <v>0.70305887761812469</v>
      </c>
      <c r="AV27" s="1">
        <f t="shared" si="6"/>
        <v>0.50440407421285105</v>
      </c>
      <c r="AW27" s="1">
        <f t="shared" si="7"/>
        <v>0.30574927080757741</v>
      </c>
    </row>
    <row r="28" spans="1:49" x14ac:dyDescent="0.2">
      <c r="A28">
        <v>26</v>
      </c>
      <c r="B28" t="s">
        <v>7214</v>
      </c>
      <c r="C28" t="s">
        <v>7213</v>
      </c>
      <c r="F28" t="s">
        <v>7212</v>
      </c>
      <c r="G28" t="s">
        <v>15</v>
      </c>
      <c r="H28" t="s">
        <v>14</v>
      </c>
      <c r="I28" t="s">
        <v>7211</v>
      </c>
      <c r="J28" t="s">
        <v>7210</v>
      </c>
      <c r="K28" t="s">
        <v>7209</v>
      </c>
      <c r="L28" t="s">
        <v>7208</v>
      </c>
      <c r="M28" t="s">
        <v>6723</v>
      </c>
      <c r="N28">
        <v>2</v>
      </c>
      <c r="O28" t="s">
        <v>7207</v>
      </c>
      <c r="P28" t="s">
        <v>7206</v>
      </c>
      <c r="Q28" t="s">
        <v>7205</v>
      </c>
      <c r="R28" s="7">
        <v>30420</v>
      </c>
      <c r="S28" s="8">
        <f t="shared" si="0"/>
        <v>1983</v>
      </c>
      <c r="T28" s="8">
        <v>1983</v>
      </c>
      <c r="U28" s="8">
        <f t="shared" si="1"/>
        <v>39</v>
      </c>
      <c r="V28" s="7">
        <v>30420</v>
      </c>
      <c r="W28" t="s">
        <v>6869</v>
      </c>
      <c r="X28" s="2">
        <v>0.375</v>
      </c>
      <c r="Y28" s="6">
        <f t="shared" si="2"/>
        <v>1.0010410827260351E-2</v>
      </c>
      <c r="AA28">
        <v>135194</v>
      </c>
      <c r="AB28">
        <v>24918</v>
      </c>
      <c r="AD28" t="s">
        <v>5</v>
      </c>
      <c r="AE28">
        <v>19</v>
      </c>
      <c r="AF28">
        <v>8</v>
      </c>
      <c r="AH28" t="s">
        <v>7204</v>
      </c>
      <c r="AI28" t="s">
        <v>7203</v>
      </c>
      <c r="AJ28" t="s">
        <v>7045</v>
      </c>
      <c r="AK28" t="s">
        <v>7202</v>
      </c>
      <c r="AL28">
        <v>93</v>
      </c>
      <c r="AM28" s="5">
        <f t="shared" si="3"/>
        <v>2.3846153846153846</v>
      </c>
      <c r="AN28" s="4">
        <f t="shared" si="4"/>
        <v>3.6116855503451491E-3</v>
      </c>
      <c r="AO28" s="3"/>
      <c r="AP28">
        <v>0</v>
      </c>
      <c r="AR28" t="s">
        <v>1</v>
      </c>
      <c r="AT28" s="2">
        <v>1.3140000000000001</v>
      </c>
      <c r="AU28" s="1">
        <f t="shared" si="5"/>
        <v>0.80907932441857899</v>
      </c>
      <c r="AV28" s="1">
        <f t="shared" si="6"/>
        <v>0.68110481888027508</v>
      </c>
      <c r="AW28" s="1">
        <f t="shared" si="7"/>
        <v>0.55313031334197094</v>
      </c>
    </row>
    <row r="29" spans="1:49" x14ac:dyDescent="0.2">
      <c r="A29">
        <v>27</v>
      </c>
      <c r="B29" t="s">
        <v>7201</v>
      </c>
      <c r="C29" t="s">
        <v>7200</v>
      </c>
      <c r="F29" t="s">
        <v>7199</v>
      </c>
      <c r="G29" t="s">
        <v>15</v>
      </c>
      <c r="H29" t="s">
        <v>14</v>
      </c>
      <c r="I29" t="s">
        <v>7198</v>
      </c>
      <c r="J29">
        <v>60032144</v>
      </c>
      <c r="K29" t="s">
        <v>7197</v>
      </c>
      <c r="L29" t="s">
        <v>7196</v>
      </c>
      <c r="M29" t="s">
        <v>7195</v>
      </c>
      <c r="N29">
        <v>3</v>
      </c>
      <c r="O29" t="s">
        <v>7194</v>
      </c>
      <c r="P29" t="s">
        <v>7193</v>
      </c>
      <c r="Q29" t="s">
        <v>7192</v>
      </c>
      <c r="R29" s="7">
        <v>30420</v>
      </c>
      <c r="S29" s="8">
        <f t="shared" si="0"/>
        <v>1983</v>
      </c>
      <c r="T29" s="8">
        <v>1983</v>
      </c>
      <c r="U29" s="8">
        <f t="shared" si="1"/>
        <v>39</v>
      </c>
      <c r="V29" s="7">
        <v>30420</v>
      </c>
      <c r="W29" t="s">
        <v>6869</v>
      </c>
      <c r="X29" s="2">
        <v>0.375</v>
      </c>
      <c r="Y29" s="6">
        <f t="shared" si="2"/>
        <v>1.0010410827260351E-2</v>
      </c>
      <c r="AA29">
        <v>135194</v>
      </c>
      <c r="AB29">
        <v>24918</v>
      </c>
      <c r="AD29" t="s">
        <v>5</v>
      </c>
      <c r="AE29">
        <v>19</v>
      </c>
      <c r="AF29">
        <v>8</v>
      </c>
      <c r="AH29" t="s">
        <v>7191</v>
      </c>
      <c r="AI29" t="s">
        <v>7190</v>
      </c>
      <c r="AJ29" t="s">
        <v>7189</v>
      </c>
      <c r="AK29" t="s">
        <v>7188</v>
      </c>
      <c r="AL29">
        <v>6</v>
      </c>
      <c r="AM29" s="5">
        <f t="shared" si="3"/>
        <v>0.15384615384615385</v>
      </c>
      <c r="AN29" s="4">
        <f t="shared" si="4"/>
        <v>2.3301197099000962E-4</v>
      </c>
      <c r="AO29" s="3"/>
      <c r="AP29">
        <v>0</v>
      </c>
      <c r="AR29" t="s">
        <v>1</v>
      </c>
      <c r="AT29" s="2">
        <v>1.3140000000000001</v>
      </c>
      <c r="AU29" s="1">
        <f t="shared" si="5"/>
        <v>0.70771911703792489</v>
      </c>
      <c r="AV29" s="1">
        <f t="shared" si="6"/>
        <v>0.51217113991251806</v>
      </c>
      <c r="AW29" s="1">
        <f t="shared" si="7"/>
        <v>0.31662316278711117</v>
      </c>
    </row>
    <row r="30" spans="1:49" x14ac:dyDescent="0.2">
      <c r="A30">
        <v>28</v>
      </c>
      <c r="B30" t="s">
        <v>7187</v>
      </c>
      <c r="C30" t="s">
        <v>7186</v>
      </c>
      <c r="F30" t="s">
        <v>7185</v>
      </c>
      <c r="G30" t="s">
        <v>15</v>
      </c>
      <c r="H30" t="s">
        <v>14</v>
      </c>
      <c r="I30" t="s">
        <v>7184</v>
      </c>
      <c r="J30">
        <v>60015815</v>
      </c>
      <c r="K30" t="s">
        <v>7183</v>
      </c>
      <c r="L30" t="s">
        <v>7182</v>
      </c>
      <c r="M30" t="s">
        <v>80</v>
      </c>
      <c r="N30">
        <v>3</v>
      </c>
      <c r="O30" t="s">
        <v>7181</v>
      </c>
      <c r="P30" t="s">
        <v>7180</v>
      </c>
      <c r="Q30" t="s">
        <v>7179</v>
      </c>
      <c r="R30" s="7">
        <v>30407</v>
      </c>
      <c r="S30" s="8">
        <f t="shared" si="0"/>
        <v>1983</v>
      </c>
      <c r="T30" s="8">
        <v>1983</v>
      </c>
      <c r="U30" s="8">
        <f t="shared" si="1"/>
        <v>39</v>
      </c>
      <c r="V30" s="7">
        <v>30407</v>
      </c>
      <c r="W30" t="s">
        <v>7178</v>
      </c>
      <c r="X30" s="2">
        <v>0.30099999999999999</v>
      </c>
      <c r="Y30" s="6">
        <f t="shared" si="2"/>
        <v>8.0350230906809754E-3</v>
      </c>
      <c r="AA30">
        <v>9395075</v>
      </c>
      <c r="AB30">
        <v>14954</v>
      </c>
      <c r="AC30">
        <v>18657125</v>
      </c>
      <c r="AD30" t="s">
        <v>5</v>
      </c>
      <c r="AE30">
        <v>38</v>
      </c>
      <c r="AF30" s="9">
        <v>44289</v>
      </c>
      <c r="AH30" t="s">
        <v>7177</v>
      </c>
      <c r="AI30" t="s">
        <v>7176</v>
      </c>
      <c r="AJ30" t="s">
        <v>7175</v>
      </c>
      <c r="AK30" t="s">
        <v>7174</v>
      </c>
      <c r="AL30">
        <v>10</v>
      </c>
      <c r="AM30" s="5">
        <f t="shared" si="3"/>
        <v>0.25641025641025639</v>
      </c>
      <c r="AN30" s="4">
        <f t="shared" si="4"/>
        <v>3.8835328498334934E-4</v>
      </c>
      <c r="AO30" s="3"/>
      <c r="AP30">
        <v>1</v>
      </c>
      <c r="AQ30" t="s">
        <v>7173</v>
      </c>
      <c r="AR30" t="s">
        <v>1</v>
      </c>
      <c r="AS30" t="s">
        <v>7172</v>
      </c>
      <c r="AT30" s="2" t="s">
        <v>0</v>
      </c>
      <c r="AU30" s="1">
        <f t="shared" si="5"/>
        <v>0.57410221489716862</v>
      </c>
      <c r="AV30" s="1">
        <f t="shared" si="6"/>
        <v>0.42116881878321621</v>
      </c>
      <c r="AW30" s="1">
        <f t="shared" si="7"/>
        <v>0.26823542266926376</v>
      </c>
    </row>
    <row r="31" spans="1:49" x14ac:dyDescent="0.2">
      <c r="A31">
        <v>29</v>
      </c>
      <c r="B31" t="s">
        <v>7171</v>
      </c>
      <c r="C31" t="s">
        <v>7170</v>
      </c>
      <c r="F31" t="s">
        <v>7169</v>
      </c>
      <c r="G31" t="s">
        <v>15</v>
      </c>
      <c r="H31" t="s">
        <v>14</v>
      </c>
      <c r="I31" t="s">
        <v>7168</v>
      </c>
      <c r="N31">
        <v>1</v>
      </c>
      <c r="O31" t="s">
        <v>7167</v>
      </c>
      <c r="P31">
        <v>6506825946</v>
      </c>
      <c r="R31" s="7">
        <v>30407</v>
      </c>
      <c r="S31" s="8">
        <f t="shared" ref="S31:S94" si="8">YEAR(R31)</f>
        <v>1983</v>
      </c>
      <c r="T31" s="8">
        <v>1983</v>
      </c>
      <c r="U31" s="8">
        <f t="shared" ref="U31:U94" si="9">2022-T31</f>
        <v>39</v>
      </c>
      <c r="V31" s="7">
        <v>30407</v>
      </c>
      <c r="W31" t="s">
        <v>1382</v>
      </c>
      <c r="X31" s="2">
        <v>0.318</v>
      </c>
      <c r="Y31" s="6">
        <f t="shared" si="2"/>
        <v>8.4888283815167786E-3</v>
      </c>
      <c r="AA31">
        <v>338443</v>
      </c>
      <c r="AB31">
        <v>27160</v>
      </c>
      <c r="AC31">
        <v>15739120</v>
      </c>
      <c r="AD31" t="s">
        <v>5</v>
      </c>
      <c r="AE31">
        <v>26</v>
      </c>
      <c r="AF31">
        <v>4</v>
      </c>
      <c r="AH31" t="s">
        <v>7166</v>
      </c>
      <c r="AL31">
        <v>0</v>
      </c>
      <c r="AM31" s="5">
        <f t="shared" ref="AM31:AM94" si="10">AL31/U31</f>
        <v>0</v>
      </c>
      <c r="AN31" s="4">
        <f t="shared" si="4"/>
        <v>0</v>
      </c>
      <c r="AO31" s="3"/>
      <c r="AP31">
        <v>0</v>
      </c>
      <c r="AR31" t="s">
        <v>1</v>
      </c>
      <c r="AT31" s="2">
        <v>0.77</v>
      </c>
      <c r="AU31" s="1">
        <f t="shared" ref="AU31:AU94" si="11">(Y31*0.7+AN31*0.3)*100</f>
        <v>0.59421798670617454</v>
      </c>
      <c r="AV31" s="1">
        <f t="shared" ref="AV31:AV94" si="12">(Y31*0.5+AN31*0.5)*100</f>
        <v>0.42444141907583893</v>
      </c>
      <c r="AW31" s="1">
        <f t="shared" ref="AW31:AW94" si="13">(Y31*0.3+AN31*0.7)*100</f>
        <v>0.25466485144550338</v>
      </c>
    </row>
    <row r="32" spans="1:49" x14ac:dyDescent="0.2">
      <c r="A32">
        <v>30</v>
      </c>
      <c r="B32" t="s">
        <v>7165</v>
      </c>
      <c r="C32" t="s">
        <v>7164</v>
      </c>
      <c r="F32" t="s">
        <v>7163</v>
      </c>
      <c r="G32" t="s">
        <v>15</v>
      </c>
      <c r="H32" t="s">
        <v>14</v>
      </c>
      <c r="I32" t="s">
        <v>7162</v>
      </c>
      <c r="J32" t="s">
        <v>7161</v>
      </c>
      <c r="K32" t="s">
        <v>7160</v>
      </c>
      <c r="L32" t="s">
        <v>7159</v>
      </c>
      <c r="M32" t="s">
        <v>7158</v>
      </c>
      <c r="N32">
        <v>7</v>
      </c>
      <c r="O32" t="s">
        <v>7157</v>
      </c>
      <c r="P32" t="s">
        <v>7156</v>
      </c>
      <c r="Q32" t="s">
        <v>7155</v>
      </c>
      <c r="R32" s="7">
        <v>30407</v>
      </c>
      <c r="S32" s="8">
        <f t="shared" si="8"/>
        <v>1983</v>
      </c>
      <c r="T32" s="8">
        <v>1983</v>
      </c>
      <c r="U32" s="8">
        <f t="shared" si="9"/>
        <v>39</v>
      </c>
      <c r="V32" s="7">
        <v>30407</v>
      </c>
      <c r="W32" t="s">
        <v>6948</v>
      </c>
      <c r="X32" s="2">
        <v>1.026</v>
      </c>
      <c r="Y32" s="6">
        <f t="shared" si="2"/>
        <v>2.738848402338432E-2</v>
      </c>
      <c r="AA32">
        <v>380938</v>
      </c>
      <c r="AB32">
        <v>28245</v>
      </c>
      <c r="AC32" t="s">
        <v>6947</v>
      </c>
      <c r="AD32" t="s">
        <v>5</v>
      </c>
      <c r="AE32">
        <v>84</v>
      </c>
      <c r="AF32" s="9">
        <v>44228</v>
      </c>
      <c r="AH32" t="s">
        <v>7154</v>
      </c>
      <c r="AI32" t="s">
        <v>7153</v>
      </c>
      <c r="AK32" t="s">
        <v>7152</v>
      </c>
      <c r="AL32">
        <v>24</v>
      </c>
      <c r="AM32" s="5">
        <f t="shared" si="10"/>
        <v>0.61538461538461542</v>
      </c>
      <c r="AN32" s="4">
        <f t="shared" si="4"/>
        <v>9.320478839600385E-4</v>
      </c>
      <c r="AO32" s="3"/>
      <c r="AP32">
        <v>0</v>
      </c>
      <c r="AR32" t="s">
        <v>1</v>
      </c>
      <c r="AT32" s="2">
        <v>2.6709999999999998</v>
      </c>
      <c r="AU32" s="1">
        <f t="shared" si="11"/>
        <v>1.9451553181557037</v>
      </c>
      <c r="AV32" s="1">
        <f t="shared" si="12"/>
        <v>1.416026595367218</v>
      </c>
      <c r="AW32" s="1">
        <f t="shared" si="13"/>
        <v>0.8868978725787322</v>
      </c>
    </row>
    <row r="33" spans="1:49" x14ac:dyDescent="0.2">
      <c r="A33">
        <v>31</v>
      </c>
      <c r="B33" t="s">
        <v>7151</v>
      </c>
      <c r="C33" t="s">
        <v>7150</v>
      </c>
      <c r="D33">
        <v>5272883900658</v>
      </c>
      <c r="F33" t="s">
        <v>7149</v>
      </c>
      <c r="G33" t="s">
        <v>15</v>
      </c>
      <c r="H33" t="s">
        <v>14</v>
      </c>
      <c r="I33" t="s">
        <v>7148</v>
      </c>
      <c r="J33">
        <v>60027553</v>
      </c>
      <c r="K33" t="s">
        <v>7147</v>
      </c>
      <c r="L33" t="s">
        <v>56</v>
      </c>
      <c r="M33" t="s">
        <v>55</v>
      </c>
      <c r="N33">
        <v>1</v>
      </c>
      <c r="O33" t="s">
        <v>7146</v>
      </c>
      <c r="P33">
        <v>55974981900</v>
      </c>
      <c r="Q33">
        <v>60027553</v>
      </c>
      <c r="R33" s="7">
        <v>30393</v>
      </c>
      <c r="S33" s="8">
        <f t="shared" si="8"/>
        <v>1983</v>
      </c>
      <c r="T33" s="8">
        <v>1983</v>
      </c>
      <c r="U33" s="8">
        <f t="shared" si="9"/>
        <v>39</v>
      </c>
      <c r="V33" s="7">
        <v>30393</v>
      </c>
      <c r="W33" t="s">
        <v>6916</v>
      </c>
      <c r="X33" s="2">
        <v>1.59</v>
      </c>
      <c r="Y33" s="6">
        <f t="shared" si="2"/>
        <v>4.2444141907583888E-2</v>
      </c>
      <c r="AA33">
        <v>52728</v>
      </c>
      <c r="AB33">
        <v>16791</v>
      </c>
      <c r="AD33" t="s">
        <v>5</v>
      </c>
      <c r="AE33">
        <v>722</v>
      </c>
      <c r="AF33">
        <v>3</v>
      </c>
      <c r="AH33" t="s">
        <v>7145</v>
      </c>
      <c r="AI33" t="s">
        <v>7144</v>
      </c>
      <c r="AJ33" t="s">
        <v>7143</v>
      </c>
      <c r="AK33" t="s">
        <v>7142</v>
      </c>
      <c r="AL33">
        <v>19</v>
      </c>
      <c r="AM33" s="5">
        <f t="shared" si="10"/>
        <v>0.48717948717948717</v>
      </c>
      <c r="AN33" s="4">
        <f t="shared" si="4"/>
        <v>7.3787124146836372E-4</v>
      </c>
      <c r="AO33" s="3"/>
      <c r="AP33">
        <v>0</v>
      </c>
      <c r="AQ33" t="s">
        <v>7141</v>
      </c>
      <c r="AR33" t="s">
        <v>1</v>
      </c>
      <c r="AS33" t="s">
        <v>7140</v>
      </c>
      <c r="AT33" s="2" t="s">
        <v>0</v>
      </c>
      <c r="AU33" s="1">
        <f t="shared" si="11"/>
        <v>2.9932260707749228</v>
      </c>
      <c r="AV33" s="1">
        <f t="shared" si="12"/>
        <v>2.1591006574526124</v>
      </c>
      <c r="AW33" s="1">
        <f t="shared" si="13"/>
        <v>1.324975244130302</v>
      </c>
    </row>
    <row r="34" spans="1:49" x14ac:dyDescent="0.2">
      <c r="A34">
        <v>32</v>
      </c>
      <c r="B34" t="s">
        <v>7139</v>
      </c>
      <c r="C34" t="s">
        <v>7138</v>
      </c>
      <c r="D34">
        <v>5272883900580</v>
      </c>
      <c r="F34" t="s">
        <v>7137</v>
      </c>
      <c r="G34" t="s">
        <v>15</v>
      </c>
      <c r="H34" t="s">
        <v>14</v>
      </c>
      <c r="I34" t="s">
        <v>7136</v>
      </c>
      <c r="J34" t="s">
        <v>7135</v>
      </c>
      <c r="K34" t="s">
        <v>7134</v>
      </c>
      <c r="L34" t="s">
        <v>7133</v>
      </c>
      <c r="M34" t="s">
        <v>7132</v>
      </c>
      <c r="N34">
        <v>5</v>
      </c>
      <c r="O34" t="s">
        <v>7131</v>
      </c>
      <c r="P34" t="s">
        <v>7130</v>
      </c>
      <c r="Q34" t="s">
        <v>7129</v>
      </c>
      <c r="R34" s="7">
        <v>30393</v>
      </c>
      <c r="S34" s="8">
        <f t="shared" si="8"/>
        <v>1983</v>
      </c>
      <c r="T34" s="8">
        <v>1983</v>
      </c>
      <c r="U34" s="8">
        <f t="shared" si="9"/>
        <v>39</v>
      </c>
      <c r="V34" s="7">
        <v>30393</v>
      </c>
      <c r="W34" t="s">
        <v>6916</v>
      </c>
      <c r="X34" s="2">
        <v>1.59</v>
      </c>
      <c r="Y34" s="6">
        <f t="shared" si="2"/>
        <v>4.2444141907583888E-2</v>
      </c>
      <c r="AA34">
        <v>52728</v>
      </c>
      <c r="AB34">
        <v>16791</v>
      </c>
      <c r="AD34" t="s">
        <v>5</v>
      </c>
      <c r="AE34">
        <v>722</v>
      </c>
      <c r="AF34">
        <v>3</v>
      </c>
      <c r="AH34" t="s">
        <v>7128</v>
      </c>
      <c r="AI34" t="s">
        <v>7127</v>
      </c>
      <c r="AJ34" t="s">
        <v>7126</v>
      </c>
      <c r="AK34" t="s">
        <v>7125</v>
      </c>
      <c r="AL34">
        <v>105</v>
      </c>
      <c r="AM34" s="5">
        <f t="shared" si="10"/>
        <v>2.6923076923076925</v>
      </c>
      <c r="AN34" s="4">
        <f t="shared" si="4"/>
        <v>4.0777094923251682E-3</v>
      </c>
      <c r="AO34" s="3"/>
      <c r="AP34">
        <v>0</v>
      </c>
      <c r="AR34" t="s">
        <v>1</v>
      </c>
      <c r="AS34" t="s">
        <v>7124</v>
      </c>
      <c r="AT34" s="2" t="s">
        <v>0</v>
      </c>
      <c r="AU34" s="1">
        <f t="shared" si="11"/>
        <v>3.0934212183006271</v>
      </c>
      <c r="AV34" s="1">
        <f t="shared" si="12"/>
        <v>2.3260925699954527</v>
      </c>
      <c r="AW34" s="1">
        <f t="shared" si="13"/>
        <v>1.5587639216902782</v>
      </c>
    </row>
    <row r="35" spans="1:49" x14ac:dyDescent="0.2">
      <c r="A35">
        <v>33</v>
      </c>
      <c r="B35" t="s">
        <v>7123</v>
      </c>
      <c r="C35" t="s">
        <v>7122</v>
      </c>
      <c r="D35" t="s">
        <v>7121</v>
      </c>
      <c r="F35" t="s">
        <v>7120</v>
      </c>
      <c r="G35" t="s">
        <v>15</v>
      </c>
      <c r="H35" t="s">
        <v>14</v>
      </c>
      <c r="I35" t="s">
        <v>7119</v>
      </c>
      <c r="J35">
        <v>60007903</v>
      </c>
      <c r="K35" t="s">
        <v>6921</v>
      </c>
      <c r="L35" t="s">
        <v>6920</v>
      </c>
      <c r="M35" t="s">
        <v>1050</v>
      </c>
      <c r="N35">
        <v>2</v>
      </c>
      <c r="O35" t="s">
        <v>7118</v>
      </c>
      <c r="P35" t="s">
        <v>7117</v>
      </c>
      <c r="Q35" t="s">
        <v>6917</v>
      </c>
      <c r="R35" s="7">
        <v>30393</v>
      </c>
      <c r="S35" s="8">
        <f t="shared" si="8"/>
        <v>1983</v>
      </c>
      <c r="T35" s="8">
        <v>1983</v>
      </c>
      <c r="U35" s="8">
        <f t="shared" si="9"/>
        <v>39</v>
      </c>
      <c r="V35" s="7">
        <v>30393</v>
      </c>
      <c r="W35" t="s">
        <v>6916</v>
      </c>
      <c r="X35" s="2">
        <v>1.59</v>
      </c>
      <c r="Y35" s="6">
        <f t="shared" si="2"/>
        <v>4.2444141907583888E-2</v>
      </c>
      <c r="AA35">
        <v>52728</v>
      </c>
      <c r="AB35">
        <v>16791</v>
      </c>
      <c r="AD35" t="s">
        <v>5</v>
      </c>
      <c r="AE35">
        <v>722</v>
      </c>
      <c r="AF35">
        <v>3</v>
      </c>
      <c r="AH35" t="s">
        <v>7116</v>
      </c>
      <c r="AI35" t="s">
        <v>7115</v>
      </c>
      <c r="AJ35" t="s">
        <v>7114</v>
      </c>
      <c r="AK35" t="s">
        <v>7113</v>
      </c>
      <c r="AL35">
        <v>43</v>
      </c>
      <c r="AM35" s="5">
        <f t="shared" si="10"/>
        <v>1.1025641025641026</v>
      </c>
      <c r="AN35" s="4">
        <f t="shared" si="4"/>
        <v>1.6699191254284024E-3</v>
      </c>
      <c r="AO35" s="3"/>
      <c r="AP35">
        <v>0</v>
      </c>
      <c r="AR35" t="s">
        <v>1</v>
      </c>
      <c r="AT35" s="2" t="s">
        <v>0</v>
      </c>
      <c r="AU35" s="1">
        <f t="shared" si="11"/>
        <v>3.0211875072937242</v>
      </c>
      <c r="AV35" s="1">
        <f t="shared" si="12"/>
        <v>2.2057030516506146</v>
      </c>
      <c r="AW35" s="1">
        <f t="shared" si="13"/>
        <v>1.3902185960075046</v>
      </c>
    </row>
    <row r="36" spans="1:49" x14ac:dyDescent="0.2">
      <c r="A36">
        <v>34</v>
      </c>
      <c r="B36" t="s">
        <v>7112</v>
      </c>
      <c r="C36" t="s">
        <v>7111</v>
      </c>
      <c r="D36">
        <v>5272883900646</v>
      </c>
      <c r="F36" t="s">
        <v>7110</v>
      </c>
      <c r="G36" t="s">
        <v>15</v>
      </c>
      <c r="H36" t="s">
        <v>14</v>
      </c>
      <c r="I36" t="s">
        <v>7109</v>
      </c>
      <c r="J36">
        <v>60008134</v>
      </c>
      <c r="K36" t="s">
        <v>7108</v>
      </c>
      <c r="L36" t="s">
        <v>7107</v>
      </c>
      <c r="M36" t="s">
        <v>431</v>
      </c>
      <c r="N36">
        <v>2</v>
      </c>
      <c r="O36" t="s">
        <v>7106</v>
      </c>
      <c r="P36" t="s">
        <v>7105</v>
      </c>
      <c r="Q36" t="s">
        <v>7104</v>
      </c>
      <c r="R36" s="7">
        <v>30393</v>
      </c>
      <c r="S36" s="8">
        <f t="shared" si="8"/>
        <v>1983</v>
      </c>
      <c r="T36" s="8">
        <v>1983</v>
      </c>
      <c r="U36" s="8">
        <f t="shared" si="9"/>
        <v>39</v>
      </c>
      <c r="V36" s="7">
        <v>30393</v>
      </c>
      <c r="W36" t="s">
        <v>6916</v>
      </c>
      <c r="X36" s="2">
        <v>1.59</v>
      </c>
      <c r="Y36" s="6">
        <f t="shared" si="2"/>
        <v>4.2444141907583888E-2</v>
      </c>
      <c r="AA36">
        <v>52728</v>
      </c>
      <c r="AB36">
        <v>16791</v>
      </c>
      <c r="AD36" t="s">
        <v>5</v>
      </c>
      <c r="AE36">
        <v>722</v>
      </c>
      <c r="AF36">
        <v>3</v>
      </c>
      <c r="AH36" t="s">
        <v>4772</v>
      </c>
      <c r="AI36" t="s">
        <v>7103</v>
      </c>
      <c r="AJ36" t="s">
        <v>7102</v>
      </c>
      <c r="AK36" t="s">
        <v>7101</v>
      </c>
      <c r="AL36">
        <v>15</v>
      </c>
      <c r="AM36" s="5">
        <f t="shared" si="10"/>
        <v>0.38461538461538464</v>
      </c>
      <c r="AN36" s="4">
        <f t="shared" si="4"/>
        <v>5.8252992747502411E-4</v>
      </c>
      <c r="AO36" s="3"/>
      <c r="AP36">
        <v>0</v>
      </c>
      <c r="AR36" t="s">
        <v>1</v>
      </c>
      <c r="AT36" s="2" t="s">
        <v>0</v>
      </c>
      <c r="AU36" s="1">
        <f t="shared" si="11"/>
        <v>2.9885658313551229</v>
      </c>
      <c r="AV36" s="1">
        <f t="shared" si="12"/>
        <v>2.1513335917529455</v>
      </c>
      <c r="AW36" s="1">
        <f t="shared" si="13"/>
        <v>1.3141013521507683</v>
      </c>
    </row>
    <row r="37" spans="1:49" x14ac:dyDescent="0.2">
      <c r="A37">
        <v>35</v>
      </c>
      <c r="B37" t="s">
        <v>7100</v>
      </c>
      <c r="C37" t="s">
        <v>7099</v>
      </c>
      <c r="F37" t="s">
        <v>7098</v>
      </c>
      <c r="G37" t="s">
        <v>15</v>
      </c>
      <c r="H37" t="s">
        <v>14</v>
      </c>
      <c r="I37" t="s">
        <v>7097</v>
      </c>
      <c r="J37" t="s">
        <v>7096</v>
      </c>
      <c r="K37" t="s">
        <v>7095</v>
      </c>
      <c r="L37" t="s">
        <v>7094</v>
      </c>
      <c r="M37" t="s">
        <v>7093</v>
      </c>
      <c r="N37">
        <v>2</v>
      </c>
      <c r="O37" t="s">
        <v>7092</v>
      </c>
      <c r="P37" t="s">
        <v>7091</v>
      </c>
      <c r="Q37" t="s">
        <v>7090</v>
      </c>
      <c r="R37" s="7">
        <v>30392</v>
      </c>
      <c r="S37" s="8">
        <f t="shared" si="8"/>
        <v>1983</v>
      </c>
      <c r="T37" s="8">
        <v>1983</v>
      </c>
      <c r="U37" s="8">
        <f t="shared" si="9"/>
        <v>39</v>
      </c>
      <c r="V37" s="7">
        <v>30392</v>
      </c>
      <c r="W37" t="s">
        <v>6869</v>
      </c>
      <c r="X37" s="2">
        <v>0.375</v>
      </c>
      <c r="Y37" s="6">
        <f t="shared" si="2"/>
        <v>1.0010410827260351E-2</v>
      </c>
      <c r="AA37">
        <v>135194</v>
      </c>
      <c r="AB37">
        <v>24918</v>
      </c>
      <c r="AD37" t="s">
        <v>5</v>
      </c>
      <c r="AE37">
        <v>19</v>
      </c>
      <c r="AF37">
        <v>6</v>
      </c>
      <c r="AH37" t="s">
        <v>7089</v>
      </c>
      <c r="AI37" t="s">
        <v>7088</v>
      </c>
      <c r="AJ37" t="s">
        <v>7087</v>
      </c>
      <c r="AK37" t="s">
        <v>7086</v>
      </c>
      <c r="AL37">
        <v>1</v>
      </c>
      <c r="AM37" s="5">
        <f t="shared" si="10"/>
        <v>2.564102564102564E-2</v>
      </c>
      <c r="AN37" s="4">
        <f t="shared" si="4"/>
        <v>3.8835328498334935E-5</v>
      </c>
      <c r="AO37" s="3"/>
      <c r="AP37">
        <v>0</v>
      </c>
      <c r="AR37" t="s">
        <v>1</v>
      </c>
      <c r="AT37" s="2">
        <v>1.3140000000000001</v>
      </c>
      <c r="AU37" s="1">
        <f t="shared" si="11"/>
        <v>0.70189381776317461</v>
      </c>
      <c r="AV37" s="1">
        <f t="shared" si="12"/>
        <v>0.50246230778793433</v>
      </c>
      <c r="AW37" s="1">
        <f t="shared" si="13"/>
        <v>0.30303079781269393</v>
      </c>
    </row>
    <row r="38" spans="1:49" x14ac:dyDescent="0.2">
      <c r="A38">
        <v>36</v>
      </c>
      <c r="B38" t="s">
        <v>7085</v>
      </c>
      <c r="C38" t="s">
        <v>7084</v>
      </c>
      <c r="F38" t="s">
        <v>7083</v>
      </c>
      <c r="G38" t="s">
        <v>15</v>
      </c>
      <c r="H38" t="s">
        <v>14</v>
      </c>
      <c r="I38" t="s">
        <v>6972</v>
      </c>
      <c r="J38">
        <v>118839572</v>
      </c>
      <c r="K38" t="s">
        <v>7082</v>
      </c>
      <c r="M38" t="s">
        <v>271</v>
      </c>
      <c r="N38">
        <v>1</v>
      </c>
      <c r="O38" t="s">
        <v>6970</v>
      </c>
      <c r="P38">
        <v>7007048290</v>
      </c>
      <c r="Q38">
        <v>118839572</v>
      </c>
      <c r="R38" s="7">
        <v>30392</v>
      </c>
      <c r="S38" s="8">
        <f t="shared" si="8"/>
        <v>1983</v>
      </c>
      <c r="T38" s="8">
        <v>1983</v>
      </c>
      <c r="U38" s="8">
        <f t="shared" si="9"/>
        <v>39</v>
      </c>
      <c r="V38" s="7">
        <v>30392</v>
      </c>
      <c r="W38" t="s">
        <v>6869</v>
      </c>
      <c r="X38" s="2">
        <v>0.375</v>
      </c>
      <c r="Y38" s="6">
        <f t="shared" si="2"/>
        <v>1.0010410827260351E-2</v>
      </c>
      <c r="AA38">
        <v>135194</v>
      </c>
      <c r="AB38">
        <v>24918</v>
      </c>
      <c r="AD38" t="s">
        <v>5</v>
      </c>
      <c r="AE38">
        <v>19</v>
      </c>
      <c r="AF38">
        <v>6</v>
      </c>
      <c r="AH38" t="s">
        <v>7081</v>
      </c>
      <c r="AI38" t="s">
        <v>7080</v>
      </c>
      <c r="AJ38" t="s">
        <v>7079</v>
      </c>
      <c r="AK38" t="s">
        <v>7078</v>
      </c>
      <c r="AL38">
        <v>2</v>
      </c>
      <c r="AM38" s="5">
        <f t="shared" si="10"/>
        <v>5.128205128205128E-2</v>
      </c>
      <c r="AN38" s="4">
        <f t="shared" si="4"/>
        <v>7.767065699666987E-5</v>
      </c>
      <c r="AO38" s="3"/>
      <c r="AP38">
        <v>0</v>
      </c>
      <c r="AR38" t="s">
        <v>1</v>
      </c>
      <c r="AT38" s="2">
        <v>1.3140000000000001</v>
      </c>
      <c r="AU38" s="1">
        <f t="shared" si="11"/>
        <v>0.70305887761812469</v>
      </c>
      <c r="AV38" s="1">
        <f t="shared" si="12"/>
        <v>0.50440407421285105</v>
      </c>
      <c r="AW38" s="1">
        <f t="shared" si="13"/>
        <v>0.30574927080757741</v>
      </c>
    </row>
    <row r="39" spans="1:49" x14ac:dyDescent="0.2">
      <c r="A39">
        <v>37</v>
      </c>
      <c r="B39" t="s">
        <v>7077</v>
      </c>
      <c r="C39" t="s">
        <v>7076</v>
      </c>
      <c r="F39" t="s">
        <v>7075</v>
      </c>
      <c r="G39" t="s">
        <v>15</v>
      </c>
      <c r="H39" t="s">
        <v>14</v>
      </c>
      <c r="I39" t="s">
        <v>7074</v>
      </c>
      <c r="J39">
        <v>60005837</v>
      </c>
      <c r="K39" t="s">
        <v>3115</v>
      </c>
      <c r="L39" t="s">
        <v>1205</v>
      </c>
      <c r="M39" t="s">
        <v>10</v>
      </c>
      <c r="N39">
        <v>3</v>
      </c>
      <c r="O39" t="s">
        <v>7073</v>
      </c>
      <c r="P39" t="s">
        <v>7072</v>
      </c>
      <c r="Q39" t="s">
        <v>3112</v>
      </c>
      <c r="R39" s="7">
        <v>30392</v>
      </c>
      <c r="S39" s="8">
        <f t="shared" si="8"/>
        <v>1983</v>
      </c>
      <c r="T39" s="8">
        <v>1983</v>
      </c>
      <c r="U39" s="8">
        <f t="shared" si="9"/>
        <v>39</v>
      </c>
      <c r="V39" s="7">
        <v>30392</v>
      </c>
      <c r="W39" t="s">
        <v>6869</v>
      </c>
      <c r="X39" s="2">
        <v>0.375</v>
      </c>
      <c r="Y39" s="6">
        <f t="shared" si="2"/>
        <v>1.0010410827260351E-2</v>
      </c>
      <c r="AA39">
        <v>135194</v>
      </c>
      <c r="AB39">
        <v>24918</v>
      </c>
      <c r="AD39" t="s">
        <v>5</v>
      </c>
      <c r="AE39">
        <v>19</v>
      </c>
      <c r="AF39">
        <v>6</v>
      </c>
      <c r="AH39" t="s">
        <v>7071</v>
      </c>
      <c r="AI39" t="s">
        <v>7070</v>
      </c>
      <c r="AJ39" t="s">
        <v>7069</v>
      </c>
      <c r="AK39" t="s">
        <v>7068</v>
      </c>
      <c r="AL39">
        <v>179</v>
      </c>
      <c r="AM39" s="5">
        <f t="shared" si="10"/>
        <v>4.5897435897435894</v>
      </c>
      <c r="AN39" s="4">
        <f t="shared" si="4"/>
        <v>6.9515238012019531E-3</v>
      </c>
      <c r="AO39" s="3"/>
      <c r="AP39">
        <v>0</v>
      </c>
      <c r="AR39" t="s">
        <v>1</v>
      </c>
      <c r="AT39" s="2">
        <v>1.3140000000000001</v>
      </c>
      <c r="AU39" s="1">
        <f t="shared" si="11"/>
        <v>0.90927447194428312</v>
      </c>
      <c r="AV39" s="1">
        <f t="shared" si="12"/>
        <v>0.84809673142311526</v>
      </c>
      <c r="AW39" s="1">
        <f t="shared" si="13"/>
        <v>0.78691899090194717</v>
      </c>
    </row>
    <row r="40" spans="1:49" x14ac:dyDescent="0.2">
      <c r="A40">
        <v>38</v>
      </c>
      <c r="B40" t="s">
        <v>7067</v>
      </c>
      <c r="C40" t="s">
        <v>7066</v>
      </c>
      <c r="F40" t="s">
        <v>7065</v>
      </c>
      <c r="G40" t="s">
        <v>15</v>
      </c>
      <c r="H40" t="s">
        <v>14</v>
      </c>
      <c r="I40" t="s">
        <v>711</v>
      </c>
      <c r="N40">
        <v>1</v>
      </c>
      <c r="O40" t="s">
        <v>7064</v>
      </c>
      <c r="P40">
        <v>57193979244</v>
      </c>
      <c r="R40" s="7">
        <v>30390</v>
      </c>
      <c r="S40" s="8">
        <f t="shared" si="8"/>
        <v>1983</v>
      </c>
      <c r="T40" s="8">
        <v>1983</v>
      </c>
      <c r="U40" s="8">
        <f t="shared" si="9"/>
        <v>39</v>
      </c>
      <c r="V40" s="7">
        <v>30390</v>
      </c>
      <c r="W40" t="s">
        <v>7063</v>
      </c>
      <c r="X40" s="2">
        <v>0.66800000000000004</v>
      </c>
      <c r="Y40" s="6">
        <f t="shared" si="2"/>
        <v>1.7831878486959774E-2</v>
      </c>
      <c r="AA40" t="s">
        <v>7062</v>
      </c>
      <c r="AB40">
        <v>29593</v>
      </c>
      <c r="AC40">
        <v>21553165</v>
      </c>
      <c r="AD40" t="s">
        <v>5</v>
      </c>
      <c r="AE40">
        <v>22</v>
      </c>
      <c r="AF40">
        <v>6</v>
      </c>
      <c r="AH40" t="s">
        <v>7061</v>
      </c>
      <c r="AI40" t="s">
        <v>7060</v>
      </c>
      <c r="AK40" t="s">
        <v>7059</v>
      </c>
      <c r="AL40">
        <v>9</v>
      </c>
      <c r="AM40" s="5">
        <f t="shared" si="10"/>
        <v>0.23076923076923078</v>
      </c>
      <c r="AN40" s="4">
        <f t="shared" si="4"/>
        <v>3.4951795648501444E-4</v>
      </c>
      <c r="AO40" s="3"/>
      <c r="AP40">
        <v>0</v>
      </c>
      <c r="AR40" t="s">
        <v>1</v>
      </c>
      <c r="AT40" s="2">
        <v>1.98</v>
      </c>
      <c r="AU40" s="1">
        <f t="shared" si="11"/>
        <v>1.2587170327817345</v>
      </c>
      <c r="AV40" s="1">
        <f t="shared" si="12"/>
        <v>0.90906982217223931</v>
      </c>
      <c r="AW40" s="1">
        <f t="shared" si="13"/>
        <v>0.5594226115627442</v>
      </c>
    </row>
    <row r="41" spans="1:49" x14ac:dyDescent="0.2">
      <c r="A41">
        <v>39</v>
      </c>
      <c r="B41" t="s">
        <v>7058</v>
      </c>
      <c r="C41" t="s">
        <v>7057</v>
      </c>
      <c r="F41" t="s">
        <v>7056</v>
      </c>
      <c r="G41" t="s">
        <v>15</v>
      </c>
      <c r="H41" t="s">
        <v>14</v>
      </c>
      <c r="I41" t="s">
        <v>7055</v>
      </c>
      <c r="J41" t="s">
        <v>7054</v>
      </c>
      <c r="K41" t="s">
        <v>7053</v>
      </c>
      <c r="L41" t="s">
        <v>7052</v>
      </c>
      <c r="M41" t="s">
        <v>7051</v>
      </c>
      <c r="N41">
        <v>2</v>
      </c>
      <c r="O41" t="s">
        <v>7050</v>
      </c>
      <c r="P41" t="s">
        <v>7049</v>
      </c>
      <c r="Q41" t="s">
        <v>7048</v>
      </c>
      <c r="R41" s="7">
        <v>30378</v>
      </c>
      <c r="S41" s="8">
        <f t="shared" si="8"/>
        <v>1983</v>
      </c>
      <c r="T41" s="8">
        <v>1983</v>
      </c>
      <c r="U41" s="8">
        <f t="shared" si="9"/>
        <v>39</v>
      </c>
      <c r="V41" s="7">
        <v>30378</v>
      </c>
      <c r="W41" t="s">
        <v>6869</v>
      </c>
      <c r="X41" s="2">
        <v>0.375</v>
      </c>
      <c r="Y41" s="6">
        <f t="shared" si="2"/>
        <v>1.0010410827260351E-2</v>
      </c>
      <c r="AA41">
        <v>135194</v>
      </c>
      <c r="AB41">
        <v>24918</v>
      </c>
      <c r="AD41" t="s">
        <v>5</v>
      </c>
      <c r="AE41">
        <v>19</v>
      </c>
      <c r="AF41">
        <v>5</v>
      </c>
      <c r="AH41" t="s">
        <v>7047</v>
      </c>
      <c r="AI41" t="s">
        <v>7046</v>
      </c>
      <c r="AJ41" t="s">
        <v>7045</v>
      </c>
      <c r="AK41" t="s">
        <v>7044</v>
      </c>
      <c r="AL41">
        <v>3</v>
      </c>
      <c r="AM41" s="5">
        <f t="shared" si="10"/>
        <v>7.6923076923076927E-2</v>
      </c>
      <c r="AN41" s="4">
        <f t="shared" si="4"/>
        <v>1.1650598549500481E-4</v>
      </c>
      <c r="AO41" s="3"/>
      <c r="AP41">
        <v>0</v>
      </c>
      <c r="AR41" t="s">
        <v>1</v>
      </c>
      <c r="AT41" s="2">
        <v>1.3140000000000001</v>
      </c>
      <c r="AU41" s="1">
        <f t="shared" si="11"/>
        <v>0.70422393747307466</v>
      </c>
      <c r="AV41" s="1">
        <f t="shared" si="12"/>
        <v>0.50634584063776777</v>
      </c>
      <c r="AW41" s="1">
        <f t="shared" si="13"/>
        <v>0.30846774380246084</v>
      </c>
    </row>
    <row r="42" spans="1:49" x14ac:dyDescent="0.2">
      <c r="A42">
        <v>40</v>
      </c>
      <c r="B42" t="s">
        <v>7043</v>
      </c>
      <c r="C42" t="s">
        <v>7042</v>
      </c>
      <c r="F42" t="s">
        <v>7041</v>
      </c>
      <c r="G42" t="s">
        <v>15</v>
      </c>
      <c r="H42" t="s">
        <v>14</v>
      </c>
      <c r="I42" t="s">
        <v>7040</v>
      </c>
      <c r="J42" t="s">
        <v>7039</v>
      </c>
      <c r="K42" t="s">
        <v>7038</v>
      </c>
      <c r="L42" t="s">
        <v>7037</v>
      </c>
      <c r="M42" t="s">
        <v>91</v>
      </c>
      <c r="N42">
        <v>4</v>
      </c>
      <c r="O42" t="s">
        <v>7036</v>
      </c>
      <c r="P42" t="s">
        <v>7035</v>
      </c>
      <c r="Q42" t="s">
        <v>7034</v>
      </c>
      <c r="R42" s="7">
        <v>30378</v>
      </c>
      <c r="S42" s="8">
        <f t="shared" si="8"/>
        <v>1983</v>
      </c>
      <c r="T42" s="8">
        <v>1983</v>
      </c>
      <c r="U42" s="8">
        <f t="shared" si="9"/>
        <v>39</v>
      </c>
      <c r="V42" s="7">
        <v>30378</v>
      </c>
      <c r="W42" t="s">
        <v>6869</v>
      </c>
      <c r="X42" s="2">
        <v>0.375</v>
      </c>
      <c r="Y42" s="6">
        <f t="shared" si="2"/>
        <v>1.0010410827260351E-2</v>
      </c>
      <c r="AA42">
        <v>135194</v>
      </c>
      <c r="AB42">
        <v>24918</v>
      </c>
      <c r="AD42" t="s">
        <v>5</v>
      </c>
      <c r="AE42">
        <v>19</v>
      </c>
      <c r="AF42">
        <v>5</v>
      </c>
      <c r="AH42" t="s">
        <v>7033</v>
      </c>
      <c r="AI42" t="s">
        <v>7032</v>
      </c>
      <c r="AJ42" t="s">
        <v>7031</v>
      </c>
      <c r="AK42" t="s">
        <v>7030</v>
      </c>
      <c r="AL42">
        <v>6</v>
      </c>
      <c r="AM42" s="5">
        <f t="shared" si="10"/>
        <v>0.15384615384615385</v>
      </c>
      <c r="AN42" s="4">
        <f t="shared" si="4"/>
        <v>2.3301197099000962E-4</v>
      </c>
      <c r="AO42" s="3"/>
      <c r="AP42">
        <v>0</v>
      </c>
      <c r="AR42" t="s">
        <v>1</v>
      </c>
      <c r="AT42" s="2">
        <v>1.3140000000000001</v>
      </c>
      <c r="AU42" s="1">
        <f t="shared" si="11"/>
        <v>0.70771911703792489</v>
      </c>
      <c r="AV42" s="1">
        <f t="shared" si="12"/>
        <v>0.51217113991251806</v>
      </c>
      <c r="AW42" s="1">
        <f t="shared" si="13"/>
        <v>0.31662316278711117</v>
      </c>
    </row>
    <row r="43" spans="1:49" x14ac:dyDescent="0.2">
      <c r="A43">
        <v>41</v>
      </c>
      <c r="B43" t="s">
        <v>7029</v>
      </c>
      <c r="C43" t="s">
        <v>7028</v>
      </c>
      <c r="F43" t="s">
        <v>7027</v>
      </c>
      <c r="G43" t="s">
        <v>15</v>
      </c>
      <c r="H43" t="s">
        <v>14</v>
      </c>
      <c r="I43" t="s">
        <v>7026</v>
      </c>
      <c r="J43">
        <v>60014549</v>
      </c>
      <c r="K43" t="s">
        <v>7025</v>
      </c>
      <c r="L43" t="s">
        <v>7024</v>
      </c>
      <c r="M43" t="s">
        <v>1229</v>
      </c>
      <c r="N43">
        <v>1</v>
      </c>
      <c r="O43" t="s">
        <v>7023</v>
      </c>
      <c r="P43">
        <v>6602125217</v>
      </c>
      <c r="Q43">
        <v>60014549</v>
      </c>
      <c r="R43" s="7">
        <v>30376</v>
      </c>
      <c r="S43" s="8">
        <f t="shared" si="8"/>
        <v>1983</v>
      </c>
      <c r="T43" s="8">
        <v>1983</v>
      </c>
      <c r="U43" s="8">
        <f t="shared" si="9"/>
        <v>39</v>
      </c>
      <c r="V43" s="7">
        <v>30376</v>
      </c>
      <c r="W43" t="s">
        <v>7022</v>
      </c>
      <c r="X43" s="2">
        <v>0.85499999999999998</v>
      </c>
      <c r="Y43" s="6">
        <f t="shared" si="2"/>
        <v>2.28237366861536E-2</v>
      </c>
      <c r="AA43">
        <v>980331</v>
      </c>
      <c r="AB43">
        <v>23342</v>
      </c>
      <c r="AC43">
        <v>15731561</v>
      </c>
      <c r="AD43" t="s">
        <v>5</v>
      </c>
      <c r="AE43">
        <v>9</v>
      </c>
      <c r="AF43">
        <v>3</v>
      </c>
      <c r="AH43" t="s">
        <v>7021</v>
      </c>
      <c r="AI43" t="s">
        <v>7020</v>
      </c>
      <c r="AJ43" t="s">
        <v>7019</v>
      </c>
      <c r="AK43" t="s">
        <v>7018</v>
      </c>
      <c r="AL43">
        <v>5</v>
      </c>
      <c r="AM43" s="5">
        <f t="shared" si="10"/>
        <v>0.12820512820512819</v>
      </c>
      <c r="AN43" s="4">
        <f t="shared" si="4"/>
        <v>1.9417664249167467E-4</v>
      </c>
      <c r="AO43" s="3"/>
      <c r="AP43">
        <v>0</v>
      </c>
      <c r="AR43" t="s">
        <v>1</v>
      </c>
      <c r="AT43" s="2">
        <v>2.6259999999999999</v>
      </c>
      <c r="AU43" s="1">
        <f t="shared" si="11"/>
        <v>1.6034868673055023</v>
      </c>
      <c r="AV43" s="1">
        <f t="shared" si="12"/>
        <v>1.1508956664322638</v>
      </c>
      <c r="AW43" s="1">
        <f t="shared" si="13"/>
        <v>0.69830446555902526</v>
      </c>
    </row>
    <row r="44" spans="1:49" x14ac:dyDescent="0.2">
      <c r="A44">
        <v>42</v>
      </c>
      <c r="B44" t="s">
        <v>7017</v>
      </c>
      <c r="E44">
        <v>6874731</v>
      </c>
      <c r="F44" t="s">
        <v>7016</v>
      </c>
      <c r="G44" t="s">
        <v>15</v>
      </c>
      <c r="H44" t="s">
        <v>14</v>
      </c>
      <c r="I44" t="s">
        <v>7015</v>
      </c>
      <c r="N44">
        <v>2</v>
      </c>
      <c r="O44" t="s">
        <v>7014</v>
      </c>
      <c r="P44" t="s">
        <v>7013</v>
      </c>
      <c r="Q44" t="s">
        <v>342</v>
      </c>
      <c r="R44" s="7">
        <v>30376</v>
      </c>
      <c r="S44" s="8">
        <f t="shared" si="8"/>
        <v>1983</v>
      </c>
      <c r="T44" s="8">
        <v>1983</v>
      </c>
      <c r="U44" s="8">
        <f t="shared" si="9"/>
        <v>39</v>
      </c>
      <c r="V44" s="7">
        <v>30376</v>
      </c>
      <c r="W44" t="s">
        <v>7012</v>
      </c>
      <c r="X44" s="2">
        <v>2.3839999999999999</v>
      </c>
      <c r="Y44" s="6">
        <f t="shared" si="2"/>
        <v>6.3639518432503137E-2</v>
      </c>
      <c r="AA44">
        <v>219533</v>
      </c>
      <c r="AB44">
        <v>18556</v>
      </c>
      <c r="AD44" t="s">
        <v>5</v>
      </c>
      <c r="AE44">
        <v>60</v>
      </c>
      <c r="AH44" t="s">
        <v>7011</v>
      </c>
      <c r="AI44" t="s">
        <v>7010</v>
      </c>
      <c r="AK44" t="s">
        <v>7009</v>
      </c>
      <c r="AL44">
        <v>3</v>
      </c>
      <c r="AM44" s="5">
        <f t="shared" si="10"/>
        <v>7.6923076923076927E-2</v>
      </c>
      <c r="AN44" s="4">
        <f t="shared" si="4"/>
        <v>1.1650598549500481E-4</v>
      </c>
      <c r="AO44" s="3"/>
      <c r="AP44">
        <v>0</v>
      </c>
      <c r="AR44" t="s">
        <v>1</v>
      </c>
      <c r="AT44" s="2">
        <v>5.2850000000000001</v>
      </c>
      <c r="AU44" s="1">
        <f t="shared" si="11"/>
        <v>4.4582614698400702</v>
      </c>
      <c r="AV44" s="1">
        <f t="shared" si="12"/>
        <v>3.1878012208999071</v>
      </c>
      <c r="AW44" s="1">
        <f t="shared" si="13"/>
        <v>1.9173409719597443</v>
      </c>
    </row>
    <row r="45" spans="1:49" x14ac:dyDescent="0.2">
      <c r="A45">
        <v>43</v>
      </c>
      <c r="B45" t="s">
        <v>7008</v>
      </c>
      <c r="C45" t="s">
        <v>7007</v>
      </c>
      <c r="D45" t="s">
        <v>7006</v>
      </c>
      <c r="F45" t="s">
        <v>7005</v>
      </c>
      <c r="G45" t="s">
        <v>15</v>
      </c>
      <c r="H45" t="s">
        <v>14</v>
      </c>
      <c r="I45" t="s">
        <v>7004</v>
      </c>
      <c r="J45">
        <v>60002014</v>
      </c>
      <c r="K45" t="s">
        <v>7003</v>
      </c>
      <c r="L45" t="s">
        <v>7002</v>
      </c>
      <c r="M45" t="s">
        <v>6487</v>
      </c>
      <c r="N45">
        <v>1</v>
      </c>
      <c r="O45" t="s">
        <v>7001</v>
      </c>
      <c r="P45">
        <v>57205961378</v>
      </c>
      <c r="Q45">
        <v>60002014</v>
      </c>
      <c r="R45" s="7">
        <v>30376</v>
      </c>
      <c r="S45" s="8">
        <f t="shared" si="8"/>
        <v>1983</v>
      </c>
      <c r="T45" s="8">
        <v>1983</v>
      </c>
      <c r="U45" s="8">
        <f t="shared" si="9"/>
        <v>39</v>
      </c>
      <c r="V45" s="7">
        <v>30376</v>
      </c>
      <c r="W45" t="s">
        <v>7000</v>
      </c>
      <c r="X45" s="2" t="s">
        <v>0</v>
      </c>
      <c r="Y45" s="6" t="e">
        <f t="shared" si="2"/>
        <v>#VALUE!</v>
      </c>
      <c r="AA45">
        <v>1675087</v>
      </c>
      <c r="AB45">
        <v>30460</v>
      </c>
      <c r="AD45" t="s">
        <v>5</v>
      </c>
      <c r="AE45">
        <v>206</v>
      </c>
      <c r="AF45">
        <v>3</v>
      </c>
      <c r="AH45" t="s">
        <v>6999</v>
      </c>
      <c r="AI45" t="s">
        <v>6998</v>
      </c>
      <c r="AK45" t="s">
        <v>6997</v>
      </c>
      <c r="AL45">
        <v>2</v>
      </c>
      <c r="AM45" s="5">
        <f t="shared" si="10"/>
        <v>5.128205128205128E-2</v>
      </c>
      <c r="AN45" s="4">
        <f t="shared" si="4"/>
        <v>7.767065699666987E-5</v>
      </c>
      <c r="AO45" s="3"/>
      <c r="AP45">
        <v>0</v>
      </c>
      <c r="AR45" t="s">
        <v>1</v>
      </c>
      <c r="AT45" s="2" t="s">
        <v>0</v>
      </c>
      <c r="AU45" s="1" t="e">
        <f t="shared" si="11"/>
        <v>#VALUE!</v>
      </c>
      <c r="AV45" s="1" t="e">
        <f t="shared" si="12"/>
        <v>#VALUE!</v>
      </c>
      <c r="AW45" s="1" t="e">
        <f t="shared" si="13"/>
        <v>#VALUE!</v>
      </c>
    </row>
    <row r="46" spans="1:49" x14ac:dyDescent="0.2">
      <c r="A46">
        <v>44</v>
      </c>
      <c r="B46" t="s">
        <v>6996</v>
      </c>
      <c r="C46" t="s">
        <v>6995</v>
      </c>
      <c r="F46" t="s">
        <v>6994</v>
      </c>
      <c r="G46" t="s">
        <v>15</v>
      </c>
      <c r="H46" t="s">
        <v>14</v>
      </c>
      <c r="I46" t="s">
        <v>6993</v>
      </c>
      <c r="J46" t="s">
        <v>6988</v>
      </c>
      <c r="K46" t="s">
        <v>6992</v>
      </c>
      <c r="L46" t="s">
        <v>6991</v>
      </c>
      <c r="M46" t="s">
        <v>6259</v>
      </c>
      <c r="N46">
        <v>2</v>
      </c>
      <c r="O46" t="s">
        <v>6990</v>
      </c>
      <c r="P46" t="s">
        <v>6989</v>
      </c>
      <c r="Q46" t="s">
        <v>6988</v>
      </c>
      <c r="R46" s="7">
        <v>30376</v>
      </c>
      <c r="S46" s="8">
        <f t="shared" si="8"/>
        <v>1983</v>
      </c>
      <c r="T46" s="8">
        <v>1983</v>
      </c>
      <c r="U46" s="8">
        <f t="shared" si="9"/>
        <v>39</v>
      </c>
      <c r="V46" s="7">
        <v>30376</v>
      </c>
      <c r="W46" t="s">
        <v>6127</v>
      </c>
      <c r="X46" s="2">
        <v>0.8</v>
      </c>
      <c r="Y46" s="6">
        <f t="shared" si="2"/>
        <v>2.1355543098155415E-2</v>
      </c>
      <c r="AA46">
        <v>3407594</v>
      </c>
      <c r="AB46">
        <v>23456</v>
      </c>
      <c r="AC46">
        <v>14321351</v>
      </c>
      <c r="AD46" t="s">
        <v>5</v>
      </c>
      <c r="AE46">
        <v>150</v>
      </c>
      <c r="AF46">
        <v>1</v>
      </c>
      <c r="AH46" t="s">
        <v>6987</v>
      </c>
      <c r="AI46" t="s">
        <v>6986</v>
      </c>
      <c r="AK46" t="s">
        <v>6985</v>
      </c>
      <c r="AL46">
        <v>34</v>
      </c>
      <c r="AM46" s="5">
        <f t="shared" si="10"/>
        <v>0.87179487179487181</v>
      </c>
      <c r="AN46" s="4">
        <f t="shared" si="4"/>
        <v>1.3204011689433878E-3</v>
      </c>
      <c r="AO46" s="3"/>
      <c r="AP46">
        <v>0</v>
      </c>
      <c r="AR46" t="s">
        <v>1</v>
      </c>
      <c r="AT46" s="2" t="s">
        <v>0</v>
      </c>
      <c r="AU46" s="1">
        <f t="shared" si="11"/>
        <v>1.5345000519391807</v>
      </c>
      <c r="AV46" s="1">
        <f t="shared" si="12"/>
        <v>1.1337972133549403</v>
      </c>
      <c r="AW46" s="1">
        <f t="shared" si="13"/>
        <v>0.73309437477069961</v>
      </c>
    </row>
    <row r="47" spans="1:49" x14ac:dyDescent="0.2">
      <c r="A47">
        <v>45</v>
      </c>
      <c r="B47" t="s">
        <v>6984</v>
      </c>
      <c r="C47" t="s">
        <v>6983</v>
      </c>
      <c r="F47" t="s">
        <v>6982</v>
      </c>
      <c r="G47" t="s">
        <v>15</v>
      </c>
      <c r="H47" t="s">
        <v>14</v>
      </c>
      <c r="I47" t="s">
        <v>1569</v>
      </c>
      <c r="J47">
        <v>60030526</v>
      </c>
      <c r="K47" t="s">
        <v>4634</v>
      </c>
      <c r="L47" t="s">
        <v>56</v>
      </c>
      <c r="M47" t="s">
        <v>55</v>
      </c>
      <c r="N47">
        <v>3</v>
      </c>
      <c r="O47" t="s">
        <v>6981</v>
      </c>
      <c r="P47" t="s">
        <v>6980</v>
      </c>
      <c r="Q47" t="s">
        <v>5591</v>
      </c>
      <c r="R47" s="7">
        <v>30350</v>
      </c>
      <c r="S47" s="8">
        <f t="shared" si="8"/>
        <v>1983</v>
      </c>
      <c r="T47" s="8">
        <v>1983</v>
      </c>
      <c r="U47" s="8">
        <f t="shared" si="9"/>
        <v>39</v>
      </c>
      <c r="V47" s="7">
        <v>30350</v>
      </c>
      <c r="W47" t="s">
        <v>6869</v>
      </c>
      <c r="X47" s="2">
        <v>0.375</v>
      </c>
      <c r="Y47" s="6">
        <f t="shared" si="2"/>
        <v>1.0010410827260351E-2</v>
      </c>
      <c r="AA47">
        <v>135194</v>
      </c>
      <c r="AB47">
        <v>24918</v>
      </c>
      <c r="AD47" t="s">
        <v>5</v>
      </c>
      <c r="AE47">
        <v>19</v>
      </c>
      <c r="AF47">
        <v>3</v>
      </c>
      <c r="AH47" t="s">
        <v>6979</v>
      </c>
      <c r="AI47" t="s">
        <v>6978</v>
      </c>
      <c r="AJ47" t="s">
        <v>6977</v>
      </c>
      <c r="AK47" t="s">
        <v>6976</v>
      </c>
      <c r="AL47">
        <v>18</v>
      </c>
      <c r="AM47" s="5">
        <f t="shared" si="10"/>
        <v>0.46153846153846156</v>
      </c>
      <c r="AN47" s="4">
        <f t="shared" si="4"/>
        <v>6.9903591297002887E-4</v>
      </c>
      <c r="AO47" s="3"/>
      <c r="AP47">
        <v>0</v>
      </c>
      <c r="AR47" t="s">
        <v>1</v>
      </c>
      <c r="AT47" s="2">
        <v>1.3140000000000001</v>
      </c>
      <c r="AU47" s="1">
        <f t="shared" si="11"/>
        <v>0.7216998352973254</v>
      </c>
      <c r="AV47" s="1">
        <f t="shared" si="12"/>
        <v>0.53547233701151897</v>
      </c>
      <c r="AW47" s="1">
        <f t="shared" si="13"/>
        <v>0.34924483872571255</v>
      </c>
    </row>
    <row r="48" spans="1:49" x14ac:dyDescent="0.2">
      <c r="A48">
        <v>46</v>
      </c>
      <c r="B48" t="s">
        <v>6975</v>
      </c>
      <c r="C48" t="s">
        <v>6974</v>
      </c>
      <c r="F48" t="s">
        <v>6973</v>
      </c>
      <c r="G48" t="s">
        <v>15</v>
      </c>
      <c r="H48" t="s">
        <v>14</v>
      </c>
      <c r="I48" t="s">
        <v>6972</v>
      </c>
      <c r="J48">
        <v>118839524</v>
      </c>
      <c r="K48" t="s">
        <v>6971</v>
      </c>
      <c r="M48" t="s">
        <v>271</v>
      </c>
      <c r="N48">
        <v>1</v>
      </c>
      <c r="O48" t="s">
        <v>6970</v>
      </c>
      <c r="P48">
        <v>7007048290</v>
      </c>
      <c r="Q48">
        <v>118839524</v>
      </c>
      <c r="R48" s="7">
        <v>30350</v>
      </c>
      <c r="S48" s="8">
        <f t="shared" si="8"/>
        <v>1983</v>
      </c>
      <c r="T48" s="8">
        <v>1983</v>
      </c>
      <c r="U48" s="8">
        <f t="shared" si="9"/>
        <v>39</v>
      </c>
      <c r="V48" s="7">
        <v>30350</v>
      </c>
      <c r="W48" t="s">
        <v>6869</v>
      </c>
      <c r="X48" s="2">
        <v>0.375</v>
      </c>
      <c r="Y48" s="6">
        <f t="shared" si="2"/>
        <v>1.0010410827260351E-2</v>
      </c>
      <c r="AA48">
        <v>135194</v>
      </c>
      <c r="AB48">
        <v>24918</v>
      </c>
      <c r="AD48" t="s">
        <v>5</v>
      </c>
      <c r="AE48">
        <v>19</v>
      </c>
      <c r="AF48">
        <v>3</v>
      </c>
      <c r="AH48" t="s">
        <v>6969</v>
      </c>
      <c r="AI48" t="s">
        <v>6968</v>
      </c>
      <c r="AJ48" t="s">
        <v>6967</v>
      </c>
      <c r="AK48" t="s">
        <v>6966</v>
      </c>
      <c r="AL48">
        <v>5</v>
      </c>
      <c r="AM48" s="5">
        <f t="shared" si="10"/>
        <v>0.12820512820512819</v>
      </c>
      <c r="AN48" s="4">
        <f t="shared" si="4"/>
        <v>1.9417664249167467E-4</v>
      </c>
      <c r="AO48" s="3"/>
      <c r="AP48">
        <v>0</v>
      </c>
      <c r="AR48" t="s">
        <v>1</v>
      </c>
      <c r="AT48" s="2">
        <v>1.3140000000000001</v>
      </c>
      <c r="AU48" s="1">
        <f t="shared" si="11"/>
        <v>0.70655405718297482</v>
      </c>
      <c r="AV48" s="1">
        <f t="shared" si="12"/>
        <v>0.51022937348760133</v>
      </c>
      <c r="AW48" s="1">
        <f t="shared" si="13"/>
        <v>0.31390468979222774</v>
      </c>
    </row>
    <row r="49" spans="1:49" x14ac:dyDescent="0.2">
      <c r="A49">
        <v>47</v>
      </c>
      <c r="B49" t="s">
        <v>6965</v>
      </c>
      <c r="C49" t="s">
        <v>6964</v>
      </c>
      <c r="F49" t="s">
        <v>6963</v>
      </c>
      <c r="G49" t="s">
        <v>15</v>
      </c>
      <c r="H49" t="s">
        <v>14</v>
      </c>
      <c r="I49" t="s">
        <v>6962</v>
      </c>
      <c r="J49">
        <v>60020261</v>
      </c>
      <c r="K49" t="s">
        <v>6961</v>
      </c>
      <c r="L49" t="s">
        <v>6960</v>
      </c>
      <c r="M49" t="s">
        <v>4275</v>
      </c>
      <c r="N49">
        <v>1</v>
      </c>
      <c r="O49" t="s">
        <v>6959</v>
      </c>
      <c r="P49">
        <v>7005778416</v>
      </c>
      <c r="Q49">
        <v>60020261</v>
      </c>
      <c r="R49" s="7">
        <v>30348</v>
      </c>
      <c r="S49" s="8">
        <f t="shared" si="8"/>
        <v>1983</v>
      </c>
      <c r="T49" s="8">
        <v>1983</v>
      </c>
      <c r="U49" s="8">
        <f t="shared" si="9"/>
        <v>39</v>
      </c>
      <c r="V49" s="7">
        <v>30348</v>
      </c>
      <c r="W49" t="s">
        <v>6958</v>
      </c>
      <c r="X49" s="2" t="s">
        <v>0</v>
      </c>
      <c r="Y49" s="6" t="e">
        <f t="shared" si="2"/>
        <v>#VALUE!</v>
      </c>
      <c r="AA49" t="s">
        <v>6957</v>
      </c>
      <c r="AB49">
        <v>12100155632</v>
      </c>
      <c r="AC49" t="s">
        <v>6956</v>
      </c>
      <c r="AD49" t="s">
        <v>5</v>
      </c>
      <c r="AE49">
        <v>36</v>
      </c>
      <c r="AF49">
        <v>8</v>
      </c>
      <c r="AH49" t="s">
        <v>2770</v>
      </c>
      <c r="AJ49" t="s">
        <v>6955</v>
      </c>
      <c r="AL49">
        <v>5</v>
      </c>
      <c r="AM49" s="5">
        <f t="shared" si="10"/>
        <v>0.12820512820512819</v>
      </c>
      <c r="AN49" s="4">
        <f t="shared" si="4"/>
        <v>1.9417664249167467E-4</v>
      </c>
      <c r="AO49" s="3"/>
      <c r="AP49">
        <v>0</v>
      </c>
      <c r="AR49" t="s">
        <v>1</v>
      </c>
      <c r="AT49" s="2" t="s">
        <v>0</v>
      </c>
      <c r="AU49" s="1" t="e">
        <f t="shared" si="11"/>
        <v>#VALUE!</v>
      </c>
      <c r="AV49" s="1" t="e">
        <f t="shared" si="12"/>
        <v>#VALUE!</v>
      </c>
      <c r="AW49" s="1" t="e">
        <f t="shared" si="13"/>
        <v>#VALUE!</v>
      </c>
    </row>
    <row r="50" spans="1:49" x14ac:dyDescent="0.2">
      <c r="A50">
        <v>48</v>
      </c>
      <c r="B50" t="s">
        <v>6954</v>
      </c>
      <c r="C50" t="s">
        <v>6953</v>
      </c>
      <c r="F50" t="s">
        <v>6952</v>
      </c>
      <c r="G50" t="s">
        <v>15</v>
      </c>
      <c r="H50" t="s">
        <v>14</v>
      </c>
      <c r="I50" t="s">
        <v>6951</v>
      </c>
      <c r="J50">
        <v>60009839</v>
      </c>
      <c r="K50" t="s">
        <v>1219</v>
      </c>
      <c r="L50" t="s">
        <v>6950</v>
      </c>
      <c r="M50" t="s">
        <v>1229</v>
      </c>
      <c r="N50">
        <v>1</v>
      </c>
      <c r="O50" t="s">
        <v>6949</v>
      </c>
      <c r="P50">
        <v>16409064500</v>
      </c>
      <c r="Q50">
        <v>60009839</v>
      </c>
      <c r="R50" s="7">
        <v>30348</v>
      </c>
      <c r="S50" s="8">
        <f t="shared" si="8"/>
        <v>1983</v>
      </c>
      <c r="T50" s="8">
        <v>1983</v>
      </c>
      <c r="U50" s="8">
        <f t="shared" si="9"/>
        <v>39</v>
      </c>
      <c r="V50" s="7">
        <v>30348</v>
      </c>
      <c r="W50" t="s">
        <v>6948</v>
      </c>
      <c r="X50" s="2">
        <v>1.026</v>
      </c>
      <c r="Y50" s="6">
        <f t="shared" si="2"/>
        <v>2.738848402338432E-2</v>
      </c>
      <c r="AA50">
        <v>380938</v>
      </c>
      <c r="AB50">
        <v>28245</v>
      </c>
      <c r="AC50" t="s">
        <v>6947</v>
      </c>
      <c r="AD50" t="s">
        <v>5</v>
      </c>
      <c r="AE50">
        <v>83</v>
      </c>
      <c r="AF50">
        <v>1</v>
      </c>
      <c r="AH50" t="s">
        <v>931</v>
      </c>
      <c r="AI50" t="s">
        <v>6946</v>
      </c>
      <c r="AK50" t="s">
        <v>6945</v>
      </c>
      <c r="AL50">
        <v>4</v>
      </c>
      <c r="AM50" s="5">
        <f t="shared" si="10"/>
        <v>0.10256410256410256</v>
      </c>
      <c r="AN50" s="4">
        <f t="shared" si="4"/>
        <v>1.5534131399333974E-4</v>
      </c>
      <c r="AO50" s="3"/>
      <c r="AP50">
        <v>0</v>
      </c>
      <c r="AR50" t="s">
        <v>1</v>
      </c>
      <c r="AT50" s="2">
        <v>2.6709999999999998</v>
      </c>
      <c r="AU50" s="1">
        <f t="shared" si="11"/>
        <v>1.9218541210567024</v>
      </c>
      <c r="AV50" s="1">
        <f t="shared" si="12"/>
        <v>1.3771912668688828</v>
      </c>
      <c r="AW50" s="1">
        <f t="shared" si="13"/>
        <v>0.83252841268106337</v>
      </c>
    </row>
    <row r="51" spans="1:49" x14ac:dyDescent="0.2">
      <c r="A51">
        <v>49</v>
      </c>
      <c r="B51" t="s">
        <v>6944</v>
      </c>
      <c r="C51" t="s">
        <v>6943</v>
      </c>
      <c r="F51" t="s">
        <v>6942</v>
      </c>
      <c r="G51" t="s">
        <v>15</v>
      </c>
      <c r="H51" t="s">
        <v>14</v>
      </c>
      <c r="I51" t="s">
        <v>6941</v>
      </c>
      <c r="N51">
        <v>1</v>
      </c>
      <c r="O51" t="s">
        <v>6940</v>
      </c>
      <c r="P51">
        <v>6603217029</v>
      </c>
      <c r="R51" s="7">
        <v>30348</v>
      </c>
      <c r="S51" s="8">
        <f t="shared" si="8"/>
        <v>1983</v>
      </c>
      <c r="T51" s="8">
        <v>1983</v>
      </c>
      <c r="U51" s="8">
        <f t="shared" si="9"/>
        <v>39</v>
      </c>
      <c r="V51" s="7">
        <v>30348</v>
      </c>
      <c r="W51" t="s">
        <v>1382</v>
      </c>
      <c r="X51" s="2">
        <v>0.318</v>
      </c>
      <c r="Y51" s="6">
        <f t="shared" si="2"/>
        <v>8.4888283815167786E-3</v>
      </c>
      <c r="AA51">
        <v>338443</v>
      </c>
      <c r="AB51">
        <v>27160</v>
      </c>
      <c r="AC51">
        <v>15739120</v>
      </c>
      <c r="AD51" t="s">
        <v>5</v>
      </c>
      <c r="AE51">
        <v>26</v>
      </c>
      <c r="AF51">
        <v>2</v>
      </c>
      <c r="AH51" t="s">
        <v>6939</v>
      </c>
      <c r="AL51">
        <v>0</v>
      </c>
      <c r="AM51" s="5">
        <f t="shared" si="10"/>
        <v>0</v>
      </c>
      <c r="AN51" s="4">
        <f t="shared" si="4"/>
        <v>0</v>
      </c>
      <c r="AO51" s="3"/>
      <c r="AP51">
        <v>0</v>
      </c>
      <c r="AR51" t="s">
        <v>1</v>
      </c>
      <c r="AT51" s="2">
        <v>0.77</v>
      </c>
      <c r="AU51" s="1">
        <f t="shared" si="11"/>
        <v>0.59421798670617454</v>
      </c>
      <c r="AV51" s="1">
        <f t="shared" si="12"/>
        <v>0.42444141907583893</v>
      </c>
      <c r="AW51" s="1">
        <f t="shared" si="13"/>
        <v>0.25466485144550338</v>
      </c>
    </row>
    <row r="52" spans="1:49" x14ac:dyDescent="0.2">
      <c r="A52">
        <v>50</v>
      </c>
      <c r="B52" t="s">
        <v>6938</v>
      </c>
      <c r="C52" t="s">
        <v>6937</v>
      </c>
      <c r="F52" t="s">
        <v>6936</v>
      </c>
      <c r="G52" t="s">
        <v>15</v>
      </c>
      <c r="H52" t="s">
        <v>14</v>
      </c>
      <c r="I52" t="s">
        <v>6935</v>
      </c>
      <c r="J52">
        <v>60032882</v>
      </c>
      <c r="K52" t="s">
        <v>6934</v>
      </c>
      <c r="L52" t="s">
        <v>6933</v>
      </c>
      <c r="M52" t="s">
        <v>119</v>
      </c>
      <c r="N52">
        <v>3</v>
      </c>
      <c r="O52" t="s">
        <v>6932</v>
      </c>
      <c r="P52" t="s">
        <v>6931</v>
      </c>
      <c r="Q52" t="s">
        <v>6930</v>
      </c>
      <c r="R52" s="7">
        <v>30336</v>
      </c>
      <c r="S52" s="8">
        <f t="shared" si="8"/>
        <v>1983</v>
      </c>
      <c r="T52" s="8">
        <v>1983</v>
      </c>
      <c r="U52" s="8">
        <f t="shared" si="9"/>
        <v>39</v>
      </c>
      <c r="V52" s="7">
        <v>30336</v>
      </c>
      <c r="W52" t="s">
        <v>6869</v>
      </c>
      <c r="X52" s="2">
        <v>0.375</v>
      </c>
      <c r="Y52" s="6">
        <f t="shared" si="2"/>
        <v>1.0010410827260351E-2</v>
      </c>
      <c r="AA52">
        <v>135194</v>
      </c>
      <c r="AB52">
        <v>24918</v>
      </c>
      <c r="AD52" t="s">
        <v>5</v>
      </c>
      <c r="AE52">
        <v>19</v>
      </c>
      <c r="AF52">
        <v>2</v>
      </c>
      <c r="AH52" t="s">
        <v>6929</v>
      </c>
      <c r="AI52" t="s">
        <v>6928</v>
      </c>
      <c r="AJ52" t="s">
        <v>6927</v>
      </c>
      <c r="AK52" t="s">
        <v>6926</v>
      </c>
      <c r="AL52">
        <v>4</v>
      </c>
      <c r="AM52" s="5">
        <f t="shared" si="10"/>
        <v>0.10256410256410256</v>
      </c>
      <c r="AN52" s="4">
        <f t="shared" si="4"/>
        <v>1.5534131399333974E-4</v>
      </c>
      <c r="AO52" s="3"/>
      <c r="AP52">
        <v>0</v>
      </c>
      <c r="AR52" t="s">
        <v>1</v>
      </c>
      <c r="AT52" s="2">
        <v>1.3140000000000001</v>
      </c>
      <c r="AU52" s="1">
        <f t="shared" si="11"/>
        <v>0.70538899732802474</v>
      </c>
      <c r="AV52" s="1">
        <f t="shared" si="12"/>
        <v>0.50828760706268461</v>
      </c>
      <c r="AW52" s="1">
        <f t="shared" si="13"/>
        <v>0.31118621679734426</v>
      </c>
    </row>
    <row r="53" spans="1:49" x14ac:dyDescent="0.2">
      <c r="A53">
        <v>51</v>
      </c>
      <c r="B53" t="s">
        <v>6925</v>
      </c>
      <c r="C53" t="s">
        <v>6924</v>
      </c>
      <c r="D53">
        <v>5272883901792</v>
      </c>
      <c r="F53" t="s">
        <v>6923</v>
      </c>
      <c r="G53" t="s">
        <v>15</v>
      </c>
      <c r="H53" t="s">
        <v>14</v>
      </c>
      <c r="I53" t="s">
        <v>6922</v>
      </c>
      <c r="J53">
        <v>60007903</v>
      </c>
      <c r="K53" t="s">
        <v>6921</v>
      </c>
      <c r="L53" t="s">
        <v>6920</v>
      </c>
      <c r="M53" t="s">
        <v>1050</v>
      </c>
      <c r="N53">
        <v>2</v>
      </c>
      <c r="O53" t="s">
        <v>6919</v>
      </c>
      <c r="P53" t="s">
        <v>6918</v>
      </c>
      <c r="Q53" t="s">
        <v>6917</v>
      </c>
      <c r="R53" s="7">
        <v>30329</v>
      </c>
      <c r="S53" s="8">
        <f t="shared" si="8"/>
        <v>1983</v>
      </c>
      <c r="T53" s="8">
        <v>1983</v>
      </c>
      <c r="U53" s="8">
        <f t="shared" si="9"/>
        <v>39</v>
      </c>
      <c r="V53" s="7">
        <v>30329</v>
      </c>
      <c r="W53" t="s">
        <v>6916</v>
      </c>
      <c r="X53" s="2">
        <v>1.59</v>
      </c>
      <c r="Y53" s="6">
        <f t="shared" si="2"/>
        <v>4.2444141907583888E-2</v>
      </c>
      <c r="AA53">
        <v>52728</v>
      </c>
      <c r="AB53">
        <v>16791</v>
      </c>
      <c r="AD53" t="s">
        <v>5</v>
      </c>
      <c r="AE53">
        <v>722</v>
      </c>
      <c r="AF53">
        <v>1</v>
      </c>
      <c r="AH53" t="s">
        <v>6915</v>
      </c>
      <c r="AI53" t="s">
        <v>6914</v>
      </c>
      <c r="AJ53" t="s">
        <v>6913</v>
      </c>
      <c r="AK53" t="s">
        <v>6912</v>
      </c>
      <c r="AL53">
        <v>19</v>
      </c>
      <c r="AM53" s="5">
        <f t="shared" si="10"/>
        <v>0.48717948717948717</v>
      </c>
      <c r="AN53" s="4">
        <f t="shared" si="4"/>
        <v>7.3787124146836372E-4</v>
      </c>
      <c r="AO53" s="3"/>
      <c r="AP53">
        <v>0</v>
      </c>
      <c r="AQ53" t="s">
        <v>6911</v>
      </c>
      <c r="AR53" t="s">
        <v>1</v>
      </c>
      <c r="AS53" t="s">
        <v>6910</v>
      </c>
      <c r="AT53" s="2" t="s">
        <v>0</v>
      </c>
      <c r="AU53" s="1">
        <f t="shared" si="11"/>
        <v>2.9932260707749228</v>
      </c>
      <c r="AV53" s="1">
        <f t="shared" si="12"/>
        <v>2.1591006574526124</v>
      </c>
      <c r="AW53" s="1">
        <f t="shared" si="13"/>
        <v>1.324975244130302</v>
      </c>
    </row>
    <row r="54" spans="1:49" x14ac:dyDescent="0.2">
      <c r="A54">
        <v>52</v>
      </c>
      <c r="B54" t="s">
        <v>6909</v>
      </c>
      <c r="C54" t="s">
        <v>6908</v>
      </c>
      <c r="D54" t="s">
        <v>6907</v>
      </c>
      <c r="F54" t="s">
        <v>6906</v>
      </c>
      <c r="G54" t="s">
        <v>15</v>
      </c>
      <c r="H54" t="s">
        <v>14</v>
      </c>
      <c r="I54" t="s">
        <v>6905</v>
      </c>
      <c r="J54">
        <v>60009386</v>
      </c>
      <c r="K54" t="s">
        <v>6904</v>
      </c>
      <c r="L54" t="s">
        <v>6903</v>
      </c>
      <c r="M54" t="s">
        <v>431</v>
      </c>
      <c r="N54">
        <v>2</v>
      </c>
      <c r="O54" t="s">
        <v>6902</v>
      </c>
      <c r="P54" t="s">
        <v>6901</v>
      </c>
      <c r="Q54" t="s">
        <v>6900</v>
      </c>
      <c r="R54" s="7">
        <v>30326</v>
      </c>
      <c r="S54" s="8">
        <f t="shared" si="8"/>
        <v>1983</v>
      </c>
      <c r="T54" s="8">
        <v>1983</v>
      </c>
      <c r="U54" s="8">
        <f t="shared" si="9"/>
        <v>39</v>
      </c>
      <c r="V54" s="7">
        <v>30326</v>
      </c>
      <c r="W54" t="s">
        <v>6899</v>
      </c>
      <c r="X54" s="2">
        <v>0.499</v>
      </c>
      <c r="Y54" s="6">
        <f t="shared" si="2"/>
        <v>1.332052000747444E-2</v>
      </c>
      <c r="AA54">
        <v>3759601</v>
      </c>
      <c r="AB54">
        <v>29464</v>
      </c>
      <c r="AD54" t="s">
        <v>5</v>
      </c>
      <c r="AE54">
        <v>93</v>
      </c>
      <c r="AF54">
        <v>4</v>
      </c>
      <c r="AH54" t="s">
        <v>6898</v>
      </c>
      <c r="AI54" t="s">
        <v>6897</v>
      </c>
      <c r="AK54" t="s">
        <v>6896</v>
      </c>
      <c r="AL54">
        <v>6</v>
      </c>
      <c r="AM54" s="5">
        <f t="shared" si="10"/>
        <v>0.15384615384615385</v>
      </c>
      <c r="AN54" s="4">
        <f t="shared" si="4"/>
        <v>2.3301197099000962E-4</v>
      </c>
      <c r="AO54" s="3"/>
      <c r="AP54">
        <v>0</v>
      </c>
      <c r="AR54" t="s">
        <v>1</v>
      </c>
      <c r="AT54" s="2">
        <v>2.6539999999999999</v>
      </c>
      <c r="AU54" s="1">
        <f t="shared" si="11"/>
        <v>0.939426759652911</v>
      </c>
      <c r="AV54" s="1">
        <f t="shared" si="12"/>
        <v>0.67767659892322241</v>
      </c>
      <c r="AW54" s="1">
        <f t="shared" si="13"/>
        <v>0.41592643819353387</v>
      </c>
    </row>
    <row r="55" spans="1:49" x14ac:dyDescent="0.2">
      <c r="A55">
        <v>53</v>
      </c>
      <c r="B55" t="s">
        <v>6895</v>
      </c>
      <c r="C55" t="s">
        <v>6894</v>
      </c>
      <c r="F55" t="s">
        <v>6893</v>
      </c>
      <c r="G55" t="s">
        <v>15</v>
      </c>
      <c r="H55" t="s">
        <v>14</v>
      </c>
      <c r="I55" t="s">
        <v>6892</v>
      </c>
      <c r="J55" t="s">
        <v>6891</v>
      </c>
      <c r="K55" t="s">
        <v>6890</v>
      </c>
      <c r="L55" t="s">
        <v>6889</v>
      </c>
      <c r="M55" t="s">
        <v>6888</v>
      </c>
      <c r="N55">
        <v>2</v>
      </c>
      <c r="O55" t="s">
        <v>6887</v>
      </c>
      <c r="P55" t="s">
        <v>6886</v>
      </c>
      <c r="Q55" t="s">
        <v>6885</v>
      </c>
      <c r="R55" s="7">
        <v>30322</v>
      </c>
      <c r="S55" s="8">
        <f t="shared" si="8"/>
        <v>1983</v>
      </c>
      <c r="T55" s="8">
        <v>1983</v>
      </c>
      <c r="U55" s="8">
        <f t="shared" si="9"/>
        <v>39</v>
      </c>
      <c r="V55" s="7">
        <v>30322</v>
      </c>
      <c r="W55" t="s">
        <v>6869</v>
      </c>
      <c r="X55" s="2">
        <v>0.375</v>
      </c>
      <c r="Y55" s="6">
        <f t="shared" si="2"/>
        <v>1.0010410827260351E-2</v>
      </c>
      <c r="AA55">
        <v>135194</v>
      </c>
      <c r="AB55">
        <v>24918</v>
      </c>
      <c r="AD55" t="s">
        <v>5</v>
      </c>
      <c r="AE55">
        <v>19</v>
      </c>
      <c r="AF55">
        <v>1</v>
      </c>
      <c r="AH55" t="s">
        <v>6884</v>
      </c>
      <c r="AI55" t="s">
        <v>6883</v>
      </c>
      <c r="AJ55" t="s">
        <v>6882</v>
      </c>
      <c r="AK55" t="s">
        <v>6881</v>
      </c>
      <c r="AL55">
        <v>8</v>
      </c>
      <c r="AM55" s="5">
        <f t="shared" si="10"/>
        <v>0.20512820512820512</v>
      </c>
      <c r="AN55" s="4">
        <f t="shared" si="4"/>
        <v>3.1068262798667948E-4</v>
      </c>
      <c r="AO55" s="3"/>
      <c r="AP55">
        <v>0</v>
      </c>
      <c r="AR55" t="s">
        <v>1</v>
      </c>
      <c r="AT55" s="2">
        <v>1.3140000000000001</v>
      </c>
      <c r="AU55" s="1">
        <f t="shared" si="11"/>
        <v>0.71004923674782505</v>
      </c>
      <c r="AV55" s="1">
        <f t="shared" si="12"/>
        <v>0.51605467276235151</v>
      </c>
      <c r="AW55" s="1">
        <f t="shared" si="13"/>
        <v>0.32206010877687807</v>
      </c>
    </row>
    <row r="56" spans="1:49" x14ac:dyDescent="0.2">
      <c r="A56">
        <v>54</v>
      </c>
      <c r="B56" t="s">
        <v>6880</v>
      </c>
      <c r="C56" t="s">
        <v>6879</v>
      </c>
      <c r="F56" t="s">
        <v>6878</v>
      </c>
      <c r="G56" t="s">
        <v>15</v>
      </c>
      <c r="H56" t="s">
        <v>14</v>
      </c>
      <c r="I56" t="s">
        <v>6877</v>
      </c>
      <c r="J56" t="s">
        <v>6876</v>
      </c>
      <c r="K56" t="s">
        <v>6875</v>
      </c>
      <c r="L56" t="s">
        <v>6874</v>
      </c>
      <c r="M56" t="s">
        <v>6873</v>
      </c>
      <c r="N56">
        <v>3</v>
      </c>
      <c r="O56" t="s">
        <v>6872</v>
      </c>
      <c r="P56" t="s">
        <v>6871</v>
      </c>
      <c r="Q56" t="s">
        <v>6870</v>
      </c>
      <c r="R56" s="7">
        <v>30322</v>
      </c>
      <c r="S56" s="8">
        <f t="shared" si="8"/>
        <v>1983</v>
      </c>
      <c r="T56" s="8">
        <v>1983</v>
      </c>
      <c r="U56" s="8">
        <f t="shared" si="9"/>
        <v>39</v>
      </c>
      <c r="V56" s="7">
        <v>30322</v>
      </c>
      <c r="W56" t="s">
        <v>6869</v>
      </c>
      <c r="X56" s="2">
        <v>0.375</v>
      </c>
      <c r="Y56" s="6">
        <f t="shared" si="2"/>
        <v>1.0010410827260351E-2</v>
      </c>
      <c r="AA56">
        <v>135194</v>
      </c>
      <c r="AB56">
        <v>24918</v>
      </c>
      <c r="AD56" t="s">
        <v>5</v>
      </c>
      <c r="AE56">
        <v>19</v>
      </c>
      <c r="AF56">
        <v>1</v>
      </c>
      <c r="AH56" t="s">
        <v>6341</v>
      </c>
      <c r="AI56" t="s">
        <v>6868</v>
      </c>
      <c r="AJ56" t="s">
        <v>6867</v>
      </c>
      <c r="AK56" t="s">
        <v>6866</v>
      </c>
      <c r="AL56">
        <v>2</v>
      </c>
      <c r="AM56" s="5">
        <f t="shared" si="10"/>
        <v>5.128205128205128E-2</v>
      </c>
      <c r="AN56" s="4">
        <f t="shared" si="4"/>
        <v>7.767065699666987E-5</v>
      </c>
      <c r="AO56" s="3"/>
      <c r="AP56">
        <v>0</v>
      </c>
      <c r="AR56" t="s">
        <v>1</v>
      </c>
      <c r="AT56" s="2">
        <v>1.3140000000000001</v>
      </c>
      <c r="AU56" s="1">
        <f t="shared" si="11"/>
        <v>0.70305887761812469</v>
      </c>
      <c r="AV56" s="1">
        <f t="shared" si="12"/>
        <v>0.50440407421285105</v>
      </c>
      <c r="AW56" s="1">
        <f t="shared" si="13"/>
        <v>0.30574927080757741</v>
      </c>
    </row>
    <row r="57" spans="1:49" x14ac:dyDescent="0.2">
      <c r="A57">
        <v>55</v>
      </c>
      <c r="B57" t="s">
        <v>6865</v>
      </c>
      <c r="C57" t="s">
        <v>6864</v>
      </c>
      <c r="F57" t="s">
        <v>6863</v>
      </c>
      <c r="G57" t="s">
        <v>15</v>
      </c>
      <c r="H57" t="s">
        <v>14</v>
      </c>
      <c r="I57" t="s">
        <v>6862</v>
      </c>
      <c r="J57" t="s">
        <v>6861</v>
      </c>
      <c r="K57" t="s">
        <v>6860</v>
      </c>
      <c r="L57" t="s">
        <v>6859</v>
      </c>
      <c r="M57" t="s">
        <v>2065</v>
      </c>
      <c r="N57">
        <v>3</v>
      </c>
      <c r="O57" t="s">
        <v>6858</v>
      </c>
      <c r="P57" t="s">
        <v>6857</v>
      </c>
      <c r="Q57" t="s">
        <v>6856</v>
      </c>
      <c r="R57" s="7">
        <v>30317</v>
      </c>
      <c r="S57" s="8">
        <f t="shared" si="8"/>
        <v>1983</v>
      </c>
      <c r="T57" s="8">
        <v>1983</v>
      </c>
      <c r="U57" s="8">
        <f t="shared" si="9"/>
        <v>39</v>
      </c>
      <c r="V57" s="7">
        <v>30317</v>
      </c>
      <c r="W57" t="s">
        <v>186</v>
      </c>
      <c r="X57" s="2">
        <v>1.1579999999999999</v>
      </c>
      <c r="Y57" s="6">
        <f t="shared" si="2"/>
        <v>3.0912148634579962E-2</v>
      </c>
      <c r="AA57">
        <v>1668595</v>
      </c>
      <c r="AB57">
        <v>14223</v>
      </c>
      <c r="AC57">
        <v>15735079</v>
      </c>
      <c r="AD57" t="s">
        <v>5</v>
      </c>
      <c r="AE57">
        <v>4</v>
      </c>
      <c r="AF57">
        <v>1</v>
      </c>
      <c r="AH57" t="s">
        <v>6855</v>
      </c>
      <c r="AI57" t="s">
        <v>6854</v>
      </c>
      <c r="AJ57" t="s">
        <v>6853</v>
      </c>
      <c r="AK57" t="s">
        <v>6852</v>
      </c>
      <c r="AL57">
        <v>8</v>
      </c>
      <c r="AM57" s="5">
        <f t="shared" si="10"/>
        <v>0.20512820512820512</v>
      </c>
      <c r="AN57" s="4">
        <f t="shared" si="4"/>
        <v>3.1068262798667948E-4</v>
      </c>
      <c r="AO57" s="3"/>
      <c r="AP57">
        <v>0</v>
      </c>
      <c r="AR57" t="s">
        <v>1</v>
      </c>
      <c r="AT57" s="2">
        <v>3.573</v>
      </c>
      <c r="AU57" s="1">
        <f t="shared" si="11"/>
        <v>2.1731708832601977</v>
      </c>
      <c r="AV57" s="1">
        <f t="shared" si="12"/>
        <v>1.5611415631283321</v>
      </c>
      <c r="AW57" s="1">
        <f t="shared" si="13"/>
        <v>0.94911224299646635</v>
      </c>
    </row>
    <row r="58" spans="1:49" x14ac:dyDescent="0.2">
      <c r="A58">
        <v>56</v>
      </c>
      <c r="B58" t="s">
        <v>6851</v>
      </c>
      <c r="F58" t="s">
        <v>6850</v>
      </c>
      <c r="G58" t="s">
        <v>15</v>
      </c>
      <c r="H58" t="s">
        <v>14</v>
      </c>
      <c r="I58" t="s">
        <v>1139</v>
      </c>
      <c r="N58">
        <v>1</v>
      </c>
      <c r="O58" t="s">
        <v>6849</v>
      </c>
      <c r="P58">
        <v>56796306100</v>
      </c>
      <c r="R58" s="7">
        <v>30317</v>
      </c>
      <c r="S58" s="8">
        <f t="shared" si="8"/>
        <v>1983</v>
      </c>
      <c r="T58" s="8">
        <v>1983</v>
      </c>
      <c r="U58" s="8">
        <f t="shared" si="9"/>
        <v>39</v>
      </c>
      <c r="V58" s="7">
        <v>1983</v>
      </c>
      <c r="W58" t="s">
        <v>6737</v>
      </c>
      <c r="X58" s="2" t="s">
        <v>0</v>
      </c>
      <c r="Y58" s="6" t="e">
        <f t="shared" si="2"/>
        <v>#VALUE!</v>
      </c>
      <c r="AA58">
        <v>4999320</v>
      </c>
      <c r="AB58">
        <v>13083</v>
      </c>
      <c r="AD58" t="s">
        <v>5</v>
      </c>
      <c r="AI58" t="s">
        <v>6848</v>
      </c>
      <c r="AK58" t="s">
        <v>6847</v>
      </c>
      <c r="AL58">
        <v>0</v>
      </c>
      <c r="AM58" s="5">
        <f t="shared" si="10"/>
        <v>0</v>
      </c>
      <c r="AN58" s="4">
        <f t="shared" si="4"/>
        <v>0</v>
      </c>
      <c r="AO58" s="3"/>
      <c r="AP58">
        <v>0</v>
      </c>
      <c r="AR58" t="s">
        <v>1</v>
      </c>
      <c r="AT58" s="2" t="s">
        <v>0</v>
      </c>
      <c r="AU58" s="1" t="e">
        <f t="shared" si="11"/>
        <v>#VALUE!</v>
      </c>
      <c r="AV58" s="1" t="e">
        <f t="shared" si="12"/>
        <v>#VALUE!</v>
      </c>
      <c r="AW58" s="1" t="e">
        <f t="shared" si="13"/>
        <v>#VALUE!</v>
      </c>
    </row>
    <row r="59" spans="1:49" x14ac:dyDescent="0.2">
      <c r="A59">
        <v>57</v>
      </c>
      <c r="B59" t="s">
        <v>6846</v>
      </c>
      <c r="F59" t="s">
        <v>6845</v>
      </c>
      <c r="G59" t="s">
        <v>15</v>
      </c>
      <c r="H59" t="s">
        <v>14</v>
      </c>
      <c r="I59" t="s">
        <v>6771</v>
      </c>
      <c r="N59">
        <v>1</v>
      </c>
      <c r="O59" t="s">
        <v>6770</v>
      </c>
      <c r="P59">
        <v>1</v>
      </c>
      <c r="R59" s="7">
        <v>30317</v>
      </c>
      <c r="S59" s="8">
        <f t="shared" si="8"/>
        <v>1983</v>
      </c>
      <c r="T59" s="8">
        <v>1983</v>
      </c>
      <c r="U59" s="8">
        <f t="shared" si="9"/>
        <v>39</v>
      </c>
      <c r="V59" s="7" t="s">
        <v>3973</v>
      </c>
      <c r="W59" t="s">
        <v>6844</v>
      </c>
      <c r="X59" s="2" t="s">
        <v>0</v>
      </c>
      <c r="Y59" s="6" t="e">
        <f t="shared" si="2"/>
        <v>#VALUE!</v>
      </c>
      <c r="AB59">
        <v>86010</v>
      </c>
      <c r="AD59" t="s">
        <v>5</v>
      </c>
      <c r="AI59" t="s">
        <v>6843</v>
      </c>
      <c r="AK59" t="s">
        <v>6842</v>
      </c>
      <c r="AL59">
        <v>0</v>
      </c>
      <c r="AM59" s="5">
        <f t="shared" si="10"/>
        <v>0</v>
      </c>
      <c r="AN59" s="4">
        <f t="shared" si="4"/>
        <v>0</v>
      </c>
      <c r="AO59" s="3"/>
      <c r="AP59">
        <v>0</v>
      </c>
      <c r="AR59" t="s">
        <v>1</v>
      </c>
      <c r="AT59" s="2" t="s">
        <v>0</v>
      </c>
      <c r="AU59" s="1" t="e">
        <f t="shared" si="11"/>
        <v>#VALUE!</v>
      </c>
      <c r="AV59" s="1" t="e">
        <f t="shared" si="12"/>
        <v>#VALUE!</v>
      </c>
      <c r="AW59" s="1" t="e">
        <f t="shared" si="13"/>
        <v>#VALUE!</v>
      </c>
    </row>
    <row r="60" spans="1:49" x14ac:dyDescent="0.2">
      <c r="A60">
        <v>58</v>
      </c>
      <c r="B60" t="s">
        <v>6841</v>
      </c>
      <c r="F60" t="s">
        <v>6840</v>
      </c>
      <c r="G60" t="s">
        <v>15</v>
      </c>
      <c r="H60" t="s">
        <v>14</v>
      </c>
      <c r="I60" t="s">
        <v>6839</v>
      </c>
      <c r="N60">
        <v>2</v>
      </c>
      <c r="O60" t="s">
        <v>6838</v>
      </c>
      <c r="P60" t="s">
        <v>6837</v>
      </c>
      <c r="Q60" t="s">
        <v>342</v>
      </c>
      <c r="R60" s="7">
        <v>30317</v>
      </c>
      <c r="S60" s="8">
        <f t="shared" si="8"/>
        <v>1983</v>
      </c>
      <c r="T60" s="8">
        <v>1983</v>
      </c>
      <c r="U60" s="8">
        <f t="shared" si="9"/>
        <v>39</v>
      </c>
      <c r="V60" s="7" t="s">
        <v>4687</v>
      </c>
      <c r="W60" t="s">
        <v>6836</v>
      </c>
      <c r="X60" s="2" t="s">
        <v>0</v>
      </c>
      <c r="Y60" s="6" t="e">
        <f t="shared" si="2"/>
        <v>#VALUE!</v>
      </c>
      <c r="AB60">
        <v>79369</v>
      </c>
      <c r="AD60" t="s">
        <v>5</v>
      </c>
      <c r="AF60" t="s">
        <v>6835</v>
      </c>
      <c r="AI60" t="s">
        <v>6834</v>
      </c>
      <c r="AK60" t="s">
        <v>6833</v>
      </c>
      <c r="AL60">
        <v>0</v>
      </c>
      <c r="AM60" s="5">
        <f t="shared" si="10"/>
        <v>0</v>
      </c>
      <c r="AN60" s="4">
        <f t="shared" si="4"/>
        <v>0</v>
      </c>
      <c r="AO60" s="3"/>
      <c r="AP60">
        <v>0</v>
      </c>
      <c r="AR60" t="s">
        <v>1</v>
      </c>
      <c r="AT60" s="2" t="s">
        <v>0</v>
      </c>
      <c r="AU60" s="1" t="e">
        <f t="shared" si="11"/>
        <v>#VALUE!</v>
      </c>
      <c r="AV60" s="1" t="e">
        <f t="shared" si="12"/>
        <v>#VALUE!</v>
      </c>
      <c r="AW60" s="1" t="e">
        <f t="shared" si="13"/>
        <v>#VALUE!</v>
      </c>
    </row>
    <row r="61" spans="1:49" x14ac:dyDescent="0.2">
      <c r="A61">
        <v>59</v>
      </c>
      <c r="B61" t="s">
        <v>6832</v>
      </c>
      <c r="F61" t="s">
        <v>6831</v>
      </c>
      <c r="G61" t="s">
        <v>15</v>
      </c>
      <c r="H61" t="s">
        <v>14</v>
      </c>
      <c r="I61" t="s">
        <v>6830</v>
      </c>
      <c r="N61">
        <v>1</v>
      </c>
      <c r="O61" t="s">
        <v>6829</v>
      </c>
      <c r="P61">
        <v>16061262200</v>
      </c>
      <c r="R61" s="7">
        <v>30317</v>
      </c>
      <c r="S61" s="8">
        <f t="shared" si="8"/>
        <v>1983</v>
      </c>
      <c r="T61" s="8">
        <v>1983</v>
      </c>
      <c r="U61" s="8">
        <f t="shared" si="9"/>
        <v>39</v>
      </c>
      <c r="V61" s="7">
        <v>37926</v>
      </c>
      <c r="W61" t="s">
        <v>6776</v>
      </c>
      <c r="X61" s="2" t="s">
        <v>0</v>
      </c>
      <c r="Y61" s="6" t="e">
        <f t="shared" si="2"/>
        <v>#VALUE!</v>
      </c>
      <c r="AA61">
        <v>4837495</v>
      </c>
      <c r="AB61">
        <v>40174</v>
      </c>
      <c r="AD61" t="s">
        <v>5</v>
      </c>
      <c r="AF61">
        <v>1336</v>
      </c>
      <c r="AI61" t="s">
        <v>6828</v>
      </c>
      <c r="AK61" t="s">
        <v>6827</v>
      </c>
      <c r="AL61">
        <v>0</v>
      </c>
      <c r="AM61" s="5">
        <f t="shared" si="10"/>
        <v>0</v>
      </c>
      <c r="AN61" s="4">
        <f t="shared" si="4"/>
        <v>0</v>
      </c>
      <c r="AO61" s="3"/>
      <c r="AP61">
        <v>0</v>
      </c>
      <c r="AR61" t="s">
        <v>1</v>
      </c>
      <c r="AT61" s="2" t="s">
        <v>0</v>
      </c>
      <c r="AU61" s="1" t="e">
        <f t="shared" si="11"/>
        <v>#VALUE!</v>
      </c>
      <c r="AV61" s="1" t="e">
        <f t="shared" si="12"/>
        <v>#VALUE!</v>
      </c>
      <c r="AW61" s="1" t="e">
        <f t="shared" si="13"/>
        <v>#VALUE!</v>
      </c>
    </row>
    <row r="62" spans="1:49" x14ac:dyDescent="0.2">
      <c r="A62">
        <v>60</v>
      </c>
      <c r="B62" t="s">
        <v>6826</v>
      </c>
      <c r="F62" t="s">
        <v>6825</v>
      </c>
      <c r="G62" t="s">
        <v>15</v>
      </c>
      <c r="H62" t="s">
        <v>14</v>
      </c>
      <c r="I62" t="s">
        <v>6824</v>
      </c>
      <c r="N62">
        <v>2</v>
      </c>
      <c r="O62" t="s">
        <v>6823</v>
      </c>
      <c r="P62" t="s">
        <v>6822</v>
      </c>
      <c r="Q62" t="s">
        <v>342</v>
      </c>
      <c r="R62" s="7">
        <v>30317</v>
      </c>
      <c r="S62" s="8">
        <f t="shared" si="8"/>
        <v>1983</v>
      </c>
      <c r="T62" s="8">
        <v>1983</v>
      </c>
      <c r="U62" s="8">
        <f t="shared" si="9"/>
        <v>39</v>
      </c>
      <c r="V62" s="7" t="s">
        <v>3597</v>
      </c>
      <c r="W62" t="s">
        <v>6821</v>
      </c>
      <c r="X62" s="2" t="s">
        <v>0</v>
      </c>
      <c r="Y62" s="6" t="e">
        <f t="shared" si="2"/>
        <v>#VALUE!</v>
      </c>
      <c r="AB62">
        <v>28562</v>
      </c>
      <c r="AD62" t="s">
        <v>5</v>
      </c>
      <c r="AI62" t="s">
        <v>6820</v>
      </c>
      <c r="AK62" t="s">
        <v>6819</v>
      </c>
      <c r="AL62">
        <v>1</v>
      </c>
      <c r="AM62" s="5">
        <f t="shared" si="10"/>
        <v>2.564102564102564E-2</v>
      </c>
      <c r="AN62" s="4">
        <f t="shared" si="4"/>
        <v>3.8835328498334935E-5</v>
      </c>
      <c r="AO62" s="3"/>
      <c r="AP62">
        <v>0</v>
      </c>
      <c r="AR62" t="s">
        <v>1</v>
      </c>
      <c r="AT62" s="2" t="s">
        <v>0</v>
      </c>
      <c r="AU62" s="1" t="e">
        <f t="shared" si="11"/>
        <v>#VALUE!</v>
      </c>
      <c r="AV62" s="1" t="e">
        <f t="shared" si="12"/>
        <v>#VALUE!</v>
      </c>
      <c r="AW62" s="1" t="e">
        <f t="shared" si="13"/>
        <v>#VALUE!</v>
      </c>
    </row>
    <row r="63" spans="1:49" x14ac:dyDescent="0.2">
      <c r="A63">
        <v>61</v>
      </c>
      <c r="B63" t="s">
        <v>6818</v>
      </c>
      <c r="F63" t="s">
        <v>6817</v>
      </c>
      <c r="G63" t="s">
        <v>15</v>
      </c>
      <c r="H63" t="s">
        <v>14</v>
      </c>
      <c r="I63" t="s">
        <v>6771</v>
      </c>
      <c r="N63">
        <v>1</v>
      </c>
      <c r="O63" t="s">
        <v>6770</v>
      </c>
      <c r="P63">
        <v>1</v>
      </c>
      <c r="R63" s="7">
        <v>30317</v>
      </c>
      <c r="S63" s="8">
        <f t="shared" si="8"/>
        <v>1983</v>
      </c>
      <c r="T63" s="8">
        <v>1983</v>
      </c>
      <c r="U63" s="8">
        <f t="shared" si="9"/>
        <v>39</v>
      </c>
      <c r="V63" s="7" t="s">
        <v>5180</v>
      </c>
      <c r="W63" t="s">
        <v>618</v>
      </c>
      <c r="X63" s="2">
        <v>1.6519999999999999</v>
      </c>
      <c r="Y63" s="6">
        <f t="shared" si="2"/>
        <v>4.409919649769093E-2</v>
      </c>
      <c r="AA63" t="s">
        <v>617</v>
      </c>
      <c r="AB63">
        <v>17337</v>
      </c>
      <c r="AD63" t="s">
        <v>5</v>
      </c>
      <c r="AE63" t="s">
        <v>916</v>
      </c>
      <c r="AF63">
        <v>6</v>
      </c>
      <c r="AI63" t="s">
        <v>6816</v>
      </c>
      <c r="AK63" t="s">
        <v>6815</v>
      </c>
      <c r="AL63">
        <v>31</v>
      </c>
      <c r="AM63" s="5">
        <f t="shared" si="10"/>
        <v>0.79487179487179482</v>
      </c>
      <c r="AN63" s="4">
        <f t="shared" si="4"/>
        <v>1.203895183448383E-3</v>
      </c>
      <c r="AO63" s="3"/>
      <c r="AP63">
        <v>0</v>
      </c>
      <c r="AR63" t="s">
        <v>1</v>
      </c>
      <c r="AT63" s="2" t="s">
        <v>0</v>
      </c>
      <c r="AU63" s="1">
        <f t="shared" si="11"/>
        <v>3.1230606103418164</v>
      </c>
      <c r="AV63" s="1">
        <f t="shared" si="12"/>
        <v>2.2651545840569658</v>
      </c>
      <c r="AW63" s="1">
        <f t="shared" si="13"/>
        <v>1.4072485577721145</v>
      </c>
    </row>
    <row r="64" spans="1:49" x14ac:dyDescent="0.2">
      <c r="A64">
        <v>62</v>
      </c>
      <c r="B64" t="s">
        <v>6814</v>
      </c>
      <c r="F64" t="s">
        <v>6813</v>
      </c>
      <c r="G64" t="s">
        <v>15</v>
      </c>
      <c r="H64" t="s">
        <v>14</v>
      </c>
      <c r="I64" t="s">
        <v>6812</v>
      </c>
      <c r="N64">
        <v>1</v>
      </c>
      <c r="O64" t="s">
        <v>6811</v>
      </c>
      <c r="P64">
        <v>57220978060</v>
      </c>
      <c r="R64" s="7">
        <v>30317</v>
      </c>
      <c r="S64" s="8">
        <f t="shared" si="8"/>
        <v>1983</v>
      </c>
      <c r="T64" s="8">
        <v>1983</v>
      </c>
      <c r="U64" s="8">
        <f t="shared" si="9"/>
        <v>39</v>
      </c>
      <c r="V64" s="7">
        <v>37926</v>
      </c>
      <c r="W64" t="s">
        <v>6776</v>
      </c>
      <c r="X64" s="2" t="s">
        <v>0</v>
      </c>
      <c r="Y64" s="6" t="e">
        <f t="shared" si="2"/>
        <v>#VALUE!</v>
      </c>
      <c r="AA64">
        <v>4837495</v>
      </c>
      <c r="AB64">
        <v>40174</v>
      </c>
      <c r="AD64" t="s">
        <v>5</v>
      </c>
      <c r="AF64">
        <v>1337</v>
      </c>
      <c r="AI64" t="s">
        <v>6810</v>
      </c>
      <c r="AK64" t="s">
        <v>6809</v>
      </c>
      <c r="AL64">
        <v>0</v>
      </c>
      <c r="AM64" s="5">
        <f t="shared" si="10"/>
        <v>0</v>
      </c>
      <c r="AN64" s="4">
        <f t="shared" si="4"/>
        <v>0</v>
      </c>
      <c r="AO64" s="3"/>
      <c r="AP64">
        <v>0</v>
      </c>
      <c r="AR64" t="s">
        <v>1</v>
      </c>
      <c r="AT64" s="2" t="s">
        <v>0</v>
      </c>
      <c r="AU64" s="1" t="e">
        <f t="shared" si="11"/>
        <v>#VALUE!</v>
      </c>
      <c r="AV64" s="1" t="e">
        <f t="shared" si="12"/>
        <v>#VALUE!</v>
      </c>
      <c r="AW64" s="1" t="e">
        <f t="shared" si="13"/>
        <v>#VALUE!</v>
      </c>
    </row>
    <row r="65" spans="1:49" x14ac:dyDescent="0.2">
      <c r="A65">
        <v>63</v>
      </c>
      <c r="B65" t="s">
        <v>6808</v>
      </c>
      <c r="F65" t="s">
        <v>6807</v>
      </c>
      <c r="G65" t="s">
        <v>15</v>
      </c>
      <c r="H65" t="s">
        <v>14</v>
      </c>
      <c r="I65" t="s">
        <v>6806</v>
      </c>
      <c r="N65">
        <v>2</v>
      </c>
      <c r="O65" t="s">
        <v>6805</v>
      </c>
      <c r="P65" t="s">
        <v>6804</v>
      </c>
      <c r="Q65" t="s">
        <v>342</v>
      </c>
      <c r="R65" s="7">
        <v>30317</v>
      </c>
      <c r="S65" s="8">
        <f t="shared" si="8"/>
        <v>1983</v>
      </c>
      <c r="T65" s="8">
        <v>1983</v>
      </c>
      <c r="U65" s="8">
        <f t="shared" si="9"/>
        <v>39</v>
      </c>
      <c r="V65" s="7" t="s">
        <v>3347</v>
      </c>
      <c r="W65" t="s">
        <v>6803</v>
      </c>
      <c r="X65" s="2" t="s">
        <v>0</v>
      </c>
      <c r="Y65" s="6" t="e">
        <f t="shared" si="2"/>
        <v>#VALUE!</v>
      </c>
      <c r="AA65">
        <v>1488589</v>
      </c>
      <c r="AB65">
        <v>29776</v>
      </c>
      <c r="AD65" t="s">
        <v>5</v>
      </c>
      <c r="AI65" t="s">
        <v>6802</v>
      </c>
      <c r="AK65" t="s">
        <v>6801</v>
      </c>
      <c r="AL65">
        <v>0</v>
      </c>
      <c r="AM65" s="5">
        <f t="shared" si="10"/>
        <v>0</v>
      </c>
      <c r="AN65" s="4">
        <f t="shared" si="4"/>
        <v>0</v>
      </c>
      <c r="AO65" s="3"/>
      <c r="AP65">
        <v>0</v>
      </c>
      <c r="AR65" t="s">
        <v>1</v>
      </c>
      <c r="AT65" s="2" t="s">
        <v>0</v>
      </c>
      <c r="AU65" s="1" t="e">
        <f t="shared" si="11"/>
        <v>#VALUE!</v>
      </c>
      <c r="AV65" s="1" t="e">
        <f t="shared" si="12"/>
        <v>#VALUE!</v>
      </c>
      <c r="AW65" s="1" t="e">
        <f t="shared" si="13"/>
        <v>#VALUE!</v>
      </c>
    </row>
    <row r="66" spans="1:49" x14ac:dyDescent="0.2">
      <c r="A66">
        <v>64</v>
      </c>
      <c r="B66" t="s">
        <v>6800</v>
      </c>
      <c r="F66" t="s">
        <v>6799</v>
      </c>
      <c r="G66" t="s">
        <v>15</v>
      </c>
      <c r="H66" t="s">
        <v>14</v>
      </c>
      <c r="I66" t="s">
        <v>6798</v>
      </c>
      <c r="N66">
        <v>1</v>
      </c>
      <c r="O66" t="s">
        <v>6797</v>
      </c>
      <c r="P66">
        <v>56267627900</v>
      </c>
      <c r="R66" s="7">
        <v>30317</v>
      </c>
      <c r="S66" s="8">
        <f t="shared" si="8"/>
        <v>1983</v>
      </c>
      <c r="T66" s="8">
        <v>1983</v>
      </c>
      <c r="U66" s="8">
        <f t="shared" si="9"/>
        <v>39</v>
      </c>
      <c r="V66" s="7">
        <v>47027</v>
      </c>
      <c r="W66" t="s">
        <v>6776</v>
      </c>
      <c r="X66" s="2" t="s">
        <v>0</v>
      </c>
      <c r="Y66" s="6" t="e">
        <f t="shared" ref="Y66:Y129" si="14">(X66-$Z$4)/($Z$3-$Z$4)</f>
        <v>#VALUE!</v>
      </c>
      <c r="AA66">
        <v>4837495</v>
      </c>
      <c r="AB66">
        <v>40174</v>
      </c>
      <c r="AD66" t="s">
        <v>5</v>
      </c>
      <c r="AF66">
        <v>1334</v>
      </c>
      <c r="AI66" t="s">
        <v>6796</v>
      </c>
      <c r="AK66" t="s">
        <v>6795</v>
      </c>
      <c r="AL66">
        <v>0</v>
      </c>
      <c r="AM66" s="5">
        <f t="shared" si="10"/>
        <v>0</v>
      </c>
      <c r="AN66" s="4">
        <f t="shared" ref="AN66:AN129" si="15">(AM66-$AO$4)/($AO$3-$AO$4)</f>
        <v>0</v>
      </c>
      <c r="AO66" s="3"/>
      <c r="AP66">
        <v>0</v>
      </c>
      <c r="AR66" t="s">
        <v>1</v>
      </c>
      <c r="AT66" s="2" t="s">
        <v>0</v>
      </c>
      <c r="AU66" s="1" t="e">
        <f t="shared" si="11"/>
        <v>#VALUE!</v>
      </c>
      <c r="AV66" s="1" t="e">
        <f t="shared" si="12"/>
        <v>#VALUE!</v>
      </c>
      <c r="AW66" s="1" t="e">
        <f t="shared" si="13"/>
        <v>#VALUE!</v>
      </c>
    </row>
    <row r="67" spans="1:49" x14ac:dyDescent="0.2">
      <c r="A67">
        <v>65</v>
      </c>
      <c r="B67" t="s">
        <v>6794</v>
      </c>
      <c r="F67" t="s">
        <v>6793</v>
      </c>
      <c r="G67" t="s">
        <v>15</v>
      </c>
      <c r="H67" t="s">
        <v>14</v>
      </c>
      <c r="I67" t="s">
        <v>6792</v>
      </c>
      <c r="N67">
        <v>2</v>
      </c>
      <c r="O67" t="s">
        <v>6791</v>
      </c>
      <c r="P67" t="s">
        <v>6790</v>
      </c>
      <c r="Q67" t="s">
        <v>342</v>
      </c>
      <c r="R67" s="7">
        <v>30317</v>
      </c>
      <c r="S67" s="8">
        <f t="shared" si="8"/>
        <v>1983</v>
      </c>
      <c r="T67" s="8">
        <v>1983</v>
      </c>
      <c r="U67" s="8">
        <f t="shared" si="9"/>
        <v>39</v>
      </c>
      <c r="V67" s="7">
        <v>42339</v>
      </c>
      <c r="W67" t="s">
        <v>6776</v>
      </c>
      <c r="X67" s="2" t="s">
        <v>0</v>
      </c>
      <c r="Y67" s="6" t="e">
        <f t="shared" si="14"/>
        <v>#VALUE!</v>
      </c>
      <c r="AA67">
        <v>4837495</v>
      </c>
      <c r="AB67">
        <v>40174</v>
      </c>
      <c r="AD67" t="s">
        <v>5</v>
      </c>
      <c r="AF67">
        <v>1340</v>
      </c>
      <c r="AI67" t="s">
        <v>6789</v>
      </c>
      <c r="AK67" t="s">
        <v>6788</v>
      </c>
      <c r="AL67">
        <v>0</v>
      </c>
      <c r="AM67" s="5">
        <f t="shared" si="10"/>
        <v>0</v>
      </c>
      <c r="AN67" s="4">
        <f t="shared" si="15"/>
        <v>0</v>
      </c>
      <c r="AO67" s="3"/>
      <c r="AP67">
        <v>0</v>
      </c>
      <c r="AR67" t="s">
        <v>1</v>
      </c>
      <c r="AT67" s="2" t="s">
        <v>0</v>
      </c>
      <c r="AU67" s="1" t="e">
        <f t="shared" si="11"/>
        <v>#VALUE!</v>
      </c>
      <c r="AV67" s="1" t="e">
        <f t="shared" si="12"/>
        <v>#VALUE!</v>
      </c>
      <c r="AW67" s="1" t="e">
        <f t="shared" si="13"/>
        <v>#VALUE!</v>
      </c>
    </row>
    <row r="68" spans="1:49" x14ac:dyDescent="0.2">
      <c r="A68">
        <v>66</v>
      </c>
      <c r="B68" t="s">
        <v>6787</v>
      </c>
      <c r="F68" t="s">
        <v>6786</v>
      </c>
      <c r="G68" t="s">
        <v>15</v>
      </c>
      <c r="H68" t="s">
        <v>14</v>
      </c>
      <c r="I68" t="s">
        <v>6785</v>
      </c>
      <c r="N68">
        <v>2</v>
      </c>
      <c r="O68" t="s">
        <v>6784</v>
      </c>
      <c r="P68" t="s">
        <v>6783</v>
      </c>
      <c r="Q68" t="s">
        <v>342</v>
      </c>
      <c r="R68" s="7">
        <v>30317</v>
      </c>
      <c r="S68" s="8">
        <f t="shared" si="8"/>
        <v>1983</v>
      </c>
      <c r="T68" s="8">
        <v>1983</v>
      </c>
      <c r="U68" s="8">
        <f t="shared" si="9"/>
        <v>39</v>
      </c>
      <c r="V68" s="7">
        <v>47027</v>
      </c>
      <c r="W68" t="s">
        <v>6776</v>
      </c>
      <c r="X68" s="2" t="s">
        <v>0</v>
      </c>
      <c r="Y68" s="6" t="e">
        <f t="shared" si="14"/>
        <v>#VALUE!</v>
      </c>
      <c r="AA68">
        <v>4837495</v>
      </c>
      <c r="AB68">
        <v>40174</v>
      </c>
      <c r="AD68" t="s">
        <v>5</v>
      </c>
      <c r="AF68">
        <v>1335</v>
      </c>
      <c r="AI68" t="s">
        <v>6782</v>
      </c>
      <c r="AK68" t="s">
        <v>6781</v>
      </c>
      <c r="AL68">
        <v>0</v>
      </c>
      <c r="AM68" s="5">
        <f t="shared" si="10"/>
        <v>0</v>
      </c>
      <c r="AN68" s="4">
        <f t="shared" si="15"/>
        <v>0</v>
      </c>
      <c r="AO68" s="3"/>
      <c r="AP68">
        <v>0</v>
      </c>
      <c r="AR68" t="s">
        <v>1</v>
      </c>
      <c r="AT68" s="2" t="s">
        <v>0</v>
      </c>
      <c r="AU68" s="1" t="e">
        <f t="shared" si="11"/>
        <v>#VALUE!</v>
      </c>
      <c r="AV68" s="1" t="e">
        <f t="shared" si="12"/>
        <v>#VALUE!</v>
      </c>
      <c r="AW68" s="1" t="e">
        <f t="shared" si="13"/>
        <v>#VALUE!</v>
      </c>
    </row>
    <row r="69" spans="1:49" x14ac:dyDescent="0.2">
      <c r="A69">
        <v>67</v>
      </c>
      <c r="B69" t="s">
        <v>6780</v>
      </c>
      <c r="F69" t="s">
        <v>6779</v>
      </c>
      <c r="G69" t="s">
        <v>15</v>
      </c>
      <c r="H69" t="s">
        <v>14</v>
      </c>
      <c r="I69" t="s">
        <v>6778</v>
      </c>
      <c r="N69">
        <v>1</v>
      </c>
      <c r="O69" t="s">
        <v>6777</v>
      </c>
      <c r="P69">
        <v>57220478215</v>
      </c>
      <c r="R69" s="7">
        <v>30317</v>
      </c>
      <c r="S69" s="8">
        <f t="shared" si="8"/>
        <v>1983</v>
      </c>
      <c r="T69" s="8">
        <v>1983</v>
      </c>
      <c r="U69" s="8">
        <f t="shared" si="9"/>
        <v>39</v>
      </c>
      <c r="V69" s="7" t="s">
        <v>5180</v>
      </c>
      <c r="W69" t="s">
        <v>6776</v>
      </c>
      <c r="X69" s="2" t="s">
        <v>0</v>
      </c>
      <c r="Y69" s="6" t="e">
        <f t="shared" si="14"/>
        <v>#VALUE!</v>
      </c>
      <c r="AA69">
        <v>4837495</v>
      </c>
      <c r="AB69">
        <v>40174</v>
      </c>
      <c r="AD69" t="s">
        <v>5</v>
      </c>
      <c r="AF69">
        <v>1338</v>
      </c>
      <c r="AI69" t="s">
        <v>6775</v>
      </c>
      <c r="AK69" t="s">
        <v>6774</v>
      </c>
      <c r="AL69">
        <v>0</v>
      </c>
      <c r="AM69" s="5">
        <f t="shared" si="10"/>
        <v>0</v>
      </c>
      <c r="AN69" s="4">
        <f t="shared" si="15"/>
        <v>0</v>
      </c>
      <c r="AO69" s="3"/>
      <c r="AP69">
        <v>0</v>
      </c>
      <c r="AR69" t="s">
        <v>1</v>
      </c>
      <c r="AT69" s="2" t="s">
        <v>0</v>
      </c>
      <c r="AU69" s="1" t="e">
        <f t="shared" si="11"/>
        <v>#VALUE!</v>
      </c>
      <c r="AV69" s="1" t="e">
        <f t="shared" si="12"/>
        <v>#VALUE!</v>
      </c>
      <c r="AW69" s="1" t="e">
        <f t="shared" si="13"/>
        <v>#VALUE!</v>
      </c>
    </row>
    <row r="70" spans="1:49" x14ac:dyDescent="0.2">
      <c r="A70">
        <v>68</v>
      </c>
      <c r="B70" t="s">
        <v>6773</v>
      </c>
      <c r="F70" t="s">
        <v>6772</v>
      </c>
      <c r="G70" t="s">
        <v>15</v>
      </c>
      <c r="H70" t="s">
        <v>14</v>
      </c>
      <c r="I70" t="s">
        <v>6771</v>
      </c>
      <c r="N70">
        <v>1</v>
      </c>
      <c r="O70" t="s">
        <v>6770</v>
      </c>
      <c r="P70">
        <v>1</v>
      </c>
      <c r="R70" s="7">
        <v>30317</v>
      </c>
      <c r="S70" s="8">
        <f t="shared" si="8"/>
        <v>1983</v>
      </c>
      <c r="T70" s="8">
        <v>1983</v>
      </c>
      <c r="U70" s="8">
        <f t="shared" si="9"/>
        <v>39</v>
      </c>
      <c r="V70" s="7" t="s">
        <v>5358</v>
      </c>
      <c r="W70" t="s">
        <v>6769</v>
      </c>
      <c r="X70" s="2" t="s">
        <v>0</v>
      </c>
      <c r="Y70" s="6" t="e">
        <f t="shared" si="14"/>
        <v>#VALUE!</v>
      </c>
      <c r="AA70">
        <v>165026</v>
      </c>
      <c r="AB70">
        <v>33595</v>
      </c>
      <c r="AD70" t="s">
        <v>5</v>
      </c>
      <c r="AE70">
        <v>188</v>
      </c>
      <c r="AF70">
        <v>4780</v>
      </c>
      <c r="AH70">
        <v>13</v>
      </c>
      <c r="AI70" t="s">
        <v>6768</v>
      </c>
      <c r="AK70" t="s">
        <v>6767</v>
      </c>
      <c r="AL70">
        <v>0</v>
      </c>
      <c r="AM70" s="5">
        <f t="shared" si="10"/>
        <v>0</v>
      </c>
      <c r="AN70" s="4">
        <f t="shared" si="15"/>
        <v>0</v>
      </c>
      <c r="AO70" s="3"/>
      <c r="AP70">
        <v>0</v>
      </c>
      <c r="AR70" t="s">
        <v>1</v>
      </c>
      <c r="AT70" s="2" t="s">
        <v>0</v>
      </c>
      <c r="AU70" s="1" t="e">
        <f t="shared" si="11"/>
        <v>#VALUE!</v>
      </c>
      <c r="AV70" s="1" t="e">
        <f t="shared" si="12"/>
        <v>#VALUE!</v>
      </c>
      <c r="AW70" s="1" t="e">
        <f t="shared" si="13"/>
        <v>#VALUE!</v>
      </c>
    </row>
    <row r="71" spans="1:49" x14ac:dyDescent="0.2">
      <c r="A71">
        <v>69</v>
      </c>
      <c r="B71" t="s">
        <v>6766</v>
      </c>
      <c r="F71" t="s">
        <v>6765</v>
      </c>
      <c r="G71" t="s">
        <v>15</v>
      </c>
      <c r="H71" t="s">
        <v>14</v>
      </c>
      <c r="I71" t="s">
        <v>6764</v>
      </c>
      <c r="N71">
        <v>1</v>
      </c>
      <c r="O71" t="s">
        <v>6763</v>
      </c>
      <c r="P71">
        <v>7102252429</v>
      </c>
      <c r="R71" s="7">
        <v>30317</v>
      </c>
      <c r="S71" s="8">
        <f t="shared" si="8"/>
        <v>1983</v>
      </c>
      <c r="T71" s="8">
        <v>1983</v>
      </c>
      <c r="U71" s="8">
        <f t="shared" si="9"/>
        <v>39</v>
      </c>
      <c r="V71" s="7">
        <v>1983</v>
      </c>
      <c r="W71" t="s">
        <v>6762</v>
      </c>
      <c r="X71" s="2" t="s">
        <v>0</v>
      </c>
      <c r="Y71" s="6" t="e">
        <f t="shared" si="14"/>
        <v>#VALUE!</v>
      </c>
      <c r="AA71">
        <v>961922</v>
      </c>
      <c r="AB71">
        <v>31555</v>
      </c>
      <c r="AD71" t="s">
        <v>5</v>
      </c>
      <c r="AI71" t="s">
        <v>6761</v>
      </c>
      <c r="AK71" t="s">
        <v>6760</v>
      </c>
      <c r="AL71">
        <v>0</v>
      </c>
      <c r="AM71" s="5">
        <f t="shared" si="10"/>
        <v>0</v>
      </c>
      <c r="AN71" s="4">
        <f t="shared" si="15"/>
        <v>0</v>
      </c>
      <c r="AO71" s="3"/>
      <c r="AP71">
        <v>0</v>
      </c>
      <c r="AR71" t="s">
        <v>1</v>
      </c>
      <c r="AT71" s="2" t="s">
        <v>0</v>
      </c>
      <c r="AU71" s="1" t="e">
        <f t="shared" si="11"/>
        <v>#VALUE!</v>
      </c>
      <c r="AV71" s="1" t="e">
        <f t="shared" si="12"/>
        <v>#VALUE!</v>
      </c>
      <c r="AW71" s="1" t="e">
        <f t="shared" si="13"/>
        <v>#VALUE!</v>
      </c>
    </row>
    <row r="72" spans="1:49" x14ac:dyDescent="0.2">
      <c r="A72">
        <v>70</v>
      </c>
      <c r="B72" t="s">
        <v>6759</v>
      </c>
      <c r="F72" t="s">
        <v>6758</v>
      </c>
      <c r="G72" t="s">
        <v>15</v>
      </c>
      <c r="H72" t="s">
        <v>14</v>
      </c>
      <c r="I72" t="s">
        <v>6757</v>
      </c>
      <c r="N72">
        <v>3</v>
      </c>
      <c r="O72" t="s">
        <v>6756</v>
      </c>
      <c r="P72" t="s">
        <v>6755</v>
      </c>
      <c r="Q72" t="s">
        <v>510</v>
      </c>
      <c r="R72" s="7">
        <v>30317</v>
      </c>
      <c r="S72" s="8">
        <f t="shared" si="8"/>
        <v>1983</v>
      </c>
      <c r="T72" s="8">
        <v>1983</v>
      </c>
      <c r="U72" s="8">
        <f t="shared" si="9"/>
        <v>39</v>
      </c>
      <c r="V72" s="7" t="s">
        <v>537</v>
      </c>
      <c r="W72" t="s">
        <v>6754</v>
      </c>
      <c r="X72" s="2" t="s">
        <v>0</v>
      </c>
      <c r="Y72" s="6" t="e">
        <f t="shared" si="14"/>
        <v>#VALUE!</v>
      </c>
      <c r="AA72">
        <v>1488341</v>
      </c>
      <c r="AB72">
        <v>29778</v>
      </c>
      <c r="AD72" t="s">
        <v>5</v>
      </c>
      <c r="AI72" t="s">
        <v>6753</v>
      </c>
      <c r="AK72" t="s">
        <v>6752</v>
      </c>
      <c r="AL72">
        <v>23</v>
      </c>
      <c r="AM72" s="5">
        <f t="shared" si="10"/>
        <v>0.58974358974358976</v>
      </c>
      <c r="AN72" s="4">
        <f t="shared" si="15"/>
        <v>8.9321255546170354E-4</v>
      </c>
      <c r="AO72" s="3"/>
      <c r="AP72">
        <v>0</v>
      </c>
      <c r="AR72" t="s">
        <v>1</v>
      </c>
      <c r="AT72" s="2" t="s">
        <v>0</v>
      </c>
      <c r="AU72" s="1" t="e">
        <f t="shared" si="11"/>
        <v>#VALUE!</v>
      </c>
      <c r="AV72" s="1" t="e">
        <f t="shared" si="12"/>
        <v>#VALUE!</v>
      </c>
      <c r="AW72" s="1" t="e">
        <f t="shared" si="13"/>
        <v>#VALUE!</v>
      </c>
    </row>
    <row r="73" spans="1:49" x14ac:dyDescent="0.2">
      <c r="A73">
        <v>71</v>
      </c>
      <c r="B73" t="s">
        <v>6751</v>
      </c>
      <c r="F73" t="s">
        <v>6750</v>
      </c>
      <c r="G73" t="s">
        <v>15</v>
      </c>
      <c r="H73" t="s">
        <v>14</v>
      </c>
      <c r="I73" t="s">
        <v>6749</v>
      </c>
      <c r="N73">
        <v>2</v>
      </c>
      <c r="O73" t="s">
        <v>6748</v>
      </c>
      <c r="P73" t="s">
        <v>6747</v>
      </c>
      <c r="Q73" t="s">
        <v>342</v>
      </c>
      <c r="R73" s="7">
        <v>30317</v>
      </c>
      <c r="S73" s="8">
        <f t="shared" si="8"/>
        <v>1983</v>
      </c>
      <c r="T73" s="8">
        <v>1983</v>
      </c>
      <c r="U73" s="8">
        <f t="shared" si="9"/>
        <v>39</v>
      </c>
      <c r="V73" s="7" t="s">
        <v>537</v>
      </c>
      <c r="W73" t="s">
        <v>6746</v>
      </c>
      <c r="X73" s="2" t="s">
        <v>0</v>
      </c>
      <c r="Y73" s="6" t="e">
        <f t="shared" si="14"/>
        <v>#VALUE!</v>
      </c>
      <c r="AA73">
        <v>5657059</v>
      </c>
      <c r="AB73">
        <v>21068</v>
      </c>
      <c r="AD73" t="s">
        <v>5</v>
      </c>
      <c r="AI73" t="s">
        <v>6745</v>
      </c>
      <c r="AK73" t="s">
        <v>6744</v>
      </c>
      <c r="AL73">
        <v>6</v>
      </c>
      <c r="AM73" s="5">
        <f t="shared" si="10"/>
        <v>0.15384615384615385</v>
      </c>
      <c r="AN73" s="4">
        <f t="shared" si="15"/>
        <v>2.3301197099000962E-4</v>
      </c>
      <c r="AO73" s="3"/>
      <c r="AP73">
        <v>0</v>
      </c>
      <c r="AR73" t="s">
        <v>1</v>
      </c>
      <c r="AT73" s="2" t="s">
        <v>0</v>
      </c>
      <c r="AU73" s="1" t="e">
        <f t="shared" si="11"/>
        <v>#VALUE!</v>
      </c>
      <c r="AV73" s="1" t="e">
        <f t="shared" si="12"/>
        <v>#VALUE!</v>
      </c>
      <c r="AW73" s="1" t="e">
        <f t="shared" si="13"/>
        <v>#VALUE!</v>
      </c>
    </row>
    <row r="74" spans="1:49" x14ac:dyDescent="0.2">
      <c r="A74">
        <v>72</v>
      </c>
      <c r="B74" t="s">
        <v>6743</v>
      </c>
      <c r="F74" t="s">
        <v>6742</v>
      </c>
      <c r="G74" t="s">
        <v>15</v>
      </c>
      <c r="H74" t="s">
        <v>14</v>
      </c>
      <c r="I74" t="s">
        <v>6741</v>
      </c>
      <c r="N74">
        <v>5</v>
      </c>
      <c r="O74" t="s">
        <v>6740</v>
      </c>
      <c r="P74" t="s">
        <v>6739</v>
      </c>
      <c r="Q74" t="s">
        <v>2349</v>
      </c>
      <c r="R74" s="7">
        <v>30317</v>
      </c>
      <c r="S74" s="8">
        <f t="shared" si="8"/>
        <v>1983</v>
      </c>
      <c r="T74" s="8">
        <v>1983</v>
      </c>
      <c r="U74" s="8">
        <f t="shared" si="9"/>
        <v>39</v>
      </c>
      <c r="V74" s="7" t="s">
        <v>6738</v>
      </c>
      <c r="W74" t="s">
        <v>6737</v>
      </c>
      <c r="X74" s="2" t="s">
        <v>0</v>
      </c>
      <c r="Y74" s="6" t="e">
        <f t="shared" si="14"/>
        <v>#VALUE!</v>
      </c>
      <c r="AA74">
        <v>4999320</v>
      </c>
      <c r="AB74">
        <v>13083</v>
      </c>
      <c r="AD74" t="s">
        <v>5</v>
      </c>
      <c r="AI74" t="s">
        <v>6736</v>
      </c>
      <c r="AK74" t="s">
        <v>6735</v>
      </c>
      <c r="AL74">
        <v>0</v>
      </c>
      <c r="AM74" s="5">
        <f t="shared" si="10"/>
        <v>0</v>
      </c>
      <c r="AN74" s="4">
        <f t="shared" si="15"/>
        <v>0</v>
      </c>
      <c r="AO74" s="3"/>
      <c r="AP74">
        <v>0</v>
      </c>
      <c r="AR74" t="s">
        <v>1</v>
      </c>
      <c r="AT74" s="2" t="s">
        <v>0</v>
      </c>
      <c r="AU74" s="1" t="e">
        <f t="shared" si="11"/>
        <v>#VALUE!</v>
      </c>
      <c r="AV74" s="1" t="e">
        <f t="shared" si="12"/>
        <v>#VALUE!</v>
      </c>
      <c r="AW74" s="1" t="e">
        <f t="shared" si="13"/>
        <v>#VALUE!</v>
      </c>
    </row>
    <row r="75" spans="1:49" x14ac:dyDescent="0.2">
      <c r="A75">
        <v>73</v>
      </c>
      <c r="B75" t="s">
        <v>6734</v>
      </c>
      <c r="F75" t="s">
        <v>6733</v>
      </c>
      <c r="G75" t="s">
        <v>15</v>
      </c>
      <c r="H75" t="s">
        <v>14</v>
      </c>
      <c r="I75" t="s">
        <v>6732</v>
      </c>
      <c r="N75">
        <v>1</v>
      </c>
      <c r="O75" t="s">
        <v>6731</v>
      </c>
      <c r="P75">
        <v>6602138469</v>
      </c>
      <c r="R75" s="7">
        <v>30317</v>
      </c>
      <c r="S75" s="8">
        <f t="shared" si="8"/>
        <v>1983</v>
      </c>
      <c r="T75" s="8">
        <v>1983</v>
      </c>
      <c r="U75" s="8">
        <f t="shared" si="9"/>
        <v>39</v>
      </c>
      <c r="V75" s="7" t="s">
        <v>3597</v>
      </c>
      <c r="W75" t="s">
        <v>6730</v>
      </c>
      <c r="X75" s="2" t="s">
        <v>0</v>
      </c>
      <c r="Y75" s="6" t="e">
        <f t="shared" si="14"/>
        <v>#VALUE!</v>
      </c>
      <c r="AB75">
        <v>31136</v>
      </c>
      <c r="AD75" t="s">
        <v>5</v>
      </c>
      <c r="AI75" t="s">
        <v>6729</v>
      </c>
      <c r="AK75" t="s">
        <v>6728</v>
      </c>
      <c r="AL75">
        <v>0</v>
      </c>
      <c r="AM75" s="5">
        <f t="shared" si="10"/>
        <v>0</v>
      </c>
      <c r="AN75" s="4">
        <f t="shared" si="15"/>
        <v>0</v>
      </c>
      <c r="AO75" s="3"/>
      <c r="AP75">
        <v>0</v>
      </c>
      <c r="AR75" t="s">
        <v>1</v>
      </c>
      <c r="AT75" s="2" t="s">
        <v>0</v>
      </c>
      <c r="AU75" s="1" t="e">
        <f t="shared" si="11"/>
        <v>#VALUE!</v>
      </c>
      <c r="AV75" s="1" t="e">
        <f t="shared" si="12"/>
        <v>#VALUE!</v>
      </c>
      <c r="AW75" s="1" t="e">
        <f t="shared" si="13"/>
        <v>#VALUE!</v>
      </c>
    </row>
    <row r="76" spans="1:49" x14ac:dyDescent="0.2">
      <c r="A76">
        <v>74</v>
      </c>
      <c r="B76" t="s">
        <v>6727</v>
      </c>
      <c r="C76" t="s">
        <v>4607</v>
      </c>
      <c r="F76" t="s">
        <v>6726</v>
      </c>
      <c r="G76" t="s">
        <v>15</v>
      </c>
      <c r="H76" t="s">
        <v>14</v>
      </c>
      <c r="I76" t="s">
        <v>4605</v>
      </c>
      <c r="J76" t="s">
        <v>6722</v>
      </c>
      <c r="K76" t="s">
        <v>6725</v>
      </c>
      <c r="L76" t="s">
        <v>6724</v>
      </c>
      <c r="M76" t="s">
        <v>6723</v>
      </c>
      <c r="N76">
        <v>2</v>
      </c>
      <c r="O76" t="s">
        <v>4604</v>
      </c>
      <c r="P76" t="s">
        <v>4603</v>
      </c>
      <c r="Q76" t="s">
        <v>6722</v>
      </c>
      <c r="R76" s="7">
        <v>30317</v>
      </c>
      <c r="S76" s="8">
        <f t="shared" si="8"/>
        <v>1983</v>
      </c>
      <c r="T76" s="8">
        <v>1983</v>
      </c>
      <c r="U76" s="8">
        <f t="shared" si="9"/>
        <v>39</v>
      </c>
      <c r="V76" s="7">
        <v>30560</v>
      </c>
      <c r="W76" t="s">
        <v>6721</v>
      </c>
      <c r="X76" s="2" t="s">
        <v>0</v>
      </c>
      <c r="Y76" s="6" t="e">
        <f t="shared" si="14"/>
        <v>#VALUE!</v>
      </c>
      <c r="AA76">
        <v>10500472</v>
      </c>
      <c r="AB76">
        <v>20979</v>
      </c>
      <c r="AD76" t="s">
        <v>5</v>
      </c>
      <c r="AE76">
        <v>105</v>
      </c>
      <c r="AF76">
        <v>3</v>
      </c>
      <c r="AH76" t="s">
        <v>4601</v>
      </c>
      <c r="AI76" t="s">
        <v>6720</v>
      </c>
      <c r="AK76" t="s">
        <v>6719</v>
      </c>
      <c r="AL76">
        <v>0</v>
      </c>
      <c r="AM76" s="5">
        <f t="shared" si="10"/>
        <v>0</v>
      </c>
      <c r="AN76" s="4">
        <f t="shared" si="15"/>
        <v>0</v>
      </c>
      <c r="AO76" s="3"/>
      <c r="AP76">
        <v>0</v>
      </c>
      <c r="AR76" t="s">
        <v>1</v>
      </c>
      <c r="AT76" s="2" t="s">
        <v>0</v>
      </c>
      <c r="AU76" s="1" t="e">
        <f t="shared" si="11"/>
        <v>#VALUE!</v>
      </c>
      <c r="AV76" s="1" t="e">
        <f t="shared" si="12"/>
        <v>#VALUE!</v>
      </c>
      <c r="AW76" s="1" t="e">
        <f t="shared" si="13"/>
        <v>#VALUE!</v>
      </c>
    </row>
    <row r="77" spans="1:49" x14ac:dyDescent="0.2">
      <c r="A77">
        <v>75</v>
      </c>
      <c r="B77" t="s">
        <v>6718</v>
      </c>
      <c r="C77" t="s">
        <v>6717</v>
      </c>
      <c r="F77" t="s">
        <v>6716</v>
      </c>
      <c r="G77" t="s">
        <v>15</v>
      </c>
      <c r="H77" t="s">
        <v>14</v>
      </c>
      <c r="I77" t="s">
        <v>6715</v>
      </c>
      <c r="J77">
        <v>60033089</v>
      </c>
      <c r="K77" t="s">
        <v>6714</v>
      </c>
      <c r="L77" t="s">
        <v>4007</v>
      </c>
      <c r="M77" t="s">
        <v>55</v>
      </c>
      <c r="N77">
        <v>2</v>
      </c>
      <c r="O77" t="s">
        <v>6713</v>
      </c>
      <c r="P77" t="s">
        <v>6712</v>
      </c>
      <c r="Q77" t="s">
        <v>6711</v>
      </c>
      <c r="R77" s="7">
        <v>30317</v>
      </c>
      <c r="S77" s="8">
        <f t="shared" si="8"/>
        <v>1983</v>
      </c>
      <c r="T77" s="8">
        <v>1983</v>
      </c>
      <c r="U77" s="8">
        <f t="shared" si="9"/>
        <v>39</v>
      </c>
      <c r="V77" s="7">
        <v>1983</v>
      </c>
      <c r="W77" t="s">
        <v>6710</v>
      </c>
      <c r="X77" s="2">
        <v>0.48699999999999999</v>
      </c>
      <c r="Y77" s="6">
        <f t="shared" si="14"/>
        <v>1.3000186861002109E-2</v>
      </c>
      <c r="AA77">
        <v>214922</v>
      </c>
      <c r="AB77">
        <v>130262</v>
      </c>
      <c r="AC77">
        <v>13474065</v>
      </c>
      <c r="AD77" t="s">
        <v>5</v>
      </c>
      <c r="AE77" t="s">
        <v>6709</v>
      </c>
      <c r="AF77">
        <v>3</v>
      </c>
      <c r="AH77">
        <v>545</v>
      </c>
      <c r="AL77">
        <v>0</v>
      </c>
      <c r="AM77" s="5">
        <f t="shared" si="10"/>
        <v>0</v>
      </c>
      <c r="AN77" s="4">
        <f t="shared" si="15"/>
        <v>0</v>
      </c>
      <c r="AO77" s="3"/>
      <c r="AP77">
        <v>0</v>
      </c>
      <c r="AR77" t="s">
        <v>1</v>
      </c>
      <c r="AT77" s="2" t="s">
        <v>0</v>
      </c>
      <c r="AU77" s="1">
        <f t="shared" si="11"/>
        <v>0.9100130802701476</v>
      </c>
      <c r="AV77" s="1">
        <f t="shared" si="12"/>
        <v>0.65000934305010538</v>
      </c>
      <c r="AW77" s="1">
        <f t="shared" si="13"/>
        <v>0.39000560583006322</v>
      </c>
    </row>
    <row r="78" spans="1:49" x14ac:dyDescent="0.2">
      <c r="A78">
        <v>76</v>
      </c>
      <c r="B78" t="s">
        <v>6708</v>
      </c>
      <c r="C78" t="s">
        <v>6707</v>
      </c>
      <c r="F78" t="s">
        <v>6706</v>
      </c>
      <c r="G78" t="s">
        <v>15</v>
      </c>
      <c r="H78" t="s">
        <v>14</v>
      </c>
      <c r="I78" t="s">
        <v>6705</v>
      </c>
      <c r="J78">
        <v>60025272</v>
      </c>
      <c r="K78" t="s">
        <v>4645</v>
      </c>
      <c r="L78" t="s">
        <v>56</v>
      </c>
      <c r="M78" t="s">
        <v>55</v>
      </c>
      <c r="N78">
        <v>3</v>
      </c>
      <c r="O78" t="s">
        <v>6704</v>
      </c>
      <c r="P78" t="s">
        <v>6703</v>
      </c>
      <c r="Q78" t="s">
        <v>6702</v>
      </c>
      <c r="R78" s="7">
        <v>30317</v>
      </c>
      <c r="S78" s="8">
        <f t="shared" si="8"/>
        <v>1983</v>
      </c>
      <c r="T78" s="8">
        <v>1983</v>
      </c>
      <c r="U78" s="8">
        <f t="shared" si="9"/>
        <v>39</v>
      </c>
      <c r="V78" s="7">
        <v>30317</v>
      </c>
      <c r="W78" t="s">
        <v>6701</v>
      </c>
      <c r="X78" s="2">
        <v>0.46300000000000002</v>
      </c>
      <c r="Y78" s="6">
        <f t="shared" si="14"/>
        <v>1.2359520568057447E-2</v>
      </c>
      <c r="AA78">
        <v>36862</v>
      </c>
      <c r="AB78">
        <v>19141</v>
      </c>
      <c r="AC78" t="s">
        <v>6700</v>
      </c>
      <c r="AD78" t="s">
        <v>5</v>
      </c>
      <c r="AE78">
        <v>18</v>
      </c>
      <c r="AF78">
        <v>2</v>
      </c>
      <c r="AH78" t="s">
        <v>6699</v>
      </c>
      <c r="AI78" t="s">
        <v>6698</v>
      </c>
      <c r="AK78" t="s">
        <v>6697</v>
      </c>
      <c r="AL78">
        <v>25</v>
      </c>
      <c r="AM78" s="5">
        <f t="shared" si="10"/>
        <v>0.64102564102564108</v>
      </c>
      <c r="AN78" s="4">
        <f t="shared" si="15"/>
        <v>9.7088321245837345E-4</v>
      </c>
      <c r="AO78" s="3"/>
      <c r="AP78">
        <v>1</v>
      </c>
      <c r="AR78" t="s">
        <v>1</v>
      </c>
      <c r="AT78" s="2">
        <v>1.403</v>
      </c>
      <c r="AU78" s="1">
        <f t="shared" si="11"/>
        <v>0.8942929361377725</v>
      </c>
      <c r="AV78" s="1">
        <f t="shared" si="12"/>
        <v>0.66652018902579102</v>
      </c>
      <c r="AW78" s="1">
        <f t="shared" si="13"/>
        <v>0.43874744191380954</v>
      </c>
    </row>
    <row r="79" spans="1:49" x14ac:dyDescent="0.2">
      <c r="A79">
        <v>77</v>
      </c>
      <c r="B79" t="s">
        <v>6696</v>
      </c>
      <c r="C79" t="s">
        <v>6695</v>
      </c>
      <c r="F79" t="s">
        <v>6694</v>
      </c>
      <c r="G79" t="s">
        <v>15</v>
      </c>
      <c r="H79" t="s">
        <v>14</v>
      </c>
      <c r="I79" t="s">
        <v>6687</v>
      </c>
      <c r="J79" t="s">
        <v>6686</v>
      </c>
      <c r="K79" t="s">
        <v>6685</v>
      </c>
      <c r="L79" t="s">
        <v>6684</v>
      </c>
      <c r="M79" t="s">
        <v>3243</v>
      </c>
      <c r="N79">
        <v>2</v>
      </c>
      <c r="O79" t="s">
        <v>6683</v>
      </c>
      <c r="P79" t="s">
        <v>6682</v>
      </c>
      <c r="Q79" t="s">
        <v>6681</v>
      </c>
      <c r="R79" s="7">
        <v>30317</v>
      </c>
      <c r="S79" s="8">
        <f t="shared" si="8"/>
        <v>1983</v>
      </c>
      <c r="T79" s="8">
        <v>1983</v>
      </c>
      <c r="U79" s="8">
        <f t="shared" si="9"/>
        <v>39</v>
      </c>
      <c r="V79" s="7">
        <v>30317</v>
      </c>
      <c r="W79" t="s">
        <v>6680</v>
      </c>
      <c r="X79" s="2">
        <v>0.36299999999999999</v>
      </c>
      <c r="Y79" s="6">
        <f t="shared" si="14"/>
        <v>9.6900776807880198E-3</v>
      </c>
      <c r="AA79">
        <v>214914</v>
      </c>
      <c r="AB79">
        <v>21042</v>
      </c>
      <c r="AC79">
        <v>13476068</v>
      </c>
      <c r="AD79" t="s">
        <v>5</v>
      </c>
      <c r="AE79">
        <v>27</v>
      </c>
      <c r="AF79">
        <v>4</v>
      </c>
      <c r="AH79" t="s">
        <v>6693</v>
      </c>
      <c r="AI79" t="s">
        <v>6692</v>
      </c>
      <c r="AK79" t="s">
        <v>6691</v>
      </c>
      <c r="AL79">
        <v>6</v>
      </c>
      <c r="AM79" s="5">
        <f t="shared" si="10"/>
        <v>0.15384615384615385</v>
      </c>
      <c r="AN79" s="4">
        <f t="shared" si="15"/>
        <v>2.3301197099000962E-4</v>
      </c>
      <c r="AO79" s="3"/>
      <c r="AP79">
        <v>1</v>
      </c>
      <c r="AR79" t="s">
        <v>1</v>
      </c>
      <c r="AT79" s="2" t="s">
        <v>0</v>
      </c>
      <c r="AU79" s="1">
        <f t="shared" si="11"/>
        <v>0.68529579678486174</v>
      </c>
      <c r="AV79" s="1">
        <f t="shared" si="12"/>
        <v>0.49615448258890144</v>
      </c>
      <c r="AW79" s="1">
        <f t="shared" si="13"/>
        <v>0.30701316839294124</v>
      </c>
    </row>
    <row r="80" spans="1:49" x14ac:dyDescent="0.2">
      <c r="A80">
        <v>78</v>
      </c>
      <c r="B80" t="s">
        <v>6690</v>
      </c>
      <c r="C80" t="s">
        <v>6689</v>
      </c>
      <c r="F80" t="s">
        <v>6688</v>
      </c>
      <c r="G80" t="s">
        <v>15</v>
      </c>
      <c r="H80" t="s">
        <v>14</v>
      </c>
      <c r="I80" t="s">
        <v>6687</v>
      </c>
      <c r="J80" t="s">
        <v>6686</v>
      </c>
      <c r="K80" t="s">
        <v>6685</v>
      </c>
      <c r="L80" t="s">
        <v>6684</v>
      </c>
      <c r="M80" t="s">
        <v>3243</v>
      </c>
      <c r="N80">
        <v>2</v>
      </c>
      <c r="O80" t="s">
        <v>6683</v>
      </c>
      <c r="P80" t="s">
        <v>6682</v>
      </c>
      <c r="Q80" t="s">
        <v>6681</v>
      </c>
      <c r="R80" s="7">
        <v>30317</v>
      </c>
      <c r="S80" s="8">
        <f t="shared" si="8"/>
        <v>1983</v>
      </c>
      <c r="T80" s="8">
        <v>1983</v>
      </c>
      <c r="U80" s="8">
        <f t="shared" si="9"/>
        <v>39</v>
      </c>
      <c r="V80" s="7">
        <v>30317</v>
      </c>
      <c r="W80" t="s">
        <v>6680</v>
      </c>
      <c r="X80" s="2">
        <v>0.36299999999999999</v>
      </c>
      <c r="Y80" s="6">
        <f t="shared" si="14"/>
        <v>9.6900776807880198E-3</v>
      </c>
      <c r="AA80">
        <v>214914</v>
      </c>
      <c r="AB80">
        <v>21042</v>
      </c>
      <c r="AC80">
        <v>13476068</v>
      </c>
      <c r="AD80" t="s">
        <v>5</v>
      </c>
      <c r="AE80">
        <v>27</v>
      </c>
      <c r="AF80">
        <v>3</v>
      </c>
      <c r="AH80" t="s">
        <v>6679</v>
      </c>
      <c r="AI80" t="s">
        <v>6678</v>
      </c>
      <c r="AK80" t="s">
        <v>6677</v>
      </c>
      <c r="AL80">
        <v>29</v>
      </c>
      <c r="AM80" s="5">
        <f t="shared" si="10"/>
        <v>0.74358974358974361</v>
      </c>
      <c r="AN80" s="4">
        <f t="shared" si="15"/>
        <v>1.1262245264517131E-3</v>
      </c>
      <c r="AO80" s="3"/>
      <c r="AP80">
        <v>1</v>
      </c>
      <c r="AR80" t="s">
        <v>1</v>
      </c>
      <c r="AT80" s="2" t="s">
        <v>0</v>
      </c>
      <c r="AU80" s="1">
        <f t="shared" si="11"/>
        <v>0.71209217344871278</v>
      </c>
      <c r="AV80" s="1">
        <f t="shared" si="12"/>
        <v>0.5408151103619866</v>
      </c>
      <c r="AW80" s="1">
        <f t="shared" si="13"/>
        <v>0.36953804727526052</v>
      </c>
    </row>
    <row r="81" spans="1:49" x14ac:dyDescent="0.2">
      <c r="A81">
        <v>79</v>
      </c>
      <c r="B81" t="s">
        <v>6676</v>
      </c>
      <c r="C81" t="s">
        <v>6675</v>
      </c>
      <c r="F81" t="s">
        <v>6674</v>
      </c>
      <c r="G81" t="s">
        <v>15</v>
      </c>
      <c r="H81" t="s">
        <v>14</v>
      </c>
      <c r="I81" t="s">
        <v>6673</v>
      </c>
      <c r="J81" t="s">
        <v>6672</v>
      </c>
      <c r="K81" t="s">
        <v>6671</v>
      </c>
      <c r="L81" t="s">
        <v>6670</v>
      </c>
      <c r="M81" t="s">
        <v>91</v>
      </c>
      <c r="N81">
        <v>2</v>
      </c>
      <c r="O81" t="s">
        <v>6669</v>
      </c>
      <c r="P81" t="s">
        <v>6007</v>
      </c>
      <c r="Q81" t="s">
        <v>6668</v>
      </c>
      <c r="R81" s="7">
        <v>30317</v>
      </c>
      <c r="S81" s="8">
        <f t="shared" si="8"/>
        <v>1983</v>
      </c>
      <c r="T81" s="8">
        <v>1983</v>
      </c>
      <c r="U81" s="8">
        <f t="shared" si="9"/>
        <v>39</v>
      </c>
      <c r="V81" s="7">
        <v>30376</v>
      </c>
      <c r="W81" t="s">
        <v>6005</v>
      </c>
      <c r="X81" s="2">
        <v>0.76500000000000001</v>
      </c>
      <c r="Y81" s="6">
        <f t="shared" si="14"/>
        <v>2.0421238087611118E-2</v>
      </c>
      <c r="AA81">
        <v>138703</v>
      </c>
      <c r="AB81">
        <v>19793</v>
      </c>
      <c r="AC81">
        <v>15707458</v>
      </c>
      <c r="AD81" t="s">
        <v>5</v>
      </c>
      <c r="AE81">
        <v>33</v>
      </c>
      <c r="AF81">
        <v>2</v>
      </c>
      <c r="AH81" t="s">
        <v>6004</v>
      </c>
      <c r="AI81" t="s">
        <v>6667</v>
      </c>
      <c r="AJ81" t="s">
        <v>6002</v>
      </c>
      <c r="AK81" t="s">
        <v>6666</v>
      </c>
      <c r="AL81">
        <v>0</v>
      </c>
      <c r="AM81" s="5">
        <f t="shared" si="10"/>
        <v>0</v>
      </c>
      <c r="AN81" s="4">
        <f t="shared" si="15"/>
        <v>0</v>
      </c>
      <c r="AO81" s="3"/>
      <c r="AP81">
        <v>0</v>
      </c>
      <c r="AR81" t="s">
        <v>1</v>
      </c>
      <c r="AT81" s="2" t="s">
        <v>0</v>
      </c>
      <c r="AU81" s="1">
        <f t="shared" si="11"/>
        <v>1.4294866661327781</v>
      </c>
      <c r="AV81" s="1">
        <f t="shared" si="12"/>
        <v>1.0210619043805558</v>
      </c>
      <c r="AW81" s="1">
        <f t="shared" si="13"/>
        <v>0.61263714262833358</v>
      </c>
    </row>
    <row r="82" spans="1:49" x14ac:dyDescent="0.2">
      <c r="A82">
        <v>80</v>
      </c>
      <c r="B82" t="s">
        <v>6665</v>
      </c>
      <c r="C82" t="s">
        <v>6664</v>
      </c>
      <c r="F82" t="s">
        <v>6663</v>
      </c>
      <c r="G82" t="s">
        <v>15</v>
      </c>
      <c r="H82" t="s">
        <v>14</v>
      </c>
      <c r="I82" t="s">
        <v>6662</v>
      </c>
      <c r="N82">
        <v>2</v>
      </c>
      <c r="O82" t="s">
        <v>6661</v>
      </c>
      <c r="P82" t="s">
        <v>6660</v>
      </c>
      <c r="Q82" t="s">
        <v>342</v>
      </c>
      <c r="R82" s="7">
        <v>30317</v>
      </c>
      <c r="S82" s="8">
        <f t="shared" si="8"/>
        <v>1983</v>
      </c>
      <c r="T82" s="8">
        <v>1983</v>
      </c>
      <c r="U82" s="8">
        <f t="shared" si="9"/>
        <v>39</v>
      </c>
      <c r="V82" s="7">
        <v>30317</v>
      </c>
      <c r="W82" t="s">
        <v>6005</v>
      </c>
      <c r="X82" s="2">
        <v>0.76500000000000001</v>
      </c>
      <c r="Y82" s="6">
        <f t="shared" si="14"/>
        <v>2.0421238087611118E-2</v>
      </c>
      <c r="AA82">
        <v>138703</v>
      </c>
      <c r="AB82">
        <v>19793</v>
      </c>
      <c r="AC82">
        <v>15707458</v>
      </c>
      <c r="AD82" t="s">
        <v>5</v>
      </c>
      <c r="AE82">
        <v>33</v>
      </c>
      <c r="AF82">
        <v>1</v>
      </c>
      <c r="AH82" t="s">
        <v>6659</v>
      </c>
      <c r="AI82" t="s">
        <v>6658</v>
      </c>
      <c r="AJ82" t="s">
        <v>6657</v>
      </c>
      <c r="AK82" t="s">
        <v>6656</v>
      </c>
      <c r="AL82">
        <v>22</v>
      </c>
      <c r="AM82" s="5">
        <f t="shared" si="10"/>
        <v>0.5641025641025641</v>
      </c>
      <c r="AN82" s="4">
        <f t="shared" si="15"/>
        <v>8.5437722696336859E-4</v>
      </c>
      <c r="AO82" s="3"/>
      <c r="AP82">
        <v>0</v>
      </c>
      <c r="AR82" t="s">
        <v>1</v>
      </c>
      <c r="AT82" s="2" t="s">
        <v>0</v>
      </c>
      <c r="AU82" s="1">
        <f t="shared" si="11"/>
        <v>1.4551179829416792</v>
      </c>
      <c r="AV82" s="1">
        <f t="shared" si="12"/>
        <v>1.0637807657287244</v>
      </c>
      <c r="AW82" s="1">
        <f t="shared" si="13"/>
        <v>0.67244354851576937</v>
      </c>
    </row>
    <row r="83" spans="1:49" x14ac:dyDescent="0.2">
      <c r="A83">
        <v>81</v>
      </c>
      <c r="B83" t="s">
        <v>6655</v>
      </c>
      <c r="C83" t="s">
        <v>6654</v>
      </c>
      <c r="F83" t="s">
        <v>6653</v>
      </c>
      <c r="G83" t="s">
        <v>15</v>
      </c>
      <c r="H83" t="s">
        <v>14</v>
      </c>
      <c r="I83" t="s">
        <v>6652</v>
      </c>
      <c r="J83">
        <v>60024168</v>
      </c>
      <c r="K83" t="s">
        <v>6651</v>
      </c>
      <c r="L83" t="s">
        <v>6650</v>
      </c>
      <c r="M83" t="s">
        <v>55</v>
      </c>
      <c r="N83">
        <v>1</v>
      </c>
      <c r="O83" t="s">
        <v>6649</v>
      </c>
      <c r="P83">
        <v>6603906976</v>
      </c>
      <c r="Q83">
        <v>60024168</v>
      </c>
      <c r="R83" s="7">
        <v>30317</v>
      </c>
      <c r="S83" s="8">
        <f t="shared" si="8"/>
        <v>1983</v>
      </c>
      <c r="T83" s="8">
        <v>1983</v>
      </c>
      <c r="U83" s="8">
        <f t="shared" si="9"/>
        <v>39</v>
      </c>
      <c r="V83" s="7">
        <v>1983</v>
      </c>
      <c r="W83" t="s">
        <v>6648</v>
      </c>
      <c r="X83" s="2">
        <v>0.105</v>
      </c>
      <c r="Y83" s="6">
        <f t="shared" si="14"/>
        <v>2.8029150316328981E-3</v>
      </c>
      <c r="AA83" t="s">
        <v>6647</v>
      </c>
      <c r="AB83">
        <v>14052</v>
      </c>
      <c r="AC83">
        <v>18806643</v>
      </c>
      <c r="AD83" t="s">
        <v>5</v>
      </c>
      <c r="AE83">
        <v>33</v>
      </c>
      <c r="AF83">
        <v>4</v>
      </c>
      <c r="AH83" t="s">
        <v>6646</v>
      </c>
      <c r="AI83" t="s">
        <v>6645</v>
      </c>
      <c r="AK83" t="s">
        <v>6644</v>
      </c>
      <c r="AL83">
        <v>13</v>
      </c>
      <c r="AM83" s="5">
        <f t="shared" si="10"/>
        <v>0.33333333333333331</v>
      </c>
      <c r="AN83" s="4">
        <f t="shared" si="15"/>
        <v>5.048592704783541E-4</v>
      </c>
      <c r="AO83" s="3"/>
      <c r="AP83">
        <v>1</v>
      </c>
      <c r="AR83" t="s">
        <v>1</v>
      </c>
      <c r="AT83" s="2" t="s">
        <v>0</v>
      </c>
      <c r="AU83" s="1">
        <f t="shared" si="11"/>
        <v>0.21134983032865345</v>
      </c>
      <c r="AV83" s="1">
        <f t="shared" si="12"/>
        <v>0.16538871510556261</v>
      </c>
      <c r="AW83" s="1">
        <f t="shared" si="13"/>
        <v>0.11942759988247173</v>
      </c>
    </row>
    <row r="84" spans="1:49" x14ac:dyDescent="0.2">
      <c r="A84">
        <v>82</v>
      </c>
      <c r="B84" t="s">
        <v>6643</v>
      </c>
      <c r="C84" t="s">
        <v>6642</v>
      </c>
      <c r="F84" t="s">
        <v>6641</v>
      </c>
      <c r="G84" t="s">
        <v>15</v>
      </c>
      <c r="H84" t="s">
        <v>14</v>
      </c>
      <c r="I84" t="s">
        <v>6640</v>
      </c>
      <c r="J84">
        <v>60007493</v>
      </c>
      <c r="K84" t="s">
        <v>6639</v>
      </c>
      <c r="L84" t="s">
        <v>2497</v>
      </c>
      <c r="M84" t="s">
        <v>80</v>
      </c>
      <c r="N84">
        <v>1</v>
      </c>
      <c r="O84" t="s">
        <v>6638</v>
      </c>
      <c r="P84">
        <v>7403204760</v>
      </c>
      <c r="Q84">
        <v>60007493</v>
      </c>
      <c r="R84" s="7">
        <v>30317</v>
      </c>
      <c r="S84" s="8">
        <f t="shared" si="8"/>
        <v>1983</v>
      </c>
      <c r="T84" s="8">
        <v>1983</v>
      </c>
      <c r="U84" s="8">
        <f t="shared" si="9"/>
        <v>39</v>
      </c>
      <c r="V84" s="7">
        <v>30407</v>
      </c>
      <c r="W84" t="s">
        <v>6637</v>
      </c>
      <c r="X84" s="2">
        <v>0.92600000000000005</v>
      </c>
      <c r="Y84" s="6">
        <f t="shared" si="14"/>
        <v>2.4719041136114894E-2</v>
      </c>
      <c r="AA84">
        <v>241164</v>
      </c>
      <c r="AB84">
        <v>13956</v>
      </c>
      <c r="AC84">
        <v>15023931</v>
      </c>
      <c r="AD84" t="s">
        <v>5</v>
      </c>
      <c r="AE84">
        <v>16</v>
      </c>
      <c r="AF84">
        <v>2</v>
      </c>
      <c r="AH84" t="s">
        <v>6636</v>
      </c>
      <c r="AI84" t="s">
        <v>6635</v>
      </c>
      <c r="AK84" t="s">
        <v>6634</v>
      </c>
      <c r="AL84">
        <v>83</v>
      </c>
      <c r="AM84" s="5">
        <f t="shared" si="10"/>
        <v>2.1282051282051282</v>
      </c>
      <c r="AN84" s="4">
        <f t="shared" si="15"/>
        <v>3.2233322653617996E-3</v>
      </c>
      <c r="AO84" s="3"/>
      <c r="AP84">
        <v>0</v>
      </c>
      <c r="AR84" t="s">
        <v>1</v>
      </c>
      <c r="AT84" s="2">
        <v>2.2469999999999999</v>
      </c>
      <c r="AU84" s="1">
        <f t="shared" si="11"/>
        <v>1.8270328474888964</v>
      </c>
      <c r="AV84" s="1">
        <f t="shared" si="12"/>
        <v>1.3971186700738347</v>
      </c>
      <c r="AW84" s="1">
        <f t="shared" si="13"/>
        <v>0.96720449265877284</v>
      </c>
    </row>
    <row r="85" spans="1:49" x14ac:dyDescent="0.2">
      <c r="A85">
        <v>83</v>
      </c>
      <c r="B85" t="s">
        <v>6633</v>
      </c>
      <c r="C85" t="s">
        <v>6632</v>
      </c>
      <c r="D85" t="s">
        <v>6631</v>
      </c>
      <c r="F85" t="s">
        <v>6630</v>
      </c>
      <c r="G85" t="s">
        <v>15</v>
      </c>
      <c r="H85" t="s">
        <v>14</v>
      </c>
      <c r="I85" t="s">
        <v>6629</v>
      </c>
      <c r="J85">
        <v>60091252</v>
      </c>
      <c r="K85" t="s">
        <v>6628</v>
      </c>
      <c r="L85" t="s">
        <v>188</v>
      </c>
      <c r="M85" t="s">
        <v>10</v>
      </c>
      <c r="N85">
        <v>1</v>
      </c>
      <c r="O85" t="s">
        <v>6627</v>
      </c>
      <c r="P85">
        <v>57224285807</v>
      </c>
      <c r="Q85">
        <v>60091252</v>
      </c>
      <c r="R85" s="7">
        <v>30317</v>
      </c>
      <c r="S85" s="8">
        <f t="shared" si="8"/>
        <v>1983</v>
      </c>
      <c r="T85" s="8">
        <v>1983</v>
      </c>
      <c r="U85" s="8">
        <f t="shared" si="9"/>
        <v>39</v>
      </c>
      <c r="V85" s="7">
        <v>1983</v>
      </c>
      <c r="W85" t="s">
        <v>6241</v>
      </c>
      <c r="X85" s="2">
        <v>0.51500000000000001</v>
      </c>
      <c r="Y85" s="6">
        <f t="shared" si="14"/>
        <v>1.374763086943755E-2</v>
      </c>
      <c r="AA85">
        <v>219169</v>
      </c>
      <c r="AB85">
        <v>30966</v>
      </c>
      <c r="AD85" t="s">
        <v>5</v>
      </c>
      <c r="AE85">
        <v>45</v>
      </c>
      <c r="AF85">
        <v>6</v>
      </c>
      <c r="AH85" t="s">
        <v>6626</v>
      </c>
      <c r="AI85" t="s">
        <v>6625</v>
      </c>
      <c r="AK85" t="s">
        <v>6624</v>
      </c>
      <c r="AL85">
        <v>6</v>
      </c>
      <c r="AM85" s="5">
        <f t="shared" si="10"/>
        <v>0.15384615384615385</v>
      </c>
      <c r="AN85" s="4">
        <f t="shared" si="15"/>
        <v>2.3301197099000962E-4</v>
      </c>
      <c r="AO85" s="3"/>
      <c r="AP85">
        <v>0</v>
      </c>
      <c r="AR85" t="s">
        <v>1</v>
      </c>
      <c r="AT85" s="2" t="s">
        <v>0</v>
      </c>
      <c r="AU85" s="1">
        <f t="shared" si="11"/>
        <v>0.96932451999032865</v>
      </c>
      <c r="AV85" s="1">
        <f t="shared" si="12"/>
        <v>0.69903214202137798</v>
      </c>
      <c r="AW85" s="1">
        <f t="shared" si="13"/>
        <v>0.4287397640524272</v>
      </c>
    </row>
    <row r="86" spans="1:49" x14ac:dyDescent="0.2">
      <c r="A86">
        <v>84</v>
      </c>
      <c r="B86" t="s">
        <v>6623</v>
      </c>
      <c r="C86" t="s">
        <v>6622</v>
      </c>
      <c r="F86" t="s">
        <v>6621</v>
      </c>
      <c r="G86" t="s">
        <v>15</v>
      </c>
      <c r="H86" t="s">
        <v>14</v>
      </c>
      <c r="I86" t="s">
        <v>6620</v>
      </c>
      <c r="J86">
        <v>60019967</v>
      </c>
      <c r="K86" t="s">
        <v>6619</v>
      </c>
      <c r="L86" t="s">
        <v>3550</v>
      </c>
      <c r="M86" t="s">
        <v>1229</v>
      </c>
      <c r="N86">
        <v>1</v>
      </c>
      <c r="O86" t="s">
        <v>6618</v>
      </c>
      <c r="P86">
        <v>55605778273</v>
      </c>
      <c r="Q86">
        <v>60019967</v>
      </c>
      <c r="R86" s="7">
        <v>30317</v>
      </c>
      <c r="S86" s="8">
        <f t="shared" si="8"/>
        <v>1983</v>
      </c>
      <c r="T86" s="8">
        <v>1983</v>
      </c>
      <c r="U86" s="8">
        <f t="shared" si="9"/>
        <v>39</v>
      </c>
      <c r="V86" s="7">
        <v>1983</v>
      </c>
      <c r="W86" t="s">
        <v>6617</v>
      </c>
      <c r="X86" s="2">
        <v>0.57599999999999996</v>
      </c>
      <c r="Y86" s="6">
        <f t="shared" si="14"/>
        <v>1.5375991030671898E-2</v>
      </c>
      <c r="AA86">
        <v>7394462</v>
      </c>
      <c r="AB86">
        <v>19155</v>
      </c>
      <c r="AC86">
        <v>15206327</v>
      </c>
      <c r="AD86" t="s">
        <v>5</v>
      </c>
      <c r="AE86">
        <v>1</v>
      </c>
      <c r="AF86">
        <v>1</v>
      </c>
      <c r="AH86" t="s">
        <v>6616</v>
      </c>
      <c r="AI86" t="s">
        <v>6615</v>
      </c>
      <c r="AJ86" t="s">
        <v>6614</v>
      </c>
      <c r="AK86" t="s">
        <v>6613</v>
      </c>
      <c r="AL86">
        <v>20</v>
      </c>
      <c r="AM86" s="5">
        <f t="shared" si="10"/>
        <v>0.51282051282051277</v>
      </c>
      <c r="AN86" s="4">
        <f t="shared" si="15"/>
        <v>7.7670656996669868E-4</v>
      </c>
      <c r="AO86" s="3"/>
      <c r="AP86">
        <v>0</v>
      </c>
      <c r="AR86" t="s">
        <v>1</v>
      </c>
      <c r="AT86" s="2" t="s">
        <v>0</v>
      </c>
      <c r="AU86" s="1">
        <f t="shared" si="11"/>
        <v>1.0996205692460337</v>
      </c>
      <c r="AV86" s="1">
        <f t="shared" si="12"/>
        <v>0.80763488003192974</v>
      </c>
      <c r="AW86" s="1">
        <f t="shared" si="13"/>
        <v>0.51564919081782579</v>
      </c>
    </row>
    <row r="87" spans="1:49" x14ac:dyDescent="0.2">
      <c r="A87">
        <v>85</v>
      </c>
      <c r="B87" t="s">
        <v>6612</v>
      </c>
      <c r="C87" t="s">
        <v>6611</v>
      </c>
      <c r="F87" t="s">
        <v>6610</v>
      </c>
      <c r="G87" t="s">
        <v>15</v>
      </c>
      <c r="H87" t="s">
        <v>14</v>
      </c>
      <c r="I87" t="s">
        <v>6609</v>
      </c>
      <c r="J87">
        <v>100634526</v>
      </c>
      <c r="K87" t="s">
        <v>6608</v>
      </c>
      <c r="L87" t="s">
        <v>2717</v>
      </c>
      <c r="M87" t="s">
        <v>6607</v>
      </c>
      <c r="N87">
        <v>5</v>
      </c>
      <c r="O87" t="s">
        <v>6606</v>
      </c>
      <c r="P87" t="s">
        <v>6605</v>
      </c>
      <c r="Q87" t="s">
        <v>6604</v>
      </c>
      <c r="R87" s="7">
        <v>30317</v>
      </c>
      <c r="S87" s="8">
        <f t="shared" si="8"/>
        <v>1983</v>
      </c>
      <c r="T87" s="8">
        <v>1983</v>
      </c>
      <c r="U87" s="8">
        <f t="shared" si="9"/>
        <v>39</v>
      </c>
      <c r="V87" s="7">
        <v>30529</v>
      </c>
      <c r="W87" t="s">
        <v>6550</v>
      </c>
      <c r="X87" s="2">
        <v>0.81799999999999995</v>
      </c>
      <c r="Y87" s="6">
        <f t="shared" si="14"/>
        <v>2.1836042817863912E-2</v>
      </c>
      <c r="AA87">
        <v>318655</v>
      </c>
      <c r="AB87">
        <v>27010</v>
      </c>
      <c r="AC87">
        <v>17511097</v>
      </c>
      <c r="AD87" t="s">
        <v>5</v>
      </c>
      <c r="AE87">
        <v>38</v>
      </c>
      <c r="AF87">
        <v>2</v>
      </c>
      <c r="AH87" t="s">
        <v>6603</v>
      </c>
      <c r="AI87" t="s">
        <v>6602</v>
      </c>
      <c r="AK87" t="s">
        <v>6601</v>
      </c>
      <c r="AL87">
        <v>3</v>
      </c>
      <c r="AM87" s="5">
        <f t="shared" si="10"/>
        <v>7.6923076923076927E-2</v>
      </c>
      <c r="AN87" s="4">
        <f t="shared" si="15"/>
        <v>1.1650598549500481E-4</v>
      </c>
      <c r="AO87" s="3"/>
      <c r="AP87">
        <v>0</v>
      </c>
      <c r="AR87" t="s">
        <v>1</v>
      </c>
      <c r="AT87" s="2">
        <v>3.4209999999999998</v>
      </c>
      <c r="AU87" s="1">
        <f t="shared" si="11"/>
        <v>1.532018176815324</v>
      </c>
      <c r="AV87" s="1">
        <f t="shared" si="12"/>
        <v>1.0976274401679458</v>
      </c>
      <c r="AW87" s="1">
        <f t="shared" si="13"/>
        <v>0.66323670352056774</v>
      </c>
    </row>
    <row r="88" spans="1:49" x14ac:dyDescent="0.2">
      <c r="A88">
        <v>86</v>
      </c>
      <c r="B88" t="s">
        <v>6600</v>
      </c>
      <c r="C88" t="s">
        <v>6599</v>
      </c>
      <c r="F88" t="s">
        <v>6598</v>
      </c>
      <c r="G88" t="s">
        <v>15</v>
      </c>
      <c r="H88" t="s">
        <v>14</v>
      </c>
      <c r="I88" t="s">
        <v>6597</v>
      </c>
      <c r="J88" t="s">
        <v>6596</v>
      </c>
      <c r="K88" t="s">
        <v>6595</v>
      </c>
      <c r="L88" t="s">
        <v>6594</v>
      </c>
      <c r="M88" t="s">
        <v>6593</v>
      </c>
      <c r="N88">
        <v>2</v>
      </c>
      <c r="O88" t="s">
        <v>6592</v>
      </c>
      <c r="P88" t="s">
        <v>6591</v>
      </c>
      <c r="Q88" t="s">
        <v>6590</v>
      </c>
      <c r="R88" s="7">
        <v>30317</v>
      </c>
      <c r="S88" s="8">
        <f t="shared" si="8"/>
        <v>1983</v>
      </c>
      <c r="T88" s="8">
        <v>1983</v>
      </c>
      <c r="U88" s="8">
        <f t="shared" si="9"/>
        <v>39</v>
      </c>
      <c r="V88" s="7">
        <v>30348</v>
      </c>
      <c r="W88" t="s">
        <v>6550</v>
      </c>
      <c r="X88" s="2">
        <v>0.81799999999999995</v>
      </c>
      <c r="Y88" s="6">
        <f t="shared" si="14"/>
        <v>2.1836042817863912E-2</v>
      </c>
      <c r="AA88">
        <v>318655</v>
      </c>
      <c r="AB88">
        <v>27010</v>
      </c>
      <c r="AC88">
        <v>17511097</v>
      </c>
      <c r="AD88" t="s">
        <v>5</v>
      </c>
      <c r="AE88">
        <v>37</v>
      </c>
      <c r="AF88">
        <v>2</v>
      </c>
      <c r="AH88" t="s">
        <v>3896</v>
      </c>
      <c r="AI88" t="s">
        <v>6589</v>
      </c>
      <c r="AK88" t="s">
        <v>6588</v>
      </c>
      <c r="AL88">
        <v>12</v>
      </c>
      <c r="AM88" s="5">
        <f t="shared" si="10"/>
        <v>0.30769230769230771</v>
      </c>
      <c r="AN88" s="4">
        <f t="shared" si="15"/>
        <v>4.6602394198001925E-4</v>
      </c>
      <c r="AO88" s="3"/>
      <c r="AP88">
        <v>0</v>
      </c>
      <c r="AR88" t="s">
        <v>1</v>
      </c>
      <c r="AT88" s="2">
        <v>3.4209999999999998</v>
      </c>
      <c r="AU88" s="1">
        <f t="shared" si="11"/>
        <v>1.5425037155098744</v>
      </c>
      <c r="AV88" s="1">
        <f t="shared" si="12"/>
        <v>1.1151033379921964</v>
      </c>
      <c r="AW88" s="1">
        <f t="shared" si="13"/>
        <v>0.68770296047451873</v>
      </c>
    </row>
    <row r="89" spans="1:49" x14ac:dyDescent="0.2">
      <c r="A89">
        <v>87</v>
      </c>
      <c r="B89" t="s">
        <v>6587</v>
      </c>
      <c r="C89" t="s">
        <v>6586</v>
      </c>
      <c r="F89" t="s">
        <v>6585</v>
      </c>
      <c r="G89" t="s">
        <v>15</v>
      </c>
      <c r="H89" t="s">
        <v>14</v>
      </c>
      <c r="I89" t="s">
        <v>6584</v>
      </c>
      <c r="J89" t="s">
        <v>6583</v>
      </c>
      <c r="K89" t="s">
        <v>6582</v>
      </c>
      <c r="L89" t="s">
        <v>6581</v>
      </c>
      <c r="M89" t="s">
        <v>6259</v>
      </c>
      <c r="N89">
        <v>3</v>
      </c>
      <c r="O89" t="s">
        <v>6580</v>
      </c>
      <c r="P89" t="s">
        <v>6579</v>
      </c>
      <c r="Q89" t="s">
        <v>6578</v>
      </c>
      <c r="R89" s="7">
        <v>30317</v>
      </c>
      <c r="S89" s="8">
        <f t="shared" si="8"/>
        <v>1983</v>
      </c>
      <c r="T89" s="8">
        <v>1983</v>
      </c>
      <c r="U89" s="8">
        <f t="shared" si="9"/>
        <v>39</v>
      </c>
      <c r="V89" s="7">
        <v>30407</v>
      </c>
      <c r="W89" t="s">
        <v>6550</v>
      </c>
      <c r="X89" s="2">
        <v>0.81799999999999995</v>
      </c>
      <c r="Y89" s="6">
        <f t="shared" si="14"/>
        <v>2.1836042817863912E-2</v>
      </c>
      <c r="AA89">
        <v>318655</v>
      </c>
      <c r="AB89">
        <v>27010</v>
      </c>
      <c r="AC89">
        <v>17511097</v>
      </c>
      <c r="AD89" t="s">
        <v>5</v>
      </c>
      <c r="AE89">
        <v>37</v>
      </c>
      <c r="AF89">
        <v>4</v>
      </c>
      <c r="AH89" t="s">
        <v>6577</v>
      </c>
      <c r="AI89" t="s">
        <v>6576</v>
      </c>
      <c r="AK89" t="s">
        <v>6575</v>
      </c>
      <c r="AL89">
        <v>52</v>
      </c>
      <c r="AM89" s="5">
        <f t="shared" si="10"/>
        <v>1.3333333333333333</v>
      </c>
      <c r="AN89" s="4">
        <f t="shared" si="15"/>
        <v>2.0194370819134164E-3</v>
      </c>
      <c r="AO89" s="3"/>
      <c r="AP89">
        <v>0</v>
      </c>
      <c r="AR89" t="s">
        <v>1</v>
      </c>
      <c r="AT89" s="2">
        <v>3.4209999999999998</v>
      </c>
      <c r="AU89" s="1">
        <f t="shared" si="11"/>
        <v>1.5891061097078762</v>
      </c>
      <c r="AV89" s="1">
        <f t="shared" si="12"/>
        <v>1.1927739949888665</v>
      </c>
      <c r="AW89" s="1">
        <f t="shared" si="13"/>
        <v>0.79644188026985652</v>
      </c>
    </row>
    <row r="90" spans="1:49" x14ac:dyDescent="0.2">
      <c r="A90">
        <v>88</v>
      </c>
      <c r="B90" t="s">
        <v>6574</v>
      </c>
      <c r="C90" t="s">
        <v>6573</v>
      </c>
      <c r="F90" t="s">
        <v>6572</v>
      </c>
      <c r="G90" t="s">
        <v>15</v>
      </c>
      <c r="H90" t="s">
        <v>14</v>
      </c>
      <c r="I90" t="s">
        <v>6571</v>
      </c>
      <c r="J90" t="s">
        <v>6570</v>
      </c>
      <c r="K90" t="s">
        <v>6569</v>
      </c>
      <c r="L90" t="s">
        <v>6568</v>
      </c>
      <c r="M90" t="s">
        <v>6567</v>
      </c>
      <c r="N90">
        <v>4</v>
      </c>
      <c r="O90" t="s">
        <v>6566</v>
      </c>
      <c r="P90" t="s">
        <v>6565</v>
      </c>
      <c r="Q90" t="s">
        <v>6564</v>
      </c>
      <c r="R90" s="7">
        <v>30317</v>
      </c>
      <c r="S90" s="8">
        <f t="shared" si="8"/>
        <v>1983</v>
      </c>
      <c r="T90" s="8">
        <v>1983</v>
      </c>
      <c r="U90" s="8">
        <f t="shared" si="9"/>
        <v>39</v>
      </c>
      <c r="V90" s="7">
        <v>30529</v>
      </c>
      <c r="W90" t="s">
        <v>6550</v>
      </c>
      <c r="X90" s="2">
        <v>0.81799999999999995</v>
      </c>
      <c r="Y90" s="6">
        <f t="shared" si="14"/>
        <v>2.1836042817863912E-2</v>
      </c>
      <c r="AA90">
        <v>318655</v>
      </c>
      <c r="AB90">
        <v>27010</v>
      </c>
      <c r="AC90">
        <v>17511097</v>
      </c>
      <c r="AD90" t="s">
        <v>5</v>
      </c>
      <c r="AE90">
        <v>38</v>
      </c>
      <c r="AF90">
        <v>2</v>
      </c>
      <c r="AH90" t="s">
        <v>6563</v>
      </c>
      <c r="AI90" t="s">
        <v>6562</v>
      </c>
      <c r="AK90" t="s">
        <v>6561</v>
      </c>
      <c r="AL90">
        <v>43</v>
      </c>
      <c r="AM90" s="5">
        <f t="shared" si="10"/>
        <v>1.1025641025641026</v>
      </c>
      <c r="AN90" s="4">
        <f t="shared" si="15"/>
        <v>1.6699191254284024E-3</v>
      </c>
      <c r="AO90" s="3"/>
      <c r="AP90">
        <v>0</v>
      </c>
      <c r="AR90" t="s">
        <v>1</v>
      </c>
      <c r="AT90" s="2">
        <v>3.4209999999999998</v>
      </c>
      <c r="AU90" s="1">
        <f t="shared" si="11"/>
        <v>1.5786205710133259</v>
      </c>
      <c r="AV90" s="1">
        <f t="shared" si="12"/>
        <v>1.1752980971646156</v>
      </c>
      <c r="AW90" s="1">
        <f t="shared" si="13"/>
        <v>0.77197562331590563</v>
      </c>
    </row>
    <row r="91" spans="1:49" x14ac:dyDescent="0.2">
      <c r="A91">
        <v>89</v>
      </c>
      <c r="B91" t="s">
        <v>6560</v>
      </c>
      <c r="C91" t="s">
        <v>6559</v>
      </c>
      <c r="F91" t="s">
        <v>6558</v>
      </c>
      <c r="G91" t="s">
        <v>15</v>
      </c>
      <c r="H91" t="s">
        <v>14</v>
      </c>
      <c r="I91" t="s">
        <v>6557</v>
      </c>
      <c r="J91" t="s">
        <v>6556</v>
      </c>
      <c r="K91" t="s">
        <v>6555</v>
      </c>
      <c r="L91" t="s">
        <v>6554</v>
      </c>
      <c r="M91" t="s">
        <v>3243</v>
      </c>
      <c r="N91">
        <v>6</v>
      </c>
      <c r="O91" t="s">
        <v>6553</v>
      </c>
      <c r="P91" t="s">
        <v>6552</v>
      </c>
      <c r="Q91" t="s">
        <v>6551</v>
      </c>
      <c r="R91" s="7">
        <v>30317</v>
      </c>
      <c r="S91" s="8">
        <f t="shared" si="8"/>
        <v>1983</v>
      </c>
      <c r="T91" s="8">
        <v>1983</v>
      </c>
      <c r="U91" s="8">
        <f t="shared" si="9"/>
        <v>39</v>
      </c>
      <c r="V91" s="7">
        <v>30348</v>
      </c>
      <c r="W91" t="s">
        <v>6550</v>
      </c>
      <c r="X91" s="2">
        <v>0.81799999999999995</v>
      </c>
      <c r="Y91" s="6">
        <f t="shared" si="14"/>
        <v>2.1836042817863912E-2</v>
      </c>
      <c r="AA91">
        <v>318655</v>
      </c>
      <c r="AB91">
        <v>27010</v>
      </c>
      <c r="AC91">
        <v>17511097</v>
      </c>
      <c r="AD91" t="s">
        <v>5</v>
      </c>
      <c r="AE91">
        <v>37</v>
      </c>
      <c r="AF91">
        <v>2</v>
      </c>
      <c r="AH91" t="s">
        <v>6549</v>
      </c>
      <c r="AI91" t="s">
        <v>6548</v>
      </c>
      <c r="AK91" t="s">
        <v>6547</v>
      </c>
      <c r="AL91">
        <v>21</v>
      </c>
      <c r="AM91" s="5">
        <f t="shared" si="10"/>
        <v>0.53846153846153844</v>
      </c>
      <c r="AN91" s="4">
        <f t="shared" si="15"/>
        <v>8.1554189846503363E-4</v>
      </c>
      <c r="AO91" s="3"/>
      <c r="AP91">
        <v>0</v>
      </c>
      <c r="AR91" t="s">
        <v>1</v>
      </c>
      <c r="AT91" s="2">
        <v>3.4209999999999998</v>
      </c>
      <c r="AU91" s="1">
        <f t="shared" si="11"/>
        <v>1.5529892542044248</v>
      </c>
      <c r="AV91" s="1">
        <f t="shared" si="12"/>
        <v>1.1325792358164473</v>
      </c>
      <c r="AW91" s="1">
        <f t="shared" si="13"/>
        <v>0.71216921742846973</v>
      </c>
    </row>
    <row r="92" spans="1:49" x14ac:dyDescent="0.2">
      <c r="A92">
        <v>90</v>
      </c>
      <c r="B92" t="s">
        <v>6546</v>
      </c>
      <c r="C92" t="s">
        <v>6545</v>
      </c>
      <c r="F92" t="s">
        <v>6544</v>
      </c>
      <c r="G92" t="s">
        <v>15</v>
      </c>
      <c r="H92" t="s">
        <v>14</v>
      </c>
      <c r="I92" t="s">
        <v>587</v>
      </c>
      <c r="J92">
        <v>60021208</v>
      </c>
      <c r="K92" t="s">
        <v>6543</v>
      </c>
      <c r="L92" t="s">
        <v>56</v>
      </c>
      <c r="M92" t="s">
        <v>55</v>
      </c>
      <c r="N92">
        <v>2</v>
      </c>
      <c r="O92" t="s">
        <v>586</v>
      </c>
      <c r="P92" t="s">
        <v>585</v>
      </c>
      <c r="Q92" t="s">
        <v>6542</v>
      </c>
      <c r="R92" s="7">
        <v>30317</v>
      </c>
      <c r="S92" s="8">
        <f t="shared" si="8"/>
        <v>1983</v>
      </c>
      <c r="T92" s="8">
        <v>1983</v>
      </c>
      <c r="U92" s="8">
        <f t="shared" si="9"/>
        <v>39</v>
      </c>
      <c r="V92" s="7">
        <v>1983</v>
      </c>
      <c r="W92" t="s">
        <v>227</v>
      </c>
      <c r="X92" s="2">
        <v>0.111</v>
      </c>
      <c r="Y92" s="6">
        <f t="shared" si="14"/>
        <v>2.9630816048690639E-3</v>
      </c>
      <c r="AA92">
        <v>87566621</v>
      </c>
      <c r="AB92">
        <v>24890</v>
      </c>
      <c r="AC92">
        <v>15206424</v>
      </c>
      <c r="AD92" t="s">
        <v>5</v>
      </c>
      <c r="AE92">
        <v>66</v>
      </c>
      <c r="AF92">
        <v>1</v>
      </c>
      <c r="AH92" t="s">
        <v>583</v>
      </c>
      <c r="AI92" t="s">
        <v>6541</v>
      </c>
      <c r="AK92" t="s">
        <v>6540</v>
      </c>
      <c r="AL92">
        <v>0</v>
      </c>
      <c r="AM92" s="5">
        <f t="shared" si="10"/>
        <v>0</v>
      </c>
      <c r="AN92" s="4">
        <f t="shared" si="15"/>
        <v>0</v>
      </c>
      <c r="AO92" s="3"/>
      <c r="AP92">
        <v>0</v>
      </c>
      <c r="AR92" t="s">
        <v>1</v>
      </c>
      <c r="AT92" s="2" t="s">
        <v>0</v>
      </c>
      <c r="AU92" s="1">
        <f t="shared" si="11"/>
        <v>0.20741571234083445</v>
      </c>
      <c r="AV92" s="1">
        <f t="shared" si="12"/>
        <v>0.1481540802434532</v>
      </c>
      <c r="AW92" s="1">
        <f t="shared" si="13"/>
        <v>8.8892448146071903E-2</v>
      </c>
    </row>
    <row r="93" spans="1:49" x14ac:dyDescent="0.2">
      <c r="A93">
        <v>91</v>
      </c>
      <c r="B93" t="s">
        <v>6539</v>
      </c>
      <c r="C93" t="s">
        <v>6538</v>
      </c>
      <c r="F93" t="s">
        <v>6537</v>
      </c>
      <c r="G93" t="s">
        <v>15</v>
      </c>
      <c r="H93" t="s">
        <v>14</v>
      </c>
      <c r="I93" t="s">
        <v>4265</v>
      </c>
      <c r="J93" t="s">
        <v>6536</v>
      </c>
      <c r="K93" t="s">
        <v>6535</v>
      </c>
      <c r="L93" t="s">
        <v>6534</v>
      </c>
      <c r="M93" t="s">
        <v>3243</v>
      </c>
      <c r="N93">
        <v>3</v>
      </c>
      <c r="O93" t="s">
        <v>6533</v>
      </c>
      <c r="P93" t="s">
        <v>601</v>
      </c>
      <c r="Q93" t="s">
        <v>6532</v>
      </c>
      <c r="R93" s="7">
        <v>30317</v>
      </c>
      <c r="S93" s="8">
        <f t="shared" si="8"/>
        <v>1983</v>
      </c>
      <c r="T93" s="8">
        <v>1983</v>
      </c>
      <c r="U93" s="8">
        <f t="shared" si="9"/>
        <v>39</v>
      </c>
      <c r="V93" s="7">
        <v>1983</v>
      </c>
      <c r="W93" t="s">
        <v>227</v>
      </c>
      <c r="X93" s="2">
        <v>0.111</v>
      </c>
      <c r="Y93" s="6">
        <f t="shared" si="14"/>
        <v>2.9630816048690639E-3</v>
      </c>
      <c r="AA93">
        <v>87566621</v>
      </c>
      <c r="AB93">
        <v>24890</v>
      </c>
      <c r="AC93">
        <v>15206424</v>
      </c>
      <c r="AD93" t="s">
        <v>5</v>
      </c>
      <c r="AE93">
        <v>66</v>
      </c>
      <c r="AF93">
        <v>1</v>
      </c>
      <c r="AH93" t="s">
        <v>600</v>
      </c>
      <c r="AI93" t="s">
        <v>6531</v>
      </c>
      <c r="AK93" t="s">
        <v>6530</v>
      </c>
      <c r="AL93">
        <v>0</v>
      </c>
      <c r="AM93" s="5">
        <f t="shared" si="10"/>
        <v>0</v>
      </c>
      <c r="AN93" s="4">
        <f t="shared" si="15"/>
        <v>0</v>
      </c>
      <c r="AO93" s="3"/>
      <c r="AP93">
        <v>0</v>
      </c>
      <c r="AR93" t="s">
        <v>1</v>
      </c>
      <c r="AT93" s="2" t="s">
        <v>0</v>
      </c>
      <c r="AU93" s="1">
        <f t="shared" si="11"/>
        <v>0.20741571234083445</v>
      </c>
      <c r="AV93" s="1">
        <f t="shared" si="12"/>
        <v>0.1481540802434532</v>
      </c>
      <c r="AW93" s="1">
        <f t="shared" si="13"/>
        <v>8.8892448146071903E-2</v>
      </c>
    </row>
    <row r="94" spans="1:49" x14ac:dyDescent="0.2">
      <c r="A94">
        <v>92</v>
      </c>
      <c r="B94" t="s">
        <v>6529</v>
      </c>
      <c r="C94" t="s">
        <v>6528</v>
      </c>
      <c r="F94" t="s">
        <v>6527</v>
      </c>
      <c r="G94" t="s">
        <v>15</v>
      </c>
      <c r="H94" t="s">
        <v>14</v>
      </c>
      <c r="I94" t="s">
        <v>6526</v>
      </c>
      <c r="J94">
        <v>60005460</v>
      </c>
      <c r="K94" t="s">
        <v>1245</v>
      </c>
      <c r="L94" t="s">
        <v>1244</v>
      </c>
      <c r="M94" t="s">
        <v>80</v>
      </c>
      <c r="N94">
        <v>1</v>
      </c>
      <c r="O94" t="s">
        <v>6525</v>
      </c>
      <c r="P94">
        <v>6602980158</v>
      </c>
      <c r="Q94">
        <v>60005460</v>
      </c>
      <c r="R94" s="7">
        <v>30317</v>
      </c>
      <c r="S94" s="8">
        <f t="shared" si="8"/>
        <v>1983</v>
      </c>
      <c r="T94" s="8">
        <v>1983</v>
      </c>
      <c r="U94" s="8">
        <f t="shared" si="9"/>
        <v>39</v>
      </c>
      <c r="V94" s="7">
        <v>30651</v>
      </c>
      <c r="W94" t="s">
        <v>6483</v>
      </c>
      <c r="X94" s="2">
        <v>0.69299999999999995</v>
      </c>
      <c r="Y94" s="6">
        <f t="shared" si="14"/>
        <v>1.8499239208777128E-2</v>
      </c>
      <c r="AA94">
        <v>3076962</v>
      </c>
      <c r="AB94">
        <v>21084</v>
      </c>
      <c r="AC94">
        <v>13653032</v>
      </c>
      <c r="AD94" t="s">
        <v>5</v>
      </c>
      <c r="AE94">
        <v>8</v>
      </c>
      <c r="AF94">
        <v>4</v>
      </c>
      <c r="AH94" t="s">
        <v>6524</v>
      </c>
      <c r="AI94" t="s">
        <v>6523</v>
      </c>
      <c r="AJ94" t="s">
        <v>6522</v>
      </c>
      <c r="AK94" t="s">
        <v>6521</v>
      </c>
      <c r="AL94">
        <v>32</v>
      </c>
      <c r="AM94" s="5">
        <f t="shared" si="10"/>
        <v>0.82051282051282048</v>
      </c>
      <c r="AN94" s="4">
        <f t="shared" si="15"/>
        <v>1.2427305119467179E-3</v>
      </c>
      <c r="AO94" s="3"/>
      <c r="AP94">
        <v>0</v>
      </c>
      <c r="AR94" t="s">
        <v>1</v>
      </c>
      <c r="AT94" s="2">
        <v>1.833</v>
      </c>
      <c r="AU94" s="1">
        <f t="shared" si="11"/>
        <v>1.3322286599728004</v>
      </c>
      <c r="AV94" s="1">
        <f t="shared" si="12"/>
        <v>0.98709848603619232</v>
      </c>
      <c r="AW94" s="1">
        <f t="shared" si="13"/>
        <v>0.64196831209958405</v>
      </c>
    </row>
    <row r="95" spans="1:49" x14ac:dyDescent="0.2">
      <c r="A95">
        <v>93</v>
      </c>
      <c r="B95" t="s">
        <v>6520</v>
      </c>
      <c r="C95" t="s">
        <v>6519</v>
      </c>
      <c r="F95" t="s">
        <v>6518</v>
      </c>
      <c r="G95" t="s">
        <v>15</v>
      </c>
      <c r="H95" t="s">
        <v>14</v>
      </c>
      <c r="I95" t="s">
        <v>6517</v>
      </c>
      <c r="J95">
        <v>60004354</v>
      </c>
      <c r="K95" t="s">
        <v>6516</v>
      </c>
      <c r="L95" t="s">
        <v>6515</v>
      </c>
      <c r="M95" t="s">
        <v>10</v>
      </c>
      <c r="N95">
        <v>2</v>
      </c>
      <c r="O95" t="s">
        <v>6514</v>
      </c>
      <c r="P95" t="s">
        <v>6513</v>
      </c>
      <c r="Q95" t="s">
        <v>6512</v>
      </c>
      <c r="R95" s="7">
        <v>30317</v>
      </c>
      <c r="S95" s="8">
        <f t="shared" ref="S95:S158" si="16">YEAR(R95)</f>
        <v>1983</v>
      </c>
      <c r="T95" s="8">
        <v>1983</v>
      </c>
      <c r="U95" s="8">
        <f t="shared" ref="U95:U158" si="17">2022-T95</f>
        <v>39</v>
      </c>
      <c r="V95" s="7">
        <v>30468</v>
      </c>
      <c r="W95" t="s">
        <v>6483</v>
      </c>
      <c r="X95" s="2">
        <v>0.69299999999999995</v>
      </c>
      <c r="Y95" s="6">
        <f t="shared" si="14"/>
        <v>1.8499239208777128E-2</v>
      </c>
      <c r="AA95">
        <v>3076962</v>
      </c>
      <c r="AB95">
        <v>21084</v>
      </c>
      <c r="AC95">
        <v>13653032</v>
      </c>
      <c r="AD95" t="s">
        <v>5</v>
      </c>
      <c r="AE95">
        <v>8</v>
      </c>
      <c r="AF95">
        <v>2</v>
      </c>
      <c r="AH95" t="s">
        <v>6511</v>
      </c>
      <c r="AI95" t="s">
        <v>6510</v>
      </c>
      <c r="AJ95" t="s">
        <v>6509</v>
      </c>
      <c r="AK95" t="s">
        <v>6508</v>
      </c>
      <c r="AL95">
        <v>37</v>
      </c>
      <c r="AM95" s="5">
        <f t="shared" ref="AM95:AM158" si="18">AL95/U95</f>
        <v>0.94871794871794868</v>
      </c>
      <c r="AN95" s="4">
        <f t="shared" si="15"/>
        <v>1.4369071544383925E-3</v>
      </c>
      <c r="AO95" s="3"/>
      <c r="AP95">
        <v>0</v>
      </c>
      <c r="AR95" t="s">
        <v>1</v>
      </c>
      <c r="AT95" s="2">
        <v>1.833</v>
      </c>
      <c r="AU95" s="1">
        <f t="shared" ref="AU95:AU158" si="19">(Y95*0.7+AN95*0.3)*100</f>
        <v>1.3380539592475507</v>
      </c>
      <c r="AV95" s="1">
        <f t="shared" ref="AV95:AV158" si="20">(Y95*0.5+AN95*0.5)*100</f>
        <v>0.99680731816077606</v>
      </c>
      <c r="AW95" s="1">
        <f t="shared" ref="AW95:AW158" si="21">(Y95*0.3+AN95*0.7)*100</f>
        <v>0.65556067707400134</v>
      </c>
    </row>
    <row r="96" spans="1:49" x14ac:dyDescent="0.2">
      <c r="A96">
        <v>94</v>
      </c>
      <c r="B96" t="s">
        <v>6507</v>
      </c>
      <c r="C96" t="s">
        <v>6506</v>
      </c>
      <c r="F96" t="s">
        <v>6505</v>
      </c>
      <c r="G96" t="s">
        <v>15</v>
      </c>
      <c r="H96" t="s">
        <v>14</v>
      </c>
      <c r="I96" t="s">
        <v>6504</v>
      </c>
      <c r="J96" t="s">
        <v>6503</v>
      </c>
      <c r="K96" t="s">
        <v>6502</v>
      </c>
      <c r="L96" t="s">
        <v>6501</v>
      </c>
      <c r="M96" t="s">
        <v>1647</v>
      </c>
      <c r="N96">
        <v>2</v>
      </c>
      <c r="O96" t="s">
        <v>6500</v>
      </c>
      <c r="P96" t="s">
        <v>6499</v>
      </c>
      <c r="Q96" t="s">
        <v>6498</v>
      </c>
      <c r="R96" s="7">
        <v>30317</v>
      </c>
      <c r="S96" s="8">
        <f t="shared" si="16"/>
        <v>1983</v>
      </c>
      <c r="T96" s="8">
        <v>1983</v>
      </c>
      <c r="U96" s="8">
        <f t="shared" si="17"/>
        <v>39</v>
      </c>
      <c r="V96" s="7" t="s">
        <v>6456</v>
      </c>
      <c r="W96" t="s">
        <v>6455</v>
      </c>
      <c r="X96" s="2">
        <v>0.33800000000000002</v>
      </c>
      <c r="Y96" s="6">
        <f t="shared" si="14"/>
        <v>9.0227169589706634E-3</v>
      </c>
      <c r="AA96">
        <v>7372884</v>
      </c>
      <c r="AB96">
        <v>70506</v>
      </c>
      <c r="AC96">
        <v>10991247</v>
      </c>
      <c r="AD96" t="s">
        <v>5</v>
      </c>
      <c r="AE96">
        <v>1</v>
      </c>
      <c r="AF96">
        <v>2</v>
      </c>
      <c r="AH96" t="s">
        <v>6497</v>
      </c>
      <c r="AI96" t="s">
        <v>6496</v>
      </c>
      <c r="AJ96" t="s">
        <v>6495</v>
      </c>
      <c r="AK96" t="s">
        <v>6494</v>
      </c>
      <c r="AL96">
        <v>5</v>
      </c>
      <c r="AM96" s="5">
        <f t="shared" si="18"/>
        <v>0.12820512820512819</v>
      </c>
      <c r="AN96" s="4">
        <f t="shared" si="15"/>
        <v>1.9417664249167467E-4</v>
      </c>
      <c r="AO96" s="3"/>
      <c r="AP96">
        <v>0</v>
      </c>
      <c r="AR96" t="s">
        <v>1</v>
      </c>
      <c r="AT96" s="2" t="s">
        <v>0</v>
      </c>
      <c r="AU96" s="1">
        <f t="shared" si="19"/>
        <v>0.63741548640269663</v>
      </c>
      <c r="AV96" s="1">
        <f t="shared" si="20"/>
        <v>0.46084468007311691</v>
      </c>
      <c r="AW96" s="1">
        <f t="shared" si="21"/>
        <v>0.28427387374353713</v>
      </c>
    </row>
    <row r="97" spans="1:49" x14ac:dyDescent="0.2">
      <c r="A97">
        <v>95</v>
      </c>
      <c r="B97" t="s">
        <v>6493</v>
      </c>
      <c r="C97" t="s">
        <v>6492</v>
      </c>
      <c r="F97" t="s">
        <v>6491</v>
      </c>
      <c r="G97" t="s">
        <v>15</v>
      </c>
      <c r="H97" t="s">
        <v>14</v>
      </c>
      <c r="I97" t="s">
        <v>6490</v>
      </c>
      <c r="J97">
        <v>60029170</v>
      </c>
      <c r="K97" t="s">
        <v>6489</v>
      </c>
      <c r="L97" t="s">
        <v>6488</v>
      </c>
      <c r="M97" t="s">
        <v>6487</v>
      </c>
      <c r="N97">
        <v>2</v>
      </c>
      <c r="O97" t="s">
        <v>6486</v>
      </c>
      <c r="P97" t="s">
        <v>6485</v>
      </c>
      <c r="Q97" t="s">
        <v>6484</v>
      </c>
      <c r="R97" s="7">
        <v>30317</v>
      </c>
      <c r="S97" s="8">
        <f t="shared" si="16"/>
        <v>1983</v>
      </c>
      <c r="T97" s="8">
        <v>1983</v>
      </c>
      <c r="U97" s="8">
        <f t="shared" si="17"/>
        <v>39</v>
      </c>
      <c r="V97" s="7">
        <v>30468</v>
      </c>
      <c r="W97" t="s">
        <v>6483</v>
      </c>
      <c r="X97" s="2">
        <v>0.69299999999999995</v>
      </c>
      <c r="Y97" s="6">
        <f t="shared" si="14"/>
        <v>1.8499239208777128E-2</v>
      </c>
      <c r="AA97">
        <v>3076962</v>
      </c>
      <c r="AB97">
        <v>21084</v>
      </c>
      <c r="AC97">
        <v>13653032</v>
      </c>
      <c r="AD97" t="s">
        <v>5</v>
      </c>
      <c r="AE97">
        <v>8</v>
      </c>
      <c r="AF97">
        <v>2</v>
      </c>
      <c r="AH97" t="s">
        <v>6482</v>
      </c>
      <c r="AI97" t="s">
        <v>6481</v>
      </c>
      <c r="AJ97" t="s">
        <v>6480</v>
      </c>
      <c r="AK97" t="s">
        <v>6479</v>
      </c>
      <c r="AL97">
        <v>24</v>
      </c>
      <c r="AM97" s="5">
        <f t="shared" si="18"/>
        <v>0.61538461538461542</v>
      </c>
      <c r="AN97" s="4">
        <f t="shared" si="15"/>
        <v>9.320478839600385E-4</v>
      </c>
      <c r="AO97" s="3"/>
      <c r="AP97">
        <v>0</v>
      </c>
      <c r="AR97" t="s">
        <v>1</v>
      </c>
      <c r="AT97" s="2">
        <v>1.833</v>
      </c>
      <c r="AU97" s="1">
        <f t="shared" si="19"/>
        <v>1.3229081811332</v>
      </c>
      <c r="AV97" s="1">
        <f t="shared" si="20"/>
        <v>0.97156435463685831</v>
      </c>
      <c r="AW97" s="1">
        <f t="shared" si="21"/>
        <v>0.62022052814051654</v>
      </c>
    </row>
    <row r="98" spans="1:49" x14ac:dyDescent="0.2">
      <c r="A98">
        <v>96</v>
      </c>
      <c r="B98" t="s">
        <v>6478</v>
      </c>
      <c r="C98" t="s">
        <v>6477</v>
      </c>
      <c r="F98" t="s">
        <v>6476</v>
      </c>
      <c r="G98" t="s">
        <v>15</v>
      </c>
      <c r="H98" t="s">
        <v>14</v>
      </c>
      <c r="I98" t="s">
        <v>6475</v>
      </c>
      <c r="J98">
        <v>100317062</v>
      </c>
      <c r="K98" t="s">
        <v>6474</v>
      </c>
      <c r="L98" t="s">
        <v>6473</v>
      </c>
      <c r="M98" t="s">
        <v>271</v>
      </c>
      <c r="N98">
        <v>2</v>
      </c>
      <c r="O98" t="s">
        <v>6472</v>
      </c>
      <c r="P98" t="s">
        <v>6471</v>
      </c>
      <c r="Q98" t="s">
        <v>6470</v>
      </c>
      <c r="R98" s="7">
        <v>30317</v>
      </c>
      <c r="S98" s="8">
        <f t="shared" si="16"/>
        <v>1983</v>
      </c>
      <c r="T98" s="8">
        <v>1983</v>
      </c>
      <c r="U98" s="8">
        <f t="shared" si="17"/>
        <v>39</v>
      </c>
      <c r="V98" s="7" t="s">
        <v>6456</v>
      </c>
      <c r="W98" t="s">
        <v>6455</v>
      </c>
      <c r="X98" s="2">
        <v>0.33800000000000002</v>
      </c>
      <c r="Y98" s="6">
        <f t="shared" si="14"/>
        <v>9.0227169589706634E-3</v>
      </c>
      <c r="AA98">
        <v>7372884</v>
      </c>
      <c r="AB98">
        <v>70506</v>
      </c>
      <c r="AC98">
        <v>10991247</v>
      </c>
      <c r="AD98" t="s">
        <v>5</v>
      </c>
      <c r="AE98">
        <v>1</v>
      </c>
      <c r="AF98">
        <v>2</v>
      </c>
      <c r="AH98" t="s">
        <v>6469</v>
      </c>
      <c r="AI98" t="s">
        <v>6468</v>
      </c>
      <c r="AJ98" t="s">
        <v>6467</v>
      </c>
      <c r="AK98" t="s">
        <v>6466</v>
      </c>
      <c r="AL98">
        <v>0</v>
      </c>
      <c r="AM98" s="5">
        <f t="shared" si="18"/>
        <v>0</v>
      </c>
      <c r="AN98" s="4">
        <f t="shared" si="15"/>
        <v>0</v>
      </c>
      <c r="AO98" s="3"/>
      <c r="AP98">
        <v>0</v>
      </c>
      <c r="AR98" t="s">
        <v>1</v>
      </c>
      <c r="AT98" s="2" t="s">
        <v>0</v>
      </c>
      <c r="AU98" s="1">
        <f t="shared" si="19"/>
        <v>0.63159018712794635</v>
      </c>
      <c r="AV98" s="1">
        <f t="shared" si="20"/>
        <v>0.45113584794853318</v>
      </c>
      <c r="AW98" s="1">
        <f t="shared" si="21"/>
        <v>0.27068150876911989</v>
      </c>
    </row>
    <row r="99" spans="1:49" x14ac:dyDescent="0.2">
      <c r="A99">
        <v>97</v>
      </c>
      <c r="B99" t="s">
        <v>6465</v>
      </c>
      <c r="C99" t="s">
        <v>6464</v>
      </c>
      <c r="F99" t="s">
        <v>6463</v>
      </c>
      <c r="G99" t="s">
        <v>15</v>
      </c>
      <c r="H99" t="s">
        <v>14</v>
      </c>
      <c r="I99" t="s">
        <v>6462</v>
      </c>
      <c r="J99">
        <v>60012070</v>
      </c>
      <c r="K99" t="s">
        <v>6461</v>
      </c>
      <c r="L99" t="s">
        <v>6460</v>
      </c>
      <c r="M99" t="s">
        <v>271</v>
      </c>
      <c r="N99">
        <v>2</v>
      </c>
      <c r="O99" t="s">
        <v>6459</v>
      </c>
      <c r="P99" t="s">
        <v>6458</v>
      </c>
      <c r="Q99" t="s">
        <v>6457</v>
      </c>
      <c r="R99" s="7">
        <v>30317</v>
      </c>
      <c r="S99" s="8">
        <f t="shared" si="16"/>
        <v>1983</v>
      </c>
      <c r="T99" s="8">
        <v>1983</v>
      </c>
      <c r="U99" s="8">
        <f t="shared" si="17"/>
        <v>39</v>
      </c>
      <c r="V99" s="7" t="s">
        <v>6456</v>
      </c>
      <c r="W99" t="s">
        <v>6455</v>
      </c>
      <c r="X99" s="2">
        <v>0.33800000000000002</v>
      </c>
      <c r="Y99" s="6">
        <f t="shared" si="14"/>
        <v>9.0227169589706634E-3</v>
      </c>
      <c r="AA99">
        <v>7372884</v>
      </c>
      <c r="AB99">
        <v>70506</v>
      </c>
      <c r="AC99">
        <v>10991247</v>
      </c>
      <c r="AD99" t="s">
        <v>5</v>
      </c>
      <c r="AE99">
        <v>1</v>
      </c>
      <c r="AF99">
        <v>2</v>
      </c>
      <c r="AH99" t="s">
        <v>6454</v>
      </c>
      <c r="AI99" t="s">
        <v>6453</v>
      </c>
      <c r="AJ99" t="s">
        <v>6452</v>
      </c>
      <c r="AK99" t="s">
        <v>6451</v>
      </c>
      <c r="AL99">
        <v>0</v>
      </c>
      <c r="AM99" s="5">
        <f t="shared" si="18"/>
        <v>0</v>
      </c>
      <c r="AN99" s="4">
        <f t="shared" si="15"/>
        <v>0</v>
      </c>
      <c r="AO99" s="3"/>
      <c r="AP99">
        <v>0</v>
      </c>
      <c r="AR99" t="s">
        <v>1</v>
      </c>
      <c r="AT99" s="2" t="s">
        <v>0</v>
      </c>
      <c r="AU99" s="1">
        <f t="shared" si="19"/>
        <v>0.63159018712794635</v>
      </c>
      <c r="AV99" s="1">
        <f t="shared" si="20"/>
        <v>0.45113584794853318</v>
      </c>
      <c r="AW99" s="1">
        <f t="shared" si="21"/>
        <v>0.27068150876911989</v>
      </c>
    </row>
    <row r="100" spans="1:49" x14ac:dyDescent="0.2">
      <c r="A100">
        <v>98</v>
      </c>
      <c r="B100" t="s">
        <v>6450</v>
      </c>
      <c r="C100" t="s">
        <v>6449</v>
      </c>
      <c r="F100" t="s">
        <v>6448</v>
      </c>
      <c r="G100" t="s">
        <v>15</v>
      </c>
      <c r="H100" t="s">
        <v>14</v>
      </c>
      <c r="I100" t="s">
        <v>6447</v>
      </c>
      <c r="J100">
        <v>60004572</v>
      </c>
      <c r="K100" t="s">
        <v>6446</v>
      </c>
      <c r="L100" t="s">
        <v>6445</v>
      </c>
      <c r="M100" t="s">
        <v>271</v>
      </c>
      <c r="N100">
        <v>1</v>
      </c>
      <c r="O100" t="s">
        <v>6444</v>
      </c>
      <c r="P100">
        <v>24285314800</v>
      </c>
      <c r="Q100">
        <v>60004572</v>
      </c>
      <c r="R100" s="7">
        <v>30317</v>
      </c>
      <c r="S100" s="8">
        <f t="shared" si="16"/>
        <v>1983</v>
      </c>
      <c r="T100" s="8">
        <v>1983</v>
      </c>
      <c r="U100" s="8">
        <f t="shared" si="17"/>
        <v>39</v>
      </c>
      <c r="V100" s="7">
        <v>30348</v>
      </c>
      <c r="W100" t="s">
        <v>6443</v>
      </c>
      <c r="X100" s="2">
        <v>0.5</v>
      </c>
      <c r="Y100" s="6">
        <f t="shared" si="14"/>
        <v>1.3347214436347135E-2</v>
      </c>
      <c r="AA100">
        <v>253154</v>
      </c>
      <c r="AB100">
        <v>12162</v>
      </c>
      <c r="AC100">
        <v>14697769</v>
      </c>
      <c r="AD100" t="s">
        <v>5</v>
      </c>
      <c r="AE100">
        <v>63</v>
      </c>
      <c r="AF100">
        <v>1</v>
      </c>
      <c r="AH100" t="s">
        <v>6442</v>
      </c>
      <c r="AI100" t="s">
        <v>6441</v>
      </c>
      <c r="AK100" t="s">
        <v>6440</v>
      </c>
      <c r="AL100">
        <v>13</v>
      </c>
      <c r="AM100" s="5">
        <f t="shared" si="18"/>
        <v>0.33333333333333331</v>
      </c>
      <c r="AN100" s="4">
        <f t="shared" si="15"/>
        <v>5.048592704783541E-4</v>
      </c>
      <c r="AO100" s="3"/>
      <c r="AP100">
        <v>0</v>
      </c>
      <c r="AR100" t="s">
        <v>1</v>
      </c>
      <c r="AT100" s="2" t="s">
        <v>0</v>
      </c>
      <c r="AU100" s="1">
        <f t="shared" si="19"/>
        <v>0.94945078865864996</v>
      </c>
      <c r="AV100" s="1">
        <f t="shared" si="20"/>
        <v>0.69260368534127448</v>
      </c>
      <c r="AW100" s="1">
        <f t="shared" si="21"/>
        <v>0.43575658202389878</v>
      </c>
    </row>
    <row r="101" spans="1:49" x14ac:dyDescent="0.2">
      <c r="A101">
        <v>99</v>
      </c>
      <c r="B101" t="s">
        <v>6439</v>
      </c>
      <c r="C101" t="s">
        <v>6438</v>
      </c>
      <c r="F101" t="s">
        <v>6437</v>
      </c>
      <c r="G101" t="s">
        <v>15</v>
      </c>
      <c r="H101" t="s">
        <v>14</v>
      </c>
      <c r="I101" t="s">
        <v>6436</v>
      </c>
      <c r="J101">
        <v>60102125</v>
      </c>
      <c r="K101" t="s">
        <v>6435</v>
      </c>
      <c r="L101" t="s">
        <v>6434</v>
      </c>
      <c r="M101" t="s">
        <v>431</v>
      </c>
      <c r="N101">
        <v>1</v>
      </c>
      <c r="O101" t="s">
        <v>6433</v>
      </c>
      <c r="P101">
        <v>57189197582</v>
      </c>
      <c r="Q101">
        <v>60102125</v>
      </c>
      <c r="R101" s="7">
        <v>30317</v>
      </c>
      <c r="S101" s="8">
        <f t="shared" si="16"/>
        <v>1983</v>
      </c>
      <c r="T101" s="8">
        <v>1983</v>
      </c>
      <c r="U101" s="8">
        <f t="shared" si="17"/>
        <v>39</v>
      </c>
      <c r="V101" s="7">
        <v>1983</v>
      </c>
      <c r="W101" t="s">
        <v>6432</v>
      </c>
      <c r="X101" s="2">
        <v>0.27800000000000002</v>
      </c>
      <c r="Y101" s="6">
        <f t="shared" si="14"/>
        <v>7.4210512266090073E-3</v>
      </c>
      <c r="AA101" t="s">
        <v>6431</v>
      </c>
      <c r="AB101">
        <v>21402</v>
      </c>
      <c r="AC101">
        <v>15685403</v>
      </c>
      <c r="AD101" t="s">
        <v>5</v>
      </c>
      <c r="AE101">
        <v>44</v>
      </c>
      <c r="AF101">
        <v>3</v>
      </c>
      <c r="AH101" t="s">
        <v>6430</v>
      </c>
      <c r="AI101" t="s">
        <v>6429</v>
      </c>
      <c r="AK101" t="s">
        <v>6428</v>
      </c>
      <c r="AL101">
        <v>24</v>
      </c>
      <c r="AM101" s="5">
        <f t="shared" si="18"/>
        <v>0.61538461538461542</v>
      </c>
      <c r="AN101" s="4">
        <f t="shared" si="15"/>
        <v>9.320478839600385E-4</v>
      </c>
      <c r="AO101" s="3"/>
      <c r="AP101">
        <v>0</v>
      </c>
      <c r="AR101" t="s">
        <v>1</v>
      </c>
      <c r="AT101" s="2">
        <v>0.52900000000000003</v>
      </c>
      <c r="AU101" s="1">
        <f t="shared" si="19"/>
        <v>0.5474350223814316</v>
      </c>
      <c r="AV101" s="1">
        <f t="shared" si="20"/>
        <v>0.41765495552845233</v>
      </c>
      <c r="AW101" s="1">
        <f t="shared" si="21"/>
        <v>0.2878748886754729</v>
      </c>
    </row>
    <row r="102" spans="1:49" x14ac:dyDescent="0.2">
      <c r="A102">
        <v>100</v>
      </c>
      <c r="B102" t="s">
        <v>6427</v>
      </c>
      <c r="C102" t="s">
        <v>6426</v>
      </c>
      <c r="F102" t="s">
        <v>6425</v>
      </c>
      <c r="G102" t="s">
        <v>15</v>
      </c>
      <c r="H102" t="s">
        <v>14</v>
      </c>
      <c r="I102" t="s">
        <v>6424</v>
      </c>
      <c r="J102">
        <v>116261927</v>
      </c>
      <c r="K102" t="s">
        <v>6423</v>
      </c>
      <c r="L102" t="s">
        <v>6422</v>
      </c>
      <c r="M102" t="s">
        <v>4275</v>
      </c>
      <c r="N102">
        <v>1</v>
      </c>
      <c r="O102" t="s">
        <v>6421</v>
      </c>
      <c r="P102">
        <v>16518460700</v>
      </c>
      <c r="Q102">
        <v>116261927</v>
      </c>
      <c r="R102" s="7">
        <v>30317</v>
      </c>
      <c r="S102" s="8">
        <f t="shared" si="16"/>
        <v>1983</v>
      </c>
      <c r="T102" s="8">
        <v>1983</v>
      </c>
      <c r="U102" s="8">
        <f t="shared" si="17"/>
        <v>39</v>
      </c>
      <c r="V102" s="7">
        <v>30317</v>
      </c>
      <c r="W102" t="s">
        <v>5991</v>
      </c>
      <c r="X102" s="2" t="s">
        <v>0</v>
      </c>
      <c r="Y102" s="6" t="e">
        <f t="shared" si="14"/>
        <v>#VALUE!</v>
      </c>
      <c r="AA102">
        <v>3734137</v>
      </c>
      <c r="AB102">
        <v>21100438727</v>
      </c>
      <c r="AD102" t="s">
        <v>5</v>
      </c>
      <c r="AE102">
        <v>50</v>
      </c>
      <c r="AF102" s="9">
        <v>44289</v>
      </c>
      <c r="AH102" t="s">
        <v>6420</v>
      </c>
      <c r="AI102" t="s">
        <v>6419</v>
      </c>
      <c r="AK102" t="s">
        <v>6418</v>
      </c>
      <c r="AL102">
        <v>1</v>
      </c>
      <c r="AM102" s="5">
        <f t="shared" si="18"/>
        <v>2.564102564102564E-2</v>
      </c>
      <c r="AN102" s="4">
        <f t="shared" si="15"/>
        <v>3.8835328498334935E-5</v>
      </c>
      <c r="AO102" s="3"/>
      <c r="AP102">
        <v>0</v>
      </c>
      <c r="AR102" t="s">
        <v>1</v>
      </c>
      <c r="AT102" s="2" t="s">
        <v>0</v>
      </c>
      <c r="AU102" s="1" t="e">
        <f t="shared" si="19"/>
        <v>#VALUE!</v>
      </c>
      <c r="AV102" s="1" t="e">
        <f t="shared" si="20"/>
        <v>#VALUE!</v>
      </c>
      <c r="AW102" s="1" t="e">
        <f t="shared" si="21"/>
        <v>#VALUE!</v>
      </c>
    </row>
    <row r="103" spans="1:49" x14ac:dyDescent="0.2">
      <c r="A103">
        <v>101</v>
      </c>
      <c r="B103" t="s">
        <v>6417</v>
      </c>
      <c r="C103" t="s">
        <v>6416</v>
      </c>
      <c r="F103" t="s">
        <v>6415</v>
      </c>
      <c r="G103" t="s">
        <v>15</v>
      </c>
      <c r="H103" t="s">
        <v>14</v>
      </c>
      <c r="I103" t="s">
        <v>3873</v>
      </c>
      <c r="J103">
        <v>60027550</v>
      </c>
      <c r="K103" t="s">
        <v>660</v>
      </c>
      <c r="L103" t="s">
        <v>659</v>
      </c>
      <c r="M103" t="s">
        <v>10</v>
      </c>
      <c r="N103">
        <v>2</v>
      </c>
      <c r="O103" t="s">
        <v>6414</v>
      </c>
      <c r="P103" t="s">
        <v>6413</v>
      </c>
      <c r="Q103" t="s">
        <v>696</v>
      </c>
      <c r="R103" s="7">
        <v>30317</v>
      </c>
      <c r="S103" s="8">
        <f t="shared" si="16"/>
        <v>1983</v>
      </c>
      <c r="T103" s="8">
        <v>1983</v>
      </c>
      <c r="U103" s="8">
        <f t="shared" si="17"/>
        <v>39</v>
      </c>
      <c r="V103" s="7">
        <v>1983</v>
      </c>
      <c r="W103" t="s">
        <v>5936</v>
      </c>
      <c r="X103" s="2">
        <v>0.22500000000000001</v>
      </c>
      <c r="Y103" s="6">
        <f t="shared" si="14"/>
        <v>6.0062464963562111E-3</v>
      </c>
      <c r="AA103">
        <v>2726343</v>
      </c>
      <c r="AB103">
        <v>16128</v>
      </c>
      <c r="AC103" t="s">
        <v>5935</v>
      </c>
      <c r="AD103" t="s">
        <v>5</v>
      </c>
      <c r="AE103">
        <v>3</v>
      </c>
      <c r="AF103" s="9">
        <v>44289</v>
      </c>
      <c r="AH103" t="s">
        <v>6412</v>
      </c>
      <c r="AI103" t="s">
        <v>6411</v>
      </c>
      <c r="AK103" t="s">
        <v>6410</v>
      </c>
      <c r="AL103">
        <v>1</v>
      </c>
      <c r="AM103" s="5">
        <f t="shared" si="18"/>
        <v>2.564102564102564E-2</v>
      </c>
      <c r="AN103" s="4">
        <f t="shared" si="15"/>
        <v>3.8835328498334935E-5</v>
      </c>
      <c r="AO103" s="3"/>
      <c r="AP103">
        <v>0</v>
      </c>
      <c r="AR103" t="s">
        <v>1</v>
      </c>
      <c r="AT103" s="2">
        <v>1.099</v>
      </c>
      <c r="AU103" s="1">
        <f t="shared" si="19"/>
        <v>0.42160231459988479</v>
      </c>
      <c r="AV103" s="1">
        <f t="shared" si="20"/>
        <v>0.30225409124272729</v>
      </c>
      <c r="AW103" s="1">
        <f t="shared" si="21"/>
        <v>0.18290586788556978</v>
      </c>
    </row>
    <row r="104" spans="1:49" x14ac:dyDescent="0.2">
      <c r="A104">
        <v>102</v>
      </c>
      <c r="B104" t="s">
        <v>6409</v>
      </c>
      <c r="C104" t="s">
        <v>6408</v>
      </c>
      <c r="F104" t="s">
        <v>6407</v>
      </c>
      <c r="G104" t="s">
        <v>15</v>
      </c>
      <c r="H104" t="s">
        <v>14</v>
      </c>
      <c r="I104" t="s">
        <v>919</v>
      </c>
      <c r="J104">
        <v>60021378</v>
      </c>
      <c r="K104" t="s">
        <v>1635</v>
      </c>
      <c r="L104" t="s">
        <v>1634</v>
      </c>
      <c r="M104" t="s">
        <v>10</v>
      </c>
      <c r="N104">
        <v>2</v>
      </c>
      <c r="O104" t="s">
        <v>918</v>
      </c>
      <c r="P104" t="s">
        <v>917</v>
      </c>
      <c r="Q104" t="s">
        <v>5170</v>
      </c>
      <c r="R104" s="7">
        <v>30317</v>
      </c>
      <c r="S104" s="8">
        <f t="shared" si="16"/>
        <v>1983</v>
      </c>
      <c r="T104" s="8">
        <v>1983</v>
      </c>
      <c r="U104" s="8">
        <f t="shared" si="17"/>
        <v>39</v>
      </c>
      <c r="V104" s="7">
        <v>30317</v>
      </c>
      <c r="W104" t="s">
        <v>618</v>
      </c>
      <c r="X104" s="2">
        <v>1.6519999999999999</v>
      </c>
      <c r="Y104" s="6">
        <f t="shared" si="14"/>
        <v>4.409919649769093E-2</v>
      </c>
      <c r="AA104" t="s">
        <v>617</v>
      </c>
      <c r="AB104">
        <v>17337</v>
      </c>
      <c r="AC104">
        <v>15582221</v>
      </c>
      <c r="AD104" t="s">
        <v>5</v>
      </c>
      <c r="AE104">
        <v>31</v>
      </c>
      <c r="AF104">
        <v>1</v>
      </c>
      <c r="AH104" t="s">
        <v>924</v>
      </c>
      <c r="AI104" t="s">
        <v>6406</v>
      </c>
      <c r="AK104" t="s">
        <v>6405</v>
      </c>
      <c r="AL104">
        <v>3</v>
      </c>
      <c r="AM104" s="5">
        <f t="shared" si="18"/>
        <v>7.6923076923076927E-2</v>
      </c>
      <c r="AN104" s="4">
        <f t="shared" si="15"/>
        <v>1.1650598549500481E-4</v>
      </c>
      <c r="AO104" s="3"/>
      <c r="AP104">
        <v>0</v>
      </c>
      <c r="AR104" t="s">
        <v>1</v>
      </c>
      <c r="AT104" s="2" t="s">
        <v>0</v>
      </c>
      <c r="AU104" s="1">
        <f t="shared" si="19"/>
        <v>3.090438934403215</v>
      </c>
      <c r="AV104" s="1">
        <f t="shared" si="20"/>
        <v>2.2107851241592971</v>
      </c>
      <c r="AW104" s="1">
        <f t="shared" si="21"/>
        <v>1.3311313139153782</v>
      </c>
    </row>
    <row r="105" spans="1:49" x14ac:dyDescent="0.2">
      <c r="A105">
        <v>103</v>
      </c>
      <c r="B105" t="s">
        <v>6404</v>
      </c>
      <c r="C105" t="s">
        <v>6403</v>
      </c>
      <c r="F105" t="s">
        <v>6402</v>
      </c>
      <c r="G105" t="s">
        <v>15</v>
      </c>
      <c r="H105" t="s">
        <v>14</v>
      </c>
      <c r="I105" t="s">
        <v>6401</v>
      </c>
      <c r="N105">
        <v>3</v>
      </c>
      <c r="O105" t="s">
        <v>6400</v>
      </c>
      <c r="P105" t="s">
        <v>6399</v>
      </c>
      <c r="Q105" t="s">
        <v>510</v>
      </c>
      <c r="R105" s="7">
        <v>30317</v>
      </c>
      <c r="S105" s="8">
        <f t="shared" si="16"/>
        <v>1983</v>
      </c>
      <c r="T105" s="8">
        <v>1983</v>
      </c>
      <c r="U105" s="8">
        <f t="shared" si="17"/>
        <v>39</v>
      </c>
      <c r="V105" s="7">
        <v>30317</v>
      </c>
      <c r="W105" t="s">
        <v>5925</v>
      </c>
      <c r="X105" s="2">
        <v>2.0070000000000001</v>
      </c>
      <c r="Y105" s="6">
        <f t="shared" si="14"/>
        <v>5.3575718747497406E-2</v>
      </c>
      <c r="AA105">
        <v>948276</v>
      </c>
      <c r="AB105">
        <v>27962</v>
      </c>
      <c r="AC105">
        <v>19448007</v>
      </c>
      <c r="AD105" t="s">
        <v>5</v>
      </c>
      <c r="AE105">
        <v>10</v>
      </c>
      <c r="AF105">
        <v>1</v>
      </c>
      <c r="AH105" s="9">
        <v>44413</v>
      </c>
      <c r="AI105" t="s">
        <v>6398</v>
      </c>
      <c r="AK105" t="s">
        <v>6397</v>
      </c>
      <c r="AL105">
        <v>68</v>
      </c>
      <c r="AM105" s="5">
        <f t="shared" si="18"/>
        <v>1.7435897435897436</v>
      </c>
      <c r="AN105" s="4">
        <f t="shared" si="15"/>
        <v>2.6408023378867757E-3</v>
      </c>
      <c r="AO105" s="3"/>
      <c r="AP105">
        <v>0</v>
      </c>
      <c r="AR105" t="s">
        <v>1</v>
      </c>
      <c r="AT105" s="2">
        <v>4.72</v>
      </c>
      <c r="AU105" s="1">
        <f t="shared" si="19"/>
        <v>3.8295243824614218</v>
      </c>
      <c r="AV105" s="1">
        <f t="shared" si="20"/>
        <v>2.8108260542692092</v>
      </c>
      <c r="AW105" s="1">
        <f t="shared" si="21"/>
        <v>1.7921277260769963</v>
      </c>
    </row>
    <row r="106" spans="1:49" x14ac:dyDescent="0.2">
      <c r="A106">
        <v>104</v>
      </c>
      <c r="B106" t="s">
        <v>6396</v>
      </c>
      <c r="C106" t="s">
        <v>6395</v>
      </c>
      <c r="F106" t="s">
        <v>6394</v>
      </c>
      <c r="G106" t="s">
        <v>15</v>
      </c>
      <c r="H106" t="s">
        <v>14</v>
      </c>
      <c r="I106" t="s">
        <v>6393</v>
      </c>
      <c r="J106">
        <v>60010571</v>
      </c>
      <c r="K106" t="s">
        <v>2101</v>
      </c>
      <c r="L106" t="s">
        <v>2100</v>
      </c>
      <c r="M106" t="s">
        <v>821</v>
      </c>
      <c r="N106">
        <v>2</v>
      </c>
      <c r="O106" t="s">
        <v>6392</v>
      </c>
      <c r="P106" t="s">
        <v>5509</v>
      </c>
      <c r="Q106" t="s">
        <v>2097</v>
      </c>
      <c r="R106" s="7">
        <v>30317</v>
      </c>
      <c r="S106" s="8">
        <f t="shared" si="16"/>
        <v>1983</v>
      </c>
      <c r="T106" s="8">
        <v>1983</v>
      </c>
      <c r="U106" s="8">
        <f t="shared" si="17"/>
        <v>39</v>
      </c>
      <c r="V106" s="7">
        <v>30651</v>
      </c>
      <c r="W106" t="s">
        <v>2613</v>
      </c>
      <c r="X106" s="2">
        <v>1.6379999999999999</v>
      </c>
      <c r="Y106" s="6">
        <f t="shared" si="14"/>
        <v>4.3725474493473214E-2</v>
      </c>
      <c r="AA106">
        <v>963518</v>
      </c>
      <c r="AB106">
        <v>31560</v>
      </c>
      <c r="AD106" t="s">
        <v>5</v>
      </c>
      <c r="AE106">
        <v>31</v>
      </c>
      <c r="AF106">
        <v>6</v>
      </c>
      <c r="AH106" t="s">
        <v>5507</v>
      </c>
      <c r="AI106" t="s">
        <v>6391</v>
      </c>
      <c r="AK106" t="s">
        <v>6390</v>
      </c>
      <c r="AL106">
        <v>17</v>
      </c>
      <c r="AM106" s="5">
        <f t="shared" si="18"/>
        <v>0.4358974358974359</v>
      </c>
      <c r="AN106" s="4">
        <f t="shared" si="15"/>
        <v>6.6020058447169392E-4</v>
      </c>
      <c r="AO106" s="3"/>
      <c r="AP106">
        <v>0</v>
      </c>
      <c r="AR106" t="s">
        <v>1</v>
      </c>
      <c r="AT106" s="2" t="s">
        <v>0</v>
      </c>
      <c r="AU106" s="1">
        <f t="shared" si="19"/>
        <v>3.0805892320772759</v>
      </c>
      <c r="AV106" s="1">
        <f t="shared" si="20"/>
        <v>2.2192837538972454</v>
      </c>
      <c r="AW106" s="1">
        <f t="shared" si="21"/>
        <v>1.357978275717215</v>
      </c>
    </row>
    <row r="107" spans="1:49" x14ac:dyDescent="0.2">
      <c r="A107">
        <v>105</v>
      </c>
      <c r="B107" t="s">
        <v>6389</v>
      </c>
      <c r="C107" t="s">
        <v>6388</v>
      </c>
      <c r="F107" t="s">
        <v>6387</v>
      </c>
      <c r="G107" t="s">
        <v>15</v>
      </c>
      <c r="H107" t="s">
        <v>14</v>
      </c>
      <c r="I107" t="s">
        <v>3873</v>
      </c>
      <c r="J107" t="s">
        <v>6386</v>
      </c>
      <c r="K107" t="s">
        <v>6385</v>
      </c>
      <c r="L107" t="s">
        <v>6384</v>
      </c>
      <c r="M107" t="s">
        <v>6383</v>
      </c>
      <c r="N107">
        <v>3</v>
      </c>
      <c r="O107" t="s">
        <v>6382</v>
      </c>
      <c r="P107" t="s">
        <v>6381</v>
      </c>
      <c r="Q107" t="s">
        <v>6380</v>
      </c>
      <c r="R107" s="7">
        <v>30317</v>
      </c>
      <c r="S107" s="8">
        <f t="shared" si="16"/>
        <v>1983</v>
      </c>
      <c r="T107" s="8">
        <v>1983</v>
      </c>
      <c r="U107" s="8">
        <f t="shared" si="17"/>
        <v>39</v>
      </c>
      <c r="V107" s="7">
        <v>1983</v>
      </c>
      <c r="W107" t="s">
        <v>5936</v>
      </c>
      <c r="X107" s="2">
        <v>0.22500000000000001</v>
      </c>
      <c r="Y107" s="6">
        <f t="shared" si="14"/>
        <v>6.0062464963562111E-3</v>
      </c>
      <c r="AA107">
        <v>2726343</v>
      </c>
      <c r="AB107">
        <v>16128</v>
      </c>
      <c r="AC107" t="s">
        <v>5935</v>
      </c>
      <c r="AD107" t="s">
        <v>5</v>
      </c>
      <c r="AE107">
        <v>3</v>
      </c>
      <c r="AF107" s="9">
        <v>44289</v>
      </c>
      <c r="AH107" t="s">
        <v>6379</v>
      </c>
      <c r="AI107" t="s">
        <v>6378</v>
      </c>
      <c r="AK107" t="s">
        <v>6377</v>
      </c>
      <c r="AL107">
        <v>5</v>
      </c>
      <c r="AM107" s="5">
        <f t="shared" si="18"/>
        <v>0.12820512820512819</v>
      </c>
      <c r="AN107" s="4">
        <f t="shared" si="15"/>
        <v>1.9417664249167467E-4</v>
      </c>
      <c r="AO107" s="3"/>
      <c r="AP107">
        <v>0</v>
      </c>
      <c r="AR107" t="s">
        <v>1</v>
      </c>
      <c r="AT107" s="2">
        <v>1.099</v>
      </c>
      <c r="AU107" s="1">
        <f t="shared" si="19"/>
        <v>0.42626255401968499</v>
      </c>
      <c r="AV107" s="1">
        <f t="shared" si="20"/>
        <v>0.31002115694239429</v>
      </c>
      <c r="AW107" s="1">
        <f t="shared" si="21"/>
        <v>0.19377975986510357</v>
      </c>
    </row>
    <row r="108" spans="1:49" x14ac:dyDescent="0.2">
      <c r="A108">
        <v>106</v>
      </c>
      <c r="B108" t="s">
        <v>6376</v>
      </c>
      <c r="C108" t="s">
        <v>6375</v>
      </c>
      <c r="F108" t="s">
        <v>6374</v>
      </c>
      <c r="G108" t="s">
        <v>15</v>
      </c>
      <c r="H108" t="s">
        <v>14</v>
      </c>
      <c r="I108" t="s">
        <v>6373</v>
      </c>
      <c r="J108">
        <v>60022195</v>
      </c>
      <c r="K108" t="s">
        <v>1607</v>
      </c>
      <c r="L108" t="s">
        <v>446</v>
      </c>
      <c r="M108" t="s">
        <v>10</v>
      </c>
      <c r="N108">
        <v>2</v>
      </c>
      <c r="O108" t="s">
        <v>6372</v>
      </c>
      <c r="P108" t="s">
        <v>6371</v>
      </c>
      <c r="Q108" t="s">
        <v>6370</v>
      </c>
      <c r="R108" s="7">
        <v>30317</v>
      </c>
      <c r="S108" s="8">
        <f t="shared" si="16"/>
        <v>1983</v>
      </c>
      <c r="T108" s="8">
        <v>1983</v>
      </c>
      <c r="U108" s="8">
        <f t="shared" si="17"/>
        <v>39</v>
      </c>
      <c r="V108" s="7">
        <v>1983</v>
      </c>
      <c r="W108" t="s">
        <v>5936</v>
      </c>
      <c r="X108" s="2">
        <v>0.22500000000000001</v>
      </c>
      <c r="Y108" s="6">
        <f t="shared" si="14"/>
        <v>6.0062464963562111E-3</v>
      </c>
      <c r="AA108">
        <v>2726343</v>
      </c>
      <c r="AB108">
        <v>16128</v>
      </c>
      <c r="AC108" t="s">
        <v>5935</v>
      </c>
      <c r="AD108" t="s">
        <v>5</v>
      </c>
      <c r="AE108">
        <v>3</v>
      </c>
      <c r="AF108" s="9">
        <v>44289</v>
      </c>
      <c r="AH108" t="s">
        <v>6369</v>
      </c>
      <c r="AI108" t="s">
        <v>6368</v>
      </c>
      <c r="AK108" t="s">
        <v>6367</v>
      </c>
      <c r="AL108">
        <v>2</v>
      </c>
      <c r="AM108" s="5">
        <f t="shared" si="18"/>
        <v>5.128205128205128E-2</v>
      </c>
      <c r="AN108" s="4">
        <f t="shared" si="15"/>
        <v>7.767065699666987E-5</v>
      </c>
      <c r="AO108" s="3"/>
      <c r="AP108">
        <v>0</v>
      </c>
      <c r="AQ108" t="s">
        <v>6237</v>
      </c>
      <c r="AR108" t="s">
        <v>6366</v>
      </c>
      <c r="AS108" t="s">
        <v>6236</v>
      </c>
      <c r="AT108" s="2">
        <v>1.099</v>
      </c>
      <c r="AU108" s="1">
        <f t="shared" si="19"/>
        <v>0.42276737445483487</v>
      </c>
      <c r="AV108" s="1">
        <f t="shared" si="20"/>
        <v>0.30419585766764407</v>
      </c>
      <c r="AW108" s="1">
        <f t="shared" si="21"/>
        <v>0.18562434088045321</v>
      </c>
    </row>
    <row r="109" spans="1:49" x14ac:dyDescent="0.2">
      <c r="A109">
        <v>107</v>
      </c>
      <c r="B109" t="s">
        <v>6365</v>
      </c>
      <c r="C109" t="s">
        <v>6364</v>
      </c>
      <c r="F109" t="s">
        <v>5895</v>
      </c>
      <c r="G109" t="s">
        <v>15</v>
      </c>
      <c r="H109" t="s">
        <v>14</v>
      </c>
      <c r="I109" t="s">
        <v>5894</v>
      </c>
      <c r="J109">
        <v>60024541</v>
      </c>
      <c r="K109" t="s">
        <v>5893</v>
      </c>
      <c r="L109" t="s">
        <v>3126</v>
      </c>
      <c r="M109" t="s">
        <v>10</v>
      </c>
      <c r="N109">
        <v>1</v>
      </c>
      <c r="O109" t="s">
        <v>6363</v>
      </c>
      <c r="P109">
        <v>7003477324</v>
      </c>
      <c r="Q109">
        <v>60024541</v>
      </c>
      <c r="R109" s="7">
        <v>30317</v>
      </c>
      <c r="S109" s="8">
        <f t="shared" si="16"/>
        <v>1983</v>
      </c>
      <c r="T109" s="8">
        <v>1983</v>
      </c>
      <c r="U109" s="8">
        <f t="shared" si="17"/>
        <v>39</v>
      </c>
      <c r="V109" s="7">
        <v>1983</v>
      </c>
      <c r="W109" t="s">
        <v>6362</v>
      </c>
      <c r="X109" s="2">
        <v>0.94099999999999995</v>
      </c>
      <c r="Y109" s="6">
        <f t="shared" si="14"/>
        <v>2.5119457569205306E-2</v>
      </c>
      <c r="AA109">
        <v>10152008</v>
      </c>
      <c r="AB109">
        <v>21342</v>
      </c>
      <c r="AC109">
        <v>14230291</v>
      </c>
      <c r="AD109" t="s">
        <v>5</v>
      </c>
      <c r="AE109">
        <v>51</v>
      </c>
      <c r="AF109">
        <v>6</v>
      </c>
      <c r="AH109" t="s">
        <v>5890</v>
      </c>
      <c r="AI109" t="s">
        <v>6361</v>
      </c>
      <c r="AJ109" t="s">
        <v>6360</v>
      </c>
      <c r="AK109" t="s">
        <v>6359</v>
      </c>
      <c r="AL109">
        <v>0</v>
      </c>
      <c r="AM109" s="5">
        <f t="shared" si="18"/>
        <v>0</v>
      </c>
      <c r="AN109" s="4">
        <f t="shared" si="15"/>
        <v>0</v>
      </c>
      <c r="AO109" s="3"/>
      <c r="AP109">
        <v>0</v>
      </c>
      <c r="AR109" t="s">
        <v>1</v>
      </c>
      <c r="AT109" s="2">
        <v>4.3419999999999996</v>
      </c>
      <c r="AU109" s="1">
        <f t="shared" si="19"/>
        <v>1.7583620298443712</v>
      </c>
      <c r="AV109" s="1">
        <f t="shared" si="20"/>
        <v>1.2559728784602653</v>
      </c>
      <c r="AW109" s="1">
        <f t="shared" si="21"/>
        <v>0.75358372707615917</v>
      </c>
    </row>
    <row r="110" spans="1:49" x14ac:dyDescent="0.2">
      <c r="A110">
        <v>108</v>
      </c>
      <c r="B110" t="s">
        <v>6358</v>
      </c>
      <c r="C110" t="s">
        <v>6357</v>
      </c>
      <c r="F110" t="s">
        <v>6356</v>
      </c>
      <c r="G110" t="s">
        <v>15</v>
      </c>
      <c r="H110" t="s">
        <v>14</v>
      </c>
      <c r="I110" t="s">
        <v>6355</v>
      </c>
      <c r="J110" t="s">
        <v>6354</v>
      </c>
      <c r="K110" t="s">
        <v>6353</v>
      </c>
      <c r="L110" t="s">
        <v>6352</v>
      </c>
      <c r="M110" t="s">
        <v>6351</v>
      </c>
      <c r="N110">
        <v>2</v>
      </c>
      <c r="O110" t="s">
        <v>6350</v>
      </c>
      <c r="P110" t="s">
        <v>6349</v>
      </c>
      <c r="Q110" t="s">
        <v>6348</v>
      </c>
      <c r="R110" s="7">
        <v>30317</v>
      </c>
      <c r="S110" s="8">
        <f t="shared" si="16"/>
        <v>1983</v>
      </c>
      <c r="T110" s="8">
        <v>1983</v>
      </c>
      <c r="U110" s="8">
        <f t="shared" si="17"/>
        <v>39</v>
      </c>
      <c r="V110" s="7">
        <v>30376</v>
      </c>
      <c r="W110" t="s">
        <v>618</v>
      </c>
      <c r="X110" s="2">
        <v>1.6519999999999999</v>
      </c>
      <c r="Y110" s="6">
        <f t="shared" si="14"/>
        <v>4.409919649769093E-2</v>
      </c>
      <c r="AA110" t="s">
        <v>617</v>
      </c>
      <c r="AB110">
        <v>17337</v>
      </c>
      <c r="AC110">
        <v>15582221</v>
      </c>
      <c r="AD110" t="s">
        <v>5</v>
      </c>
      <c r="AE110">
        <v>31</v>
      </c>
      <c r="AF110">
        <v>2</v>
      </c>
      <c r="AH110" t="s">
        <v>6347</v>
      </c>
      <c r="AI110" t="s">
        <v>6346</v>
      </c>
      <c r="AK110" t="s">
        <v>6345</v>
      </c>
      <c r="AL110">
        <v>1</v>
      </c>
      <c r="AM110" s="5">
        <f t="shared" si="18"/>
        <v>2.564102564102564E-2</v>
      </c>
      <c r="AN110" s="4">
        <f t="shared" si="15"/>
        <v>3.8835328498334935E-5</v>
      </c>
      <c r="AO110" s="3"/>
      <c r="AP110">
        <v>0</v>
      </c>
      <c r="AR110" t="s">
        <v>1</v>
      </c>
      <c r="AT110" s="2" t="s">
        <v>0</v>
      </c>
      <c r="AU110" s="1">
        <f t="shared" si="19"/>
        <v>3.0881088146933151</v>
      </c>
      <c r="AV110" s="1">
        <f t="shared" si="20"/>
        <v>2.2069015913094634</v>
      </c>
      <c r="AW110" s="1">
        <f t="shared" si="21"/>
        <v>1.3256943679256112</v>
      </c>
    </row>
    <row r="111" spans="1:49" x14ac:dyDescent="0.2">
      <c r="A111">
        <v>109</v>
      </c>
      <c r="B111" t="s">
        <v>6344</v>
      </c>
      <c r="C111" t="s">
        <v>6343</v>
      </c>
      <c r="F111" t="s">
        <v>6342</v>
      </c>
      <c r="G111" t="s">
        <v>15</v>
      </c>
      <c r="H111" t="s">
        <v>14</v>
      </c>
      <c r="I111" t="s">
        <v>6325</v>
      </c>
      <c r="J111">
        <v>60020818</v>
      </c>
      <c r="K111" t="s">
        <v>3088</v>
      </c>
      <c r="L111" t="s">
        <v>3087</v>
      </c>
      <c r="M111" t="s">
        <v>10</v>
      </c>
      <c r="N111">
        <v>1</v>
      </c>
      <c r="O111" t="s">
        <v>6324</v>
      </c>
      <c r="P111">
        <v>57189501138</v>
      </c>
      <c r="Q111">
        <v>60020818</v>
      </c>
      <c r="R111" s="7">
        <v>30317</v>
      </c>
      <c r="S111" s="8">
        <f t="shared" si="16"/>
        <v>1983</v>
      </c>
      <c r="T111" s="8">
        <v>1983</v>
      </c>
      <c r="U111" s="8">
        <f t="shared" si="17"/>
        <v>39</v>
      </c>
      <c r="V111" s="7">
        <v>30651</v>
      </c>
      <c r="W111" s="11" t="s">
        <v>6323</v>
      </c>
      <c r="X111" s="2">
        <v>1.3280000000000001</v>
      </c>
      <c r="Y111" s="6">
        <f t="shared" si="14"/>
        <v>3.5450201542937994E-2</v>
      </c>
      <c r="AA111">
        <v>21680329</v>
      </c>
      <c r="AB111">
        <v>21100399421</v>
      </c>
      <c r="AD111" t="s">
        <v>5</v>
      </c>
      <c r="AE111">
        <v>25</v>
      </c>
      <c r="AF111">
        <v>6</v>
      </c>
      <c r="AH111" t="s">
        <v>6341</v>
      </c>
      <c r="AL111">
        <v>0</v>
      </c>
      <c r="AM111" s="5">
        <f t="shared" si="18"/>
        <v>0</v>
      </c>
      <c r="AN111" s="4">
        <f t="shared" si="15"/>
        <v>0</v>
      </c>
      <c r="AO111" s="3"/>
      <c r="AP111">
        <v>0</v>
      </c>
      <c r="AR111" t="s">
        <v>1</v>
      </c>
      <c r="AT111" s="2" t="s">
        <v>0</v>
      </c>
      <c r="AU111" s="1">
        <f t="shared" si="19"/>
        <v>2.4815141080056597</v>
      </c>
      <c r="AV111" s="1">
        <f t="shared" si="20"/>
        <v>1.7725100771468998</v>
      </c>
      <c r="AW111" s="1">
        <f t="shared" si="21"/>
        <v>1.0635060462881398</v>
      </c>
    </row>
    <row r="112" spans="1:49" x14ac:dyDescent="0.2">
      <c r="A112">
        <v>110</v>
      </c>
      <c r="B112" t="s">
        <v>6340</v>
      </c>
      <c r="C112" t="s">
        <v>6339</v>
      </c>
      <c r="F112" t="s">
        <v>6338</v>
      </c>
      <c r="G112" t="s">
        <v>15</v>
      </c>
      <c r="H112" t="s">
        <v>14</v>
      </c>
      <c r="I112" t="s">
        <v>6337</v>
      </c>
      <c r="J112">
        <v>60011897</v>
      </c>
      <c r="K112" t="s">
        <v>6336</v>
      </c>
      <c r="L112" t="s">
        <v>6335</v>
      </c>
      <c r="M112" t="s">
        <v>271</v>
      </c>
      <c r="N112">
        <v>1</v>
      </c>
      <c r="O112" t="s">
        <v>6334</v>
      </c>
      <c r="P112">
        <v>7006888309</v>
      </c>
      <c r="Q112">
        <v>60011897</v>
      </c>
      <c r="R112" s="7">
        <v>30317</v>
      </c>
      <c r="S112" s="8">
        <f t="shared" si="16"/>
        <v>1983</v>
      </c>
      <c r="T112" s="8">
        <v>1983</v>
      </c>
      <c r="U112" s="8">
        <f t="shared" si="17"/>
        <v>39</v>
      </c>
      <c r="V112" s="7">
        <v>30651</v>
      </c>
      <c r="W112" s="11" t="s">
        <v>6323</v>
      </c>
      <c r="X112" s="2">
        <v>1.3280000000000001</v>
      </c>
      <c r="Y112" s="6">
        <f t="shared" si="14"/>
        <v>3.5450201542937994E-2</v>
      </c>
      <c r="AA112">
        <v>21680329</v>
      </c>
      <c r="AB112">
        <v>21100399421</v>
      </c>
      <c r="AD112" t="s">
        <v>5</v>
      </c>
      <c r="AE112">
        <v>25</v>
      </c>
      <c r="AF112">
        <v>6</v>
      </c>
      <c r="AH112" s="9">
        <v>44534</v>
      </c>
      <c r="AL112">
        <v>2</v>
      </c>
      <c r="AM112" s="5">
        <f t="shared" si="18"/>
        <v>5.128205128205128E-2</v>
      </c>
      <c r="AN112" s="4">
        <f t="shared" si="15"/>
        <v>7.767065699666987E-5</v>
      </c>
      <c r="AO112" s="3"/>
      <c r="AP112">
        <v>0</v>
      </c>
      <c r="AR112" t="s">
        <v>1</v>
      </c>
      <c r="AT112" s="2" t="s">
        <v>0</v>
      </c>
      <c r="AU112" s="1">
        <f t="shared" si="19"/>
        <v>2.4838442277155597</v>
      </c>
      <c r="AV112" s="1">
        <f t="shared" si="20"/>
        <v>1.776393609996733</v>
      </c>
      <c r="AW112" s="1">
        <f t="shared" si="21"/>
        <v>1.0689429922779068</v>
      </c>
    </row>
    <row r="113" spans="1:49" x14ac:dyDescent="0.2">
      <c r="A113">
        <v>111</v>
      </c>
      <c r="B113" t="s">
        <v>6333</v>
      </c>
      <c r="C113" t="s">
        <v>6332</v>
      </c>
      <c r="F113" t="s">
        <v>6331</v>
      </c>
      <c r="G113" t="s">
        <v>15</v>
      </c>
      <c r="H113" t="s">
        <v>14</v>
      </c>
      <c r="I113" t="s">
        <v>6330</v>
      </c>
      <c r="J113">
        <v>60027271</v>
      </c>
      <c r="K113" t="s">
        <v>979</v>
      </c>
      <c r="L113" t="s">
        <v>978</v>
      </c>
      <c r="M113" t="s">
        <v>10</v>
      </c>
      <c r="N113">
        <v>1</v>
      </c>
      <c r="O113" t="s">
        <v>6329</v>
      </c>
      <c r="P113">
        <v>7005575773</v>
      </c>
      <c r="Q113">
        <v>60027271</v>
      </c>
      <c r="R113" s="7">
        <v>30317</v>
      </c>
      <c r="S113" s="8">
        <f t="shared" si="16"/>
        <v>1983</v>
      </c>
      <c r="T113" s="8">
        <v>1983</v>
      </c>
      <c r="U113" s="8">
        <f t="shared" si="17"/>
        <v>39</v>
      </c>
      <c r="V113" s="7">
        <v>30590</v>
      </c>
      <c r="W113" s="11" t="s">
        <v>6323</v>
      </c>
      <c r="X113" s="2">
        <v>1.3280000000000001</v>
      </c>
      <c r="Y113" s="6">
        <f t="shared" si="14"/>
        <v>3.5450201542937994E-2</v>
      </c>
      <c r="AA113">
        <v>21680329</v>
      </c>
      <c r="AB113">
        <v>21100399421</v>
      </c>
      <c r="AD113" t="s">
        <v>5</v>
      </c>
      <c r="AE113">
        <v>25</v>
      </c>
      <c r="AF113">
        <v>5</v>
      </c>
      <c r="AH113" s="9">
        <v>44504</v>
      </c>
      <c r="AL113">
        <v>3</v>
      </c>
      <c r="AM113" s="5">
        <f t="shared" si="18"/>
        <v>7.6923076923076927E-2</v>
      </c>
      <c r="AN113" s="4">
        <f t="shared" si="15"/>
        <v>1.1650598549500481E-4</v>
      </c>
      <c r="AO113" s="3"/>
      <c r="AP113">
        <v>0</v>
      </c>
      <c r="AR113" t="s">
        <v>1</v>
      </c>
      <c r="AT113" s="2" t="s">
        <v>0</v>
      </c>
      <c r="AU113" s="1">
        <f t="shared" si="19"/>
        <v>2.4850092875705094</v>
      </c>
      <c r="AV113" s="1">
        <f t="shared" si="20"/>
        <v>1.7783353764216501</v>
      </c>
      <c r="AW113" s="1">
        <f t="shared" si="21"/>
        <v>1.0716614652727903</v>
      </c>
    </row>
    <row r="114" spans="1:49" x14ac:dyDescent="0.2">
      <c r="A114">
        <v>112</v>
      </c>
      <c r="B114" t="s">
        <v>6328</v>
      </c>
      <c r="C114" t="s">
        <v>6327</v>
      </c>
      <c r="F114" t="s">
        <v>6326</v>
      </c>
      <c r="G114" t="s">
        <v>15</v>
      </c>
      <c r="H114" t="s">
        <v>14</v>
      </c>
      <c r="I114" t="s">
        <v>6325</v>
      </c>
      <c r="J114">
        <v>60020818</v>
      </c>
      <c r="K114" t="s">
        <v>3088</v>
      </c>
      <c r="L114" t="s">
        <v>3087</v>
      </c>
      <c r="M114" t="s">
        <v>10</v>
      </c>
      <c r="N114">
        <v>1</v>
      </c>
      <c r="O114" t="s">
        <v>6324</v>
      </c>
      <c r="P114">
        <v>57189501138</v>
      </c>
      <c r="Q114">
        <v>60020818</v>
      </c>
      <c r="R114" s="7">
        <v>30317</v>
      </c>
      <c r="S114" s="8">
        <f t="shared" si="16"/>
        <v>1983</v>
      </c>
      <c r="T114" s="8">
        <v>1983</v>
      </c>
      <c r="U114" s="8">
        <f t="shared" si="17"/>
        <v>39</v>
      </c>
      <c r="V114" s="7">
        <v>30590</v>
      </c>
      <c r="W114" s="11" t="s">
        <v>6323</v>
      </c>
      <c r="X114" s="2">
        <v>1.3280000000000001</v>
      </c>
      <c r="Y114" s="6">
        <f t="shared" si="14"/>
        <v>3.5450201542937994E-2</v>
      </c>
      <c r="AA114">
        <v>21680329</v>
      </c>
      <c r="AB114">
        <v>21100399421</v>
      </c>
      <c r="AD114" t="s">
        <v>5</v>
      </c>
      <c r="AE114">
        <v>25</v>
      </c>
      <c r="AF114">
        <v>5</v>
      </c>
      <c r="AH114" t="s">
        <v>6322</v>
      </c>
      <c r="AL114">
        <v>0</v>
      </c>
      <c r="AM114" s="5">
        <f t="shared" si="18"/>
        <v>0</v>
      </c>
      <c r="AN114" s="4">
        <f t="shared" si="15"/>
        <v>0</v>
      </c>
      <c r="AO114" s="3"/>
      <c r="AP114">
        <v>0</v>
      </c>
      <c r="AR114" t="s">
        <v>1</v>
      </c>
      <c r="AT114" s="2" t="s">
        <v>0</v>
      </c>
      <c r="AU114" s="1">
        <f t="shared" si="19"/>
        <v>2.4815141080056597</v>
      </c>
      <c r="AV114" s="1">
        <f t="shared" si="20"/>
        <v>1.7725100771468998</v>
      </c>
      <c r="AW114" s="1">
        <f t="shared" si="21"/>
        <v>1.0635060462881398</v>
      </c>
    </row>
    <row r="115" spans="1:49" x14ac:dyDescent="0.2">
      <c r="A115">
        <v>113</v>
      </c>
      <c r="B115" t="s">
        <v>6321</v>
      </c>
      <c r="C115" t="s">
        <v>6320</v>
      </c>
      <c r="F115" t="s">
        <v>6319</v>
      </c>
      <c r="G115" t="s">
        <v>15</v>
      </c>
      <c r="H115" t="s">
        <v>14</v>
      </c>
      <c r="I115" t="s">
        <v>6318</v>
      </c>
      <c r="J115">
        <v>60028897</v>
      </c>
      <c r="K115" t="s">
        <v>6317</v>
      </c>
      <c r="L115" t="s">
        <v>3550</v>
      </c>
      <c r="M115" t="s">
        <v>1229</v>
      </c>
      <c r="N115">
        <v>2</v>
      </c>
      <c r="O115" t="s">
        <v>6316</v>
      </c>
      <c r="P115" t="s">
        <v>6315</v>
      </c>
      <c r="Q115" t="s">
        <v>6314</v>
      </c>
      <c r="R115" s="7">
        <v>30317</v>
      </c>
      <c r="S115" s="8">
        <f t="shared" si="16"/>
        <v>1983</v>
      </c>
      <c r="T115" s="8">
        <v>1983</v>
      </c>
      <c r="U115" s="8">
        <f t="shared" si="17"/>
        <v>39</v>
      </c>
      <c r="V115" s="7">
        <v>30651</v>
      </c>
      <c r="W115" t="s">
        <v>6313</v>
      </c>
      <c r="X115" s="2">
        <v>0.56899999999999995</v>
      </c>
      <c r="Y115" s="6">
        <f t="shared" si="14"/>
        <v>1.5189130028563038E-2</v>
      </c>
      <c r="AA115">
        <v>36846</v>
      </c>
      <c r="AB115">
        <v>18768</v>
      </c>
      <c r="AC115">
        <v>14664283</v>
      </c>
      <c r="AD115" t="s">
        <v>5</v>
      </c>
      <c r="AE115">
        <v>15</v>
      </c>
      <c r="AF115">
        <v>6</v>
      </c>
      <c r="AH115" t="s">
        <v>6312</v>
      </c>
      <c r="AI115" t="s">
        <v>6311</v>
      </c>
      <c r="AK115" t="s">
        <v>6310</v>
      </c>
      <c r="AL115">
        <v>2</v>
      </c>
      <c r="AM115" s="5">
        <f t="shared" si="18"/>
        <v>5.128205128205128E-2</v>
      </c>
      <c r="AN115" s="4">
        <f t="shared" si="15"/>
        <v>7.767065699666987E-5</v>
      </c>
      <c r="AO115" s="3"/>
      <c r="AP115">
        <v>0</v>
      </c>
      <c r="AR115" t="s">
        <v>1</v>
      </c>
      <c r="AT115" s="2">
        <v>1.835</v>
      </c>
      <c r="AU115" s="1">
        <f t="shared" si="19"/>
        <v>1.0655692217093127</v>
      </c>
      <c r="AV115" s="1">
        <f t="shared" si="20"/>
        <v>0.76334003427798536</v>
      </c>
      <c r="AW115" s="1">
        <f t="shared" si="21"/>
        <v>0.46111084684665798</v>
      </c>
    </row>
    <row r="116" spans="1:49" x14ac:dyDescent="0.2">
      <c r="A116">
        <v>114</v>
      </c>
      <c r="B116" t="s">
        <v>6309</v>
      </c>
      <c r="C116" t="s">
        <v>6308</v>
      </c>
      <c r="F116" t="s">
        <v>6307</v>
      </c>
      <c r="G116" t="s">
        <v>15</v>
      </c>
      <c r="H116" t="s">
        <v>14</v>
      </c>
      <c r="I116" t="s">
        <v>6306</v>
      </c>
      <c r="J116">
        <v>60010065</v>
      </c>
      <c r="K116" t="s">
        <v>3569</v>
      </c>
      <c r="L116" t="s">
        <v>3568</v>
      </c>
      <c r="M116" t="s">
        <v>10</v>
      </c>
      <c r="N116">
        <v>2</v>
      </c>
      <c r="O116" t="s">
        <v>6305</v>
      </c>
      <c r="P116" t="s">
        <v>6304</v>
      </c>
      <c r="Q116" t="s">
        <v>6303</v>
      </c>
      <c r="R116" s="7">
        <v>30317</v>
      </c>
      <c r="S116" s="8">
        <f t="shared" si="16"/>
        <v>1983</v>
      </c>
      <c r="T116" s="8">
        <v>1983</v>
      </c>
      <c r="U116" s="8">
        <f t="shared" si="17"/>
        <v>39</v>
      </c>
      <c r="V116" s="7">
        <v>1983</v>
      </c>
      <c r="W116" t="s">
        <v>6302</v>
      </c>
      <c r="X116" s="2" t="s">
        <v>0</v>
      </c>
      <c r="Y116" s="6" t="e">
        <f t="shared" si="14"/>
        <v>#VALUE!</v>
      </c>
      <c r="AA116">
        <v>167606</v>
      </c>
      <c r="AB116">
        <v>26499</v>
      </c>
      <c r="AD116" t="s">
        <v>5</v>
      </c>
      <c r="AE116">
        <v>94</v>
      </c>
      <c r="AF116">
        <v>4</v>
      </c>
      <c r="AH116" t="s">
        <v>6301</v>
      </c>
      <c r="AI116" t="s">
        <v>6300</v>
      </c>
      <c r="AK116" t="s">
        <v>6299</v>
      </c>
      <c r="AL116">
        <v>17</v>
      </c>
      <c r="AM116" s="5">
        <f t="shared" si="18"/>
        <v>0.4358974358974359</v>
      </c>
      <c r="AN116" s="4">
        <f t="shared" si="15"/>
        <v>6.6020058447169392E-4</v>
      </c>
      <c r="AO116" s="3"/>
      <c r="AP116">
        <v>0</v>
      </c>
      <c r="AR116" t="s">
        <v>1</v>
      </c>
      <c r="AT116" s="2">
        <v>4.7990000000000004</v>
      </c>
      <c r="AU116" s="1" t="e">
        <f t="shared" si="19"/>
        <v>#VALUE!</v>
      </c>
      <c r="AV116" s="1" t="e">
        <f t="shared" si="20"/>
        <v>#VALUE!</v>
      </c>
      <c r="AW116" s="1" t="e">
        <f t="shared" si="21"/>
        <v>#VALUE!</v>
      </c>
    </row>
    <row r="117" spans="1:49" x14ac:dyDescent="0.2">
      <c r="A117">
        <v>115</v>
      </c>
      <c r="B117" t="s">
        <v>6298</v>
      </c>
      <c r="C117" t="s">
        <v>6297</v>
      </c>
      <c r="D117" t="s">
        <v>6296</v>
      </c>
      <c r="F117" t="s">
        <v>6295</v>
      </c>
      <c r="G117" t="s">
        <v>15</v>
      </c>
      <c r="H117" t="s">
        <v>14</v>
      </c>
      <c r="I117" t="s">
        <v>6294</v>
      </c>
      <c r="J117">
        <v>60002443</v>
      </c>
      <c r="K117" t="s">
        <v>1269</v>
      </c>
      <c r="L117" t="s">
        <v>1268</v>
      </c>
      <c r="M117" t="s">
        <v>55</v>
      </c>
      <c r="N117">
        <v>5</v>
      </c>
      <c r="O117" t="s">
        <v>6293</v>
      </c>
      <c r="P117" t="s">
        <v>6292</v>
      </c>
      <c r="Q117" t="s">
        <v>6291</v>
      </c>
      <c r="R117" s="7">
        <v>30317</v>
      </c>
      <c r="S117" s="8">
        <f t="shared" si="16"/>
        <v>1983</v>
      </c>
      <c r="T117" s="8">
        <v>1983</v>
      </c>
      <c r="U117" s="8">
        <f t="shared" si="17"/>
        <v>39</v>
      </c>
      <c r="V117" s="7">
        <v>1983</v>
      </c>
      <c r="W117" t="s">
        <v>267</v>
      </c>
      <c r="X117" s="2" t="s">
        <v>0</v>
      </c>
      <c r="Y117" s="6" t="e">
        <f t="shared" si="14"/>
        <v>#VALUE!</v>
      </c>
      <c r="AA117">
        <v>201790</v>
      </c>
      <c r="AB117">
        <v>9800153163</v>
      </c>
      <c r="AD117" t="s">
        <v>5</v>
      </c>
      <c r="AE117">
        <v>13</v>
      </c>
      <c r="AF117">
        <v>1</v>
      </c>
      <c r="AH117" t="s">
        <v>6290</v>
      </c>
      <c r="AI117" t="s">
        <v>6289</v>
      </c>
      <c r="AJ117" t="s">
        <v>6288</v>
      </c>
      <c r="AK117" t="s">
        <v>6287</v>
      </c>
      <c r="AL117">
        <v>22</v>
      </c>
      <c r="AM117" s="5">
        <f t="shared" si="18"/>
        <v>0.5641025641025641</v>
      </c>
      <c r="AN117" s="4">
        <f t="shared" si="15"/>
        <v>8.5437722696336859E-4</v>
      </c>
      <c r="AO117" s="3"/>
      <c r="AP117">
        <v>0</v>
      </c>
      <c r="AR117" t="s">
        <v>1</v>
      </c>
      <c r="AT117" s="2" t="s">
        <v>0</v>
      </c>
      <c r="AU117" s="1" t="e">
        <f t="shared" si="19"/>
        <v>#VALUE!</v>
      </c>
      <c r="AV117" s="1" t="e">
        <f t="shared" si="20"/>
        <v>#VALUE!</v>
      </c>
      <c r="AW117" s="1" t="e">
        <f t="shared" si="21"/>
        <v>#VALUE!</v>
      </c>
    </row>
    <row r="118" spans="1:49" x14ac:dyDescent="0.2">
      <c r="A118">
        <v>116</v>
      </c>
      <c r="B118" t="s">
        <v>6286</v>
      </c>
      <c r="C118" t="s">
        <v>6285</v>
      </c>
      <c r="F118" t="s">
        <v>6284</v>
      </c>
      <c r="G118" t="s">
        <v>15</v>
      </c>
      <c r="H118" t="s">
        <v>14</v>
      </c>
      <c r="I118" t="s">
        <v>6283</v>
      </c>
      <c r="J118">
        <v>60013372</v>
      </c>
      <c r="K118" t="s">
        <v>312</v>
      </c>
      <c r="L118" t="s">
        <v>311</v>
      </c>
      <c r="M118" t="s">
        <v>10</v>
      </c>
      <c r="N118">
        <v>2</v>
      </c>
      <c r="O118" t="s">
        <v>6282</v>
      </c>
      <c r="P118" t="s">
        <v>6281</v>
      </c>
      <c r="Q118" t="s">
        <v>6280</v>
      </c>
      <c r="R118" s="7">
        <v>30317</v>
      </c>
      <c r="S118" s="8">
        <f t="shared" si="16"/>
        <v>1983</v>
      </c>
      <c r="T118" s="8">
        <v>1983</v>
      </c>
      <c r="U118" s="8">
        <f t="shared" si="17"/>
        <v>39</v>
      </c>
      <c r="V118" s="7">
        <v>1983</v>
      </c>
      <c r="W118" t="s">
        <v>5936</v>
      </c>
      <c r="X118" s="2">
        <v>0.22500000000000001</v>
      </c>
      <c r="Y118" s="6">
        <f t="shared" si="14"/>
        <v>6.0062464963562111E-3</v>
      </c>
      <c r="AA118">
        <v>2726343</v>
      </c>
      <c r="AB118">
        <v>16128</v>
      </c>
      <c r="AC118" t="s">
        <v>5935</v>
      </c>
      <c r="AD118" t="s">
        <v>5</v>
      </c>
      <c r="AE118">
        <v>3</v>
      </c>
      <c r="AF118" s="9">
        <v>44289</v>
      </c>
      <c r="AH118" t="s">
        <v>6279</v>
      </c>
      <c r="AI118" t="s">
        <v>6278</v>
      </c>
      <c r="AK118" t="s">
        <v>6277</v>
      </c>
      <c r="AL118">
        <v>1</v>
      </c>
      <c r="AM118" s="5">
        <f t="shared" si="18"/>
        <v>2.564102564102564E-2</v>
      </c>
      <c r="AN118" s="4">
        <f t="shared" si="15"/>
        <v>3.8835328498334935E-5</v>
      </c>
      <c r="AO118" s="3"/>
      <c r="AP118">
        <v>0</v>
      </c>
      <c r="AR118" t="s">
        <v>1</v>
      </c>
      <c r="AT118" s="2">
        <v>1.099</v>
      </c>
      <c r="AU118" s="1">
        <f t="shared" si="19"/>
        <v>0.42160231459988479</v>
      </c>
      <c r="AV118" s="1">
        <f t="shared" si="20"/>
        <v>0.30225409124272729</v>
      </c>
      <c r="AW118" s="1">
        <f t="shared" si="21"/>
        <v>0.18290586788556978</v>
      </c>
    </row>
    <row r="119" spans="1:49" x14ac:dyDescent="0.2">
      <c r="A119">
        <v>117</v>
      </c>
      <c r="B119" t="s">
        <v>6276</v>
      </c>
      <c r="C119" t="s">
        <v>6275</v>
      </c>
      <c r="F119" t="s">
        <v>6274</v>
      </c>
      <c r="G119" t="s">
        <v>15</v>
      </c>
      <c r="H119" t="s">
        <v>14</v>
      </c>
      <c r="I119" t="s">
        <v>3140</v>
      </c>
      <c r="J119">
        <v>60102562</v>
      </c>
      <c r="K119" t="s">
        <v>3139</v>
      </c>
      <c r="L119" t="s">
        <v>3138</v>
      </c>
      <c r="M119" t="s">
        <v>10</v>
      </c>
      <c r="N119">
        <v>3</v>
      </c>
      <c r="O119" t="s">
        <v>6273</v>
      </c>
      <c r="P119" t="s">
        <v>6272</v>
      </c>
      <c r="Q119" t="s">
        <v>6271</v>
      </c>
      <c r="R119" s="7">
        <v>30317</v>
      </c>
      <c r="S119" s="8">
        <f t="shared" si="16"/>
        <v>1983</v>
      </c>
      <c r="T119" s="8">
        <v>1983</v>
      </c>
      <c r="U119" s="8">
        <f t="shared" si="17"/>
        <v>39</v>
      </c>
      <c r="V119" s="7">
        <v>30621</v>
      </c>
      <c r="W119" t="s">
        <v>1414</v>
      </c>
      <c r="X119" s="2">
        <v>2.383</v>
      </c>
      <c r="Y119" s="6">
        <f t="shared" si="14"/>
        <v>6.3612824003630442E-2</v>
      </c>
      <c r="AA119">
        <v>189219</v>
      </c>
      <c r="AB119">
        <v>17915</v>
      </c>
      <c r="AC119">
        <v>15582256</v>
      </c>
      <c r="AD119" t="s">
        <v>5</v>
      </c>
      <c r="AE119">
        <v>71</v>
      </c>
      <c r="AF119">
        <v>11</v>
      </c>
      <c r="AH119" t="s">
        <v>6270</v>
      </c>
      <c r="AI119" t="s">
        <v>6269</v>
      </c>
      <c r="AK119" t="s">
        <v>6268</v>
      </c>
      <c r="AL119">
        <v>4</v>
      </c>
      <c r="AM119" s="5">
        <f t="shared" si="18"/>
        <v>0.10256410256410256</v>
      </c>
      <c r="AN119" s="4">
        <f t="shared" si="15"/>
        <v>1.5534131399333974E-4</v>
      </c>
      <c r="AO119" s="3"/>
      <c r="AP119">
        <v>0</v>
      </c>
      <c r="AR119" t="s">
        <v>1</v>
      </c>
      <c r="AT119" s="2">
        <v>10.961</v>
      </c>
      <c r="AU119" s="1">
        <f t="shared" si="19"/>
        <v>4.4575579196739312</v>
      </c>
      <c r="AV119" s="1">
        <f t="shared" si="20"/>
        <v>3.188408265881189</v>
      </c>
      <c r="AW119" s="1">
        <f t="shared" si="21"/>
        <v>1.9192586120884469</v>
      </c>
    </row>
    <row r="120" spans="1:49" x14ac:dyDescent="0.2">
      <c r="A120">
        <v>118</v>
      </c>
      <c r="B120" t="s">
        <v>6267</v>
      </c>
      <c r="C120" t="s">
        <v>6266</v>
      </c>
      <c r="D120" t="s">
        <v>6265</v>
      </c>
      <c r="F120" t="s">
        <v>6264</v>
      </c>
      <c r="G120" t="s">
        <v>15</v>
      </c>
      <c r="H120" t="s">
        <v>14</v>
      </c>
      <c r="I120" t="s">
        <v>6263</v>
      </c>
      <c r="J120" t="s">
        <v>6262</v>
      </c>
      <c r="K120" t="s">
        <v>6261</v>
      </c>
      <c r="L120" t="s">
        <v>6260</v>
      </c>
      <c r="M120" t="s">
        <v>6259</v>
      </c>
      <c r="N120">
        <v>4</v>
      </c>
      <c r="O120" t="s">
        <v>6258</v>
      </c>
      <c r="P120" t="s">
        <v>6257</v>
      </c>
      <c r="Q120" t="s">
        <v>6256</v>
      </c>
      <c r="R120" s="7">
        <v>30317</v>
      </c>
      <c r="S120" s="8">
        <f t="shared" si="16"/>
        <v>1983</v>
      </c>
      <c r="T120" s="8">
        <v>1983</v>
      </c>
      <c r="U120" s="8">
        <f t="shared" si="17"/>
        <v>39</v>
      </c>
      <c r="V120" s="7" t="s">
        <v>6255</v>
      </c>
      <c r="W120" t="s">
        <v>6241</v>
      </c>
      <c r="X120" s="2">
        <v>0.51500000000000001</v>
      </c>
      <c r="Y120" s="6">
        <f t="shared" si="14"/>
        <v>1.374763086943755E-2</v>
      </c>
      <c r="AA120">
        <v>219169</v>
      </c>
      <c r="AB120">
        <v>30966</v>
      </c>
      <c r="AD120" t="s">
        <v>5</v>
      </c>
      <c r="AE120">
        <v>45</v>
      </c>
      <c r="AF120" s="9">
        <v>44257</v>
      </c>
      <c r="AH120" t="s">
        <v>6254</v>
      </c>
      <c r="AI120" t="s">
        <v>6253</v>
      </c>
      <c r="AK120" t="s">
        <v>6252</v>
      </c>
      <c r="AL120">
        <v>3</v>
      </c>
      <c r="AM120" s="5">
        <f t="shared" si="18"/>
        <v>7.6923076923076927E-2</v>
      </c>
      <c r="AN120" s="4">
        <f t="shared" si="15"/>
        <v>1.1650598549500481E-4</v>
      </c>
      <c r="AO120" s="3"/>
      <c r="AP120">
        <v>0</v>
      </c>
      <c r="AR120" t="s">
        <v>1</v>
      </c>
      <c r="AT120" s="2" t="s">
        <v>0</v>
      </c>
      <c r="AU120" s="1">
        <f t="shared" si="19"/>
        <v>0.96582934042547863</v>
      </c>
      <c r="AV120" s="1">
        <f t="shared" si="20"/>
        <v>0.69320684274662769</v>
      </c>
      <c r="AW120" s="1">
        <f t="shared" si="21"/>
        <v>0.42058434506777687</v>
      </c>
    </row>
    <row r="121" spans="1:49" x14ac:dyDescent="0.2">
      <c r="A121">
        <v>119</v>
      </c>
      <c r="B121" t="s">
        <v>6251</v>
      </c>
      <c r="C121" t="s">
        <v>6250</v>
      </c>
      <c r="D121" t="s">
        <v>6249</v>
      </c>
      <c r="F121" t="s">
        <v>6248</v>
      </c>
      <c r="G121" t="s">
        <v>15</v>
      </c>
      <c r="H121" t="s">
        <v>14</v>
      </c>
      <c r="I121" t="s">
        <v>6247</v>
      </c>
      <c r="J121" t="s">
        <v>6242</v>
      </c>
      <c r="K121" t="s">
        <v>6246</v>
      </c>
      <c r="L121" t="s">
        <v>6245</v>
      </c>
      <c r="M121" t="s">
        <v>91</v>
      </c>
      <c r="N121">
        <v>2</v>
      </c>
      <c r="O121" t="s">
        <v>6244</v>
      </c>
      <c r="P121" t="s">
        <v>6243</v>
      </c>
      <c r="Q121" t="s">
        <v>6242</v>
      </c>
      <c r="R121" s="7">
        <v>30317</v>
      </c>
      <c r="S121" s="8">
        <f t="shared" si="16"/>
        <v>1983</v>
      </c>
      <c r="T121" s="8">
        <v>1983</v>
      </c>
      <c r="U121" s="8">
        <f t="shared" si="17"/>
        <v>39</v>
      </c>
      <c r="V121" s="7">
        <v>30407</v>
      </c>
      <c r="W121" t="s">
        <v>6241</v>
      </c>
      <c r="X121" s="2">
        <v>0.51500000000000001</v>
      </c>
      <c r="Y121" s="6">
        <f t="shared" si="14"/>
        <v>1.374763086943755E-2</v>
      </c>
      <c r="AA121">
        <v>219169</v>
      </c>
      <c r="AB121">
        <v>30966</v>
      </c>
      <c r="AD121" t="s">
        <v>5</v>
      </c>
      <c r="AE121">
        <v>45</v>
      </c>
      <c r="AF121">
        <v>4</v>
      </c>
      <c r="AH121" t="s">
        <v>6240</v>
      </c>
      <c r="AI121" t="s">
        <v>6239</v>
      </c>
      <c r="AK121" t="s">
        <v>6238</v>
      </c>
      <c r="AL121">
        <v>4</v>
      </c>
      <c r="AM121" s="5">
        <f t="shared" si="18"/>
        <v>0.10256410256410256</v>
      </c>
      <c r="AN121" s="4">
        <f t="shared" si="15"/>
        <v>1.5534131399333974E-4</v>
      </c>
      <c r="AO121" s="3"/>
      <c r="AP121">
        <v>0</v>
      </c>
      <c r="AQ121" t="s">
        <v>6237</v>
      </c>
      <c r="AR121" t="s">
        <v>1</v>
      </c>
      <c r="AS121" t="s">
        <v>6236</v>
      </c>
      <c r="AT121" s="2" t="s">
        <v>0</v>
      </c>
      <c r="AU121" s="1">
        <f t="shared" si="19"/>
        <v>0.9669944002804286</v>
      </c>
      <c r="AV121" s="1">
        <f t="shared" si="20"/>
        <v>0.69514860917154453</v>
      </c>
      <c r="AW121" s="1">
        <f t="shared" si="21"/>
        <v>0.42330281806266029</v>
      </c>
    </row>
    <row r="122" spans="1:49" x14ac:dyDescent="0.2">
      <c r="A122">
        <v>120</v>
      </c>
      <c r="B122" t="s">
        <v>6235</v>
      </c>
      <c r="C122" t="s">
        <v>6234</v>
      </c>
      <c r="F122" t="s">
        <v>6233</v>
      </c>
      <c r="G122" t="s">
        <v>15</v>
      </c>
      <c r="H122" t="s">
        <v>14</v>
      </c>
      <c r="I122" t="s">
        <v>6232</v>
      </c>
      <c r="J122" t="s">
        <v>6227</v>
      </c>
      <c r="K122" t="s">
        <v>6231</v>
      </c>
      <c r="L122" t="s">
        <v>6230</v>
      </c>
      <c r="M122" t="s">
        <v>91</v>
      </c>
      <c r="N122">
        <v>2</v>
      </c>
      <c r="O122" t="s">
        <v>6229</v>
      </c>
      <c r="P122" t="s">
        <v>6228</v>
      </c>
      <c r="Q122" t="s">
        <v>6227</v>
      </c>
      <c r="R122" s="7">
        <v>30317</v>
      </c>
      <c r="S122" s="8">
        <f t="shared" si="16"/>
        <v>1983</v>
      </c>
      <c r="T122" s="8">
        <v>1983</v>
      </c>
      <c r="U122" s="8">
        <f t="shared" si="17"/>
        <v>39</v>
      </c>
      <c r="V122" s="7">
        <v>1983</v>
      </c>
      <c r="W122" t="s">
        <v>5936</v>
      </c>
      <c r="X122" s="2">
        <v>0.22500000000000001</v>
      </c>
      <c r="Y122" s="6">
        <f t="shared" si="14"/>
        <v>6.0062464963562111E-3</v>
      </c>
      <c r="AA122">
        <v>2726343</v>
      </c>
      <c r="AB122">
        <v>16128</v>
      </c>
      <c r="AC122" t="s">
        <v>5935</v>
      </c>
      <c r="AD122" t="s">
        <v>5</v>
      </c>
      <c r="AE122">
        <v>3</v>
      </c>
      <c r="AF122" s="9">
        <v>44289</v>
      </c>
      <c r="AH122" t="s">
        <v>6226</v>
      </c>
      <c r="AI122" t="s">
        <v>6225</v>
      </c>
      <c r="AK122" t="s">
        <v>6224</v>
      </c>
      <c r="AL122">
        <v>3</v>
      </c>
      <c r="AM122" s="5">
        <f t="shared" si="18"/>
        <v>7.6923076923076927E-2</v>
      </c>
      <c r="AN122" s="4">
        <f t="shared" si="15"/>
        <v>1.1650598549500481E-4</v>
      </c>
      <c r="AO122" s="3"/>
      <c r="AP122">
        <v>0</v>
      </c>
      <c r="AR122" t="s">
        <v>1</v>
      </c>
      <c r="AT122" s="2">
        <v>1.099</v>
      </c>
      <c r="AU122" s="1">
        <f t="shared" si="19"/>
        <v>0.42393243430978489</v>
      </c>
      <c r="AV122" s="1">
        <f t="shared" si="20"/>
        <v>0.30613762409256079</v>
      </c>
      <c r="AW122" s="1">
        <f t="shared" si="21"/>
        <v>0.18834281387533666</v>
      </c>
    </row>
    <row r="123" spans="1:49" x14ac:dyDescent="0.2">
      <c r="A123">
        <v>121</v>
      </c>
      <c r="B123" t="s">
        <v>6223</v>
      </c>
      <c r="C123" t="s">
        <v>6222</v>
      </c>
      <c r="F123" t="s">
        <v>6221</v>
      </c>
      <c r="G123" t="s">
        <v>15</v>
      </c>
      <c r="H123" t="s">
        <v>14</v>
      </c>
      <c r="I123" t="s">
        <v>6220</v>
      </c>
      <c r="J123">
        <v>60017563</v>
      </c>
      <c r="K123" t="s">
        <v>1052</v>
      </c>
      <c r="L123" t="s">
        <v>1051</v>
      </c>
      <c r="M123" t="s">
        <v>1050</v>
      </c>
      <c r="N123">
        <v>1</v>
      </c>
      <c r="O123" t="s">
        <v>6219</v>
      </c>
      <c r="P123">
        <v>6603731876</v>
      </c>
      <c r="Q123">
        <v>60017563</v>
      </c>
      <c r="R123" s="7">
        <v>30317</v>
      </c>
      <c r="S123" s="8">
        <f t="shared" si="16"/>
        <v>1983</v>
      </c>
      <c r="T123" s="8">
        <v>1983</v>
      </c>
      <c r="U123" s="8">
        <f t="shared" si="17"/>
        <v>39</v>
      </c>
      <c r="V123" s="7">
        <v>30317</v>
      </c>
      <c r="W123" t="s">
        <v>6218</v>
      </c>
      <c r="X123" s="2" t="s">
        <v>0</v>
      </c>
      <c r="Y123" s="6" t="e">
        <f t="shared" si="14"/>
        <v>#VALUE!</v>
      </c>
      <c r="AA123">
        <v>3905551</v>
      </c>
      <c r="AB123">
        <v>15400155600</v>
      </c>
      <c r="AD123" t="s">
        <v>5</v>
      </c>
      <c r="AE123">
        <v>6</v>
      </c>
      <c r="AF123">
        <v>1</v>
      </c>
      <c r="AH123" t="s">
        <v>6217</v>
      </c>
      <c r="AI123" t="s">
        <v>6216</v>
      </c>
      <c r="AJ123" t="s">
        <v>6215</v>
      </c>
      <c r="AK123" t="s">
        <v>6214</v>
      </c>
      <c r="AL123">
        <v>11</v>
      </c>
      <c r="AM123" s="5">
        <f t="shared" si="18"/>
        <v>0.28205128205128205</v>
      </c>
      <c r="AN123" s="4">
        <f t="shared" si="15"/>
        <v>4.2718861348168429E-4</v>
      </c>
      <c r="AO123" s="3"/>
      <c r="AP123">
        <v>0</v>
      </c>
      <c r="AR123" t="s">
        <v>1</v>
      </c>
      <c r="AT123" s="2" t="s">
        <v>0</v>
      </c>
      <c r="AU123" s="1" t="e">
        <f t="shared" si="19"/>
        <v>#VALUE!</v>
      </c>
      <c r="AV123" s="1" t="e">
        <f t="shared" si="20"/>
        <v>#VALUE!</v>
      </c>
      <c r="AW123" s="1" t="e">
        <f t="shared" si="21"/>
        <v>#VALUE!</v>
      </c>
    </row>
    <row r="124" spans="1:49" x14ac:dyDescent="0.2">
      <c r="A124">
        <v>122</v>
      </c>
      <c r="B124" t="s">
        <v>6213</v>
      </c>
      <c r="C124" t="s">
        <v>6212</v>
      </c>
      <c r="F124" t="s">
        <v>6211</v>
      </c>
      <c r="G124" t="s">
        <v>15</v>
      </c>
      <c r="H124" t="s">
        <v>14</v>
      </c>
      <c r="I124" t="s">
        <v>6210</v>
      </c>
      <c r="J124" t="s">
        <v>6209</v>
      </c>
      <c r="K124" t="s">
        <v>6208</v>
      </c>
      <c r="L124" t="s">
        <v>6207</v>
      </c>
      <c r="M124" t="s">
        <v>6206</v>
      </c>
      <c r="N124">
        <v>4</v>
      </c>
      <c r="O124" t="s">
        <v>6205</v>
      </c>
      <c r="P124" t="s">
        <v>6204</v>
      </c>
      <c r="Q124" t="s">
        <v>6203</v>
      </c>
      <c r="R124" s="7">
        <v>30317</v>
      </c>
      <c r="S124" s="8">
        <f t="shared" si="16"/>
        <v>1983</v>
      </c>
      <c r="T124" s="8">
        <v>1983</v>
      </c>
      <c r="U124" s="8">
        <f t="shared" si="17"/>
        <v>39</v>
      </c>
      <c r="V124" s="7">
        <v>30498</v>
      </c>
      <c r="W124" t="s">
        <v>6005</v>
      </c>
      <c r="X124" s="2">
        <v>0.76500000000000001</v>
      </c>
      <c r="Y124" s="6">
        <f t="shared" si="14"/>
        <v>2.0421238087611118E-2</v>
      </c>
      <c r="AA124">
        <v>138703</v>
      </c>
      <c r="AB124">
        <v>19793</v>
      </c>
      <c r="AC124">
        <v>15707458</v>
      </c>
      <c r="AD124" t="s">
        <v>5</v>
      </c>
      <c r="AE124">
        <v>34</v>
      </c>
      <c r="AF124">
        <v>1</v>
      </c>
      <c r="AH124" t="s">
        <v>6202</v>
      </c>
      <c r="AI124" t="s">
        <v>6201</v>
      </c>
      <c r="AJ124" t="s">
        <v>6200</v>
      </c>
      <c r="AK124" t="s">
        <v>6199</v>
      </c>
      <c r="AL124">
        <v>15</v>
      </c>
      <c r="AM124" s="5">
        <f t="shared" si="18"/>
        <v>0.38461538461538464</v>
      </c>
      <c r="AN124" s="4">
        <f t="shared" si="15"/>
        <v>5.8252992747502411E-4</v>
      </c>
      <c r="AO124" s="3"/>
      <c r="AP124">
        <v>0</v>
      </c>
      <c r="AR124" t="s">
        <v>1</v>
      </c>
      <c r="AT124" s="2" t="s">
        <v>0</v>
      </c>
      <c r="AU124" s="1">
        <f t="shared" si="19"/>
        <v>1.4469625639570287</v>
      </c>
      <c r="AV124" s="1">
        <f t="shared" si="20"/>
        <v>1.0501884007543072</v>
      </c>
      <c r="AW124" s="1">
        <f t="shared" si="21"/>
        <v>0.65341423755158523</v>
      </c>
    </row>
    <row r="125" spans="1:49" x14ac:dyDescent="0.2">
      <c r="A125">
        <v>123</v>
      </c>
      <c r="B125" t="s">
        <v>6198</v>
      </c>
      <c r="C125" t="s">
        <v>6197</v>
      </c>
      <c r="F125" t="s">
        <v>6196</v>
      </c>
      <c r="G125" t="s">
        <v>15</v>
      </c>
      <c r="H125" t="s">
        <v>14</v>
      </c>
      <c r="I125" t="s">
        <v>6195</v>
      </c>
      <c r="J125">
        <v>60003261</v>
      </c>
      <c r="K125" t="s">
        <v>6194</v>
      </c>
      <c r="L125" t="s">
        <v>3126</v>
      </c>
      <c r="M125" t="s">
        <v>10</v>
      </c>
      <c r="N125">
        <v>1</v>
      </c>
      <c r="O125" t="s">
        <v>6193</v>
      </c>
      <c r="P125">
        <v>6701752564</v>
      </c>
      <c r="Q125">
        <v>60003261</v>
      </c>
      <c r="R125" s="7">
        <v>30317</v>
      </c>
      <c r="S125" s="8">
        <f t="shared" si="16"/>
        <v>1983</v>
      </c>
      <c r="T125" s="8">
        <v>1983</v>
      </c>
      <c r="U125" s="8">
        <f t="shared" si="17"/>
        <v>39</v>
      </c>
      <c r="V125" s="7">
        <v>1983</v>
      </c>
      <c r="W125" t="s">
        <v>5913</v>
      </c>
      <c r="X125" s="2">
        <v>1.1879999999999999</v>
      </c>
      <c r="Y125" s="6">
        <f t="shared" si="14"/>
        <v>3.1712981500760788E-2</v>
      </c>
      <c r="AA125">
        <v>10706631</v>
      </c>
      <c r="AB125">
        <v>29210</v>
      </c>
      <c r="AD125" t="s">
        <v>5</v>
      </c>
      <c r="AE125">
        <v>26</v>
      </c>
      <c r="AF125">
        <v>4</v>
      </c>
      <c r="AH125" t="s">
        <v>6192</v>
      </c>
      <c r="AI125" t="s">
        <v>6191</v>
      </c>
      <c r="AK125" t="s">
        <v>6190</v>
      </c>
      <c r="AL125">
        <v>2</v>
      </c>
      <c r="AM125" s="5">
        <f t="shared" si="18"/>
        <v>5.128205128205128E-2</v>
      </c>
      <c r="AN125" s="4">
        <f t="shared" si="15"/>
        <v>7.767065699666987E-5</v>
      </c>
      <c r="AO125" s="3"/>
      <c r="AP125">
        <v>0</v>
      </c>
      <c r="AR125" t="s">
        <v>1</v>
      </c>
      <c r="AT125" s="2">
        <v>3.5209999999999999</v>
      </c>
      <c r="AU125" s="1">
        <f t="shared" si="19"/>
        <v>2.222238824763155</v>
      </c>
      <c r="AV125" s="1">
        <f t="shared" si="20"/>
        <v>1.5895326078878729</v>
      </c>
      <c r="AW125" s="1">
        <f t="shared" si="21"/>
        <v>0.95682639101259059</v>
      </c>
    </row>
    <row r="126" spans="1:49" x14ac:dyDescent="0.2">
      <c r="A126">
        <v>124</v>
      </c>
      <c r="B126" t="s">
        <v>6189</v>
      </c>
      <c r="C126" t="s">
        <v>6188</v>
      </c>
      <c r="D126" t="s">
        <v>6187</v>
      </c>
      <c r="F126" t="s">
        <v>6186</v>
      </c>
      <c r="G126" t="s">
        <v>15</v>
      </c>
      <c r="H126" t="s">
        <v>14</v>
      </c>
      <c r="I126" t="s">
        <v>6185</v>
      </c>
      <c r="J126">
        <v>60015150</v>
      </c>
      <c r="K126" t="s">
        <v>6184</v>
      </c>
      <c r="L126" t="s">
        <v>1010</v>
      </c>
      <c r="M126" t="s">
        <v>271</v>
      </c>
      <c r="N126">
        <v>1</v>
      </c>
      <c r="O126" t="s">
        <v>6183</v>
      </c>
      <c r="P126">
        <v>55922671500</v>
      </c>
      <c r="Q126">
        <v>60015150</v>
      </c>
      <c r="R126" s="7">
        <v>30317</v>
      </c>
      <c r="S126" s="8">
        <f t="shared" si="16"/>
        <v>1983</v>
      </c>
      <c r="T126" s="8">
        <v>1983</v>
      </c>
      <c r="U126" s="8">
        <f t="shared" si="17"/>
        <v>39</v>
      </c>
      <c r="V126" s="7">
        <v>1983</v>
      </c>
      <c r="W126" t="s">
        <v>6182</v>
      </c>
      <c r="X126" s="2" t="s">
        <v>0</v>
      </c>
      <c r="Y126" s="6" t="e">
        <f t="shared" si="14"/>
        <v>#VALUE!</v>
      </c>
      <c r="AA126">
        <v>14727781</v>
      </c>
      <c r="AB126">
        <v>96876</v>
      </c>
      <c r="AD126" t="s">
        <v>5</v>
      </c>
      <c r="AH126" t="s">
        <v>6181</v>
      </c>
      <c r="AI126" t="s">
        <v>6180</v>
      </c>
      <c r="AK126" t="s">
        <v>6179</v>
      </c>
      <c r="AL126">
        <v>93</v>
      </c>
      <c r="AM126" s="5">
        <f t="shared" si="18"/>
        <v>2.3846153846153846</v>
      </c>
      <c r="AN126" s="4">
        <f t="shared" si="15"/>
        <v>3.6116855503451491E-3</v>
      </c>
      <c r="AO126" s="3"/>
      <c r="AP126">
        <v>0</v>
      </c>
      <c r="AR126" t="s">
        <v>1</v>
      </c>
      <c r="AT126" s="2" t="s">
        <v>0</v>
      </c>
      <c r="AU126" s="1" t="e">
        <f t="shared" si="19"/>
        <v>#VALUE!</v>
      </c>
      <c r="AV126" s="1" t="e">
        <f t="shared" si="20"/>
        <v>#VALUE!</v>
      </c>
      <c r="AW126" s="1" t="e">
        <f t="shared" si="21"/>
        <v>#VALUE!</v>
      </c>
    </row>
    <row r="127" spans="1:49" x14ac:dyDescent="0.2">
      <c r="A127">
        <v>125</v>
      </c>
      <c r="B127" t="s">
        <v>6178</v>
      </c>
      <c r="C127" t="s">
        <v>6177</v>
      </c>
      <c r="F127" t="s">
        <v>6176</v>
      </c>
      <c r="G127" t="s">
        <v>15</v>
      </c>
      <c r="H127" t="s">
        <v>14</v>
      </c>
      <c r="I127" t="s">
        <v>6175</v>
      </c>
      <c r="J127" t="s">
        <v>6174</v>
      </c>
      <c r="K127" t="s">
        <v>6173</v>
      </c>
      <c r="L127" t="s">
        <v>6172</v>
      </c>
      <c r="M127" t="s">
        <v>6171</v>
      </c>
      <c r="N127">
        <v>1</v>
      </c>
      <c r="O127" t="s">
        <v>6170</v>
      </c>
      <c r="P127">
        <v>6602351867</v>
      </c>
      <c r="Q127" t="s">
        <v>6169</v>
      </c>
      <c r="R127" s="7">
        <v>30317</v>
      </c>
      <c r="S127" s="8">
        <f t="shared" si="16"/>
        <v>1983</v>
      </c>
      <c r="T127" s="8">
        <v>1983</v>
      </c>
      <c r="U127" s="8">
        <f t="shared" si="17"/>
        <v>39</v>
      </c>
      <c r="V127" s="7">
        <v>1983</v>
      </c>
      <c r="W127" t="s">
        <v>5913</v>
      </c>
      <c r="X127" s="2">
        <v>1.1879999999999999</v>
      </c>
      <c r="Y127" s="6">
        <f t="shared" si="14"/>
        <v>3.1712981500760788E-2</v>
      </c>
      <c r="AA127">
        <v>10706631</v>
      </c>
      <c r="AB127">
        <v>29210</v>
      </c>
      <c r="AD127" t="s">
        <v>5</v>
      </c>
      <c r="AE127">
        <v>26</v>
      </c>
      <c r="AF127">
        <v>7</v>
      </c>
      <c r="AH127" t="s">
        <v>6168</v>
      </c>
      <c r="AI127" t="s">
        <v>6167</v>
      </c>
      <c r="AK127" t="s">
        <v>6166</v>
      </c>
      <c r="AL127">
        <v>1</v>
      </c>
      <c r="AM127" s="5">
        <f t="shared" si="18"/>
        <v>2.564102564102564E-2</v>
      </c>
      <c r="AN127" s="4">
        <f t="shared" si="15"/>
        <v>3.8835328498334935E-5</v>
      </c>
      <c r="AO127" s="3"/>
      <c r="AP127">
        <v>0</v>
      </c>
      <c r="AR127" t="s">
        <v>1</v>
      </c>
      <c r="AT127" s="2">
        <v>3.5209999999999999</v>
      </c>
      <c r="AU127" s="1">
        <f t="shared" si="19"/>
        <v>2.2210737649082049</v>
      </c>
      <c r="AV127" s="1">
        <f t="shared" si="20"/>
        <v>1.587590841462956</v>
      </c>
      <c r="AW127" s="1">
        <f t="shared" si="21"/>
        <v>0.95410791801770722</v>
      </c>
    </row>
    <row r="128" spans="1:49" x14ac:dyDescent="0.2">
      <c r="A128">
        <v>126</v>
      </c>
      <c r="B128" t="s">
        <v>6165</v>
      </c>
      <c r="C128" t="s">
        <v>6164</v>
      </c>
      <c r="F128" t="s">
        <v>6163</v>
      </c>
      <c r="G128" t="s">
        <v>15</v>
      </c>
      <c r="H128" t="s">
        <v>14</v>
      </c>
      <c r="I128" t="s">
        <v>6162</v>
      </c>
      <c r="J128">
        <v>60018020</v>
      </c>
      <c r="K128" t="s">
        <v>5918</v>
      </c>
      <c r="L128" t="s">
        <v>5917</v>
      </c>
      <c r="M128" t="s">
        <v>10</v>
      </c>
      <c r="N128">
        <v>3</v>
      </c>
      <c r="O128" t="s">
        <v>6161</v>
      </c>
      <c r="P128" t="s">
        <v>6160</v>
      </c>
      <c r="Q128" t="s">
        <v>5914</v>
      </c>
      <c r="R128" s="7">
        <v>30317</v>
      </c>
      <c r="S128" s="8">
        <f t="shared" si="16"/>
        <v>1983</v>
      </c>
      <c r="T128" s="8">
        <v>1983</v>
      </c>
      <c r="U128" s="8">
        <f t="shared" si="17"/>
        <v>39</v>
      </c>
      <c r="V128" s="7">
        <v>1983</v>
      </c>
      <c r="W128" t="s">
        <v>5913</v>
      </c>
      <c r="X128" s="2">
        <v>1.1879999999999999</v>
      </c>
      <c r="Y128" s="6">
        <f t="shared" si="14"/>
        <v>3.1712981500760788E-2</v>
      </c>
      <c r="AA128">
        <v>10706631</v>
      </c>
      <c r="AB128">
        <v>29210</v>
      </c>
      <c r="AD128" t="s">
        <v>5</v>
      </c>
      <c r="AE128">
        <v>26</v>
      </c>
      <c r="AF128">
        <v>10</v>
      </c>
      <c r="AH128" t="s">
        <v>6159</v>
      </c>
      <c r="AI128" t="s">
        <v>6158</v>
      </c>
      <c r="AK128" t="s">
        <v>6157</v>
      </c>
      <c r="AL128">
        <v>2</v>
      </c>
      <c r="AM128" s="5">
        <f t="shared" si="18"/>
        <v>5.128205128205128E-2</v>
      </c>
      <c r="AN128" s="4">
        <f t="shared" si="15"/>
        <v>7.767065699666987E-5</v>
      </c>
      <c r="AO128" s="3"/>
      <c r="AP128">
        <v>0</v>
      </c>
      <c r="AR128" t="s">
        <v>1</v>
      </c>
      <c r="AT128" s="2">
        <v>3.5209999999999999</v>
      </c>
      <c r="AU128" s="1">
        <f t="shared" si="19"/>
        <v>2.222238824763155</v>
      </c>
      <c r="AV128" s="1">
        <f t="shared" si="20"/>
        <v>1.5895326078878729</v>
      </c>
      <c r="AW128" s="1">
        <f t="shared" si="21"/>
        <v>0.95682639101259059</v>
      </c>
    </row>
    <row r="129" spans="1:49" x14ac:dyDescent="0.2">
      <c r="A129">
        <v>127</v>
      </c>
      <c r="B129" t="s">
        <v>6156</v>
      </c>
      <c r="C129" t="s">
        <v>6155</v>
      </c>
      <c r="F129" t="s">
        <v>6154</v>
      </c>
      <c r="G129" t="s">
        <v>15</v>
      </c>
      <c r="H129" t="s">
        <v>14</v>
      </c>
      <c r="I129" t="s">
        <v>6153</v>
      </c>
      <c r="J129">
        <v>60021199</v>
      </c>
      <c r="K129" t="s">
        <v>6152</v>
      </c>
      <c r="L129" t="s">
        <v>4276</v>
      </c>
      <c r="M129" t="s">
        <v>4275</v>
      </c>
      <c r="N129">
        <v>2</v>
      </c>
      <c r="O129" t="s">
        <v>6151</v>
      </c>
      <c r="P129" t="s">
        <v>6150</v>
      </c>
      <c r="Q129" t="s">
        <v>6149</v>
      </c>
      <c r="R129" s="7">
        <v>30317</v>
      </c>
      <c r="S129" s="8">
        <f t="shared" si="16"/>
        <v>1983</v>
      </c>
      <c r="T129" s="8">
        <v>1983</v>
      </c>
      <c r="U129" s="8">
        <f t="shared" si="17"/>
        <v>39</v>
      </c>
      <c r="V129" s="7">
        <v>1983</v>
      </c>
      <c r="W129" t="s">
        <v>6148</v>
      </c>
      <c r="X129" s="2">
        <v>1.887</v>
      </c>
      <c r="Y129" s="6">
        <f t="shared" si="14"/>
        <v>5.0372387282774087E-2</v>
      </c>
      <c r="AA129">
        <v>5562821</v>
      </c>
      <c r="AB129">
        <v>29459</v>
      </c>
      <c r="AD129" t="s">
        <v>5</v>
      </c>
      <c r="AE129">
        <v>28</v>
      </c>
      <c r="AF129">
        <v>6</v>
      </c>
      <c r="AH129" t="s">
        <v>6147</v>
      </c>
      <c r="AI129" t="s">
        <v>6146</v>
      </c>
      <c r="AK129" t="s">
        <v>6145</v>
      </c>
      <c r="AL129">
        <v>0</v>
      </c>
      <c r="AM129" s="5">
        <f t="shared" si="18"/>
        <v>0</v>
      </c>
      <c r="AN129" s="4">
        <f t="shared" si="15"/>
        <v>0</v>
      </c>
      <c r="AO129" s="3"/>
      <c r="AP129">
        <v>0</v>
      </c>
      <c r="AR129" t="s">
        <v>1</v>
      </c>
      <c r="AT129" s="2">
        <v>5.2960000000000003</v>
      </c>
      <c r="AU129" s="1">
        <f t="shared" si="19"/>
        <v>3.5260671097941856</v>
      </c>
      <c r="AV129" s="1">
        <f t="shared" si="20"/>
        <v>2.5186193641387042</v>
      </c>
      <c r="AW129" s="1">
        <f t="shared" si="21"/>
        <v>1.5111716184832225</v>
      </c>
    </row>
    <row r="130" spans="1:49" x14ac:dyDescent="0.2">
      <c r="A130">
        <v>128</v>
      </c>
      <c r="B130" t="s">
        <v>6144</v>
      </c>
      <c r="C130" t="s">
        <v>6143</v>
      </c>
      <c r="F130" t="s">
        <v>6142</v>
      </c>
      <c r="G130" t="s">
        <v>15</v>
      </c>
      <c r="H130" t="s">
        <v>14</v>
      </c>
      <c r="I130" t="s">
        <v>6141</v>
      </c>
      <c r="J130">
        <v>60014176</v>
      </c>
      <c r="K130" t="s">
        <v>6140</v>
      </c>
      <c r="L130" t="s">
        <v>6139</v>
      </c>
      <c r="M130" t="s">
        <v>271</v>
      </c>
      <c r="N130">
        <v>1</v>
      </c>
      <c r="O130" t="s">
        <v>6138</v>
      </c>
      <c r="P130">
        <v>55900158000</v>
      </c>
      <c r="Q130">
        <v>60014176</v>
      </c>
      <c r="R130" s="7">
        <v>30317</v>
      </c>
      <c r="S130" s="8">
        <f t="shared" si="16"/>
        <v>1983</v>
      </c>
      <c r="T130" s="8">
        <v>1983</v>
      </c>
      <c r="U130" s="8">
        <f t="shared" si="17"/>
        <v>39</v>
      </c>
      <c r="V130" s="7">
        <v>30348</v>
      </c>
      <c r="W130" t="s">
        <v>6137</v>
      </c>
      <c r="X130" s="2">
        <v>1.1479999999999999</v>
      </c>
      <c r="Y130" s="6">
        <f t="shared" ref="Y130:Y193" si="22">(X130-$Z$4)/($Z$3-$Z$4)</f>
        <v>3.0645204345853019E-2</v>
      </c>
      <c r="AA130">
        <v>244082</v>
      </c>
      <c r="AB130">
        <v>22631</v>
      </c>
      <c r="AC130">
        <v>10963642</v>
      </c>
      <c r="AD130" t="s">
        <v>5</v>
      </c>
      <c r="AE130">
        <v>77</v>
      </c>
      <c r="AF130">
        <v>2</v>
      </c>
      <c r="AH130" t="s">
        <v>6136</v>
      </c>
      <c r="AI130" t="s">
        <v>6135</v>
      </c>
      <c r="AJ130" t="s">
        <v>6134</v>
      </c>
      <c r="AK130" t="s">
        <v>6133</v>
      </c>
      <c r="AL130">
        <v>2</v>
      </c>
      <c r="AM130" s="5">
        <f t="shared" si="18"/>
        <v>5.128205128205128E-2</v>
      </c>
      <c r="AN130" s="4">
        <f t="shared" ref="AN130:AN193" si="23">(AM130-$AO$4)/($AO$3-$AO$4)</f>
        <v>7.767065699666987E-5</v>
      </c>
      <c r="AO130" s="3"/>
      <c r="AP130">
        <v>0</v>
      </c>
      <c r="AR130" t="s">
        <v>1</v>
      </c>
      <c r="AT130" s="2" t="s">
        <v>0</v>
      </c>
      <c r="AU130" s="1">
        <f t="shared" si="19"/>
        <v>2.1474944239196114</v>
      </c>
      <c r="AV130" s="1">
        <f t="shared" si="20"/>
        <v>1.5361437501424844</v>
      </c>
      <c r="AW130" s="1">
        <f t="shared" si="21"/>
        <v>0.92479307636535746</v>
      </c>
    </row>
    <row r="131" spans="1:49" x14ac:dyDescent="0.2">
      <c r="A131">
        <v>129</v>
      </c>
      <c r="B131" t="s">
        <v>6132</v>
      </c>
      <c r="C131" t="s">
        <v>6131</v>
      </c>
      <c r="F131" t="s">
        <v>6130</v>
      </c>
      <c r="G131" t="s">
        <v>15</v>
      </c>
      <c r="H131" t="s">
        <v>14</v>
      </c>
      <c r="I131" t="s">
        <v>6129</v>
      </c>
      <c r="J131">
        <v>60005460</v>
      </c>
      <c r="K131" t="s">
        <v>1245</v>
      </c>
      <c r="L131" t="s">
        <v>1244</v>
      </c>
      <c r="M131" t="s">
        <v>80</v>
      </c>
      <c r="N131">
        <v>1</v>
      </c>
      <c r="O131" t="s">
        <v>6128</v>
      </c>
      <c r="P131">
        <v>6602980158</v>
      </c>
      <c r="Q131">
        <v>60005460</v>
      </c>
      <c r="R131" s="7">
        <v>30317</v>
      </c>
      <c r="S131" s="8">
        <f t="shared" si="16"/>
        <v>1983</v>
      </c>
      <c r="T131" s="8">
        <v>1983</v>
      </c>
      <c r="U131" s="8">
        <f t="shared" si="17"/>
        <v>39</v>
      </c>
      <c r="V131" s="7">
        <v>30560</v>
      </c>
      <c r="W131" t="s">
        <v>6127</v>
      </c>
      <c r="X131" s="2">
        <v>0.8</v>
      </c>
      <c r="Y131" s="6">
        <f t="shared" si="22"/>
        <v>2.1355543098155415E-2</v>
      </c>
      <c r="AA131">
        <v>3407594</v>
      </c>
      <c r="AB131">
        <v>23456</v>
      </c>
      <c r="AC131">
        <v>14321351</v>
      </c>
      <c r="AD131" t="s">
        <v>5</v>
      </c>
      <c r="AE131">
        <v>152</v>
      </c>
      <c r="AF131">
        <v>3</v>
      </c>
      <c r="AH131" t="s">
        <v>6126</v>
      </c>
      <c r="AI131" t="s">
        <v>6125</v>
      </c>
      <c r="AK131" t="s">
        <v>6124</v>
      </c>
      <c r="AL131">
        <v>78</v>
      </c>
      <c r="AM131" s="5">
        <f t="shared" si="18"/>
        <v>2</v>
      </c>
      <c r="AN131" s="4">
        <f t="shared" si="23"/>
        <v>3.0291556228701248E-3</v>
      </c>
      <c r="AO131" s="3"/>
      <c r="AP131">
        <v>0</v>
      </c>
      <c r="AR131" t="s">
        <v>1</v>
      </c>
      <c r="AT131" s="2" t="s">
        <v>0</v>
      </c>
      <c r="AU131" s="1">
        <f t="shared" si="19"/>
        <v>1.5857626855569826</v>
      </c>
      <c r="AV131" s="1">
        <f t="shared" si="20"/>
        <v>1.2192349360512771</v>
      </c>
      <c r="AW131" s="1">
        <f t="shared" si="21"/>
        <v>0.85270718654557109</v>
      </c>
    </row>
    <row r="132" spans="1:49" x14ac:dyDescent="0.2">
      <c r="A132">
        <v>130</v>
      </c>
      <c r="B132" t="s">
        <v>6123</v>
      </c>
      <c r="C132" t="s">
        <v>6122</v>
      </c>
      <c r="F132" t="s">
        <v>6121</v>
      </c>
      <c r="G132" t="s">
        <v>15</v>
      </c>
      <c r="H132" t="s">
        <v>14</v>
      </c>
      <c r="I132" t="s">
        <v>6120</v>
      </c>
      <c r="J132" t="s">
        <v>6119</v>
      </c>
      <c r="K132" t="s">
        <v>6118</v>
      </c>
      <c r="L132" t="s">
        <v>6117</v>
      </c>
      <c r="M132" t="s">
        <v>6116</v>
      </c>
      <c r="N132">
        <v>6</v>
      </c>
      <c r="O132" t="s">
        <v>6115</v>
      </c>
      <c r="P132" t="s">
        <v>6114</v>
      </c>
      <c r="Q132" t="s">
        <v>6113</v>
      </c>
      <c r="R132" s="7">
        <v>30317</v>
      </c>
      <c r="S132" s="8">
        <f t="shared" si="16"/>
        <v>1983</v>
      </c>
      <c r="T132" s="8">
        <v>1983</v>
      </c>
      <c r="U132" s="8">
        <f t="shared" si="17"/>
        <v>39</v>
      </c>
      <c r="V132" s="7">
        <v>1983</v>
      </c>
      <c r="W132" t="s">
        <v>5936</v>
      </c>
      <c r="X132" s="2">
        <v>0.22500000000000001</v>
      </c>
      <c r="Y132" s="6">
        <f t="shared" si="22"/>
        <v>6.0062464963562111E-3</v>
      </c>
      <c r="AA132">
        <v>2726343</v>
      </c>
      <c r="AB132">
        <v>16128</v>
      </c>
      <c r="AC132" t="s">
        <v>5935</v>
      </c>
      <c r="AD132" t="s">
        <v>5</v>
      </c>
      <c r="AE132">
        <v>3</v>
      </c>
      <c r="AF132" s="9">
        <v>44289</v>
      </c>
      <c r="AH132" t="s">
        <v>6112</v>
      </c>
      <c r="AI132" t="s">
        <v>6111</v>
      </c>
      <c r="AK132" t="s">
        <v>6110</v>
      </c>
      <c r="AL132">
        <v>11</v>
      </c>
      <c r="AM132" s="5">
        <f t="shared" si="18"/>
        <v>0.28205128205128205</v>
      </c>
      <c r="AN132" s="4">
        <f t="shared" si="23"/>
        <v>4.2718861348168429E-4</v>
      </c>
      <c r="AO132" s="3"/>
      <c r="AP132">
        <v>0</v>
      </c>
      <c r="AR132" t="s">
        <v>1</v>
      </c>
      <c r="AT132" s="2">
        <v>1.099</v>
      </c>
      <c r="AU132" s="1">
        <f t="shared" si="19"/>
        <v>0.4332529131493853</v>
      </c>
      <c r="AV132" s="1">
        <f t="shared" si="20"/>
        <v>0.32167175549189475</v>
      </c>
      <c r="AW132" s="1">
        <f t="shared" si="21"/>
        <v>0.21009059783440423</v>
      </c>
    </row>
    <row r="133" spans="1:49" x14ac:dyDescent="0.2">
      <c r="A133">
        <v>131</v>
      </c>
      <c r="B133" t="s">
        <v>6109</v>
      </c>
      <c r="C133" t="s">
        <v>6108</v>
      </c>
      <c r="D133">
        <v>22191083900112</v>
      </c>
      <c r="F133" t="s">
        <v>6107</v>
      </c>
      <c r="G133" t="s">
        <v>15</v>
      </c>
      <c r="H133" t="s">
        <v>14</v>
      </c>
      <c r="I133" t="s">
        <v>6106</v>
      </c>
      <c r="J133">
        <v>60000635</v>
      </c>
      <c r="K133" t="s">
        <v>6105</v>
      </c>
      <c r="L133" t="s">
        <v>6104</v>
      </c>
      <c r="M133" t="s">
        <v>10</v>
      </c>
      <c r="N133">
        <v>4</v>
      </c>
      <c r="O133" t="s">
        <v>6103</v>
      </c>
      <c r="P133" t="s">
        <v>6102</v>
      </c>
      <c r="Q133" t="s">
        <v>6101</v>
      </c>
      <c r="R133" s="7">
        <v>30317</v>
      </c>
      <c r="S133" s="8">
        <f t="shared" si="16"/>
        <v>1983</v>
      </c>
      <c r="T133" s="8">
        <v>1983</v>
      </c>
      <c r="U133" s="8">
        <f t="shared" si="17"/>
        <v>39</v>
      </c>
      <c r="V133" s="7">
        <v>1983</v>
      </c>
      <c r="W133" t="s">
        <v>65</v>
      </c>
      <c r="X133" s="2">
        <v>0.89900000000000002</v>
      </c>
      <c r="Y133" s="6">
        <f t="shared" si="22"/>
        <v>2.399829155655215E-2</v>
      </c>
      <c r="AA133">
        <v>221910</v>
      </c>
      <c r="AB133">
        <v>20487</v>
      </c>
      <c r="AD133" t="s">
        <v>5</v>
      </c>
      <c r="AE133">
        <v>29</v>
      </c>
      <c r="AF133">
        <v>8</v>
      </c>
      <c r="AH133" t="s">
        <v>6100</v>
      </c>
      <c r="AI133" t="s">
        <v>6099</v>
      </c>
      <c r="AJ133" t="s">
        <v>6098</v>
      </c>
      <c r="AK133" t="s">
        <v>6097</v>
      </c>
      <c r="AL133">
        <v>6</v>
      </c>
      <c r="AM133" s="5">
        <f t="shared" si="18"/>
        <v>0.15384615384615385</v>
      </c>
      <c r="AN133" s="4">
        <f t="shared" si="23"/>
        <v>2.3301197099000962E-4</v>
      </c>
      <c r="AO133" s="3"/>
      <c r="AP133">
        <v>0</v>
      </c>
      <c r="AR133" t="s">
        <v>1</v>
      </c>
      <c r="AT133" s="2">
        <v>2.3540000000000001</v>
      </c>
      <c r="AU133" s="1">
        <f t="shared" si="19"/>
        <v>1.6868707680883506</v>
      </c>
      <c r="AV133" s="1">
        <f t="shared" si="20"/>
        <v>1.2115651763771078</v>
      </c>
      <c r="AW133" s="1">
        <f t="shared" si="21"/>
        <v>0.73625958466586505</v>
      </c>
    </row>
    <row r="134" spans="1:49" x14ac:dyDescent="0.2">
      <c r="A134">
        <v>132</v>
      </c>
      <c r="B134" t="s">
        <v>6096</v>
      </c>
      <c r="C134" t="s">
        <v>6095</v>
      </c>
      <c r="F134" t="s">
        <v>6094</v>
      </c>
      <c r="G134" t="s">
        <v>15</v>
      </c>
      <c r="H134" t="s">
        <v>14</v>
      </c>
      <c r="I134" t="s">
        <v>6093</v>
      </c>
      <c r="J134">
        <v>60009658</v>
      </c>
      <c r="K134" t="s">
        <v>6092</v>
      </c>
      <c r="L134" t="s">
        <v>6091</v>
      </c>
      <c r="M134" t="s">
        <v>271</v>
      </c>
      <c r="N134">
        <v>2</v>
      </c>
      <c r="O134" t="s">
        <v>6090</v>
      </c>
      <c r="P134" t="s">
        <v>6089</v>
      </c>
      <c r="Q134" t="s">
        <v>6088</v>
      </c>
      <c r="R134" s="7">
        <v>30317</v>
      </c>
      <c r="S134" s="8">
        <f t="shared" si="16"/>
        <v>1983</v>
      </c>
      <c r="T134" s="8">
        <v>1983</v>
      </c>
      <c r="U134" s="8">
        <f t="shared" si="17"/>
        <v>39</v>
      </c>
      <c r="V134" s="7">
        <v>1983</v>
      </c>
      <c r="W134" t="s">
        <v>5936</v>
      </c>
      <c r="X134" s="2">
        <v>0.22500000000000001</v>
      </c>
      <c r="Y134" s="6">
        <f t="shared" si="22"/>
        <v>6.0062464963562111E-3</v>
      </c>
      <c r="AA134">
        <v>2726343</v>
      </c>
      <c r="AB134">
        <v>16128</v>
      </c>
      <c r="AC134" t="s">
        <v>5935</v>
      </c>
      <c r="AD134" t="s">
        <v>5</v>
      </c>
      <c r="AE134">
        <v>3</v>
      </c>
      <c r="AF134" s="9">
        <v>44289</v>
      </c>
      <c r="AH134" t="s">
        <v>6087</v>
      </c>
      <c r="AI134" t="s">
        <v>6086</v>
      </c>
      <c r="AK134" t="s">
        <v>6085</v>
      </c>
      <c r="AL134">
        <v>1</v>
      </c>
      <c r="AM134" s="5">
        <f t="shared" si="18"/>
        <v>2.564102564102564E-2</v>
      </c>
      <c r="AN134" s="4">
        <f t="shared" si="23"/>
        <v>3.8835328498334935E-5</v>
      </c>
      <c r="AO134" s="3"/>
      <c r="AP134">
        <v>0</v>
      </c>
      <c r="AR134" t="s">
        <v>1</v>
      </c>
      <c r="AT134" s="2">
        <v>1.099</v>
      </c>
      <c r="AU134" s="1">
        <f t="shared" si="19"/>
        <v>0.42160231459988479</v>
      </c>
      <c r="AV134" s="1">
        <f t="shared" si="20"/>
        <v>0.30225409124272729</v>
      </c>
      <c r="AW134" s="1">
        <f t="shared" si="21"/>
        <v>0.18290586788556978</v>
      </c>
    </row>
    <row r="135" spans="1:49" x14ac:dyDescent="0.2">
      <c r="A135">
        <v>133</v>
      </c>
      <c r="B135" t="s">
        <v>6084</v>
      </c>
      <c r="C135" t="s">
        <v>6083</v>
      </c>
      <c r="D135">
        <v>32063383900971</v>
      </c>
      <c r="F135" t="s">
        <v>6082</v>
      </c>
      <c r="G135" t="s">
        <v>15</v>
      </c>
      <c r="H135" t="s">
        <v>14</v>
      </c>
      <c r="I135" t="s">
        <v>6081</v>
      </c>
      <c r="J135" t="s">
        <v>6080</v>
      </c>
      <c r="K135" t="s">
        <v>6079</v>
      </c>
      <c r="L135" t="s">
        <v>6078</v>
      </c>
      <c r="M135" t="s">
        <v>6077</v>
      </c>
      <c r="N135">
        <v>3</v>
      </c>
      <c r="O135" t="s">
        <v>6076</v>
      </c>
      <c r="P135" t="s">
        <v>6075</v>
      </c>
      <c r="Q135" t="s">
        <v>6074</v>
      </c>
      <c r="R135" s="7">
        <v>30317</v>
      </c>
      <c r="S135" s="8">
        <f t="shared" si="16"/>
        <v>1983</v>
      </c>
      <c r="T135" s="8">
        <v>1983</v>
      </c>
      <c r="U135" s="8">
        <f t="shared" si="17"/>
        <v>39</v>
      </c>
      <c r="V135" s="7">
        <v>30590</v>
      </c>
      <c r="W135" t="s">
        <v>51</v>
      </c>
      <c r="X135" s="2">
        <v>0.69599999999999995</v>
      </c>
      <c r="Y135" s="6">
        <f t="shared" si="22"/>
        <v>1.857932249539521E-2</v>
      </c>
      <c r="AA135">
        <v>320633</v>
      </c>
      <c r="AB135">
        <v>27773</v>
      </c>
      <c r="AD135" t="s">
        <v>5</v>
      </c>
      <c r="AE135">
        <v>31</v>
      </c>
      <c r="AF135">
        <v>10</v>
      </c>
      <c r="AH135" t="s">
        <v>6073</v>
      </c>
      <c r="AI135" t="s">
        <v>6072</v>
      </c>
      <c r="AK135" t="s">
        <v>6071</v>
      </c>
      <c r="AL135">
        <v>4</v>
      </c>
      <c r="AM135" s="5">
        <f t="shared" si="18"/>
        <v>0.10256410256410256</v>
      </c>
      <c r="AN135" s="4">
        <f t="shared" si="23"/>
        <v>1.5534131399333974E-4</v>
      </c>
      <c r="AO135" s="3"/>
      <c r="AP135">
        <v>0</v>
      </c>
      <c r="AR135" t="s">
        <v>1</v>
      </c>
      <c r="AT135" s="2">
        <v>2.0299999999999998</v>
      </c>
      <c r="AU135" s="1">
        <f t="shared" si="19"/>
        <v>1.3052128140974648</v>
      </c>
      <c r="AV135" s="1">
        <f t="shared" si="20"/>
        <v>0.93673319046942738</v>
      </c>
      <c r="AW135" s="1">
        <f t="shared" si="21"/>
        <v>0.56825356684139006</v>
      </c>
    </row>
    <row r="136" spans="1:49" x14ac:dyDescent="0.2">
      <c r="A136">
        <v>134</v>
      </c>
      <c r="B136" t="s">
        <v>6070</v>
      </c>
      <c r="C136" t="s">
        <v>6069</v>
      </c>
      <c r="F136" t="s">
        <v>6068</v>
      </c>
      <c r="G136" t="s">
        <v>15</v>
      </c>
      <c r="H136" t="s">
        <v>14</v>
      </c>
      <c r="I136" t="s">
        <v>6067</v>
      </c>
      <c r="J136" t="s">
        <v>6066</v>
      </c>
      <c r="K136" t="s">
        <v>6065</v>
      </c>
      <c r="L136" t="s">
        <v>6064</v>
      </c>
      <c r="M136" t="s">
        <v>6063</v>
      </c>
      <c r="N136">
        <v>9</v>
      </c>
      <c r="O136" t="s">
        <v>6062</v>
      </c>
      <c r="P136" t="s">
        <v>6061</v>
      </c>
      <c r="Q136" t="s">
        <v>6060</v>
      </c>
      <c r="R136" s="7">
        <v>30317</v>
      </c>
      <c r="S136" s="8">
        <f t="shared" si="16"/>
        <v>1983</v>
      </c>
      <c r="T136" s="8">
        <v>1983</v>
      </c>
      <c r="U136" s="8">
        <f t="shared" si="17"/>
        <v>39</v>
      </c>
      <c r="V136" s="7">
        <v>1983</v>
      </c>
      <c r="W136" t="s">
        <v>6059</v>
      </c>
      <c r="X136" s="2">
        <v>3.6880000000000002</v>
      </c>
      <c r="Y136" s="6">
        <f t="shared" si="22"/>
        <v>9.8449053682496471E-2</v>
      </c>
      <c r="AA136">
        <v>319007</v>
      </c>
      <c r="AB136">
        <v>29150</v>
      </c>
      <c r="AD136" t="s">
        <v>5</v>
      </c>
      <c r="AE136">
        <v>51</v>
      </c>
      <c r="AF136">
        <v>12</v>
      </c>
      <c r="AH136" t="s">
        <v>6058</v>
      </c>
      <c r="AI136" t="s">
        <v>6057</v>
      </c>
      <c r="AK136" t="s">
        <v>6056</v>
      </c>
      <c r="AL136">
        <v>33</v>
      </c>
      <c r="AM136" s="5">
        <f t="shared" si="18"/>
        <v>0.84615384615384615</v>
      </c>
      <c r="AN136" s="4">
        <f t="shared" si="23"/>
        <v>1.2815658404450529E-3</v>
      </c>
      <c r="AO136" s="3"/>
      <c r="AP136">
        <v>0</v>
      </c>
      <c r="AR136" t="s">
        <v>1</v>
      </c>
      <c r="AT136" s="2">
        <v>9.1609999999999996</v>
      </c>
      <c r="AU136" s="1">
        <f t="shared" si="19"/>
        <v>6.9298807329881047</v>
      </c>
      <c r="AV136" s="1">
        <f t="shared" si="20"/>
        <v>4.9865309761470762</v>
      </c>
      <c r="AW136" s="1">
        <f t="shared" si="21"/>
        <v>3.0431812193060481</v>
      </c>
    </row>
    <row r="137" spans="1:49" x14ac:dyDescent="0.2">
      <c r="A137">
        <v>135</v>
      </c>
      <c r="B137" t="s">
        <v>6055</v>
      </c>
      <c r="C137" t="s">
        <v>6054</v>
      </c>
      <c r="F137" t="s">
        <v>6053</v>
      </c>
      <c r="G137" t="s">
        <v>15</v>
      </c>
      <c r="H137" t="s">
        <v>14</v>
      </c>
      <c r="I137" t="s">
        <v>6052</v>
      </c>
      <c r="J137">
        <v>60031581</v>
      </c>
      <c r="K137" t="s">
        <v>6051</v>
      </c>
      <c r="L137" t="s">
        <v>719</v>
      </c>
      <c r="M137" t="s">
        <v>10</v>
      </c>
      <c r="N137">
        <v>3</v>
      </c>
      <c r="O137" t="s">
        <v>6050</v>
      </c>
      <c r="P137" t="s">
        <v>6049</v>
      </c>
      <c r="Q137" t="s">
        <v>6048</v>
      </c>
      <c r="R137" s="7">
        <v>30317</v>
      </c>
      <c r="S137" s="8">
        <f t="shared" si="16"/>
        <v>1983</v>
      </c>
      <c r="T137" s="8">
        <v>1983</v>
      </c>
      <c r="U137" s="8">
        <f t="shared" si="17"/>
        <v>39</v>
      </c>
      <c r="V137" s="7">
        <v>1983</v>
      </c>
      <c r="W137" t="s">
        <v>5936</v>
      </c>
      <c r="X137" s="2">
        <v>0.22500000000000001</v>
      </c>
      <c r="Y137" s="6">
        <f t="shared" si="22"/>
        <v>6.0062464963562111E-3</v>
      </c>
      <c r="AA137">
        <v>2726343</v>
      </c>
      <c r="AB137">
        <v>16128</v>
      </c>
      <c r="AC137" t="s">
        <v>5935</v>
      </c>
      <c r="AD137" t="s">
        <v>5</v>
      </c>
      <c r="AE137">
        <v>3</v>
      </c>
      <c r="AF137" s="9">
        <v>44289</v>
      </c>
      <c r="AH137" t="s">
        <v>6047</v>
      </c>
      <c r="AI137" t="s">
        <v>6046</v>
      </c>
      <c r="AK137" t="s">
        <v>6045</v>
      </c>
      <c r="AL137">
        <v>8</v>
      </c>
      <c r="AM137" s="5">
        <f t="shared" si="18"/>
        <v>0.20512820512820512</v>
      </c>
      <c r="AN137" s="4">
        <f t="shared" si="23"/>
        <v>3.1068262798667948E-4</v>
      </c>
      <c r="AO137" s="3"/>
      <c r="AP137">
        <v>0</v>
      </c>
      <c r="AR137" t="s">
        <v>1</v>
      </c>
      <c r="AT137" s="2">
        <v>1.099</v>
      </c>
      <c r="AU137" s="1">
        <f t="shared" si="19"/>
        <v>0.42975773358453517</v>
      </c>
      <c r="AV137" s="1">
        <f t="shared" si="20"/>
        <v>0.31584645621714452</v>
      </c>
      <c r="AW137" s="1">
        <f t="shared" si="21"/>
        <v>0.2019351788497539</v>
      </c>
    </row>
    <row r="138" spans="1:49" x14ac:dyDescent="0.2">
      <c r="A138">
        <v>136</v>
      </c>
      <c r="B138" t="s">
        <v>6044</v>
      </c>
      <c r="F138" t="s">
        <v>6043</v>
      </c>
      <c r="G138" t="s">
        <v>15</v>
      </c>
      <c r="H138" t="s">
        <v>14</v>
      </c>
      <c r="I138" t="s">
        <v>6042</v>
      </c>
      <c r="N138">
        <v>2</v>
      </c>
      <c r="O138" t="s">
        <v>6041</v>
      </c>
      <c r="P138" t="s">
        <v>6040</v>
      </c>
      <c r="Q138" t="s">
        <v>342</v>
      </c>
      <c r="R138" s="7">
        <v>30317</v>
      </c>
      <c r="S138" s="8">
        <f t="shared" si="16"/>
        <v>1983</v>
      </c>
      <c r="T138" s="8">
        <v>1983</v>
      </c>
      <c r="U138" s="8">
        <f t="shared" si="17"/>
        <v>39</v>
      </c>
      <c r="V138" s="7" t="s">
        <v>3597</v>
      </c>
      <c r="W138" t="s">
        <v>6039</v>
      </c>
      <c r="X138" s="2">
        <v>0.10100000000000001</v>
      </c>
      <c r="Y138" s="6">
        <f t="shared" si="22"/>
        <v>2.6961373161421215E-3</v>
      </c>
      <c r="AA138">
        <v>84492</v>
      </c>
      <c r="AB138">
        <v>19076</v>
      </c>
      <c r="AD138" t="s">
        <v>5</v>
      </c>
      <c r="AE138">
        <v>104</v>
      </c>
      <c r="AF138">
        <v>7</v>
      </c>
      <c r="AI138" t="s">
        <v>6038</v>
      </c>
      <c r="AK138" t="s">
        <v>6037</v>
      </c>
      <c r="AL138">
        <v>0</v>
      </c>
      <c r="AM138" s="5">
        <f t="shared" si="18"/>
        <v>0</v>
      </c>
      <c r="AN138" s="4">
        <f t="shared" si="23"/>
        <v>0</v>
      </c>
      <c r="AO138" s="3"/>
      <c r="AP138">
        <v>0</v>
      </c>
      <c r="AR138" t="s">
        <v>1</v>
      </c>
      <c r="AT138" s="2" t="s">
        <v>0</v>
      </c>
      <c r="AU138" s="1">
        <f t="shared" si="19"/>
        <v>0.18872961212994849</v>
      </c>
      <c r="AV138" s="1">
        <f t="shared" si="20"/>
        <v>0.13480686580710607</v>
      </c>
      <c r="AW138" s="1">
        <f t="shared" si="21"/>
        <v>8.0884119484263647E-2</v>
      </c>
    </row>
    <row r="139" spans="1:49" x14ac:dyDescent="0.2">
      <c r="A139">
        <v>137</v>
      </c>
      <c r="B139" t="s">
        <v>6036</v>
      </c>
      <c r="C139" t="s">
        <v>6035</v>
      </c>
      <c r="F139" t="s">
        <v>6034</v>
      </c>
      <c r="G139" t="s">
        <v>15</v>
      </c>
      <c r="H139" t="s">
        <v>14</v>
      </c>
      <c r="I139" t="s">
        <v>6033</v>
      </c>
      <c r="J139" t="s">
        <v>6032</v>
      </c>
      <c r="K139" t="s">
        <v>6031</v>
      </c>
      <c r="L139" t="s">
        <v>6030</v>
      </c>
      <c r="M139" t="s">
        <v>216</v>
      </c>
      <c r="N139">
        <v>4</v>
      </c>
      <c r="O139" t="s">
        <v>6029</v>
      </c>
      <c r="P139" t="s">
        <v>6028</v>
      </c>
      <c r="Q139" t="s">
        <v>6027</v>
      </c>
      <c r="R139" s="7">
        <v>30317</v>
      </c>
      <c r="S139" s="8">
        <f t="shared" si="16"/>
        <v>1983</v>
      </c>
      <c r="T139" s="8">
        <v>1983</v>
      </c>
      <c r="U139" s="8">
        <f t="shared" si="17"/>
        <v>39</v>
      </c>
      <c r="V139" s="7">
        <v>30560</v>
      </c>
      <c r="W139" t="s">
        <v>6026</v>
      </c>
      <c r="X139" s="2">
        <v>0.76200000000000001</v>
      </c>
      <c r="Y139" s="6">
        <f t="shared" si="22"/>
        <v>2.0341154800993032E-2</v>
      </c>
      <c r="AA139">
        <v>7060661</v>
      </c>
      <c r="AB139">
        <v>17405</v>
      </c>
      <c r="AC139">
        <v>17152992</v>
      </c>
      <c r="AD139" t="s">
        <v>5</v>
      </c>
      <c r="AE139">
        <v>5</v>
      </c>
      <c r="AF139">
        <v>3</v>
      </c>
      <c r="AH139" t="s">
        <v>6025</v>
      </c>
      <c r="AI139" t="s">
        <v>6024</v>
      </c>
      <c r="AK139" t="s">
        <v>6023</v>
      </c>
      <c r="AL139">
        <v>20</v>
      </c>
      <c r="AM139" s="5">
        <f t="shared" si="18"/>
        <v>0.51282051282051277</v>
      </c>
      <c r="AN139" s="4">
        <f t="shared" si="23"/>
        <v>7.7670656996669868E-4</v>
      </c>
      <c r="AO139" s="3"/>
      <c r="AP139">
        <v>0</v>
      </c>
      <c r="AR139" t="s">
        <v>1</v>
      </c>
      <c r="AT139" s="2">
        <v>2.4420000000000002</v>
      </c>
      <c r="AU139" s="1">
        <f t="shared" si="19"/>
        <v>1.447182033168513</v>
      </c>
      <c r="AV139" s="1">
        <f t="shared" si="20"/>
        <v>1.0558930685479866</v>
      </c>
      <c r="AW139" s="1">
        <f t="shared" si="21"/>
        <v>0.66460410392745994</v>
      </c>
    </row>
    <row r="140" spans="1:49" x14ac:dyDescent="0.2">
      <c r="A140">
        <v>138</v>
      </c>
      <c r="B140" t="s">
        <v>6022</v>
      </c>
      <c r="C140" t="s">
        <v>6021</v>
      </c>
      <c r="F140" t="s">
        <v>6020</v>
      </c>
      <c r="G140" t="s">
        <v>15</v>
      </c>
      <c r="H140" t="s">
        <v>14</v>
      </c>
      <c r="I140" t="s">
        <v>6019</v>
      </c>
      <c r="J140">
        <v>113023402</v>
      </c>
      <c r="K140" t="s">
        <v>6018</v>
      </c>
      <c r="L140" t="s">
        <v>968</v>
      </c>
      <c r="M140" t="s">
        <v>175</v>
      </c>
      <c r="N140">
        <v>1</v>
      </c>
      <c r="O140" t="s">
        <v>6017</v>
      </c>
      <c r="P140">
        <v>7403964434</v>
      </c>
      <c r="Q140">
        <v>113023402</v>
      </c>
      <c r="R140" s="7">
        <v>30317</v>
      </c>
      <c r="S140" s="8">
        <f t="shared" si="16"/>
        <v>1983</v>
      </c>
      <c r="T140" s="8">
        <v>1983</v>
      </c>
      <c r="U140" s="8">
        <f t="shared" si="17"/>
        <v>39</v>
      </c>
      <c r="V140" s="7" t="s">
        <v>5958</v>
      </c>
      <c r="W140" t="s">
        <v>5957</v>
      </c>
      <c r="X140" s="2">
        <v>0.24099999999999999</v>
      </c>
      <c r="Y140" s="6">
        <f t="shared" si="22"/>
        <v>6.4333573583193185E-3</v>
      </c>
      <c r="AA140">
        <v>305316</v>
      </c>
      <c r="AB140">
        <v>21064</v>
      </c>
      <c r="AC140">
        <v>21578745</v>
      </c>
      <c r="AD140" t="s">
        <v>5</v>
      </c>
      <c r="AE140">
        <v>17</v>
      </c>
      <c r="AF140">
        <v>1</v>
      </c>
      <c r="AH140" s="10">
        <v>12420</v>
      </c>
      <c r="AI140" t="s">
        <v>6016</v>
      </c>
      <c r="AK140" t="s">
        <v>6015</v>
      </c>
      <c r="AL140">
        <v>5</v>
      </c>
      <c r="AM140" s="5">
        <f t="shared" si="18"/>
        <v>0.12820512820512819</v>
      </c>
      <c r="AN140" s="4">
        <f t="shared" si="23"/>
        <v>1.9417664249167467E-4</v>
      </c>
      <c r="AO140" s="3"/>
      <c r="AP140">
        <v>0</v>
      </c>
      <c r="AR140" t="s">
        <v>1</v>
      </c>
      <c r="AT140" s="2">
        <v>0.52700000000000002</v>
      </c>
      <c r="AU140" s="1">
        <f t="shared" si="19"/>
        <v>0.45616031435710247</v>
      </c>
      <c r="AV140" s="1">
        <f t="shared" si="20"/>
        <v>0.33137670004054964</v>
      </c>
      <c r="AW140" s="1">
        <f t="shared" si="21"/>
        <v>0.20659308572399676</v>
      </c>
    </row>
    <row r="141" spans="1:49" x14ac:dyDescent="0.2">
      <c r="A141">
        <v>139</v>
      </c>
      <c r="B141" t="s">
        <v>6014</v>
      </c>
      <c r="F141" t="s">
        <v>6013</v>
      </c>
      <c r="G141" t="s">
        <v>15</v>
      </c>
      <c r="H141" t="s">
        <v>14</v>
      </c>
      <c r="I141" t="s">
        <v>6012</v>
      </c>
      <c r="J141" t="s">
        <v>6011</v>
      </c>
      <c r="K141" t="s">
        <v>6010</v>
      </c>
      <c r="L141" t="s">
        <v>6009</v>
      </c>
      <c r="M141" t="s">
        <v>91</v>
      </c>
      <c r="N141">
        <v>2</v>
      </c>
      <c r="O141" t="s">
        <v>6008</v>
      </c>
      <c r="P141" t="s">
        <v>6007</v>
      </c>
      <c r="Q141" t="s">
        <v>6006</v>
      </c>
      <c r="R141" s="7">
        <v>30317</v>
      </c>
      <c r="S141" s="8">
        <f t="shared" si="16"/>
        <v>1983</v>
      </c>
      <c r="T141" s="8">
        <v>1983</v>
      </c>
      <c r="U141" s="8">
        <f t="shared" si="17"/>
        <v>39</v>
      </c>
      <c r="V141" s="7">
        <v>30468</v>
      </c>
      <c r="W141" t="s">
        <v>6005</v>
      </c>
      <c r="X141" s="2">
        <v>0.76500000000000001</v>
      </c>
      <c r="Y141" s="6">
        <f t="shared" si="22"/>
        <v>2.0421238087611118E-2</v>
      </c>
      <c r="AA141">
        <v>138703</v>
      </c>
      <c r="AB141">
        <v>19793</v>
      </c>
      <c r="AC141">
        <v>15707458</v>
      </c>
      <c r="AD141" t="s">
        <v>5</v>
      </c>
      <c r="AE141">
        <v>33</v>
      </c>
      <c r="AF141">
        <v>2</v>
      </c>
      <c r="AH141" t="s">
        <v>6004</v>
      </c>
      <c r="AI141" t="s">
        <v>6003</v>
      </c>
      <c r="AJ141" t="s">
        <v>6002</v>
      </c>
      <c r="AK141" t="s">
        <v>6001</v>
      </c>
      <c r="AL141">
        <v>22</v>
      </c>
      <c r="AM141" s="5">
        <f t="shared" si="18"/>
        <v>0.5641025641025641</v>
      </c>
      <c r="AN141" s="4">
        <f t="shared" si="23"/>
        <v>8.5437722696336859E-4</v>
      </c>
      <c r="AO141" s="3"/>
      <c r="AP141">
        <v>0</v>
      </c>
      <c r="AR141" t="s">
        <v>1</v>
      </c>
      <c r="AT141" s="2" t="s">
        <v>0</v>
      </c>
      <c r="AU141" s="1">
        <f t="shared" si="19"/>
        <v>1.4551179829416792</v>
      </c>
      <c r="AV141" s="1">
        <f t="shared" si="20"/>
        <v>1.0637807657287244</v>
      </c>
      <c r="AW141" s="1">
        <f t="shared" si="21"/>
        <v>0.67244354851576937</v>
      </c>
    </row>
    <row r="142" spans="1:49" x14ac:dyDescent="0.2">
      <c r="A142">
        <v>140</v>
      </c>
      <c r="B142" t="s">
        <v>6000</v>
      </c>
      <c r="C142" t="s">
        <v>5999</v>
      </c>
      <c r="F142" t="s">
        <v>5998</v>
      </c>
      <c r="G142" t="s">
        <v>15</v>
      </c>
      <c r="H142" t="s">
        <v>14</v>
      </c>
      <c r="I142" t="s">
        <v>5997</v>
      </c>
      <c r="J142">
        <v>60004969</v>
      </c>
      <c r="K142" t="s">
        <v>5996</v>
      </c>
      <c r="L142" t="s">
        <v>5995</v>
      </c>
      <c r="M142" t="s">
        <v>4275</v>
      </c>
      <c r="N142">
        <v>3</v>
      </c>
      <c r="O142" t="s">
        <v>5994</v>
      </c>
      <c r="P142" t="s">
        <v>5993</v>
      </c>
      <c r="Q142" t="s">
        <v>5992</v>
      </c>
      <c r="R142" s="7">
        <v>30317</v>
      </c>
      <c r="S142" s="8">
        <f t="shared" si="16"/>
        <v>1983</v>
      </c>
      <c r="T142" s="8">
        <v>1983</v>
      </c>
      <c r="U142" s="8">
        <f t="shared" si="17"/>
        <v>39</v>
      </c>
      <c r="V142" s="7">
        <v>30317</v>
      </c>
      <c r="W142" t="s">
        <v>5991</v>
      </c>
      <c r="X142" s="2" t="s">
        <v>0</v>
      </c>
      <c r="Y142" s="6" t="e">
        <f t="shared" si="22"/>
        <v>#VALUE!</v>
      </c>
      <c r="AA142">
        <v>3734137</v>
      </c>
      <c r="AB142">
        <v>21100438727</v>
      </c>
      <c r="AD142" t="s">
        <v>5</v>
      </c>
      <c r="AE142">
        <v>50</v>
      </c>
      <c r="AF142" s="9">
        <v>44289</v>
      </c>
      <c r="AH142" t="s">
        <v>5990</v>
      </c>
      <c r="AI142" t="s">
        <v>5989</v>
      </c>
      <c r="AK142" t="s">
        <v>5988</v>
      </c>
      <c r="AL142">
        <v>5</v>
      </c>
      <c r="AM142" s="5">
        <f t="shared" si="18"/>
        <v>0.12820512820512819</v>
      </c>
      <c r="AN142" s="4">
        <f t="shared" si="23"/>
        <v>1.9417664249167467E-4</v>
      </c>
      <c r="AO142" s="3"/>
      <c r="AP142">
        <v>1</v>
      </c>
      <c r="AR142" t="s">
        <v>1</v>
      </c>
      <c r="AT142" s="2" t="s">
        <v>0</v>
      </c>
      <c r="AU142" s="1" t="e">
        <f t="shared" si="19"/>
        <v>#VALUE!</v>
      </c>
      <c r="AV142" s="1" t="e">
        <f t="shared" si="20"/>
        <v>#VALUE!</v>
      </c>
      <c r="AW142" s="1" t="e">
        <f t="shared" si="21"/>
        <v>#VALUE!</v>
      </c>
    </row>
    <row r="143" spans="1:49" x14ac:dyDescent="0.2">
      <c r="A143">
        <v>141</v>
      </c>
      <c r="B143" t="s">
        <v>5987</v>
      </c>
      <c r="C143" t="s">
        <v>5986</v>
      </c>
      <c r="D143" t="s">
        <v>5985</v>
      </c>
      <c r="F143" t="s">
        <v>5984</v>
      </c>
      <c r="G143" t="s">
        <v>15</v>
      </c>
      <c r="H143" t="s">
        <v>14</v>
      </c>
      <c r="I143" t="s">
        <v>5983</v>
      </c>
      <c r="J143">
        <v>60016418</v>
      </c>
      <c r="K143" t="s">
        <v>5982</v>
      </c>
      <c r="L143" t="s">
        <v>5981</v>
      </c>
      <c r="M143" t="s">
        <v>271</v>
      </c>
      <c r="N143">
        <v>1</v>
      </c>
      <c r="O143" t="s">
        <v>5980</v>
      </c>
      <c r="P143">
        <v>24539162200</v>
      </c>
      <c r="Q143">
        <v>60016418</v>
      </c>
      <c r="R143" s="7">
        <v>30317</v>
      </c>
      <c r="S143" s="8">
        <f t="shared" si="16"/>
        <v>1983</v>
      </c>
      <c r="T143" s="8">
        <v>1983</v>
      </c>
      <c r="U143" s="8">
        <f t="shared" si="17"/>
        <v>39</v>
      </c>
      <c r="V143" s="7">
        <v>30348</v>
      </c>
      <c r="W143" t="s">
        <v>5979</v>
      </c>
      <c r="X143" s="2">
        <v>1.2609999999999999</v>
      </c>
      <c r="Y143" s="6">
        <f t="shared" si="22"/>
        <v>3.3661674808467469E-2</v>
      </c>
      <c r="AA143">
        <v>33472</v>
      </c>
      <c r="AB143">
        <v>24580</v>
      </c>
      <c r="AD143" t="s">
        <v>5</v>
      </c>
      <c r="AE143">
        <v>31</v>
      </c>
      <c r="AF143">
        <v>1</v>
      </c>
      <c r="AH143" t="s">
        <v>5978</v>
      </c>
      <c r="AI143" t="s">
        <v>5977</v>
      </c>
      <c r="AK143" t="s">
        <v>5976</v>
      </c>
      <c r="AL143">
        <v>25</v>
      </c>
      <c r="AM143" s="5">
        <f t="shared" si="18"/>
        <v>0.64102564102564108</v>
      </c>
      <c r="AN143" s="4">
        <f t="shared" si="23"/>
        <v>9.7088321245837345E-4</v>
      </c>
      <c r="AO143" s="3"/>
      <c r="AP143">
        <v>0</v>
      </c>
      <c r="AR143" t="s">
        <v>1</v>
      </c>
      <c r="AS143" t="s">
        <v>1704</v>
      </c>
      <c r="AT143" s="2">
        <v>2.8439999999999999</v>
      </c>
      <c r="AU143" s="1">
        <f t="shared" si="19"/>
        <v>2.3854437329664737</v>
      </c>
      <c r="AV143" s="1">
        <f t="shared" si="20"/>
        <v>1.7316279010462923</v>
      </c>
      <c r="AW143" s="1">
        <f t="shared" si="21"/>
        <v>1.0778120691261102</v>
      </c>
    </row>
    <row r="144" spans="1:49" x14ac:dyDescent="0.2">
      <c r="A144">
        <v>142</v>
      </c>
      <c r="B144" t="s">
        <v>5975</v>
      </c>
      <c r="C144" t="s">
        <v>5974</v>
      </c>
      <c r="F144" t="s">
        <v>5973</v>
      </c>
      <c r="G144" t="s">
        <v>15</v>
      </c>
      <c r="H144" t="s">
        <v>14</v>
      </c>
      <c r="I144" t="s">
        <v>5972</v>
      </c>
      <c r="J144">
        <v>60011685</v>
      </c>
      <c r="K144" t="s">
        <v>5971</v>
      </c>
      <c r="L144" t="s">
        <v>5970</v>
      </c>
      <c r="M144" t="s">
        <v>5349</v>
      </c>
      <c r="N144">
        <v>1</v>
      </c>
      <c r="O144" t="s">
        <v>5969</v>
      </c>
      <c r="P144">
        <v>6701372735</v>
      </c>
      <c r="Q144">
        <v>60011685</v>
      </c>
      <c r="R144" s="7">
        <v>30317</v>
      </c>
      <c r="S144" s="8">
        <f t="shared" si="16"/>
        <v>1983</v>
      </c>
      <c r="T144" s="8">
        <v>1983</v>
      </c>
      <c r="U144" s="8">
        <f t="shared" si="17"/>
        <v>39</v>
      </c>
      <c r="V144" s="7">
        <v>30317</v>
      </c>
      <c r="W144" t="s">
        <v>186</v>
      </c>
      <c r="X144" s="2">
        <v>1.1579999999999999</v>
      </c>
      <c r="Y144" s="6">
        <f t="shared" si="22"/>
        <v>3.0912148634579962E-2</v>
      </c>
      <c r="AA144">
        <v>1668595</v>
      </c>
      <c r="AB144">
        <v>14223</v>
      </c>
      <c r="AC144">
        <v>15735079</v>
      </c>
      <c r="AD144" t="s">
        <v>5</v>
      </c>
      <c r="AE144">
        <v>4</v>
      </c>
      <c r="AF144">
        <v>1</v>
      </c>
      <c r="AH144" t="s">
        <v>5968</v>
      </c>
      <c r="AI144" t="s">
        <v>5967</v>
      </c>
      <c r="AJ144" t="s">
        <v>5966</v>
      </c>
      <c r="AK144" t="s">
        <v>5965</v>
      </c>
      <c r="AL144">
        <v>6</v>
      </c>
      <c r="AM144" s="5">
        <f t="shared" si="18"/>
        <v>0.15384615384615385</v>
      </c>
      <c r="AN144" s="4">
        <f t="shared" si="23"/>
        <v>2.3301197099000962E-4</v>
      </c>
      <c r="AO144" s="3"/>
      <c r="AP144">
        <v>0</v>
      </c>
      <c r="AR144" t="s">
        <v>1</v>
      </c>
      <c r="AT144" s="2">
        <v>3.573</v>
      </c>
      <c r="AU144" s="1">
        <f t="shared" si="19"/>
        <v>2.1708407635502978</v>
      </c>
      <c r="AV144" s="1">
        <f t="shared" si="20"/>
        <v>1.5572580302784986</v>
      </c>
      <c r="AW144" s="1">
        <f t="shared" si="21"/>
        <v>0.9436752970066995</v>
      </c>
    </row>
    <row r="145" spans="1:49" x14ac:dyDescent="0.2">
      <c r="A145">
        <v>143</v>
      </c>
      <c r="B145" t="s">
        <v>5964</v>
      </c>
      <c r="C145" t="s">
        <v>5963</v>
      </c>
      <c r="F145" t="s">
        <v>5962</v>
      </c>
      <c r="G145" t="s">
        <v>15</v>
      </c>
      <c r="H145" t="s">
        <v>14</v>
      </c>
      <c r="I145" t="s">
        <v>5961</v>
      </c>
      <c r="J145">
        <v>116152493</v>
      </c>
      <c r="K145" t="s">
        <v>5960</v>
      </c>
      <c r="L145" t="s">
        <v>968</v>
      </c>
      <c r="M145" t="s">
        <v>175</v>
      </c>
      <c r="N145">
        <v>1</v>
      </c>
      <c r="O145" t="s">
        <v>5959</v>
      </c>
      <c r="P145">
        <v>35934268100</v>
      </c>
      <c r="Q145">
        <v>116152493</v>
      </c>
      <c r="R145" s="7">
        <v>30317</v>
      </c>
      <c r="S145" s="8">
        <f t="shared" si="16"/>
        <v>1983</v>
      </c>
      <c r="T145" s="8">
        <v>1983</v>
      </c>
      <c r="U145" s="8">
        <f t="shared" si="17"/>
        <v>39</v>
      </c>
      <c r="V145" s="7" t="s">
        <v>5958</v>
      </c>
      <c r="W145" t="s">
        <v>5957</v>
      </c>
      <c r="X145" s="2">
        <v>0.24099999999999999</v>
      </c>
      <c r="Y145" s="6">
        <f t="shared" si="22"/>
        <v>6.4333573583193185E-3</v>
      </c>
      <c r="AA145">
        <v>305316</v>
      </c>
      <c r="AB145">
        <v>21064</v>
      </c>
      <c r="AC145">
        <v>21578745</v>
      </c>
      <c r="AD145" t="s">
        <v>5</v>
      </c>
      <c r="AE145">
        <v>17</v>
      </c>
      <c r="AF145">
        <v>1</v>
      </c>
      <c r="AH145" t="s">
        <v>5956</v>
      </c>
      <c r="AI145" t="s">
        <v>5955</v>
      </c>
      <c r="AK145" t="s">
        <v>5954</v>
      </c>
      <c r="AL145">
        <v>6</v>
      </c>
      <c r="AM145" s="5">
        <f t="shared" si="18"/>
        <v>0.15384615384615385</v>
      </c>
      <c r="AN145" s="4">
        <f t="shared" si="23"/>
        <v>2.3301197099000962E-4</v>
      </c>
      <c r="AO145" s="3"/>
      <c r="AP145">
        <v>0</v>
      </c>
      <c r="AR145" t="s">
        <v>1</v>
      </c>
      <c r="AT145" s="2">
        <v>0.52700000000000002</v>
      </c>
      <c r="AU145" s="1">
        <f t="shared" si="19"/>
        <v>0.4573253742120526</v>
      </c>
      <c r="AV145" s="1">
        <f t="shared" si="20"/>
        <v>0.33331846646546642</v>
      </c>
      <c r="AW145" s="1">
        <f t="shared" si="21"/>
        <v>0.20931155871888019</v>
      </c>
    </row>
    <row r="146" spans="1:49" x14ac:dyDescent="0.2">
      <c r="A146">
        <v>144</v>
      </c>
      <c r="B146" t="s">
        <v>5953</v>
      </c>
      <c r="C146" t="s">
        <v>5952</v>
      </c>
      <c r="F146" t="s">
        <v>5951</v>
      </c>
      <c r="G146" t="s">
        <v>15</v>
      </c>
      <c r="H146" t="s">
        <v>14</v>
      </c>
      <c r="I146" t="s">
        <v>5950</v>
      </c>
      <c r="J146">
        <v>60008435</v>
      </c>
      <c r="K146" t="s">
        <v>4008</v>
      </c>
      <c r="L146" t="s">
        <v>4007</v>
      </c>
      <c r="M146" t="s">
        <v>55</v>
      </c>
      <c r="N146">
        <v>4</v>
      </c>
      <c r="O146" t="s">
        <v>5949</v>
      </c>
      <c r="P146" t="s">
        <v>5948</v>
      </c>
      <c r="Q146" t="s">
        <v>5947</v>
      </c>
      <c r="R146" s="7">
        <v>30317</v>
      </c>
      <c r="S146" s="8">
        <f t="shared" si="16"/>
        <v>1983</v>
      </c>
      <c r="T146" s="8">
        <v>1983</v>
      </c>
      <c r="U146" s="8">
        <f t="shared" si="17"/>
        <v>39</v>
      </c>
      <c r="V146" s="7">
        <v>1983</v>
      </c>
      <c r="W146" t="s">
        <v>227</v>
      </c>
      <c r="X146" s="2">
        <v>0.111</v>
      </c>
      <c r="Y146" s="6">
        <f t="shared" si="22"/>
        <v>2.9630816048690639E-3</v>
      </c>
      <c r="AA146">
        <v>87566621</v>
      </c>
      <c r="AB146">
        <v>24890</v>
      </c>
      <c r="AC146">
        <v>15206424</v>
      </c>
      <c r="AD146" t="s">
        <v>5</v>
      </c>
      <c r="AE146">
        <v>66</v>
      </c>
      <c r="AF146">
        <v>2</v>
      </c>
      <c r="AH146" t="s">
        <v>5946</v>
      </c>
      <c r="AI146" t="s">
        <v>5945</v>
      </c>
      <c r="AK146" t="s">
        <v>5944</v>
      </c>
      <c r="AL146">
        <v>3</v>
      </c>
      <c r="AM146" s="5">
        <f t="shared" si="18"/>
        <v>7.6923076923076927E-2</v>
      </c>
      <c r="AN146" s="4">
        <f t="shared" si="23"/>
        <v>1.1650598549500481E-4</v>
      </c>
      <c r="AO146" s="3"/>
      <c r="AP146">
        <v>0</v>
      </c>
      <c r="AR146" t="s">
        <v>1</v>
      </c>
      <c r="AT146" s="2" t="s">
        <v>0</v>
      </c>
      <c r="AU146" s="1">
        <f t="shared" si="19"/>
        <v>0.2109108919056846</v>
      </c>
      <c r="AV146" s="1">
        <f t="shared" si="20"/>
        <v>0.15397937951820345</v>
      </c>
      <c r="AW146" s="1">
        <f t="shared" si="21"/>
        <v>9.7047867130722248E-2</v>
      </c>
    </row>
    <row r="147" spans="1:49" x14ac:dyDescent="0.2">
      <c r="A147">
        <v>145</v>
      </c>
      <c r="B147" t="s">
        <v>5943</v>
      </c>
      <c r="C147" t="s">
        <v>5942</v>
      </c>
      <c r="F147" t="s">
        <v>5941</v>
      </c>
      <c r="G147" t="s">
        <v>15</v>
      </c>
      <c r="H147" t="s">
        <v>14</v>
      </c>
      <c r="I147" t="s">
        <v>5940</v>
      </c>
      <c r="J147">
        <v>60005837</v>
      </c>
      <c r="K147" t="s">
        <v>3115</v>
      </c>
      <c r="L147" t="s">
        <v>1205</v>
      </c>
      <c r="M147" t="s">
        <v>10</v>
      </c>
      <c r="N147">
        <v>4</v>
      </c>
      <c r="O147" t="s">
        <v>5939</v>
      </c>
      <c r="P147" t="s">
        <v>5938</v>
      </c>
      <c r="Q147" t="s">
        <v>5937</v>
      </c>
      <c r="R147" s="7">
        <v>30317</v>
      </c>
      <c r="S147" s="8">
        <f t="shared" si="16"/>
        <v>1983</v>
      </c>
      <c r="T147" s="8">
        <v>1983</v>
      </c>
      <c r="U147" s="8">
        <f t="shared" si="17"/>
        <v>39</v>
      </c>
      <c r="V147" s="7">
        <v>1983</v>
      </c>
      <c r="W147" t="s">
        <v>5936</v>
      </c>
      <c r="X147" s="2">
        <v>0.22500000000000001</v>
      </c>
      <c r="Y147" s="6">
        <f t="shared" si="22"/>
        <v>6.0062464963562111E-3</v>
      </c>
      <c r="AA147">
        <v>2726343</v>
      </c>
      <c r="AB147">
        <v>16128</v>
      </c>
      <c r="AC147" t="s">
        <v>5935</v>
      </c>
      <c r="AD147" t="s">
        <v>5</v>
      </c>
      <c r="AE147">
        <v>3</v>
      </c>
      <c r="AF147" s="9">
        <v>44289</v>
      </c>
      <c r="AH147" t="s">
        <v>5934</v>
      </c>
      <c r="AI147" t="s">
        <v>5933</v>
      </c>
      <c r="AK147" t="s">
        <v>5932</v>
      </c>
      <c r="AL147">
        <v>13</v>
      </c>
      <c r="AM147" s="5">
        <f t="shared" si="18"/>
        <v>0.33333333333333331</v>
      </c>
      <c r="AN147" s="4">
        <f t="shared" si="23"/>
        <v>5.048592704783541E-4</v>
      </c>
      <c r="AO147" s="3"/>
      <c r="AP147">
        <v>0</v>
      </c>
      <c r="AR147" t="s">
        <v>1</v>
      </c>
      <c r="AT147" s="2">
        <v>1.099</v>
      </c>
      <c r="AU147" s="1">
        <f t="shared" si="19"/>
        <v>0.4355830328592854</v>
      </c>
      <c r="AV147" s="1">
        <f t="shared" si="20"/>
        <v>0.32555528834172826</v>
      </c>
      <c r="AW147" s="1">
        <f t="shared" si="21"/>
        <v>0.21552754382417111</v>
      </c>
    </row>
    <row r="148" spans="1:49" x14ac:dyDescent="0.2">
      <c r="A148">
        <v>146</v>
      </c>
      <c r="B148" t="s">
        <v>5931</v>
      </c>
      <c r="C148" t="s">
        <v>5930</v>
      </c>
      <c r="F148" t="s">
        <v>5929</v>
      </c>
      <c r="G148" t="s">
        <v>15</v>
      </c>
      <c r="H148" t="s">
        <v>14</v>
      </c>
      <c r="I148" t="s">
        <v>5928</v>
      </c>
      <c r="N148">
        <v>4</v>
      </c>
      <c r="O148" t="s">
        <v>5927</v>
      </c>
      <c r="P148" t="s">
        <v>5926</v>
      </c>
      <c r="Q148" t="s">
        <v>575</v>
      </c>
      <c r="R148" s="7">
        <v>30317</v>
      </c>
      <c r="S148" s="8">
        <f t="shared" si="16"/>
        <v>1983</v>
      </c>
      <c r="T148" s="8">
        <v>1983</v>
      </c>
      <c r="U148" s="8">
        <f t="shared" si="17"/>
        <v>39</v>
      </c>
      <c r="V148" s="7">
        <v>30437</v>
      </c>
      <c r="W148" t="s">
        <v>5925</v>
      </c>
      <c r="X148" s="2">
        <v>2.0070000000000001</v>
      </c>
      <c r="Y148" s="6">
        <f t="shared" si="22"/>
        <v>5.3575718747497406E-2</v>
      </c>
      <c r="AA148">
        <v>948276</v>
      </c>
      <c r="AB148">
        <v>27962</v>
      </c>
      <c r="AC148">
        <v>19448007</v>
      </c>
      <c r="AD148" t="s">
        <v>5</v>
      </c>
      <c r="AE148">
        <v>10</v>
      </c>
      <c r="AF148">
        <v>5</v>
      </c>
      <c r="AH148" t="s">
        <v>5924</v>
      </c>
      <c r="AI148" t="s">
        <v>5923</v>
      </c>
      <c r="AK148" t="s">
        <v>5922</v>
      </c>
      <c r="AL148">
        <v>23</v>
      </c>
      <c r="AM148" s="5">
        <f t="shared" si="18"/>
        <v>0.58974358974358976</v>
      </c>
      <c r="AN148" s="4">
        <f t="shared" si="23"/>
        <v>8.9321255546170354E-4</v>
      </c>
      <c r="AO148" s="3"/>
      <c r="AP148">
        <v>0</v>
      </c>
      <c r="AR148" t="s">
        <v>1</v>
      </c>
      <c r="AT148" s="2">
        <v>4.72</v>
      </c>
      <c r="AU148" s="1">
        <f t="shared" si="19"/>
        <v>3.7770966889886695</v>
      </c>
      <c r="AV148" s="1">
        <f t="shared" si="20"/>
        <v>2.7234465651479556</v>
      </c>
      <c r="AW148" s="1">
        <f t="shared" si="21"/>
        <v>1.6697964413072413</v>
      </c>
    </row>
    <row r="149" spans="1:49" x14ac:dyDescent="0.2">
      <c r="A149">
        <v>147</v>
      </c>
      <c r="B149" t="s">
        <v>5921</v>
      </c>
      <c r="C149" t="s">
        <v>5920</v>
      </c>
      <c r="F149" t="s">
        <v>5919</v>
      </c>
      <c r="G149" t="s">
        <v>15</v>
      </c>
      <c r="H149" t="s">
        <v>14</v>
      </c>
      <c r="I149" t="s">
        <v>3792</v>
      </c>
      <c r="J149">
        <v>60018020</v>
      </c>
      <c r="K149" t="s">
        <v>5918</v>
      </c>
      <c r="L149" t="s">
        <v>5917</v>
      </c>
      <c r="M149" t="s">
        <v>10</v>
      </c>
      <c r="N149">
        <v>3</v>
      </c>
      <c r="O149" t="s">
        <v>5916</v>
      </c>
      <c r="P149" t="s">
        <v>5915</v>
      </c>
      <c r="Q149" t="s">
        <v>5914</v>
      </c>
      <c r="R149" s="7">
        <v>30317</v>
      </c>
      <c r="S149" s="8">
        <f t="shared" si="16"/>
        <v>1983</v>
      </c>
      <c r="T149" s="8">
        <v>1983</v>
      </c>
      <c r="U149" s="8">
        <f t="shared" si="17"/>
        <v>39</v>
      </c>
      <c r="V149" s="7">
        <v>1983</v>
      </c>
      <c r="W149" t="s">
        <v>5913</v>
      </c>
      <c r="X149" s="2">
        <v>1.1879999999999999</v>
      </c>
      <c r="Y149" s="6">
        <f t="shared" si="22"/>
        <v>3.1712981500760788E-2</v>
      </c>
      <c r="AA149">
        <v>10706631</v>
      </c>
      <c r="AB149">
        <v>29210</v>
      </c>
      <c r="AD149" t="s">
        <v>5</v>
      </c>
      <c r="AE149">
        <v>26</v>
      </c>
      <c r="AF149">
        <v>1</v>
      </c>
      <c r="AH149" t="s">
        <v>5912</v>
      </c>
      <c r="AI149" t="s">
        <v>5911</v>
      </c>
      <c r="AK149" t="s">
        <v>5910</v>
      </c>
      <c r="AL149">
        <v>46</v>
      </c>
      <c r="AM149" s="5">
        <f t="shared" si="18"/>
        <v>1.1794871794871795</v>
      </c>
      <c r="AN149" s="4">
        <f t="shared" si="23"/>
        <v>1.7864251109234071E-3</v>
      </c>
      <c r="AO149" s="3"/>
      <c r="AP149">
        <v>0</v>
      </c>
      <c r="AR149" t="s">
        <v>1</v>
      </c>
      <c r="AT149" s="2">
        <v>3.5209999999999999</v>
      </c>
      <c r="AU149" s="1">
        <f t="shared" si="19"/>
        <v>2.2735014583809572</v>
      </c>
      <c r="AV149" s="1">
        <f t="shared" si="20"/>
        <v>1.6749703305842099</v>
      </c>
      <c r="AW149" s="1">
        <f t="shared" si="21"/>
        <v>1.0764392027874623</v>
      </c>
    </row>
    <row r="150" spans="1:49" x14ac:dyDescent="0.2">
      <c r="A150">
        <v>148</v>
      </c>
      <c r="B150" t="s">
        <v>5909</v>
      </c>
      <c r="C150" t="s">
        <v>5908</v>
      </c>
      <c r="F150" t="s">
        <v>5907</v>
      </c>
      <c r="G150" t="s">
        <v>15</v>
      </c>
      <c r="H150" t="s">
        <v>14</v>
      </c>
      <c r="I150" t="s">
        <v>5906</v>
      </c>
      <c r="J150">
        <v>60021501</v>
      </c>
      <c r="K150" t="s">
        <v>5905</v>
      </c>
      <c r="L150" t="s">
        <v>5904</v>
      </c>
      <c r="M150" t="s">
        <v>1229</v>
      </c>
      <c r="N150">
        <v>4</v>
      </c>
      <c r="O150" t="s">
        <v>5903</v>
      </c>
      <c r="P150" t="s">
        <v>5902</v>
      </c>
      <c r="Q150" t="s">
        <v>5901</v>
      </c>
      <c r="R150" s="7">
        <v>30317</v>
      </c>
      <c r="S150" s="8">
        <f t="shared" si="16"/>
        <v>1983</v>
      </c>
      <c r="T150" s="8">
        <v>1983</v>
      </c>
      <c r="U150" s="8">
        <f t="shared" si="17"/>
        <v>39</v>
      </c>
      <c r="V150" s="7">
        <v>1983</v>
      </c>
      <c r="W150" t="s">
        <v>5900</v>
      </c>
      <c r="X150" s="2" t="s">
        <v>0</v>
      </c>
      <c r="Y150" s="6" t="e">
        <f t="shared" si="22"/>
        <v>#VALUE!</v>
      </c>
      <c r="AA150">
        <v>7147511</v>
      </c>
      <c r="AB150">
        <v>40633</v>
      </c>
      <c r="AD150" t="s">
        <v>5</v>
      </c>
      <c r="AE150">
        <v>61</v>
      </c>
      <c r="AF150">
        <v>10</v>
      </c>
      <c r="AH150" t="s">
        <v>5899</v>
      </c>
      <c r="AI150" t="s">
        <v>5898</v>
      </c>
      <c r="AK150" t="s">
        <v>5897</v>
      </c>
      <c r="AL150">
        <v>6</v>
      </c>
      <c r="AM150" s="5">
        <f t="shared" si="18"/>
        <v>0.15384615384615385</v>
      </c>
      <c r="AN150" s="4">
        <f t="shared" si="23"/>
        <v>2.3301197099000962E-4</v>
      </c>
      <c r="AO150" s="3"/>
      <c r="AP150">
        <v>0</v>
      </c>
      <c r="AR150" t="s">
        <v>1</v>
      </c>
      <c r="AT150" s="2" t="s">
        <v>0</v>
      </c>
      <c r="AU150" s="1" t="e">
        <f t="shared" si="19"/>
        <v>#VALUE!</v>
      </c>
      <c r="AV150" s="1" t="e">
        <f t="shared" si="20"/>
        <v>#VALUE!</v>
      </c>
      <c r="AW150" s="1" t="e">
        <f t="shared" si="21"/>
        <v>#VALUE!</v>
      </c>
    </row>
    <row r="151" spans="1:49" x14ac:dyDescent="0.2">
      <c r="A151">
        <v>149</v>
      </c>
      <c r="B151" t="s">
        <v>5896</v>
      </c>
      <c r="F151" t="s">
        <v>5895</v>
      </c>
      <c r="G151" t="s">
        <v>15</v>
      </c>
      <c r="H151" t="s">
        <v>14</v>
      </c>
      <c r="I151" t="s">
        <v>5894</v>
      </c>
      <c r="J151">
        <v>60024541</v>
      </c>
      <c r="K151" t="s">
        <v>5893</v>
      </c>
      <c r="L151" t="s">
        <v>3126</v>
      </c>
      <c r="M151" t="s">
        <v>10</v>
      </c>
      <c r="N151">
        <v>1</v>
      </c>
      <c r="O151" t="s">
        <v>5892</v>
      </c>
      <c r="P151">
        <v>7003477324</v>
      </c>
      <c r="Q151">
        <v>60024541</v>
      </c>
      <c r="R151" s="7">
        <v>30317</v>
      </c>
      <c r="S151" s="8">
        <f t="shared" si="16"/>
        <v>1983</v>
      </c>
      <c r="T151" s="8">
        <v>1983</v>
      </c>
      <c r="U151" s="8">
        <f t="shared" si="17"/>
        <v>39</v>
      </c>
      <c r="V151" s="7">
        <v>1983</v>
      </c>
      <c r="W151" t="s">
        <v>5891</v>
      </c>
      <c r="X151" s="2" t="s">
        <v>0</v>
      </c>
      <c r="Y151" s="6" t="e">
        <f t="shared" si="22"/>
        <v>#VALUE!</v>
      </c>
      <c r="AA151">
        <v>3043568</v>
      </c>
      <c r="AB151">
        <v>40872</v>
      </c>
      <c r="AD151" t="s">
        <v>5</v>
      </c>
      <c r="AE151">
        <v>51</v>
      </c>
      <c r="AF151">
        <v>6</v>
      </c>
      <c r="AH151" t="s">
        <v>5890</v>
      </c>
      <c r="AI151" t="s">
        <v>5889</v>
      </c>
      <c r="AK151" t="s">
        <v>5888</v>
      </c>
      <c r="AL151">
        <v>3</v>
      </c>
      <c r="AM151" s="5">
        <f t="shared" si="18"/>
        <v>7.6923076923076927E-2</v>
      </c>
      <c r="AN151" s="4">
        <f t="shared" si="23"/>
        <v>1.1650598549500481E-4</v>
      </c>
      <c r="AO151" s="3"/>
      <c r="AP151">
        <v>0</v>
      </c>
      <c r="AR151" t="s">
        <v>1</v>
      </c>
      <c r="AT151" s="2" t="s">
        <v>0</v>
      </c>
      <c r="AU151" s="1" t="e">
        <f t="shared" si="19"/>
        <v>#VALUE!</v>
      </c>
      <c r="AV151" s="1" t="e">
        <f t="shared" si="20"/>
        <v>#VALUE!</v>
      </c>
      <c r="AW151" s="1" t="e">
        <f t="shared" si="21"/>
        <v>#VALUE!</v>
      </c>
    </row>
    <row r="152" spans="1:49" x14ac:dyDescent="0.2">
      <c r="A152">
        <v>150</v>
      </c>
      <c r="B152" t="s">
        <v>5887</v>
      </c>
      <c r="C152" t="s">
        <v>5886</v>
      </c>
      <c r="E152">
        <v>6316108</v>
      </c>
      <c r="F152" t="s">
        <v>5885</v>
      </c>
      <c r="G152" t="s">
        <v>15</v>
      </c>
      <c r="H152" t="s">
        <v>14</v>
      </c>
      <c r="I152" t="s">
        <v>5884</v>
      </c>
      <c r="J152">
        <v>60007457</v>
      </c>
      <c r="K152" t="s">
        <v>5883</v>
      </c>
      <c r="L152" t="s">
        <v>2717</v>
      </c>
      <c r="M152" t="s">
        <v>2716</v>
      </c>
      <c r="N152">
        <v>2</v>
      </c>
      <c r="O152" t="s">
        <v>5882</v>
      </c>
      <c r="P152" t="s">
        <v>5881</v>
      </c>
      <c r="Q152" t="s">
        <v>5880</v>
      </c>
      <c r="R152" s="7">
        <v>30317</v>
      </c>
      <c r="S152" s="8">
        <f t="shared" si="16"/>
        <v>1983</v>
      </c>
      <c r="T152" s="8">
        <v>1983</v>
      </c>
      <c r="U152" s="8">
        <f t="shared" si="17"/>
        <v>39</v>
      </c>
      <c r="V152" s="7">
        <v>1983</v>
      </c>
      <c r="W152" t="s">
        <v>5879</v>
      </c>
      <c r="X152" s="2">
        <v>0.85299999999999998</v>
      </c>
      <c r="Y152" s="6">
        <f t="shared" si="22"/>
        <v>2.277034782840821E-2</v>
      </c>
      <c r="AA152">
        <v>9687688</v>
      </c>
      <c r="AB152">
        <v>14158</v>
      </c>
      <c r="AD152" t="s">
        <v>5</v>
      </c>
      <c r="AE152">
        <v>5</v>
      </c>
      <c r="AF152">
        <v>1</v>
      </c>
      <c r="AH152" t="s">
        <v>5878</v>
      </c>
      <c r="AI152" t="s">
        <v>5877</v>
      </c>
      <c r="AJ152" t="s">
        <v>5876</v>
      </c>
      <c r="AK152" t="s">
        <v>5875</v>
      </c>
      <c r="AL152">
        <v>0</v>
      </c>
      <c r="AM152" s="5">
        <f t="shared" si="18"/>
        <v>0</v>
      </c>
      <c r="AN152" s="4">
        <f t="shared" si="23"/>
        <v>0</v>
      </c>
      <c r="AO152" s="3"/>
      <c r="AP152">
        <v>0</v>
      </c>
      <c r="AR152" t="s">
        <v>1</v>
      </c>
      <c r="AT152" s="2">
        <v>2.8570000000000002</v>
      </c>
      <c r="AU152" s="1">
        <f t="shared" si="19"/>
        <v>1.5939243479885745</v>
      </c>
      <c r="AV152" s="1">
        <f t="shared" si="20"/>
        <v>1.1385173914204105</v>
      </c>
      <c r="AW152" s="1">
        <f t="shared" si="21"/>
        <v>0.68311043485224632</v>
      </c>
    </row>
    <row r="153" spans="1:49" x14ac:dyDescent="0.2">
      <c r="A153">
        <v>151</v>
      </c>
      <c r="B153" t="s">
        <v>5874</v>
      </c>
      <c r="C153" t="s">
        <v>5873</v>
      </c>
      <c r="E153">
        <v>6643719</v>
      </c>
      <c r="F153" t="s">
        <v>5872</v>
      </c>
      <c r="G153" t="s">
        <v>15</v>
      </c>
      <c r="H153" t="s">
        <v>14</v>
      </c>
      <c r="I153" t="s">
        <v>5871</v>
      </c>
      <c r="J153">
        <v>60003274</v>
      </c>
      <c r="K153" t="s">
        <v>5870</v>
      </c>
      <c r="L153" t="s">
        <v>5869</v>
      </c>
      <c r="M153" t="s">
        <v>431</v>
      </c>
      <c r="N153">
        <v>1</v>
      </c>
      <c r="O153" t="s">
        <v>5868</v>
      </c>
      <c r="P153">
        <v>7003680929</v>
      </c>
      <c r="Q153">
        <v>60003274</v>
      </c>
      <c r="R153" s="7">
        <v>30317</v>
      </c>
      <c r="S153" s="8">
        <f t="shared" si="16"/>
        <v>1983</v>
      </c>
      <c r="T153" s="8">
        <v>1983</v>
      </c>
      <c r="U153" s="8">
        <f t="shared" si="17"/>
        <v>39</v>
      </c>
      <c r="V153" s="7">
        <v>30599</v>
      </c>
      <c r="W153" t="s">
        <v>5867</v>
      </c>
      <c r="X153" s="2">
        <v>1.855</v>
      </c>
      <c r="Y153" s="6">
        <f t="shared" si="22"/>
        <v>4.9518165558847867E-2</v>
      </c>
      <c r="AA153">
        <v>219967</v>
      </c>
      <c r="AB153">
        <v>16689</v>
      </c>
      <c r="AC153">
        <v>10969861</v>
      </c>
      <c r="AD153" t="s">
        <v>5</v>
      </c>
      <c r="AE153">
        <v>220</v>
      </c>
      <c r="AF153">
        <v>1</v>
      </c>
      <c r="AH153" t="s">
        <v>5866</v>
      </c>
      <c r="AI153" t="s">
        <v>5865</v>
      </c>
      <c r="AJ153" t="s">
        <v>5864</v>
      </c>
      <c r="AK153" t="s">
        <v>5863</v>
      </c>
      <c r="AL153">
        <v>93</v>
      </c>
      <c r="AM153" s="5">
        <f t="shared" si="18"/>
        <v>2.3846153846153846</v>
      </c>
      <c r="AN153" s="4">
        <f t="shared" si="23"/>
        <v>3.6116855503451491E-3</v>
      </c>
      <c r="AO153" s="3"/>
      <c r="AP153">
        <v>0</v>
      </c>
      <c r="AR153" t="s">
        <v>1</v>
      </c>
      <c r="AT153" s="2">
        <v>3.2149999999999999</v>
      </c>
      <c r="AU153" s="1">
        <f t="shared" si="19"/>
        <v>3.5746221556297053</v>
      </c>
      <c r="AV153" s="1">
        <f t="shared" si="20"/>
        <v>2.6564925554596508</v>
      </c>
      <c r="AW153" s="1">
        <f t="shared" si="21"/>
        <v>1.7383629552895963</v>
      </c>
    </row>
    <row r="154" spans="1:49" x14ac:dyDescent="0.2">
      <c r="A154">
        <v>152</v>
      </c>
      <c r="B154" t="s">
        <v>5862</v>
      </c>
      <c r="F154" t="s">
        <v>5861</v>
      </c>
      <c r="G154" t="s">
        <v>15</v>
      </c>
      <c r="H154" t="s">
        <v>14</v>
      </c>
      <c r="I154" t="s">
        <v>5860</v>
      </c>
      <c r="J154">
        <v>60031159</v>
      </c>
      <c r="K154" t="s">
        <v>5859</v>
      </c>
      <c r="L154" t="s">
        <v>5858</v>
      </c>
      <c r="M154" t="s">
        <v>119</v>
      </c>
      <c r="N154">
        <v>1</v>
      </c>
      <c r="O154" t="s">
        <v>5857</v>
      </c>
      <c r="P154">
        <v>6603814793</v>
      </c>
      <c r="Q154">
        <v>60031159</v>
      </c>
      <c r="R154" s="7">
        <v>30317</v>
      </c>
      <c r="S154" s="8">
        <f t="shared" si="16"/>
        <v>1983</v>
      </c>
      <c r="T154" s="8">
        <v>1983</v>
      </c>
      <c r="U154" s="8">
        <f t="shared" si="17"/>
        <v>39</v>
      </c>
      <c r="V154" s="7">
        <v>1983</v>
      </c>
      <c r="W154" t="s">
        <v>5856</v>
      </c>
      <c r="X154" s="2" t="s">
        <v>0</v>
      </c>
      <c r="Y154" s="6" t="e">
        <f t="shared" si="22"/>
        <v>#VALUE!</v>
      </c>
      <c r="AA154">
        <v>3792285</v>
      </c>
      <c r="AB154">
        <v>34899</v>
      </c>
      <c r="AD154" t="s">
        <v>5</v>
      </c>
      <c r="AE154">
        <v>7</v>
      </c>
      <c r="AF154">
        <v>3</v>
      </c>
      <c r="AH154" t="s">
        <v>5855</v>
      </c>
      <c r="AI154" t="s">
        <v>5854</v>
      </c>
      <c r="AK154" t="s">
        <v>5853</v>
      </c>
      <c r="AL154">
        <v>0</v>
      </c>
      <c r="AM154" s="5">
        <f t="shared" si="18"/>
        <v>0</v>
      </c>
      <c r="AN154" s="4">
        <f t="shared" si="23"/>
        <v>0</v>
      </c>
      <c r="AO154" s="3"/>
      <c r="AP154">
        <v>0</v>
      </c>
      <c r="AR154" t="s">
        <v>1</v>
      </c>
      <c r="AT154" s="2" t="s">
        <v>0</v>
      </c>
      <c r="AU154" s="1" t="e">
        <f t="shared" si="19"/>
        <v>#VALUE!</v>
      </c>
      <c r="AV154" s="1" t="e">
        <f t="shared" si="20"/>
        <v>#VALUE!</v>
      </c>
      <c r="AW154" s="1" t="e">
        <f t="shared" si="21"/>
        <v>#VALUE!</v>
      </c>
    </row>
    <row r="155" spans="1:49" x14ac:dyDescent="0.2">
      <c r="A155">
        <v>153</v>
      </c>
      <c r="B155" t="s">
        <v>5852</v>
      </c>
      <c r="C155" t="s">
        <v>5851</v>
      </c>
      <c r="E155">
        <v>6657324</v>
      </c>
      <c r="F155" t="s">
        <v>5850</v>
      </c>
      <c r="G155" t="s">
        <v>15</v>
      </c>
      <c r="H155" t="s">
        <v>14</v>
      </c>
      <c r="I155" t="s">
        <v>5849</v>
      </c>
      <c r="J155">
        <v>60000305</v>
      </c>
      <c r="K155" t="s">
        <v>5848</v>
      </c>
      <c r="L155" t="s">
        <v>4435</v>
      </c>
      <c r="M155" t="s">
        <v>10</v>
      </c>
      <c r="N155">
        <v>2</v>
      </c>
      <c r="O155" t="s">
        <v>5847</v>
      </c>
      <c r="P155" t="s">
        <v>5846</v>
      </c>
      <c r="Q155" t="s">
        <v>5845</v>
      </c>
      <c r="R155" s="7">
        <v>30317</v>
      </c>
      <c r="S155" s="8">
        <f t="shared" si="16"/>
        <v>1983</v>
      </c>
      <c r="T155" s="8">
        <v>1983</v>
      </c>
      <c r="U155" s="8">
        <f t="shared" si="17"/>
        <v>39</v>
      </c>
      <c r="V155" s="7">
        <v>30651</v>
      </c>
      <c r="W155" t="s">
        <v>5844</v>
      </c>
      <c r="X155" s="2">
        <v>1.056</v>
      </c>
      <c r="Y155" s="6">
        <f t="shared" si="22"/>
        <v>2.818931688956515E-2</v>
      </c>
      <c r="AA155">
        <v>313998</v>
      </c>
      <c r="AB155">
        <v>15754</v>
      </c>
      <c r="AC155">
        <v>15300447</v>
      </c>
      <c r="AD155" t="s">
        <v>5</v>
      </c>
      <c r="AE155">
        <v>17</v>
      </c>
      <c r="AF155">
        <v>12</v>
      </c>
      <c r="AH155" t="s">
        <v>5843</v>
      </c>
      <c r="AI155" t="s">
        <v>5842</v>
      </c>
      <c r="AK155" t="s">
        <v>5841</v>
      </c>
      <c r="AL155">
        <v>11</v>
      </c>
      <c r="AM155" s="5">
        <f t="shared" si="18"/>
        <v>0.28205128205128205</v>
      </c>
      <c r="AN155" s="4">
        <f t="shared" si="23"/>
        <v>4.2718861348168429E-4</v>
      </c>
      <c r="AO155" s="3"/>
      <c r="AP155">
        <v>1</v>
      </c>
      <c r="AR155" t="s">
        <v>1</v>
      </c>
      <c r="AT155" s="2">
        <v>3.7559999999999998</v>
      </c>
      <c r="AU155" s="1">
        <f t="shared" si="19"/>
        <v>1.9860678406740107</v>
      </c>
      <c r="AV155" s="1">
        <f t="shared" si="20"/>
        <v>1.4308252751523416</v>
      </c>
      <c r="AW155" s="1">
        <f t="shared" si="21"/>
        <v>0.87558270963067242</v>
      </c>
    </row>
    <row r="156" spans="1:49" x14ac:dyDescent="0.2">
      <c r="A156">
        <v>154</v>
      </c>
      <c r="B156" t="s">
        <v>5840</v>
      </c>
      <c r="C156" t="s">
        <v>5839</v>
      </c>
      <c r="E156">
        <v>6416827</v>
      </c>
      <c r="F156" t="s">
        <v>5838</v>
      </c>
      <c r="G156" t="s">
        <v>15</v>
      </c>
      <c r="H156" t="s">
        <v>14</v>
      </c>
      <c r="I156" t="s">
        <v>5837</v>
      </c>
      <c r="N156">
        <v>3</v>
      </c>
      <c r="O156" t="s">
        <v>5836</v>
      </c>
      <c r="P156" t="s">
        <v>5835</v>
      </c>
      <c r="Q156" t="s">
        <v>510</v>
      </c>
      <c r="R156" s="7">
        <v>30317</v>
      </c>
      <c r="S156" s="8">
        <f t="shared" si="16"/>
        <v>1983</v>
      </c>
      <c r="T156" s="8">
        <v>1983</v>
      </c>
      <c r="U156" s="8">
        <f t="shared" si="17"/>
        <v>39</v>
      </c>
      <c r="V156" s="7">
        <v>1983</v>
      </c>
      <c r="W156" t="s">
        <v>5834</v>
      </c>
      <c r="X156" s="2" t="s">
        <v>0</v>
      </c>
      <c r="Y156" s="6" t="e">
        <f t="shared" si="22"/>
        <v>#VALUE!</v>
      </c>
      <c r="AA156">
        <v>2614189</v>
      </c>
      <c r="AB156">
        <v>17435</v>
      </c>
      <c r="AD156" t="s">
        <v>5</v>
      </c>
      <c r="AE156">
        <v>2</v>
      </c>
      <c r="AF156">
        <v>11</v>
      </c>
      <c r="AH156" t="s">
        <v>5833</v>
      </c>
      <c r="AI156" t="s">
        <v>5832</v>
      </c>
      <c r="AK156" t="s">
        <v>5831</v>
      </c>
      <c r="AL156">
        <v>152</v>
      </c>
      <c r="AM156" s="5">
        <f t="shared" si="18"/>
        <v>3.8974358974358974</v>
      </c>
      <c r="AN156" s="4">
        <f t="shared" si="23"/>
        <v>5.9029699317469098E-3</v>
      </c>
      <c r="AO156" s="3"/>
      <c r="AP156">
        <v>1</v>
      </c>
      <c r="AR156" t="s">
        <v>1</v>
      </c>
      <c r="AT156" s="2" t="s">
        <v>0</v>
      </c>
      <c r="AU156" s="1" t="e">
        <f t="shared" si="19"/>
        <v>#VALUE!</v>
      </c>
      <c r="AV156" s="1" t="e">
        <f t="shared" si="20"/>
        <v>#VALUE!</v>
      </c>
      <c r="AW156" s="1" t="e">
        <f t="shared" si="21"/>
        <v>#VALUE!</v>
      </c>
    </row>
    <row r="157" spans="1:49" x14ac:dyDescent="0.2">
      <c r="A157">
        <v>155</v>
      </c>
      <c r="B157" t="s">
        <v>5830</v>
      </c>
      <c r="F157" t="s">
        <v>5829</v>
      </c>
      <c r="G157" t="s">
        <v>15</v>
      </c>
      <c r="H157" t="s">
        <v>14</v>
      </c>
      <c r="I157" t="s">
        <v>5828</v>
      </c>
      <c r="N157">
        <v>1</v>
      </c>
      <c r="O157" t="s">
        <v>5827</v>
      </c>
      <c r="P157">
        <v>7005824981</v>
      </c>
      <c r="R157" s="7">
        <v>30317</v>
      </c>
      <c r="S157" s="8">
        <f t="shared" si="16"/>
        <v>1983</v>
      </c>
      <c r="T157" s="8">
        <v>1983</v>
      </c>
      <c r="U157" s="8">
        <f t="shared" si="17"/>
        <v>39</v>
      </c>
      <c r="V157" s="7">
        <v>1983</v>
      </c>
      <c r="W157" t="s">
        <v>5541</v>
      </c>
      <c r="X157" s="2" t="s">
        <v>0</v>
      </c>
      <c r="Y157" s="6" t="e">
        <f t="shared" si="22"/>
        <v>#VALUE!</v>
      </c>
      <c r="AA157">
        <v>289108</v>
      </c>
      <c r="AB157">
        <v>78703</v>
      </c>
      <c r="AD157" t="s">
        <v>5</v>
      </c>
      <c r="AE157">
        <v>23</v>
      </c>
      <c r="AF157">
        <v>102</v>
      </c>
      <c r="AH157">
        <v>35</v>
      </c>
      <c r="AI157" t="s">
        <v>5826</v>
      </c>
      <c r="AK157" t="s">
        <v>5825</v>
      </c>
      <c r="AL157">
        <v>0</v>
      </c>
      <c r="AM157" s="5">
        <f t="shared" si="18"/>
        <v>0</v>
      </c>
      <c r="AN157" s="4">
        <f t="shared" si="23"/>
        <v>0</v>
      </c>
      <c r="AO157" s="3"/>
      <c r="AP157">
        <v>0</v>
      </c>
      <c r="AR157" t="s">
        <v>1</v>
      </c>
      <c r="AT157" s="2" t="s">
        <v>0</v>
      </c>
      <c r="AU157" s="1" t="e">
        <f t="shared" si="19"/>
        <v>#VALUE!</v>
      </c>
      <c r="AV157" s="1" t="e">
        <f t="shared" si="20"/>
        <v>#VALUE!</v>
      </c>
      <c r="AW157" s="1" t="e">
        <f t="shared" si="21"/>
        <v>#VALUE!</v>
      </c>
    </row>
    <row r="158" spans="1:49" x14ac:dyDescent="0.2">
      <c r="A158">
        <v>156</v>
      </c>
      <c r="B158" t="s">
        <v>5824</v>
      </c>
      <c r="F158" t="s">
        <v>5823</v>
      </c>
      <c r="G158" t="s">
        <v>15</v>
      </c>
      <c r="H158" t="s">
        <v>14</v>
      </c>
      <c r="I158" t="s">
        <v>5822</v>
      </c>
      <c r="N158">
        <v>4</v>
      </c>
      <c r="O158" t="s">
        <v>5821</v>
      </c>
      <c r="P158" t="s">
        <v>5820</v>
      </c>
      <c r="Q158" t="s">
        <v>575</v>
      </c>
      <c r="R158" s="7">
        <v>30317</v>
      </c>
      <c r="S158" s="8">
        <f t="shared" si="16"/>
        <v>1983</v>
      </c>
      <c r="T158" s="8">
        <v>1983</v>
      </c>
      <c r="U158" s="8">
        <f t="shared" si="17"/>
        <v>39</v>
      </c>
      <c r="V158" s="7" t="s">
        <v>5358</v>
      </c>
      <c r="W158" t="s">
        <v>536</v>
      </c>
      <c r="X158" s="2">
        <v>0.14099999999999999</v>
      </c>
      <c r="Y158" s="6">
        <f t="shared" si="22"/>
        <v>3.7639144710498915E-3</v>
      </c>
      <c r="AA158">
        <v>402508</v>
      </c>
      <c r="AB158">
        <v>20868</v>
      </c>
      <c r="AD158" t="s">
        <v>5</v>
      </c>
      <c r="AE158" t="s">
        <v>535</v>
      </c>
      <c r="AF158">
        <v>12</v>
      </c>
      <c r="AH158" t="s">
        <v>5819</v>
      </c>
      <c r="AI158" t="s">
        <v>5818</v>
      </c>
      <c r="AK158" t="s">
        <v>5817</v>
      </c>
      <c r="AL158">
        <v>0</v>
      </c>
      <c r="AM158" s="5">
        <f t="shared" si="18"/>
        <v>0</v>
      </c>
      <c r="AN158" s="4">
        <f t="shared" si="23"/>
        <v>0</v>
      </c>
      <c r="AO158" s="3"/>
      <c r="AP158">
        <v>0</v>
      </c>
      <c r="AR158" t="s">
        <v>1</v>
      </c>
      <c r="AT158" s="2" t="s">
        <v>0</v>
      </c>
      <c r="AU158" s="1">
        <f t="shared" si="19"/>
        <v>0.26347401297349238</v>
      </c>
      <c r="AV158" s="1">
        <f t="shared" si="20"/>
        <v>0.18819572355249459</v>
      </c>
      <c r="AW158" s="1">
        <f t="shared" si="21"/>
        <v>0.11291743413149673</v>
      </c>
    </row>
    <row r="159" spans="1:49" x14ac:dyDescent="0.2">
      <c r="A159">
        <v>157</v>
      </c>
      <c r="B159" t="s">
        <v>5816</v>
      </c>
      <c r="F159" t="s">
        <v>5815</v>
      </c>
      <c r="G159" t="s">
        <v>15</v>
      </c>
      <c r="H159" t="s">
        <v>14</v>
      </c>
      <c r="I159" t="s">
        <v>5814</v>
      </c>
      <c r="N159">
        <v>1</v>
      </c>
      <c r="O159" t="s">
        <v>5813</v>
      </c>
      <c r="P159">
        <v>6507140986</v>
      </c>
      <c r="R159" s="7">
        <v>30317</v>
      </c>
      <c r="S159" s="8">
        <f t="shared" ref="S159:S222" si="24">YEAR(R159)</f>
        <v>1983</v>
      </c>
      <c r="T159" s="8">
        <v>1983</v>
      </c>
      <c r="U159" s="8">
        <f t="shared" ref="U159:U222" si="25">2022-T159</f>
        <v>39</v>
      </c>
      <c r="V159" s="7">
        <v>1983</v>
      </c>
      <c r="W159" t="s">
        <v>5541</v>
      </c>
      <c r="X159" s="2" t="s">
        <v>0</v>
      </c>
      <c r="Y159" s="6" t="e">
        <f t="shared" si="22"/>
        <v>#VALUE!</v>
      </c>
      <c r="AA159">
        <v>289108</v>
      </c>
      <c r="AB159">
        <v>78703</v>
      </c>
      <c r="AD159" t="s">
        <v>5</v>
      </c>
      <c r="AE159">
        <v>23</v>
      </c>
      <c r="AF159">
        <v>102</v>
      </c>
      <c r="AH159">
        <v>34</v>
      </c>
      <c r="AI159" t="s">
        <v>5812</v>
      </c>
      <c r="AK159" t="s">
        <v>5811</v>
      </c>
      <c r="AL159">
        <v>0</v>
      </c>
      <c r="AM159" s="5">
        <f t="shared" ref="AM159:AM222" si="26">AL159/U159</f>
        <v>0</v>
      </c>
      <c r="AN159" s="4">
        <f t="shared" si="23"/>
        <v>0</v>
      </c>
      <c r="AO159" s="3"/>
      <c r="AP159">
        <v>0</v>
      </c>
      <c r="AR159" t="s">
        <v>1</v>
      </c>
      <c r="AT159" s="2" t="s">
        <v>0</v>
      </c>
      <c r="AU159" s="1" t="e">
        <f t="shared" ref="AU159:AU222" si="27">(Y159*0.7+AN159*0.3)*100</f>
        <v>#VALUE!</v>
      </c>
      <c r="AV159" s="1" t="e">
        <f t="shared" ref="AV159:AV222" si="28">(Y159*0.5+AN159*0.5)*100</f>
        <v>#VALUE!</v>
      </c>
      <c r="AW159" s="1" t="e">
        <f t="shared" ref="AW159:AW222" si="29">(Y159*0.3+AN159*0.7)*100</f>
        <v>#VALUE!</v>
      </c>
    </row>
    <row r="160" spans="1:49" x14ac:dyDescent="0.2">
      <c r="A160">
        <v>158</v>
      </c>
      <c r="B160" t="s">
        <v>5810</v>
      </c>
      <c r="F160" t="s">
        <v>5809</v>
      </c>
      <c r="G160" t="s">
        <v>15</v>
      </c>
      <c r="H160" t="s">
        <v>14</v>
      </c>
      <c r="I160" t="s">
        <v>5808</v>
      </c>
      <c r="N160">
        <v>1</v>
      </c>
      <c r="O160" t="s">
        <v>5807</v>
      </c>
      <c r="P160">
        <v>6506706656</v>
      </c>
      <c r="R160" s="7">
        <v>30317</v>
      </c>
      <c r="S160" s="8">
        <f t="shared" si="24"/>
        <v>1983</v>
      </c>
      <c r="T160" s="8">
        <v>1983</v>
      </c>
      <c r="U160" s="8">
        <f t="shared" si="25"/>
        <v>39</v>
      </c>
      <c r="V160" s="7" t="s">
        <v>5358</v>
      </c>
      <c r="W160" t="s">
        <v>5806</v>
      </c>
      <c r="X160" s="2" t="s">
        <v>0</v>
      </c>
      <c r="Y160" s="6" t="e">
        <f t="shared" si="22"/>
        <v>#VALUE!</v>
      </c>
      <c r="AA160">
        <v>137782</v>
      </c>
      <c r="AB160">
        <v>29049</v>
      </c>
      <c r="AD160" t="s">
        <v>5</v>
      </c>
      <c r="AE160">
        <v>223</v>
      </c>
      <c r="AF160">
        <v>12</v>
      </c>
      <c r="AH160" t="s">
        <v>5805</v>
      </c>
      <c r="AI160" t="s">
        <v>5804</v>
      </c>
      <c r="AK160" t="s">
        <v>5803</v>
      </c>
      <c r="AL160">
        <v>0</v>
      </c>
      <c r="AM160" s="5">
        <f t="shared" si="26"/>
        <v>0</v>
      </c>
      <c r="AN160" s="4">
        <f t="shared" si="23"/>
        <v>0</v>
      </c>
      <c r="AO160" s="3"/>
      <c r="AP160">
        <v>0</v>
      </c>
      <c r="AR160" t="s">
        <v>1</v>
      </c>
      <c r="AT160" s="2" t="s">
        <v>0</v>
      </c>
      <c r="AU160" s="1" t="e">
        <f t="shared" si="27"/>
        <v>#VALUE!</v>
      </c>
      <c r="AV160" s="1" t="e">
        <f t="shared" si="28"/>
        <v>#VALUE!</v>
      </c>
      <c r="AW160" s="1" t="e">
        <f t="shared" si="29"/>
        <v>#VALUE!</v>
      </c>
    </row>
    <row r="161" spans="1:49" x14ac:dyDescent="0.2">
      <c r="A161">
        <v>159</v>
      </c>
      <c r="B161" t="s">
        <v>5802</v>
      </c>
      <c r="F161" t="s">
        <v>5801</v>
      </c>
      <c r="G161" t="s">
        <v>15</v>
      </c>
      <c r="H161" t="s">
        <v>14</v>
      </c>
      <c r="I161" t="s">
        <v>5800</v>
      </c>
      <c r="N161">
        <v>1</v>
      </c>
      <c r="O161" t="s">
        <v>5799</v>
      </c>
      <c r="P161">
        <v>7005682842</v>
      </c>
      <c r="R161" s="7">
        <v>30317</v>
      </c>
      <c r="S161" s="8">
        <f t="shared" si="24"/>
        <v>1983</v>
      </c>
      <c r="T161" s="8">
        <v>1983</v>
      </c>
      <c r="U161" s="8">
        <f t="shared" si="25"/>
        <v>39</v>
      </c>
      <c r="V161" s="7" t="s">
        <v>5358</v>
      </c>
      <c r="W161" t="s">
        <v>536</v>
      </c>
      <c r="X161" s="2">
        <v>0.14099999999999999</v>
      </c>
      <c r="Y161" s="6">
        <f t="shared" si="22"/>
        <v>3.7639144710498915E-3</v>
      </c>
      <c r="AA161">
        <v>402508</v>
      </c>
      <c r="AB161">
        <v>20868</v>
      </c>
      <c r="AD161" t="s">
        <v>5</v>
      </c>
      <c r="AE161" t="s">
        <v>535</v>
      </c>
      <c r="AF161">
        <v>12</v>
      </c>
      <c r="AH161" t="s">
        <v>5798</v>
      </c>
      <c r="AI161" t="s">
        <v>5797</v>
      </c>
      <c r="AK161" t="s">
        <v>5796</v>
      </c>
      <c r="AL161">
        <v>0</v>
      </c>
      <c r="AM161" s="5">
        <f t="shared" si="26"/>
        <v>0</v>
      </c>
      <c r="AN161" s="4">
        <f t="shared" si="23"/>
        <v>0</v>
      </c>
      <c r="AO161" s="3"/>
      <c r="AP161">
        <v>0</v>
      </c>
      <c r="AR161" t="s">
        <v>1</v>
      </c>
      <c r="AT161" s="2" t="s">
        <v>0</v>
      </c>
      <c r="AU161" s="1">
        <f t="shared" si="27"/>
        <v>0.26347401297349238</v>
      </c>
      <c r="AV161" s="1">
        <f t="shared" si="28"/>
        <v>0.18819572355249459</v>
      </c>
      <c r="AW161" s="1">
        <f t="shared" si="29"/>
        <v>0.11291743413149673</v>
      </c>
    </row>
    <row r="162" spans="1:49" x14ac:dyDescent="0.2">
      <c r="A162">
        <v>160</v>
      </c>
      <c r="B162" t="s">
        <v>5795</v>
      </c>
      <c r="F162" t="s">
        <v>5794</v>
      </c>
      <c r="G162" t="s">
        <v>15</v>
      </c>
      <c r="H162" t="s">
        <v>14</v>
      </c>
      <c r="I162" t="s">
        <v>5793</v>
      </c>
      <c r="N162">
        <v>2</v>
      </c>
      <c r="O162" t="s">
        <v>5792</v>
      </c>
      <c r="P162" t="s">
        <v>5791</v>
      </c>
      <c r="Q162" t="s">
        <v>342</v>
      </c>
      <c r="R162" s="7">
        <v>30317</v>
      </c>
      <c r="S162" s="8">
        <f t="shared" si="24"/>
        <v>1983</v>
      </c>
      <c r="T162" s="8">
        <v>1983</v>
      </c>
      <c r="U162" s="8">
        <f t="shared" si="25"/>
        <v>39</v>
      </c>
      <c r="V162" s="7" t="s">
        <v>5358</v>
      </c>
      <c r="W162" t="s">
        <v>536</v>
      </c>
      <c r="X162" s="2">
        <v>0.14099999999999999</v>
      </c>
      <c r="Y162" s="6">
        <f t="shared" si="22"/>
        <v>3.7639144710498915E-3</v>
      </c>
      <c r="AA162">
        <v>402508</v>
      </c>
      <c r="AB162">
        <v>20868</v>
      </c>
      <c r="AD162" t="s">
        <v>5</v>
      </c>
      <c r="AE162" t="s">
        <v>535</v>
      </c>
      <c r="AF162">
        <v>12</v>
      </c>
      <c r="AH162" t="s">
        <v>5790</v>
      </c>
      <c r="AI162" t="s">
        <v>5789</v>
      </c>
      <c r="AK162" t="s">
        <v>5788</v>
      </c>
      <c r="AL162">
        <v>0</v>
      </c>
      <c r="AM162" s="5">
        <f t="shared" si="26"/>
        <v>0</v>
      </c>
      <c r="AN162" s="4">
        <f t="shared" si="23"/>
        <v>0</v>
      </c>
      <c r="AO162" s="3"/>
      <c r="AP162">
        <v>0</v>
      </c>
      <c r="AR162" t="s">
        <v>1</v>
      </c>
      <c r="AT162" s="2" t="s">
        <v>0</v>
      </c>
      <c r="AU162" s="1">
        <f t="shared" si="27"/>
        <v>0.26347401297349238</v>
      </c>
      <c r="AV162" s="1">
        <f t="shared" si="28"/>
        <v>0.18819572355249459</v>
      </c>
      <c r="AW162" s="1">
        <f t="shared" si="29"/>
        <v>0.11291743413149673</v>
      </c>
    </row>
    <row r="163" spans="1:49" x14ac:dyDescent="0.2">
      <c r="A163">
        <v>161</v>
      </c>
      <c r="B163" t="s">
        <v>5787</v>
      </c>
      <c r="C163" t="s">
        <v>5786</v>
      </c>
      <c r="E163">
        <v>6373796</v>
      </c>
      <c r="F163" t="s">
        <v>5785</v>
      </c>
      <c r="G163" t="s">
        <v>15</v>
      </c>
      <c r="H163" t="s">
        <v>14</v>
      </c>
      <c r="I163" t="s">
        <v>5784</v>
      </c>
      <c r="J163">
        <v>60010365</v>
      </c>
      <c r="K163" t="s">
        <v>1231</v>
      </c>
      <c r="L163" t="s">
        <v>1230</v>
      </c>
      <c r="M163" t="s">
        <v>1229</v>
      </c>
      <c r="N163">
        <v>2</v>
      </c>
      <c r="O163" t="s">
        <v>5783</v>
      </c>
      <c r="P163" t="s">
        <v>5782</v>
      </c>
      <c r="Q163" t="s">
        <v>1226</v>
      </c>
      <c r="R163" s="7">
        <v>30317</v>
      </c>
      <c r="S163" s="8">
        <f t="shared" si="24"/>
        <v>1983</v>
      </c>
      <c r="T163" s="8">
        <v>1983</v>
      </c>
      <c r="U163" s="8">
        <f t="shared" si="25"/>
        <v>39</v>
      </c>
      <c r="V163" s="7">
        <v>1983</v>
      </c>
      <c r="W163" t="s">
        <v>5781</v>
      </c>
      <c r="X163" s="2">
        <v>1.028</v>
      </c>
      <c r="Y163" s="6">
        <f t="shared" si="22"/>
        <v>2.744187288112971E-2</v>
      </c>
      <c r="AA163">
        <v>7302312</v>
      </c>
      <c r="AB163">
        <v>17598</v>
      </c>
      <c r="AC163">
        <v>10974644</v>
      </c>
      <c r="AD163" t="s">
        <v>5</v>
      </c>
      <c r="AE163">
        <v>23</v>
      </c>
      <c r="AF163" s="9">
        <v>44287</v>
      </c>
      <c r="AH163" t="s">
        <v>5780</v>
      </c>
      <c r="AI163" t="s">
        <v>5779</v>
      </c>
      <c r="AJ163" t="s">
        <v>5778</v>
      </c>
      <c r="AK163" t="s">
        <v>5777</v>
      </c>
      <c r="AL163">
        <v>29</v>
      </c>
      <c r="AM163" s="5">
        <f t="shared" si="26"/>
        <v>0.74358974358974361</v>
      </c>
      <c r="AN163" s="4">
        <f t="shared" si="23"/>
        <v>1.1262245264517131E-3</v>
      </c>
      <c r="AO163" s="3"/>
      <c r="AP163">
        <v>0</v>
      </c>
      <c r="AR163" t="s">
        <v>1</v>
      </c>
      <c r="AT163" s="2">
        <v>4.4290000000000003</v>
      </c>
      <c r="AU163" s="1">
        <f t="shared" si="27"/>
        <v>1.9547178374726308</v>
      </c>
      <c r="AV163" s="1">
        <f t="shared" si="28"/>
        <v>1.4284048703790713</v>
      </c>
      <c r="AW163" s="1">
        <f t="shared" si="29"/>
        <v>0.90209190328551114</v>
      </c>
    </row>
    <row r="164" spans="1:49" x14ac:dyDescent="0.2">
      <c r="A164">
        <v>162</v>
      </c>
      <c r="B164" t="s">
        <v>5776</v>
      </c>
      <c r="F164" t="s">
        <v>5775</v>
      </c>
      <c r="G164" t="s">
        <v>15</v>
      </c>
      <c r="H164" t="s">
        <v>14</v>
      </c>
      <c r="I164" t="s">
        <v>5774</v>
      </c>
      <c r="N164">
        <v>2</v>
      </c>
      <c r="O164" t="s">
        <v>5773</v>
      </c>
      <c r="P164" t="s">
        <v>5772</v>
      </c>
      <c r="Q164" t="s">
        <v>342</v>
      </c>
      <c r="R164" s="7">
        <v>30317</v>
      </c>
      <c r="S164" s="8">
        <f t="shared" si="24"/>
        <v>1983</v>
      </c>
      <c r="T164" s="8">
        <v>1983</v>
      </c>
      <c r="U164" s="8">
        <f t="shared" si="25"/>
        <v>39</v>
      </c>
      <c r="V164" s="7">
        <v>1983</v>
      </c>
      <c r="W164" t="s">
        <v>5541</v>
      </c>
      <c r="X164" s="2" t="s">
        <v>0</v>
      </c>
      <c r="Y164" s="6" t="e">
        <f t="shared" si="22"/>
        <v>#VALUE!</v>
      </c>
      <c r="AA164">
        <v>289108</v>
      </c>
      <c r="AB164">
        <v>78703</v>
      </c>
      <c r="AD164" t="s">
        <v>5</v>
      </c>
      <c r="AE164">
        <v>23</v>
      </c>
      <c r="AF164">
        <v>102</v>
      </c>
      <c r="AH164" s="9">
        <v>44412</v>
      </c>
      <c r="AI164" t="s">
        <v>5771</v>
      </c>
      <c r="AK164" t="s">
        <v>5770</v>
      </c>
      <c r="AL164">
        <v>0</v>
      </c>
      <c r="AM164" s="5">
        <f t="shared" si="26"/>
        <v>0</v>
      </c>
      <c r="AN164" s="4">
        <f t="shared" si="23"/>
        <v>0</v>
      </c>
      <c r="AO164" s="3"/>
      <c r="AP164">
        <v>0</v>
      </c>
      <c r="AR164" t="s">
        <v>1</v>
      </c>
      <c r="AT164" s="2" t="s">
        <v>0</v>
      </c>
      <c r="AU164" s="1" t="e">
        <f t="shared" si="27"/>
        <v>#VALUE!</v>
      </c>
      <c r="AV164" s="1" t="e">
        <f t="shared" si="28"/>
        <v>#VALUE!</v>
      </c>
      <c r="AW164" s="1" t="e">
        <f t="shared" si="29"/>
        <v>#VALUE!</v>
      </c>
    </row>
    <row r="165" spans="1:49" x14ac:dyDescent="0.2">
      <c r="A165">
        <v>163</v>
      </c>
      <c r="B165" t="s">
        <v>5769</v>
      </c>
      <c r="F165" t="s">
        <v>5768</v>
      </c>
      <c r="G165" t="s">
        <v>15</v>
      </c>
      <c r="H165" t="s">
        <v>14</v>
      </c>
      <c r="I165" t="s">
        <v>5767</v>
      </c>
      <c r="N165">
        <v>2</v>
      </c>
      <c r="O165" t="s">
        <v>5766</v>
      </c>
      <c r="P165" t="s">
        <v>5765</v>
      </c>
      <c r="Q165" t="s">
        <v>342</v>
      </c>
      <c r="R165" s="7">
        <v>30317</v>
      </c>
      <c r="S165" s="8">
        <f t="shared" si="24"/>
        <v>1983</v>
      </c>
      <c r="T165" s="8">
        <v>1983</v>
      </c>
      <c r="U165" s="8">
        <f t="shared" si="25"/>
        <v>39</v>
      </c>
      <c r="V165" s="7">
        <v>1983</v>
      </c>
      <c r="W165" t="s">
        <v>5764</v>
      </c>
      <c r="X165" s="2" t="s">
        <v>0</v>
      </c>
      <c r="Y165" s="6" t="e">
        <f t="shared" si="22"/>
        <v>#VALUE!</v>
      </c>
      <c r="AA165">
        <v>401471</v>
      </c>
      <c r="AB165">
        <v>30539</v>
      </c>
      <c r="AD165" t="s">
        <v>5</v>
      </c>
      <c r="AE165">
        <v>61</v>
      </c>
      <c r="AF165">
        <v>10</v>
      </c>
      <c r="AI165" t="s">
        <v>5763</v>
      </c>
      <c r="AK165" t="s">
        <v>5762</v>
      </c>
      <c r="AL165">
        <v>0</v>
      </c>
      <c r="AM165" s="5">
        <f t="shared" si="26"/>
        <v>0</v>
      </c>
      <c r="AN165" s="4">
        <f t="shared" si="23"/>
        <v>0</v>
      </c>
      <c r="AO165" s="3"/>
      <c r="AP165">
        <v>0</v>
      </c>
      <c r="AR165" t="s">
        <v>1</v>
      </c>
      <c r="AT165" s="2" t="s">
        <v>0</v>
      </c>
      <c r="AU165" s="1" t="e">
        <f t="shared" si="27"/>
        <v>#VALUE!</v>
      </c>
      <c r="AV165" s="1" t="e">
        <f t="shared" si="28"/>
        <v>#VALUE!</v>
      </c>
      <c r="AW165" s="1" t="e">
        <f t="shared" si="29"/>
        <v>#VALUE!</v>
      </c>
    </row>
    <row r="166" spans="1:49" x14ac:dyDescent="0.2">
      <c r="A166">
        <v>164</v>
      </c>
      <c r="B166" t="s">
        <v>5761</v>
      </c>
      <c r="F166" t="s">
        <v>5760</v>
      </c>
      <c r="G166" t="s">
        <v>15</v>
      </c>
      <c r="H166" t="s">
        <v>14</v>
      </c>
      <c r="I166" t="s">
        <v>5759</v>
      </c>
      <c r="N166">
        <v>1</v>
      </c>
      <c r="O166" t="s">
        <v>5758</v>
      </c>
      <c r="P166">
        <v>6507308488</v>
      </c>
      <c r="R166" s="7">
        <v>30317</v>
      </c>
      <c r="S166" s="8">
        <f t="shared" si="24"/>
        <v>1983</v>
      </c>
      <c r="T166" s="8">
        <v>1983</v>
      </c>
      <c r="U166" s="8">
        <f t="shared" si="25"/>
        <v>39</v>
      </c>
      <c r="V166" s="7">
        <v>1983</v>
      </c>
      <c r="W166" t="s">
        <v>5757</v>
      </c>
      <c r="X166" s="2" t="s">
        <v>0</v>
      </c>
      <c r="Y166" s="6" t="e">
        <f t="shared" si="22"/>
        <v>#VALUE!</v>
      </c>
      <c r="AA166">
        <v>359386</v>
      </c>
      <c r="AB166">
        <v>32823</v>
      </c>
      <c r="AD166" t="s">
        <v>5</v>
      </c>
      <c r="AE166">
        <v>29</v>
      </c>
      <c r="AF166">
        <v>4</v>
      </c>
      <c r="AH166" t="s">
        <v>5756</v>
      </c>
      <c r="AI166" t="s">
        <v>5755</v>
      </c>
      <c r="AK166" t="s">
        <v>5754</v>
      </c>
      <c r="AL166">
        <v>0</v>
      </c>
      <c r="AM166" s="5">
        <f t="shared" si="26"/>
        <v>0</v>
      </c>
      <c r="AN166" s="4">
        <f t="shared" si="23"/>
        <v>0</v>
      </c>
      <c r="AO166" s="3"/>
      <c r="AP166">
        <v>0</v>
      </c>
      <c r="AR166" t="s">
        <v>1</v>
      </c>
      <c r="AT166" s="2" t="s">
        <v>0</v>
      </c>
      <c r="AU166" s="1" t="e">
        <f t="shared" si="27"/>
        <v>#VALUE!</v>
      </c>
      <c r="AV166" s="1" t="e">
        <f t="shared" si="28"/>
        <v>#VALUE!</v>
      </c>
      <c r="AW166" s="1" t="e">
        <f t="shared" si="29"/>
        <v>#VALUE!</v>
      </c>
    </row>
    <row r="167" spans="1:49" x14ac:dyDescent="0.2">
      <c r="A167">
        <v>165</v>
      </c>
      <c r="B167" t="s">
        <v>5753</v>
      </c>
      <c r="C167" t="s">
        <v>5752</v>
      </c>
      <c r="E167">
        <v>6862511</v>
      </c>
      <c r="F167" t="s">
        <v>5751</v>
      </c>
      <c r="G167" t="s">
        <v>15</v>
      </c>
      <c r="H167" t="s">
        <v>14</v>
      </c>
      <c r="I167" t="s">
        <v>5750</v>
      </c>
      <c r="J167" t="s">
        <v>5749</v>
      </c>
      <c r="K167" t="s">
        <v>5748</v>
      </c>
      <c r="L167" t="s">
        <v>5747</v>
      </c>
      <c r="M167" t="s">
        <v>91</v>
      </c>
      <c r="N167">
        <v>2</v>
      </c>
      <c r="O167" t="s">
        <v>5746</v>
      </c>
      <c r="P167" t="s">
        <v>5745</v>
      </c>
      <c r="Q167" t="s">
        <v>5744</v>
      </c>
      <c r="R167" s="7">
        <v>30317</v>
      </c>
      <c r="S167" s="8">
        <f t="shared" si="24"/>
        <v>1983</v>
      </c>
      <c r="T167" s="8">
        <v>1983</v>
      </c>
      <c r="U167" s="8">
        <f t="shared" si="25"/>
        <v>39</v>
      </c>
      <c r="V167" s="7">
        <v>30437</v>
      </c>
      <c r="W167" t="s">
        <v>5675</v>
      </c>
      <c r="X167" s="2">
        <v>1.1479999999999999</v>
      </c>
      <c r="Y167" s="6">
        <f t="shared" si="22"/>
        <v>3.0645204345853019E-2</v>
      </c>
      <c r="AA167">
        <v>189294</v>
      </c>
      <c r="AB167">
        <v>16318</v>
      </c>
      <c r="AC167">
        <v>15582531</v>
      </c>
      <c r="AD167" t="s">
        <v>5</v>
      </c>
      <c r="AE167" t="s">
        <v>5674</v>
      </c>
      <c r="AF167">
        <v>5</v>
      </c>
      <c r="AH167" t="s">
        <v>5743</v>
      </c>
      <c r="AI167" t="s">
        <v>5742</v>
      </c>
      <c r="AK167" t="s">
        <v>5741</v>
      </c>
      <c r="AL167">
        <v>19</v>
      </c>
      <c r="AM167" s="5">
        <f t="shared" si="26"/>
        <v>0.48717948717948717</v>
      </c>
      <c r="AN167" s="4">
        <f t="shared" si="23"/>
        <v>7.3787124146836372E-4</v>
      </c>
      <c r="AO167" s="3"/>
      <c r="AP167">
        <v>0</v>
      </c>
      <c r="AR167" t="s">
        <v>1</v>
      </c>
      <c r="AT167" s="2" t="s">
        <v>0</v>
      </c>
      <c r="AU167" s="1">
        <f t="shared" si="27"/>
        <v>2.1673004414537624</v>
      </c>
      <c r="AV167" s="1">
        <f t="shared" si="28"/>
        <v>1.569153779366069</v>
      </c>
      <c r="AW167" s="1">
        <f t="shared" si="29"/>
        <v>0.97100711727837608</v>
      </c>
    </row>
    <row r="168" spans="1:49" x14ac:dyDescent="0.2">
      <c r="A168">
        <v>166</v>
      </c>
      <c r="B168" t="s">
        <v>5740</v>
      </c>
      <c r="C168" t="s">
        <v>5739</v>
      </c>
      <c r="F168" t="s">
        <v>5738</v>
      </c>
      <c r="G168" t="s">
        <v>15</v>
      </c>
      <c r="H168" t="s">
        <v>14</v>
      </c>
      <c r="I168" t="s">
        <v>5737</v>
      </c>
      <c r="J168">
        <v>60103653</v>
      </c>
      <c r="K168" t="s">
        <v>5736</v>
      </c>
      <c r="L168" t="s">
        <v>5735</v>
      </c>
      <c r="M168" t="s">
        <v>5734</v>
      </c>
      <c r="N168">
        <v>1</v>
      </c>
      <c r="O168" t="s">
        <v>5733</v>
      </c>
      <c r="P168">
        <v>57030559600</v>
      </c>
      <c r="Q168">
        <v>60103653</v>
      </c>
      <c r="R168" s="7">
        <v>30317</v>
      </c>
      <c r="S168" s="8">
        <f t="shared" si="24"/>
        <v>1983</v>
      </c>
      <c r="T168" s="8">
        <v>1983</v>
      </c>
      <c r="U168" s="8">
        <f t="shared" si="25"/>
        <v>39</v>
      </c>
      <c r="V168" s="7">
        <v>1983</v>
      </c>
      <c r="W168" t="s">
        <v>1332</v>
      </c>
      <c r="X168" s="2">
        <v>0.91800000000000004</v>
      </c>
      <c r="Y168" s="6">
        <f t="shared" si="22"/>
        <v>2.4505485705133341E-2</v>
      </c>
      <c r="AA168">
        <v>1431161</v>
      </c>
      <c r="AB168">
        <v>22674</v>
      </c>
      <c r="AC168">
        <v>13665901</v>
      </c>
      <c r="AD168" t="s">
        <v>5</v>
      </c>
      <c r="AE168">
        <v>4</v>
      </c>
      <c r="AF168">
        <v>3</v>
      </c>
      <c r="AH168" t="s">
        <v>5732</v>
      </c>
      <c r="AI168" t="s">
        <v>5731</v>
      </c>
      <c r="AK168" t="s">
        <v>5730</v>
      </c>
      <c r="AL168">
        <v>6</v>
      </c>
      <c r="AM168" s="5">
        <f t="shared" si="26"/>
        <v>0.15384615384615385</v>
      </c>
      <c r="AN168" s="4">
        <f t="shared" si="23"/>
        <v>2.3301197099000962E-4</v>
      </c>
      <c r="AO168" s="3"/>
      <c r="AP168">
        <v>0</v>
      </c>
      <c r="AR168" t="s">
        <v>1</v>
      </c>
      <c r="AT168" s="2" t="s">
        <v>0</v>
      </c>
      <c r="AU168" s="1">
        <f t="shared" si="27"/>
        <v>1.7223743584890341</v>
      </c>
      <c r="AV168" s="1">
        <f t="shared" si="28"/>
        <v>1.2369248838061675</v>
      </c>
      <c r="AW168" s="1">
        <f t="shared" si="29"/>
        <v>0.7514754091233008</v>
      </c>
    </row>
    <row r="169" spans="1:49" x14ac:dyDescent="0.2">
      <c r="A169">
        <v>167</v>
      </c>
      <c r="B169" t="s">
        <v>5729</v>
      </c>
      <c r="C169" t="s">
        <v>5728</v>
      </c>
      <c r="F169" t="s">
        <v>5727</v>
      </c>
      <c r="G169" t="s">
        <v>15</v>
      </c>
      <c r="H169" t="s">
        <v>14</v>
      </c>
      <c r="I169" t="s">
        <v>5726</v>
      </c>
      <c r="J169">
        <v>60027716</v>
      </c>
      <c r="K169" t="s">
        <v>2663</v>
      </c>
      <c r="L169" t="s">
        <v>978</v>
      </c>
      <c r="M169" t="s">
        <v>10</v>
      </c>
      <c r="N169">
        <v>4</v>
      </c>
      <c r="O169" t="s">
        <v>5725</v>
      </c>
      <c r="P169" t="s">
        <v>5724</v>
      </c>
      <c r="Q169" t="s">
        <v>5723</v>
      </c>
      <c r="R169" s="7">
        <v>30317</v>
      </c>
      <c r="S169" s="8">
        <f t="shared" si="24"/>
        <v>1983</v>
      </c>
      <c r="T169" s="8">
        <v>1983</v>
      </c>
      <c r="U169" s="8">
        <f t="shared" si="25"/>
        <v>39</v>
      </c>
      <c r="V169" s="7">
        <v>1983</v>
      </c>
      <c r="W169" t="s">
        <v>5722</v>
      </c>
      <c r="X169" s="2" t="s">
        <v>0</v>
      </c>
      <c r="Y169" s="6" t="e">
        <f t="shared" si="22"/>
        <v>#VALUE!</v>
      </c>
      <c r="AB169">
        <v>32188</v>
      </c>
      <c r="AD169" t="s">
        <v>5</v>
      </c>
      <c r="AE169">
        <v>22</v>
      </c>
      <c r="AF169">
        <v>5</v>
      </c>
      <c r="AH169" t="s">
        <v>5721</v>
      </c>
      <c r="AI169" t="s">
        <v>5720</v>
      </c>
      <c r="AK169" t="s">
        <v>5719</v>
      </c>
      <c r="AL169">
        <v>39</v>
      </c>
      <c r="AM169" s="5">
        <f t="shared" si="26"/>
        <v>1</v>
      </c>
      <c r="AN169" s="4">
        <f t="shared" si="23"/>
        <v>1.5145778114350624E-3</v>
      </c>
      <c r="AO169" s="3"/>
      <c r="AP169">
        <v>0</v>
      </c>
      <c r="AR169" t="s">
        <v>1</v>
      </c>
      <c r="AT169" s="2" t="s">
        <v>0</v>
      </c>
      <c r="AU169" s="1" t="e">
        <f t="shared" si="27"/>
        <v>#VALUE!</v>
      </c>
      <c r="AV169" s="1" t="e">
        <f t="shared" si="28"/>
        <v>#VALUE!</v>
      </c>
      <c r="AW169" s="1" t="e">
        <f t="shared" si="29"/>
        <v>#VALUE!</v>
      </c>
    </row>
    <row r="170" spans="1:49" x14ac:dyDescent="0.2">
      <c r="A170">
        <v>168</v>
      </c>
      <c r="B170" t="s">
        <v>5718</v>
      </c>
      <c r="C170" t="s">
        <v>5717</v>
      </c>
      <c r="D170">
        <v>167610583901472</v>
      </c>
      <c r="F170" t="s">
        <v>5716</v>
      </c>
      <c r="G170" t="s">
        <v>15</v>
      </c>
      <c r="H170" t="s">
        <v>14</v>
      </c>
      <c r="I170" t="s">
        <v>5715</v>
      </c>
      <c r="J170">
        <v>60000891</v>
      </c>
      <c r="K170" t="s">
        <v>1625</v>
      </c>
      <c r="L170" t="s">
        <v>1624</v>
      </c>
      <c r="M170" t="s">
        <v>271</v>
      </c>
      <c r="N170">
        <v>1</v>
      </c>
      <c r="O170" t="s">
        <v>5714</v>
      </c>
      <c r="P170">
        <v>24452989300</v>
      </c>
      <c r="Q170">
        <v>60000891</v>
      </c>
      <c r="R170" s="7">
        <v>30317</v>
      </c>
      <c r="S170" s="8">
        <f t="shared" si="24"/>
        <v>1983</v>
      </c>
      <c r="T170" s="8">
        <v>1983</v>
      </c>
      <c r="U170" s="8">
        <f t="shared" si="25"/>
        <v>39</v>
      </c>
      <c r="V170" s="7">
        <v>30651</v>
      </c>
      <c r="W170" t="s">
        <v>1225</v>
      </c>
      <c r="X170" s="2">
        <v>1.1359999999999999</v>
      </c>
      <c r="Y170" s="6">
        <f t="shared" si="22"/>
        <v>3.0324871199380689E-2</v>
      </c>
      <c r="AA170">
        <v>1676105</v>
      </c>
      <c r="AB170">
        <v>110486</v>
      </c>
      <c r="AD170" t="s">
        <v>5</v>
      </c>
      <c r="AE170">
        <v>13</v>
      </c>
      <c r="AF170" s="9">
        <v>44256</v>
      </c>
      <c r="AH170" t="s">
        <v>5713</v>
      </c>
      <c r="AI170" t="s">
        <v>5712</v>
      </c>
      <c r="AK170" t="s">
        <v>5711</v>
      </c>
      <c r="AL170">
        <v>12</v>
      </c>
      <c r="AM170" s="5">
        <f t="shared" si="26"/>
        <v>0.30769230769230771</v>
      </c>
      <c r="AN170" s="4">
        <f t="shared" si="23"/>
        <v>4.6602394198001925E-4</v>
      </c>
      <c r="AO170" s="3"/>
      <c r="AP170">
        <v>0</v>
      </c>
      <c r="AR170" t="s">
        <v>1</v>
      </c>
      <c r="AT170" s="2" t="s">
        <v>0</v>
      </c>
      <c r="AU170" s="1">
        <f t="shared" si="27"/>
        <v>2.1367217022160485</v>
      </c>
      <c r="AV170" s="1">
        <f t="shared" si="28"/>
        <v>1.5395447570680354</v>
      </c>
      <c r="AW170" s="1">
        <f t="shared" si="29"/>
        <v>0.94236781192002184</v>
      </c>
    </row>
    <row r="171" spans="1:49" x14ac:dyDescent="0.2">
      <c r="A171">
        <v>169</v>
      </c>
      <c r="B171" t="s">
        <v>5710</v>
      </c>
      <c r="C171" t="s">
        <v>5709</v>
      </c>
      <c r="F171" t="s">
        <v>5708</v>
      </c>
      <c r="G171" t="s">
        <v>15</v>
      </c>
      <c r="H171" t="s">
        <v>14</v>
      </c>
      <c r="I171" t="s">
        <v>5707</v>
      </c>
      <c r="J171">
        <v>60027271</v>
      </c>
      <c r="K171" t="s">
        <v>979</v>
      </c>
      <c r="L171" t="s">
        <v>978</v>
      </c>
      <c r="M171" t="s">
        <v>10</v>
      </c>
      <c r="N171">
        <v>3</v>
      </c>
      <c r="O171" t="s">
        <v>5706</v>
      </c>
      <c r="P171" t="s">
        <v>5705</v>
      </c>
      <c r="Q171" t="s">
        <v>5704</v>
      </c>
      <c r="R171" s="7">
        <v>30317</v>
      </c>
      <c r="S171" s="8">
        <f t="shared" si="24"/>
        <v>1983</v>
      </c>
      <c r="T171" s="8">
        <v>1983</v>
      </c>
      <c r="U171" s="8">
        <f t="shared" si="25"/>
        <v>39</v>
      </c>
      <c r="V171" s="7">
        <v>1983</v>
      </c>
      <c r="W171" t="s">
        <v>1319</v>
      </c>
      <c r="X171" s="2">
        <v>1.67</v>
      </c>
      <c r="Y171" s="6">
        <f t="shared" si="22"/>
        <v>4.4579696217399427E-2</v>
      </c>
      <c r="AA171">
        <v>1480227</v>
      </c>
      <c r="AB171">
        <v>28428</v>
      </c>
      <c r="AD171" t="s">
        <v>5</v>
      </c>
      <c r="AE171">
        <v>88</v>
      </c>
      <c r="AF171" t="s">
        <v>5703</v>
      </c>
      <c r="AH171" t="s">
        <v>5702</v>
      </c>
      <c r="AI171" t="s">
        <v>5701</v>
      </c>
      <c r="AK171" t="s">
        <v>5700</v>
      </c>
      <c r="AL171">
        <v>47</v>
      </c>
      <c r="AM171" s="5">
        <f t="shared" si="26"/>
        <v>1.2051282051282051</v>
      </c>
      <c r="AN171" s="4">
        <f t="shared" si="23"/>
        <v>1.8252604394217418E-3</v>
      </c>
      <c r="AO171" s="3"/>
      <c r="AP171">
        <v>0</v>
      </c>
      <c r="AR171" t="s">
        <v>1</v>
      </c>
      <c r="AT171" s="2" t="s">
        <v>0</v>
      </c>
      <c r="AU171" s="1">
        <f t="shared" si="27"/>
        <v>3.1753365484006117</v>
      </c>
      <c r="AV171" s="1">
        <f t="shared" si="28"/>
        <v>2.3202478328410585</v>
      </c>
      <c r="AW171" s="1">
        <f t="shared" si="29"/>
        <v>1.4651591172815048</v>
      </c>
    </row>
    <row r="172" spans="1:49" x14ac:dyDescent="0.2">
      <c r="A172">
        <v>170</v>
      </c>
      <c r="B172" t="s">
        <v>5699</v>
      </c>
      <c r="C172" t="s">
        <v>5698</v>
      </c>
      <c r="F172" t="s">
        <v>5697</v>
      </c>
      <c r="G172" t="s">
        <v>15</v>
      </c>
      <c r="H172" t="s">
        <v>14</v>
      </c>
      <c r="I172" t="s">
        <v>5696</v>
      </c>
      <c r="J172">
        <v>60002306</v>
      </c>
      <c r="K172" t="s">
        <v>5695</v>
      </c>
      <c r="L172" t="s">
        <v>5694</v>
      </c>
      <c r="M172" t="s">
        <v>1229</v>
      </c>
      <c r="N172">
        <v>4</v>
      </c>
      <c r="O172" t="s">
        <v>5693</v>
      </c>
      <c r="P172" t="s">
        <v>5692</v>
      </c>
      <c r="Q172" t="s">
        <v>5691</v>
      </c>
      <c r="R172" s="7">
        <v>30317</v>
      </c>
      <c r="S172" s="8">
        <f t="shared" si="24"/>
        <v>1983</v>
      </c>
      <c r="T172" s="8">
        <v>1983</v>
      </c>
      <c r="U172" s="8">
        <f t="shared" si="25"/>
        <v>39</v>
      </c>
      <c r="V172" s="7">
        <v>1983</v>
      </c>
      <c r="W172" t="s">
        <v>5690</v>
      </c>
      <c r="X172" s="2">
        <v>0.52500000000000002</v>
      </c>
      <c r="Y172" s="6">
        <f t="shared" si="22"/>
        <v>1.4014575158164492E-2</v>
      </c>
      <c r="AA172">
        <v>84077</v>
      </c>
      <c r="AB172">
        <v>22031</v>
      </c>
      <c r="AD172" t="s">
        <v>5</v>
      </c>
      <c r="AE172">
        <v>20</v>
      </c>
      <c r="AF172">
        <v>10</v>
      </c>
      <c r="AH172" t="s">
        <v>5689</v>
      </c>
      <c r="AI172" t="s">
        <v>5688</v>
      </c>
      <c r="AK172" t="s">
        <v>5687</v>
      </c>
      <c r="AL172">
        <v>1</v>
      </c>
      <c r="AM172" s="5">
        <f t="shared" si="26"/>
        <v>2.564102564102564E-2</v>
      </c>
      <c r="AN172" s="4">
        <f t="shared" si="23"/>
        <v>3.8835328498334935E-5</v>
      </c>
      <c r="AO172" s="3"/>
      <c r="AP172">
        <v>0</v>
      </c>
      <c r="AR172" t="s">
        <v>1</v>
      </c>
      <c r="AT172" s="2">
        <v>1.369</v>
      </c>
      <c r="AU172" s="1">
        <f t="shared" si="27"/>
        <v>0.98218532092646438</v>
      </c>
      <c r="AV172" s="1">
        <f t="shared" si="28"/>
        <v>0.70267052433314137</v>
      </c>
      <c r="AW172" s="1">
        <f t="shared" si="29"/>
        <v>0.42315572773981819</v>
      </c>
    </row>
    <row r="173" spans="1:49" x14ac:dyDescent="0.2">
      <c r="A173">
        <v>171</v>
      </c>
      <c r="B173" t="s">
        <v>5686</v>
      </c>
      <c r="C173" t="s">
        <v>5685</v>
      </c>
      <c r="E173">
        <v>6642524</v>
      </c>
      <c r="F173" t="s">
        <v>5684</v>
      </c>
      <c r="G173" t="s">
        <v>15</v>
      </c>
      <c r="H173" t="s">
        <v>14</v>
      </c>
      <c r="I173" t="s">
        <v>5683</v>
      </c>
      <c r="J173" t="s">
        <v>5682</v>
      </c>
      <c r="K173" t="s">
        <v>5681</v>
      </c>
      <c r="L173" t="s">
        <v>5680</v>
      </c>
      <c r="M173" t="s">
        <v>5679</v>
      </c>
      <c r="N173">
        <v>4</v>
      </c>
      <c r="O173" t="s">
        <v>5678</v>
      </c>
      <c r="P173" t="s">
        <v>5677</v>
      </c>
      <c r="Q173" t="s">
        <v>5676</v>
      </c>
      <c r="R173" s="7">
        <v>30317</v>
      </c>
      <c r="S173" s="8">
        <f t="shared" si="24"/>
        <v>1983</v>
      </c>
      <c r="T173" s="8">
        <v>1983</v>
      </c>
      <c r="U173" s="8">
        <f t="shared" si="25"/>
        <v>39</v>
      </c>
      <c r="V173" s="7">
        <v>30560</v>
      </c>
      <c r="W173" t="s">
        <v>5675</v>
      </c>
      <c r="X173" s="2">
        <v>1.1479999999999999</v>
      </c>
      <c r="Y173" s="6">
        <f t="shared" si="22"/>
        <v>3.0645204345853019E-2</v>
      </c>
      <c r="AA173">
        <v>189294</v>
      </c>
      <c r="AB173">
        <v>16318</v>
      </c>
      <c r="AC173">
        <v>15582531</v>
      </c>
      <c r="AD173" t="s">
        <v>5</v>
      </c>
      <c r="AE173" t="s">
        <v>5674</v>
      </c>
      <c r="AF173">
        <v>9</v>
      </c>
      <c r="AH173" t="s">
        <v>5673</v>
      </c>
      <c r="AI173" t="s">
        <v>5672</v>
      </c>
      <c r="AK173" t="s">
        <v>5671</v>
      </c>
      <c r="AL173">
        <v>5</v>
      </c>
      <c r="AM173" s="5">
        <f t="shared" si="26"/>
        <v>0.12820512820512819</v>
      </c>
      <c r="AN173" s="4">
        <f t="shared" si="23"/>
        <v>1.9417664249167467E-4</v>
      </c>
      <c r="AO173" s="3"/>
      <c r="AP173">
        <v>0</v>
      </c>
      <c r="AR173" t="s">
        <v>1</v>
      </c>
      <c r="AT173" s="2" t="s">
        <v>0</v>
      </c>
      <c r="AU173" s="1">
        <f t="shared" si="27"/>
        <v>2.1509896034844616</v>
      </c>
      <c r="AV173" s="1">
        <f t="shared" si="28"/>
        <v>1.5419690494172347</v>
      </c>
      <c r="AW173" s="1">
        <f t="shared" si="29"/>
        <v>0.93294849535000779</v>
      </c>
    </row>
    <row r="174" spans="1:49" x14ac:dyDescent="0.2">
      <c r="A174">
        <v>172</v>
      </c>
      <c r="B174" t="s">
        <v>5670</v>
      </c>
      <c r="C174" t="s">
        <v>5669</v>
      </c>
      <c r="F174" t="s">
        <v>5668</v>
      </c>
      <c r="G174" t="s">
        <v>15</v>
      </c>
      <c r="H174" t="s">
        <v>14</v>
      </c>
      <c r="I174" t="s">
        <v>5667</v>
      </c>
      <c r="J174">
        <v>60011347</v>
      </c>
      <c r="K174" t="s">
        <v>5666</v>
      </c>
      <c r="L174" t="s">
        <v>5665</v>
      </c>
      <c r="M174" t="s">
        <v>10</v>
      </c>
      <c r="N174">
        <v>1</v>
      </c>
      <c r="O174" t="s">
        <v>5664</v>
      </c>
      <c r="P174">
        <v>7103054943</v>
      </c>
      <c r="Q174">
        <v>60011347</v>
      </c>
      <c r="R174" s="7">
        <v>30317</v>
      </c>
      <c r="S174" s="8">
        <f t="shared" si="24"/>
        <v>1983</v>
      </c>
      <c r="T174" s="8">
        <v>1983</v>
      </c>
      <c r="U174" s="8">
        <f t="shared" si="25"/>
        <v>39</v>
      </c>
      <c r="V174" s="7">
        <v>1983</v>
      </c>
      <c r="W174" t="s">
        <v>5663</v>
      </c>
      <c r="X174" s="2">
        <v>1.1779999999999999</v>
      </c>
      <c r="Y174" s="6">
        <f t="shared" si="22"/>
        <v>3.1446037212033845E-2</v>
      </c>
      <c r="AA174">
        <v>168033</v>
      </c>
      <c r="AB174">
        <v>27965</v>
      </c>
      <c r="AD174" t="s">
        <v>5</v>
      </c>
      <c r="AE174">
        <v>48</v>
      </c>
      <c r="AF174">
        <v>6</v>
      </c>
      <c r="AH174" t="s">
        <v>5662</v>
      </c>
      <c r="AI174" t="s">
        <v>5661</v>
      </c>
      <c r="AK174" t="s">
        <v>5660</v>
      </c>
      <c r="AL174">
        <v>34</v>
      </c>
      <c r="AM174" s="5">
        <f t="shared" si="26"/>
        <v>0.87179487179487181</v>
      </c>
      <c r="AN174" s="4">
        <f t="shared" si="23"/>
        <v>1.3204011689433878E-3</v>
      </c>
      <c r="AO174" s="3"/>
      <c r="AP174">
        <v>0</v>
      </c>
      <c r="AR174" t="s">
        <v>1</v>
      </c>
      <c r="AT174" s="2">
        <v>2.9279999999999999</v>
      </c>
      <c r="AU174" s="1">
        <f t="shared" si="27"/>
        <v>2.2408346399106707</v>
      </c>
      <c r="AV174" s="1">
        <f t="shared" si="28"/>
        <v>1.6383219190488616</v>
      </c>
      <c r="AW174" s="1">
        <f t="shared" si="29"/>
        <v>1.0358091981870525</v>
      </c>
    </row>
    <row r="175" spans="1:49" x14ac:dyDescent="0.2">
      <c r="A175">
        <v>173</v>
      </c>
      <c r="B175" t="s">
        <v>5659</v>
      </c>
      <c r="C175" t="s">
        <v>5658</v>
      </c>
      <c r="F175" t="s">
        <v>5657</v>
      </c>
      <c r="G175" t="s">
        <v>15</v>
      </c>
      <c r="H175" t="s">
        <v>14</v>
      </c>
      <c r="I175" t="s">
        <v>890</v>
      </c>
      <c r="J175">
        <v>60005304</v>
      </c>
      <c r="K175" t="s">
        <v>324</v>
      </c>
      <c r="L175" t="s">
        <v>323</v>
      </c>
      <c r="M175" t="s">
        <v>10</v>
      </c>
      <c r="N175">
        <v>1</v>
      </c>
      <c r="O175" t="s">
        <v>5656</v>
      </c>
      <c r="P175">
        <v>6602621821</v>
      </c>
      <c r="Q175">
        <v>60005304</v>
      </c>
      <c r="R175" s="7">
        <v>30317</v>
      </c>
      <c r="S175" s="8">
        <f t="shared" si="24"/>
        <v>1983</v>
      </c>
      <c r="T175" s="8">
        <v>1983</v>
      </c>
      <c r="U175" s="8">
        <f t="shared" si="25"/>
        <v>39</v>
      </c>
      <c r="V175" s="7">
        <v>30651</v>
      </c>
      <c r="W175" t="s">
        <v>2613</v>
      </c>
      <c r="X175" s="2">
        <v>1.6379999999999999</v>
      </c>
      <c r="Y175" s="6">
        <f t="shared" si="22"/>
        <v>4.3725474493473214E-2</v>
      </c>
      <c r="AA175">
        <v>963518</v>
      </c>
      <c r="AB175">
        <v>31560</v>
      </c>
      <c r="AD175" t="s">
        <v>5</v>
      </c>
      <c r="AE175">
        <v>31</v>
      </c>
      <c r="AF175">
        <v>6</v>
      </c>
      <c r="AH175" t="s">
        <v>5655</v>
      </c>
      <c r="AI175" t="s">
        <v>5654</v>
      </c>
      <c r="AK175" t="s">
        <v>5653</v>
      </c>
      <c r="AL175">
        <v>2</v>
      </c>
      <c r="AM175" s="5">
        <f t="shared" si="26"/>
        <v>5.128205128205128E-2</v>
      </c>
      <c r="AN175" s="4">
        <f t="shared" si="23"/>
        <v>7.767065699666987E-5</v>
      </c>
      <c r="AO175" s="3"/>
      <c r="AP175">
        <v>0</v>
      </c>
      <c r="AR175" t="s">
        <v>1</v>
      </c>
      <c r="AT175" s="2" t="s">
        <v>0</v>
      </c>
      <c r="AU175" s="1">
        <f t="shared" si="27"/>
        <v>3.0631133342530248</v>
      </c>
      <c r="AV175" s="1">
        <f t="shared" si="28"/>
        <v>2.1901572575234942</v>
      </c>
      <c r="AW175" s="1">
        <f t="shared" si="29"/>
        <v>1.3172011807939632</v>
      </c>
    </row>
    <row r="176" spans="1:49" x14ac:dyDescent="0.2">
      <c r="A176">
        <v>174</v>
      </c>
      <c r="B176" t="s">
        <v>5652</v>
      </c>
      <c r="F176" t="s">
        <v>5651</v>
      </c>
      <c r="G176" t="s">
        <v>15</v>
      </c>
      <c r="H176" t="s">
        <v>14</v>
      </c>
      <c r="I176" t="s">
        <v>5650</v>
      </c>
      <c r="N176">
        <v>2</v>
      </c>
      <c r="O176" t="s">
        <v>5649</v>
      </c>
      <c r="P176" t="s">
        <v>5648</v>
      </c>
      <c r="Q176" t="s">
        <v>342</v>
      </c>
      <c r="R176" s="7">
        <v>30317</v>
      </c>
      <c r="S176" s="8">
        <f t="shared" si="24"/>
        <v>1983</v>
      </c>
      <c r="T176" s="8">
        <v>1983</v>
      </c>
      <c r="U176" s="8">
        <f t="shared" si="25"/>
        <v>39</v>
      </c>
      <c r="V176" s="7">
        <v>1983</v>
      </c>
      <c r="W176" t="s">
        <v>5492</v>
      </c>
      <c r="X176" s="2">
        <v>1.147</v>
      </c>
      <c r="Y176" s="6">
        <f t="shared" si="22"/>
        <v>3.0618509916980327E-2</v>
      </c>
      <c r="AA176">
        <v>190578</v>
      </c>
      <c r="AB176">
        <v>29805</v>
      </c>
      <c r="AD176" t="s">
        <v>5</v>
      </c>
      <c r="AE176">
        <v>22</v>
      </c>
      <c r="AF176">
        <v>4</v>
      </c>
      <c r="AH176" s="9">
        <v>44470</v>
      </c>
      <c r="AI176" t="s">
        <v>5647</v>
      </c>
      <c r="AK176" t="s">
        <v>5646</v>
      </c>
      <c r="AL176">
        <v>0</v>
      </c>
      <c r="AM176" s="5">
        <f t="shared" si="26"/>
        <v>0</v>
      </c>
      <c r="AN176" s="4">
        <f t="shared" si="23"/>
        <v>0</v>
      </c>
      <c r="AO176" s="3"/>
      <c r="AP176">
        <v>0</v>
      </c>
      <c r="AR176" t="s">
        <v>1</v>
      </c>
      <c r="AT176" s="2">
        <v>5.468</v>
      </c>
      <c r="AU176" s="1">
        <f t="shared" si="27"/>
        <v>2.1432956941886228</v>
      </c>
      <c r="AV176" s="1">
        <f t="shared" si="28"/>
        <v>1.5309254958490164</v>
      </c>
      <c r="AW176" s="1">
        <f t="shared" si="29"/>
        <v>0.91855529750940967</v>
      </c>
    </row>
    <row r="177" spans="1:49" x14ac:dyDescent="0.2">
      <c r="A177">
        <v>175</v>
      </c>
      <c r="B177" t="s">
        <v>5645</v>
      </c>
      <c r="F177" t="s">
        <v>5644</v>
      </c>
      <c r="G177" t="s">
        <v>15</v>
      </c>
      <c r="H177" t="s">
        <v>14</v>
      </c>
      <c r="I177" t="s">
        <v>5643</v>
      </c>
      <c r="N177">
        <v>2</v>
      </c>
      <c r="O177" t="s">
        <v>5642</v>
      </c>
      <c r="P177" t="s">
        <v>5641</v>
      </c>
      <c r="Q177" t="s">
        <v>342</v>
      </c>
      <c r="R177" s="7">
        <v>30317</v>
      </c>
      <c r="S177" s="8">
        <f t="shared" si="24"/>
        <v>1983</v>
      </c>
      <c r="T177" s="8">
        <v>1983</v>
      </c>
      <c r="U177" s="8">
        <f t="shared" si="25"/>
        <v>39</v>
      </c>
      <c r="V177" s="7">
        <v>1983</v>
      </c>
      <c r="W177" t="s">
        <v>5541</v>
      </c>
      <c r="X177" s="2" t="s">
        <v>0</v>
      </c>
      <c r="Y177" s="6" t="e">
        <f t="shared" si="22"/>
        <v>#VALUE!</v>
      </c>
      <c r="AA177">
        <v>289108</v>
      </c>
      <c r="AB177">
        <v>78703</v>
      </c>
      <c r="AD177" t="s">
        <v>5</v>
      </c>
      <c r="AE177">
        <v>23</v>
      </c>
      <c r="AF177">
        <v>101</v>
      </c>
      <c r="AH177" t="s">
        <v>5640</v>
      </c>
      <c r="AI177" t="s">
        <v>5639</v>
      </c>
      <c r="AK177" t="s">
        <v>5638</v>
      </c>
      <c r="AL177">
        <v>0</v>
      </c>
      <c r="AM177" s="5">
        <f t="shared" si="26"/>
        <v>0</v>
      </c>
      <c r="AN177" s="4">
        <f t="shared" si="23"/>
        <v>0</v>
      </c>
      <c r="AO177" s="3"/>
      <c r="AP177">
        <v>0</v>
      </c>
      <c r="AR177" t="s">
        <v>1</v>
      </c>
      <c r="AT177" s="2" t="s">
        <v>0</v>
      </c>
      <c r="AU177" s="1" t="e">
        <f t="shared" si="27"/>
        <v>#VALUE!</v>
      </c>
      <c r="AV177" s="1" t="e">
        <f t="shared" si="28"/>
        <v>#VALUE!</v>
      </c>
      <c r="AW177" s="1" t="e">
        <f t="shared" si="29"/>
        <v>#VALUE!</v>
      </c>
    </row>
    <row r="178" spans="1:49" x14ac:dyDescent="0.2">
      <c r="A178">
        <v>176</v>
      </c>
      <c r="B178" t="s">
        <v>5637</v>
      </c>
      <c r="F178" t="s">
        <v>5636</v>
      </c>
      <c r="G178" t="s">
        <v>15</v>
      </c>
      <c r="H178" t="s">
        <v>14</v>
      </c>
      <c r="I178" t="s">
        <v>5635</v>
      </c>
      <c r="N178">
        <v>3</v>
      </c>
      <c r="O178" t="s">
        <v>5634</v>
      </c>
      <c r="P178" t="s">
        <v>5633</v>
      </c>
      <c r="Q178" t="s">
        <v>510</v>
      </c>
      <c r="R178" s="7">
        <v>30317</v>
      </c>
      <c r="S178" s="8">
        <f t="shared" si="24"/>
        <v>1983</v>
      </c>
      <c r="T178" s="8">
        <v>1983</v>
      </c>
      <c r="U178" s="8">
        <f t="shared" si="25"/>
        <v>39</v>
      </c>
      <c r="V178" s="7" t="s">
        <v>5358</v>
      </c>
      <c r="W178" t="s">
        <v>2704</v>
      </c>
      <c r="X178" s="2" t="s">
        <v>0</v>
      </c>
      <c r="Y178" s="6" t="e">
        <f t="shared" si="22"/>
        <v>#VALUE!</v>
      </c>
      <c r="AA178">
        <v>1679368</v>
      </c>
      <c r="AB178">
        <v>35103</v>
      </c>
      <c r="AD178" t="s">
        <v>5</v>
      </c>
      <c r="AE178">
        <v>1</v>
      </c>
      <c r="AF178">
        <v>4</v>
      </c>
      <c r="AH178" t="s">
        <v>5632</v>
      </c>
      <c r="AI178" t="s">
        <v>5631</v>
      </c>
      <c r="AK178" t="s">
        <v>5630</v>
      </c>
      <c r="AL178">
        <v>1</v>
      </c>
      <c r="AM178" s="5">
        <f t="shared" si="26"/>
        <v>2.564102564102564E-2</v>
      </c>
      <c r="AN178" s="4">
        <f t="shared" si="23"/>
        <v>3.8835328498334935E-5</v>
      </c>
      <c r="AO178" s="3"/>
      <c r="AP178">
        <v>0</v>
      </c>
      <c r="AR178" t="s">
        <v>1</v>
      </c>
      <c r="AT178" s="2" t="s">
        <v>0</v>
      </c>
      <c r="AU178" s="1" t="e">
        <f t="shared" si="27"/>
        <v>#VALUE!</v>
      </c>
      <c r="AV178" s="1" t="e">
        <f t="shared" si="28"/>
        <v>#VALUE!</v>
      </c>
      <c r="AW178" s="1" t="e">
        <f t="shared" si="29"/>
        <v>#VALUE!</v>
      </c>
    </row>
    <row r="179" spans="1:49" x14ac:dyDescent="0.2">
      <c r="A179">
        <v>177</v>
      </c>
      <c r="B179" t="s">
        <v>5629</v>
      </c>
      <c r="C179" t="s">
        <v>5628</v>
      </c>
      <c r="F179" t="s">
        <v>5627</v>
      </c>
      <c r="G179" t="s">
        <v>15</v>
      </c>
      <c r="H179" t="s">
        <v>14</v>
      </c>
      <c r="I179" t="s">
        <v>5626</v>
      </c>
      <c r="J179">
        <v>60032179</v>
      </c>
      <c r="K179" t="s">
        <v>5625</v>
      </c>
      <c r="L179" t="s">
        <v>5624</v>
      </c>
      <c r="M179" t="s">
        <v>10</v>
      </c>
      <c r="N179">
        <v>3</v>
      </c>
      <c r="O179" t="s">
        <v>5623</v>
      </c>
      <c r="P179" t="s">
        <v>5622</v>
      </c>
      <c r="Q179" t="s">
        <v>5621</v>
      </c>
      <c r="R179" s="7">
        <v>30317</v>
      </c>
      <c r="S179" s="8">
        <f t="shared" si="24"/>
        <v>1983</v>
      </c>
      <c r="T179" s="8">
        <v>1983</v>
      </c>
      <c r="U179" s="8">
        <f t="shared" si="25"/>
        <v>39</v>
      </c>
      <c r="V179" s="7">
        <v>30651</v>
      </c>
      <c r="W179" t="s">
        <v>2163</v>
      </c>
      <c r="X179" s="2">
        <v>0.46</v>
      </c>
      <c r="Y179" s="6">
        <f t="shared" si="22"/>
        <v>1.2279437281439364E-2</v>
      </c>
      <c r="AA179">
        <v>933813</v>
      </c>
      <c r="AB179">
        <v>28031</v>
      </c>
      <c r="AC179">
        <v>19399375</v>
      </c>
      <c r="AD179" t="s">
        <v>5</v>
      </c>
      <c r="AE179">
        <v>11</v>
      </c>
      <c r="AF179">
        <v>4</v>
      </c>
      <c r="AH179" t="s">
        <v>5620</v>
      </c>
      <c r="AI179" t="s">
        <v>5619</v>
      </c>
      <c r="AK179" t="s">
        <v>5618</v>
      </c>
      <c r="AL179">
        <v>5</v>
      </c>
      <c r="AM179" s="5">
        <f t="shared" si="26"/>
        <v>0.12820512820512819</v>
      </c>
      <c r="AN179" s="4">
        <f t="shared" si="23"/>
        <v>1.9417664249167467E-4</v>
      </c>
      <c r="AO179" s="3"/>
      <c r="AP179">
        <v>0</v>
      </c>
      <c r="AR179" t="s">
        <v>1</v>
      </c>
      <c r="AT179" s="2">
        <v>1.222</v>
      </c>
      <c r="AU179" s="1">
        <f t="shared" si="27"/>
        <v>0.8653859089755056</v>
      </c>
      <c r="AV179" s="1">
        <f t="shared" si="28"/>
        <v>0.62368069619655198</v>
      </c>
      <c r="AW179" s="1">
        <f t="shared" si="29"/>
        <v>0.38197548341759813</v>
      </c>
    </row>
    <row r="180" spans="1:49" x14ac:dyDescent="0.2">
      <c r="A180">
        <v>178</v>
      </c>
      <c r="B180" t="s">
        <v>5617</v>
      </c>
      <c r="C180" t="s">
        <v>5616</v>
      </c>
      <c r="F180" t="s">
        <v>5615</v>
      </c>
      <c r="G180" t="s">
        <v>15</v>
      </c>
      <c r="H180" t="s">
        <v>14</v>
      </c>
      <c r="I180" t="s">
        <v>5614</v>
      </c>
      <c r="J180">
        <v>60019702</v>
      </c>
      <c r="K180" t="s">
        <v>5613</v>
      </c>
      <c r="L180" t="s">
        <v>5612</v>
      </c>
      <c r="M180" t="s">
        <v>271</v>
      </c>
      <c r="N180">
        <v>1</v>
      </c>
      <c r="O180" t="s">
        <v>5611</v>
      </c>
      <c r="P180">
        <v>6701819589</v>
      </c>
      <c r="Q180">
        <v>60019702</v>
      </c>
      <c r="R180" s="7">
        <v>30317</v>
      </c>
      <c r="S180" s="8">
        <f t="shared" si="24"/>
        <v>1983</v>
      </c>
      <c r="T180" s="8">
        <v>1983</v>
      </c>
      <c r="U180" s="8">
        <f t="shared" si="25"/>
        <v>39</v>
      </c>
      <c r="V180" s="7">
        <v>30651</v>
      </c>
      <c r="W180" s="11" t="s">
        <v>1577</v>
      </c>
      <c r="X180" s="2">
        <v>2.383</v>
      </c>
      <c r="Y180" s="6">
        <f t="shared" si="22"/>
        <v>6.3612824003630442E-2</v>
      </c>
      <c r="AA180">
        <v>1437070</v>
      </c>
      <c r="AB180">
        <v>39742</v>
      </c>
      <c r="AD180" t="s">
        <v>5</v>
      </c>
      <c r="AE180">
        <v>130</v>
      </c>
      <c r="AF180">
        <v>7</v>
      </c>
      <c r="AH180" t="s">
        <v>5610</v>
      </c>
      <c r="AI180" t="s">
        <v>5609</v>
      </c>
      <c r="AJ180" t="s">
        <v>5608</v>
      </c>
      <c r="AK180" t="s">
        <v>5607</v>
      </c>
      <c r="AL180">
        <v>49</v>
      </c>
      <c r="AM180" s="5">
        <f t="shared" si="26"/>
        <v>1.2564102564102564</v>
      </c>
      <c r="AN180" s="4">
        <f t="shared" si="23"/>
        <v>1.9029310964184117E-3</v>
      </c>
      <c r="AO180" s="3"/>
      <c r="AP180">
        <v>0</v>
      </c>
      <c r="AR180" t="s">
        <v>1</v>
      </c>
      <c r="AT180" s="2" t="s">
        <v>0</v>
      </c>
      <c r="AU180" s="1">
        <f t="shared" si="27"/>
        <v>4.5099856131466831</v>
      </c>
      <c r="AV180" s="1">
        <f t="shared" si="28"/>
        <v>3.2757877550024426</v>
      </c>
      <c r="AW180" s="1">
        <f t="shared" si="29"/>
        <v>2.041589896858202</v>
      </c>
    </row>
    <row r="181" spans="1:49" x14ac:dyDescent="0.2">
      <c r="A181">
        <v>179</v>
      </c>
      <c r="B181" t="s">
        <v>5606</v>
      </c>
      <c r="F181" t="s">
        <v>5605</v>
      </c>
      <c r="G181" t="s">
        <v>15</v>
      </c>
      <c r="H181" t="s">
        <v>14</v>
      </c>
      <c r="I181" t="s">
        <v>5604</v>
      </c>
      <c r="N181">
        <v>4</v>
      </c>
      <c r="O181" t="s">
        <v>5603</v>
      </c>
      <c r="P181" t="s">
        <v>5602</v>
      </c>
      <c r="Q181" t="s">
        <v>575</v>
      </c>
      <c r="R181" s="7">
        <v>30317</v>
      </c>
      <c r="S181" s="8">
        <f t="shared" si="24"/>
        <v>1983</v>
      </c>
      <c r="T181" s="8">
        <v>1983</v>
      </c>
      <c r="U181" s="8">
        <f t="shared" si="25"/>
        <v>39</v>
      </c>
      <c r="V181" s="7" t="s">
        <v>5358</v>
      </c>
      <c r="W181" t="s">
        <v>5601</v>
      </c>
      <c r="X181" s="2" t="s">
        <v>0</v>
      </c>
      <c r="Y181" s="6" t="e">
        <f t="shared" si="22"/>
        <v>#VALUE!</v>
      </c>
      <c r="AA181">
        <v>10196587</v>
      </c>
      <c r="AB181">
        <v>18354</v>
      </c>
      <c r="AD181" t="s">
        <v>5</v>
      </c>
      <c r="AF181">
        <v>202</v>
      </c>
      <c r="AH181" t="s">
        <v>5600</v>
      </c>
      <c r="AI181" t="s">
        <v>5599</v>
      </c>
      <c r="AK181" t="s">
        <v>5598</v>
      </c>
      <c r="AL181">
        <v>0</v>
      </c>
      <c r="AM181" s="5">
        <f t="shared" si="26"/>
        <v>0</v>
      </c>
      <c r="AN181" s="4">
        <f t="shared" si="23"/>
        <v>0</v>
      </c>
      <c r="AO181" s="3"/>
      <c r="AP181">
        <v>0</v>
      </c>
      <c r="AR181" t="s">
        <v>1</v>
      </c>
      <c r="AT181" s="2" t="s">
        <v>0</v>
      </c>
      <c r="AU181" s="1" t="e">
        <f t="shared" si="27"/>
        <v>#VALUE!</v>
      </c>
      <c r="AV181" s="1" t="e">
        <f t="shared" si="28"/>
        <v>#VALUE!</v>
      </c>
      <c r="AW181" s="1" t="e">
        <f t="shared" si="29"/>
        <v>#VALUE!</v>
      </c>
    </row>
    <row r="182" spans="1:49" x14ac:dyDescent="0.2">
      <c r="A182">
        <v>180</v>
      </c>
      <c r="B182" t="s">
        <v>5597</v>
      </c>
      <c r="C182" t="s">
        <v>5596</v>
      </c>
      <c r="F182" t="s">
        <v>5595</v>
      </c>
      <c r="G182" t="s">
        <v>15</v>
      </c>
      <c r="H182" t="s">
        <v>14</v>
      </c>
      <c r="I182" t="s">
        <v>5594</v>
      </c>
      <c r="J182">
        <v>60030526</v>
      </c>
      <c r="K182" t="s">
        <v>4634</v>
      </c>
      <c r="L182" t="s">
        <v>56</v>
      </c>
      <c r="M182" t="s">
        <v>55</v>
      </c>
      <c r="N182">
        <v>3</v>
      </c>
      <c r="O182" t="s">
        <v>5593</v>
      </c>
      <c r="P182" t="s">
        <v>5592</v>
      </c>
      <c r="Q182" t="s">
        <v>5591</v>
      </c>
      <c r="R182" s="7">
        <v>30317</v>
      </c>
      <c r="S182" s="8">
        <f t="shared" si="24"/>
        <v>1983</v>
      </c>
      <c r="T182" s="8">
        <v>1983</v>
      </c>
      <c r="U182" s="8">
        <f t="shared" si="25"/>
        <v>39</v>
      </c>
      <c r="V182" s="7">
        <v>1983</v>
      </c>
      <c r="W182" t="s">
        <v>227</v>
      </c>
      <c r="X182" s="2">
        <v>0.111</v>
      </c>
      <c r="Y182" s="6">
        <f t="shared" si="22"/>
        <v>2.9630816048690639E-3</v>
      </c>
      <c r="AA182">
        <v>87566621</v>
      </c>
      <c r="AB182">
        <v>24890</v>
      </c>
      <c r="AC182">
        <v>15206424</v>
      </c>
      <c r="AD182" t="s">
        <v>5</v>
      </c>
      <c r="AE182">
        <v>66</v>
      </c>
      <c r="AF182">
        <v>12</v>
      </c>
      <c r="AH182" t="s">
        <v>5590</v>
      </c>
      <c r="AI182" t="s">
        <v>5589</v>
      </c>
      <c r="AK182" t="s">
        <v>5588</v>
      </c>
      <c r="AL182">
        <v>2</v>
      </c>
      <c r="AM182" s="5">
        <f t="shared" si="26"/>
        <v>5.128205128205128E-2</v>
      </c>
      <c r="AN182" s="4">
        <f t="shared" si="23"/>
        <v>7.767065699666987E-5</v>
      </c>
      <c r="AO182" s="3"/>
      <c r="AP182">
        <v>0</v>
      </c>
      <c r="AR182" t="s">
        <v>1</v>
      </c>
      <c r="AT182" s="2" t="s">
        <v>0</v>
      </c>
      <c r="AU182" s="1">
        <f t="shared" si="27"/>
        <v>0.20974583205073455</v>
      </c>
      <c r="AV182" s="1">
        <f t="shared" si="28"/>
        <v>0.1520376130932867</v>
      </c>
      <c r="AW182" s="1">
        <f t="shared" si="29"/>
        <v>9.4329394135838796E-2</v>
      </c>
    </row>
    <row r="183" spans="1:49" x14ac:dyDescent="0.2">
      <c r="A183">
        <v>181</v>
      </c>
      <c r="B183" t="s">
        <v>5587</v>
      </c>
      <c r="F183" t="s">
        <v>5586</v>
      </c>
      <c r="G183" t="s">
        <v>15</v>
      </c>
      <c r="H183" t="s">
        <v>14</v>
      </c>
      <c r="I183" t="s">
        <v>5585</v>
      </c>
      <c r="N183">
        <v>3</v>
      </c>
      <c r="O183" t="s">
        <v>5584</v>
      </c>
      <c r="P183" t="s">
        <v>5583</v>
      </c>
      <c r="Q183" t="s">
        <v>510</v>
      </c>
      <c r="R183" s="7">
        <v>30317</v>
      </c>
      <c r="S183" s="8">
        <f t="shared" si="24"/>
        <v>1983</v>
      </c>
      <c r="T183" s="8">
        <v>1983</v>
      </c>
      <c r="U183" s="8">
        <f t="shared" si="25"/>
        <v>39</v>
      </c>
      <c r="V183" s="7" t="s">
        <v>5358</v>
      </c>
      <c r="W183" t="s">
        <v>1519</v>
      </c>
      <c r="X183" s="2" t="s">
        <v>0</v>
      </c>
      <c r="Y183" s="6" t="e">
        <f t="shared" si="22"/>
        <v>#VALUE!</v>
      </c>
      <c r="AA183" t="s">
        <v>1518</v>
      </c>
      <c r="AB183">
        <v>30906</v>
      </c>
      <c r="AD183" t="s">
        <v>5</v>
      </c>
      <c r="AE183" t="s">
        <v>1517</v>
      </c>
      <c r="AF183">
        <v>12</v>
      </c>
      <c r="AH183" t="s">
        <v>5582</v>
      </c>
      <c r="AI183" t="s">
        <v>5581</v>
      </c>
      <c r="AK183" t="s">
        <v>5580</v>
      </c>
      <c r="AL183">
        <v>2</v>
      </c>
      <c r="AM183" s="5">
        <f t="shared" si="26"/>
        <v>5.128205128205128E-2</v>
      </c>
      <c r="AN183" s="4">
        <f t="shared" si="23"/>
        <v>7.767065699666987E-5</v>
      </c>
      <c r="AO183" s="3"/>
      <c r="AP183">
        <v>0</v>
      </c>
      <c r="AR183" t="s">
        <v>1</v>
      </c>
      <c r="AT183" s="2" t="s">
        <v>0</v>
      </c>
      <c r="AU183" s="1" t="e">
        <f t="shared" si="27"/>
        <v>#VALUE!</v>
      </c>
      <c r="AV183" s="1" t="e">
        <f t="shared" si="28"/>
        <v>#VALUE!</v>
      </c>
      <c r="AW183" s="1" t="e">
        <f t="shared" si="29"/>
        <v>#VALUE!</v>
      </c>
    </row>
    <row r="184" spans="1:49" x14ac:dyDescent="0.2">
      <c r="A184">
        <v>182</v>
      </c>
      <c r="B184" t="s">
        <v>5579</v>
      </c>
      <c r="C184" t="s">
        <v>5578</v>
      </c>
      <c r="F184" t="s">
        <v>5577</v>
      </c>
      <c r="G184" t="s">
        <v>15</v>
      </c>
      <c r="H184" t="s">
        <v>14</v>
      </c>
      <c r="I184" t="s">
        <v>5576</v>
      </c>
      <c r="J184">
        <v>60009037</v>
      </c>
      <c r="K184" t="s">
        <v>720</v>
      </c>
      <c r="L184" t="s">
        <v>719</v>
      </c>
      <c r="M184" t="s">
        <v>10</v>
      </c>
      <c r="N184">
        <v>1</v>
      </c>
      <c r="O184" t="s">
        <v>5575</v>
      </c>
      <c r="P184">
        <v>7401749024</v>
      </c>
      <c r="Q184">
        <v>60009037</v>
      </c>
      <c r="R184" s="7">
        <v>30317</v>
      </c>
      <c r="S184" s="8">
        <f t="shared" si="24"/>
        <v>1983</v>
      </c>
      <c r="T184" s="8">
        <v>1983</v>
      </c>
      <c r="U184" s="8">
        <f t="shared" si="25"/>
        <v>39</v>
      </c>
      <c r="V184" s="7">
        <v>30651</v>
      </c>
      <c r="W184" t="s">
        <v>4106</v>
      </c>
      <c r="X184" s="2">
        <v>0.53700000000000003</v>
      </c>
      <c r="Y184" s="6">
        <f t="shared" si="22"/>
        <v>1.4334908304636823E-2</v>
      </c>
      <c r="AA184">
        <v>189499</v>
      </c>
      <c r="AB184">
        <v>17368</v>
      </c>
      <c r="AC184">
        <v>15581578</v>
      </c>
      <c r="AD184" t="s">
        <v>5</v>
      </c>
      <c r="AE184">
        <v>30</v>
      </c>
      <c r="AF184">
        <v>6</v>
      </c>
      <c r="AH184" t="s">
        <v>5574</v>
      </c>
      <c r="AI184" t="s">
        <v>5573</v>
      </c>
      <c r="AK184" t="s">
        <v>5572</v>
      </c>
      <c r="AL184">
        <v>15</v>
      </c>
      <c r="AM184" s="5">
        <f t="shared" si="26"/>
        <v>0.38461538461538464</v>
      </c>
      <c r="AN184" s="4">
        <f t="shared" si="23"/>
        <v>5.8252992747502411E-4</v>
      </c>
      <c r="AO184" s="3"/>
      <c r="AP184">
        <v>0</v>
      </c>
      <c r="AR184" t="s">
        <v>1</v>
      </c>
      <c r="AT184" s="2">
        <v>1.679</v>
      </c>
      <c r="AU184" s="1">
        <f t="shared" si="27"/>
        <v>1.0209194791488283</v>
      </c>
      <c r="AV184" s="1">
        <f t="shared" si="28"/>
        <v>0.7458719116055923</v>
      </c>
      <c r="AW184" s="1">
        <f t="shared" si="29"/>
        <v>0.47082434406235635</v>
      </c>
    </row>
    <row r="185" spans="1:49" x14ac:dyDescent="0.2">
      <c r="A185">
        <v>183</v>
      </c>
      <c r="B185" t="s">
        <v>5571</v>
      </c>
      <c r="F185" t="s">
        <v>5570</v>
      </c>
      <c r="G185" t="s">
        <v>15</v>
      </c>
      <c r="H185" t="s">
        <v>14</v>
      </c>
      <c r="I185" t="s">
        <v>5569</v>
      </c>
      <c r="N185">
        <v>1</v>
      </c>
      <c r="O185" t="s">
        <v>5568</v>
      </c>
      <c r="P185">
        <v>56808178200</v>
      </c>
      <c r="R185" s="7">
        <v>30317</v>
      </c>
      <c r="S185" s="8">
        <f t="shared" si="24"/>
        <v>1983</v>
      </c>
      <c r="T185" s="8">
        <v>1983</v>
      </c>
      <c r="U185" s="8">
        <f t="shared" si="25"/>
        <v>39</v>
      </c>
      <c r="V185" s="7">
        <v>1983</v>
      </c>
      <c r="W185" t="s">
        <v>5567</v>
      </c>
      <c r="X185" s="2" t="s">
        <v>0</v>
      </c>
      <c r="Y185" s="6" t="e">
        <f t="shared" si="22"/>
        <v>#VALUE!</v>
      </c>
      <c r="AA185">
        <v>3552721</v>
      </c>
      <c r="AB185">
        <v>26954</v>
      </c>
      <c r="AD185" t="s">
        <v>5</v>
      </c>
      <c r="AF185">
        <v>138</v>
      </c>
      <c r="AH185" t="s">
        <v>5566</v>
      </c>
      <c r="AI185" t="s">
        <v>5565</v>
      </c>
      <c r="AK185" t="s">
        <v>5564</v>
      </c>
      <c r="AL185">
        <v>0</v>
      </c>
      <c r="AM185" s="5">
        <f t="shared" si="26"/>
        <v>0</v>
      </c>
      <c r="AN185" s="4">
        <f t="shared" si="23"/>
        <v>0</v>
      </c>
      <c r="AO185" s="3"/>
      <c r="AP185">
        <v>0</v>
      </c>
      <c r="AR185" t="s">
        <v>1</v>
      </c>
      <c r="AT185" s="2" t="s">
        <v>0</v>
      </c>
      <c r="AU185" s="1" t="e">
        <f t="shared" si="27"/>
        <v>#VALUE!</v>
      </c>
      <c r="AV185" s="1" t="e">
        <f t="shared" si="28"/>
        <v>#VALUE!</v>
      </c>
      <c r="AW185" s="1" t="e">
        <f t="shared" si="29"/>
        <v>#VALUE!</v>
      </c>
    </row>
    <row r="186" spans="1:49" x14ac:dyDescent="0.2">
      <c r="A186">
        <v>184</v>
      </c>
      <c r="B186" t="s">
        <v>5563</v>
      </c>
      <c r="C186" t="s">
        <v>5562</v>
      </c>
      <c r="F186" t="s">
        <v>5561</v>
      </c>
      <c r="G186" t="s">
        <v>15</v>
      </c>
      <c r="H186" t="s">
        <v>14</v>
      </c>
      <c r="I186" t="s">
        <v>5560</v>
      </c>
      <c r="J186">
        <v>60010962</v>
      </c>
      <c r="K186" t="s">
        <v>5559</v>
      </c>
      <c r="L186" t="s">
        <v>5558</v>
      </c>
      <c r="M186" t="s">
        <v>80</v>
      </c>
      <c r="N186">
        <v>1</v>
      </c>
      <c r="O186" t="s">
        <v>5557</v>
      </c>
      <c r="P186">
        <v>7003868108</v>
      </c>
      <c r="Q186">
        <v>60010962</v>
      </c>
      <c r="R186" s="7">
        <v>30317</v>
      </c>
      <c r="S186" s="8">
        <f t="shared" si="24"/>
        <v>1983</v>
      </c>
      <c r="T186" s="8">
        <v>1983</v>
      </c>
      <c r="U186" s="8">
        <f t="shared" si="25"/>
        <v>39</v>
      </c>
      <c r="V186" s="7">
        <v>30651</v>
      </c>
      <c r="W186" t="s">
        <v>307</v>
      </c>
      <c r="X186" s="2">
        <v>0.82</v>
      </c>
      <c r="Y186" s="6">
        <f t="shared" si="22"/>
        <v>2.1889431675609299E-2</v>
      </c>
      <c r="AA186">
        <v>189456</v>
      </c>
      <c r="AB186">
        <v>15361</v>
      </c>
      <c r="AC186">
        <v>15579662</v>
      </c>
      <c r="AD186" t="s">
        <v>5</v>
      </c>
      <c r="AE186">
        <v>32</v>
      </c>
      <c r="AF186">
        <v>4</v>
      </c>
      <c r="AH186" t="s">
        <v>5556</v>
      </c>
      <c r="AI186" t="s">
        <v>5555</v>
      </c>
      <c r="AK186" t="s">
        <v>5554</v>
      </c>
      <c r="AL186">
        <v>1</v>
      </c>
      <c r="AM186" s="5">
        <f t="shared" si="26"/>
        <v>2.564102564102564E-2</v>
      </c>
      <c r="AN186" s="4">
        <f t="shared" si="23"/>
        <v>3.8835328498334935E-5</v>
      </c>
      <c r="AO186" s="3"/>
      <c r="AP186">
        <v>0</v>
      </c>
      <c r="AR186" t="s">
        <v>1</v>
      </c>
      <c r="AT186" s="2" t="s">
        <v>0</v>
      </c>
      <c r="AU186" s="1">
        <f t="shared" si="27"/>
        <v>1.5334252771476007</v>
      </c>
      <c r="AV186" s="1">
        <f t="shared" si="28"/>
        <v>1.0964133502053817</v>
      </c>
      <c r="AW186" s="1">
        <f t="shared" si="29"/>
        <v>0.65940142326316231</v>
      </c>
    </row>
    <row r="187" spans="1:49" x14ac:dyDescent="0.2">
      <c r="A187">
        <v>185</v>
      </c>
      <c r="B187" t="s">
        <v>5553</v>
      </c>
      <c r="F187" t="s">
        <v>5552</v>
      </c>
      <c r="G187" t="s">
        <v>15</v>
      </c>
      <c r="H187" t="s">
        <v>14</v>
      </c>
      <c r="I187" t="s">
        <v>5551</v>
      </c>
      <c r="N187">
        <v>2</v>
      </c>
      <c r="O187" t="s">
        <v>5550</v>
      </c>
      <c r="P187" t="s">
        <v>5549</v>
      </c>
      <c r="Q187" t="s">
        <v>342</v>
      </c>
      <c r="R187" s="7">
        <v>30317</v>
      </c>
      <c r="S187" s="8">
        <f t="shared" si="24"/>
        <v>1983</v>
      </c>
      <c r="T187" s="8">
        <v>1983</v>
      </c>
      <c r="U187" s="8">
        <f t="shared" si="25"/>
        <v>39</v>
      </c>
      <c r="V187" s="7" t="s">
        <v>5358</v>
      </c>
      <c r="W187" t="s">
        <v>2671</v>
      </c>
      <c r="X187" s="2" t="s">
        <v>0</v>
      </c>
      <c r="Y187" s="6" t="e">
        <f t="shared" si="22"/>
        <v>#VALUE!</v>
      </c>
      <c r="AB187">
        <v>18207</v>
      </c>
      <c r="AD187" t="s">
        <v>5</v>
      </c>
      <c r="AE187">
        <v>11</v>
      </c>
      <c r="AF187">
        <v>6</v>
      </c>
      <c r="AH187" t="s">
        <v>5548</v>
      </c>
      <c r="AI187" t="s">
        <v>5547</v>
      </c>
      <c r="AK187" t="s">
        <v>5546</v>
      </c>
      <c r="AL187">
        <v>3</v>
      </c>
      <c r="AM187" s="5">
        <f t="shared" si="26"/>
        <v>7.6923076923076927E-2</v>
      </c>
      <c r="AN187" s="4">
        <f t="shared" si="23"/>
        <v>1.1650598549500481E-4</v>
      </c>
      <c r="AO187" s="3"/>
      <c r="AP187">
        <v>0</v>
      </c>
      <c r="AR187" t="s">
        <v>1</v>
      </c>
      <c r="AT187" s="2" t="s">
        <v>0</v>
      </c>
      <c r="AU187" s="1" t="e">
        <f t="shared" si="27"/>
        <v>#VALUE!</v>
      </c>
      <c r="AV187" s="1" t="e">
        <f t="shared" si="28"/>
        <v>#VALUE!</v>
      </c>
      <c r="AW187" s="1" t="e">
        <f t="shared" si="29"/>
        <v>#VALUE!</v>
      </c>
    </row>
    <row r="188" spans="1:49" x14ac:dyDescent="0.2">
      <c r="A188">
        <v>186</v>
      </c>
      <c r="B188" t="s">
        <v>5545</v>
      </c>
      <c r="F188" t="s">
        <v>5544</v>
      </c>
      <c r="G188" t="s">
        <v>15</v>
      </c>
      <c r="H188" t="s">
        <v>14</v>
      </c>
      <c r="I188" t="s">
        <v>5543</v>
      </c>
      <c r="N188">
        <v>1</v>
      </c>
      <c r="O188" t="s">
        <v>5542</v>
      </c>
      <c r="P188">
        <v>7101808539</v>
      </c>
      <c r="R188" s="7">
        <v>30317</v>
      </c>
      <c r="S188" s="8">
        <f t="shared" si="24"/>
        <v>1983</v>
      </c>
      <c r="T188" s="8">
        <v>1983</v>
      </c>
      <c r="U188" s="8">
        <f t="shared" si="25"/>
        <v>39</v>
      </c>
      <c r="V188" s="7">
        <v>1983</v>
      </c>
      <c r="W188" t="s">
        <v>5541</v>
      </c>
      <c r="X188" s="2" t="s">
        <v>0</v>
      </c>
      <c r="Y188" s="6" t="e">
        <f t="shared" si="22"/>
        <v>#VALUE!</v>
      </c>
      <c r="AA188">
        <v>289108</v>
      </c>
      <c r="AB188">
        <v>78703</v>
      </c>
      <c r="AD188" t="s">
        <v>5</v>
      </c>
      <c r="AE188">
        <v>23</v>
      </c>
      <c r="AF188">
        <v>100</v>
      </c>
      <c r="AH188" t="s">
        <v>5540</v>
      </c>
      <c r="AI188" t="s">
        <v>5539</v>
      </c>
      <c r="AK188" t="s">
        <v>5538</v>
      </c>
      <c r="AL188">
        <v>0</v>
      </c>
      <c r="AM188" s="5">
        <f t="shared" si="26"/>
        <v>0</v>
      </c>
      <c r="AN188" s="4">
        <f t="shared" si="23"/>
        <v>0</v>
      </c>
      <c r="AO188" s="3"/>
      <c r="AP188">
        <v>0</v>
      </c>
      <c r="AR188" t="s">
        <v>1</v>
      </c>
      <c r="AT188" s="2" t="s">
        <v>0</v>
      </c>
      <c r="AU188" s="1" t="e">
        <f t="shared" si="27"/>
        <v>#VALUE!</v>
      </c>
      <c r="AV188" s="1" t="e">
        <f t="shared" si="28"/>
        <v>#VALUE!</v>
      </c>
      <c r="AW188" s="1" t="e">
        <f t="shared" si="29"/>
        <v>#VALUE!</v>
      </c>
    </row>
    <row r="189" spans="1:49" x14ac:dyDescent="0.2">
      <c r="A189">
        <v>187</v>
      </c>
      <c r="B189" t="s">
        <v>5537</v>
      </c>
      <c r="F189" t="s">
        <v>5536</v>
      </c>
      <c r="G189" t="s">
        <v>15</v>
      </c>
      <c r="H189" t="s">
        <v>14</v>
      </c>
      <c r="I189" t="s">
        <v>5535</v>
      </c>
      <c r="N189">
        <v>1</v>
      </c>
      <c r="O189" t="s">
        <v>5534</v>
      </c>
      <c r="P189">
        <v>7003805994</v>
      </c>
      <c r="R189" s="7">
        <v>30317</v>
      </c>
      <c r="S189" s="8">
        <f t="shared" si="24"/>
        <v>1983</v>
      </c>
      <c r="T189" s="8">
        <v>1983</v>
      </c>
      <c r="U189" s="8">
        <f t="shared" si="25"/>
        <v>39</v>
      </c>
      <c r="V189" s="7" t="s">
        <v>5358</v>
      </c>
      <c r="W189" t="s">
        <v>560</v>
      </c>
      <c r="X189" s="2" t="s">
        <v>0</v>
      </c>
      <c r="Y189" s="6" t="e">
        <f t="shared" si="22"/>
        <v>#VALUE!</v>
      </c>
      <c r="AA189">
        <v>337889</v>
      </c>
      <c r="AB189">
        <v>40920</v>
      </c>
      <c r="AD189" t="s">
        <v>5</v>
      </c>
      <c r="AE189">
        <v>28</v>
      </c>
      <c r="AF189">
        <v>12</v>
      </c>
      <c r="AH189" s="10">
        <v>41821</v>
      </c>
      <c r="AI189" t="s">
        <v>5533</v>
      </c>
      <c r="AK189" t="s">
        <v>5532</v>
      </c>
      <c r="AL189">
        <v>0</v>
      </c>
      <c r="AM189" s="5">
        <f t="shared" si="26"/>
        <v>0</v>
      </c>
      <c r="AN189" s="4">
        <f t="shared" si="23"/>
        <v>0</v>
      </c>
      <c r="AO189" s="3"/>
      <c r="AP189">
        <v>0</v>
      </c>
      <c r="AR189" t="s">
        <v>1</v>
      </c>
      <c r="AT189" s="2" t="s">
        <v>0</v>
      </c>
      <c r="AU189" s="1" t="e">
        <f t="shared" si="27"/>
        <v>#VALUE!</v>
      </c>
      <c r="AV189" s="1" t="e">
        <f t="shared" si="28"/>
        <v>#VALUE!</v>
      </c>
      <c r="AW189" s="1" t="e">
        <f t="shared" si="29"/>
        <v>#VALUE!</v>
      </c>
    </row>
    <row r="190" spans="1:49" x14ac:dyDescent="0.2">
      <c r="A190">
        <v>188</v>
      </c>
      <c r="B190" t="s">
        <v>5531</v>
      </c>
      <c r="C190" t="s">
        <v>5530</v>
      </c>
      <c r="F190" t="s">
        <v>5529</v>
      </c>
      <c r="G190" t="s">
        <v>15</v>
      </c>
      <c r="H190" t="s">
        <v>14</v>
      </c>
      <c r="I190" t="s">
        <v>5528</v>
      </c>
      <c r="J190">
        <v>60020650</v>
      </c>
      <c r="K190" t="s">
        <v>5527</v>
      </c>
      <c r="L190" t="s">
        <v>5526</v>
      </c>
      <c r="M190" t="s">
        <v>271</v>
      </c>
      <c r="N190">
        <v>1</v>
      </c>
      <c r="O190" t="s">
        <v>5525</v>
      </c>
      <c r="P190">
        <v>7004240295</v>
      </c>
      <c r="Q190">
        <v>60020650</v>
      </c>
      <c r="R190" s="7">
        <v>30317</v>
      </c>
      <c r="S190" s="8">
        <f t="shared" si="24"/>
        <v>1983</v>
      </c>
      <c r="T190" s="8">
        <v>1983</v>
      </c>
      <c r="U190" s="8">
        <f t="shared" si="25"/>
        <v>39</v>
      </c>
      <c r="V190" s="7">
        <v>30651</v>
      </c>
      <c r="W190" s="11" t="s">
        <v>1577</v>
      </c>
      <c r="X190" s="2">
        <v>2.383</v>
      </c>
      <c r="Y190" s="6">
        <f t="shared" si="22"/>
        <v>6.3612824003630442E-2</v>
      </c>
      <c r="AA190">
        <v>1437070</v>
      </c>
      <c r="AB190">
        <v>39742</v>
      </c>
      <c r="AD190" t="s">
        <v>5</v>
      </c>
      <c r="AE190">
        <v>130</v>
      </c>
      <c r="AF190">
        <v>7</v>
      </c>
      <c r="AH190" t="s">
        <v>5524</v>
      </c>
      <c r="AI190" t="s">
        <v>5523</v>
      </c>
      <c r="AJ190" t="s">
        <v>5522</v>
      </c>
      <c r="AK190" t="s">
        <v>5521</v>
      </c>
      <c r="AL190">
        <v>3</v>
      </c>
      <c r="AM190" s="5">
        <f t="shared" si="26"/>
        <v>7.6923076923076927E-2</v>
      </c>
      <c r="AN190" s="4">
        <f t="shared" si="23"/>
        <v>1.1650598549500481E-4</v>
      </c>
      <c r="AO190" s="3"/>
      <c r="AP190">
        <v>0</v>
      </c>
      <c r="AR190" t="s">
        <v>1</v>
      </c>
      <c r="AT190" s="2" t="s">
        <v>0</v>
      </c>
      <c r="AU190" s="1">
        <f t="shared" si="27"/>
        <v>4.4563928598189815</v>
      </c>
      <c r="AV190" s="1">
        <f t="shared" si="28"/>
        <v>3.1864664994562726</v>
      </c>
      <c r="AW190" s="1">
        <f t="shared" si="29"/>
        <v>1.9165401390935637</v>
      </c>
    </row>
    <row r="191" spans="1:49" x14ac:dyDescent="0.2">
      <c r="A191">
        <v>189</v>
      </c>
      <c r="B191" t="s">
        <v>5520</v>
      </c>
      <c r="F191" t="s">
        <v>5519</v>
      </c>
      <c r="G191" t="s">
        <v>15</v>
      </c>
      <c r="H191" t="s">
        <v>14</v>
      </c>
      <c r="I191" t="s">
        <v>5518</v>
      </c>
      <c r="N191">
        <v>1</v>
      </c>
      <c r="O191" t="s">
        <v>5517</v>
      </c>
      <c r="P191">
        <v>7004440351</v>
      </c>
      <c r="R191" s="7">
        <v>30317</v>
      </c>
      <c r="S191" s="8">
        <f t="shared" si="24"/>
        <v>1983</v>
      </c>
      <c r="T191" s="8">
        <v>1983</v>
      </c>
      <c r="U191" s="8">
        <f t="shared" si="25"/>
        <v>39</v>
      </c>
      <c r="V191" s="7" t="s">
        <v>5358</v>
      </c>
      <c r="W191" t="s">
        <v>5516</v>
      </c>
      <c r="X191" s="2" t="s">
        <v>0</v>
      </c>
      <c r="Y191" s="6" t="e">
        <f t="shared" si="22"/>
        <v>#VALUE!</v>
      </c>
      <c r="AA191">
        <v>268127</v>
      </c>
      <c r="AB191">
        <v>27808</v>
      </c>
      <c r="AD191" t="s">
        <v>5</v>
      </c>
      <c r="AE191">
        <v>39</v>
      </c>
      <c r="AF191">
        <v>11</v>
      </c>
      <c r="AI191" t="s">
        <v>5515</v>
      </c>
      <c r="AK191" t="s">
        <v>5514</v>
      </c>
      <c r="AL191">
        <v>0</v>
      </c>
      <c r="AM191" s="5">
        <f t="shared" si="26"/>
        <v>0</v>
      </c>
      <c r="AN191" s="4">
        <f t="shared" si="23"/>
        <v>0</v>
      </c>
      <c r="AO191" s="3"/>
      <c r="AP191">
        <v>0</v>
      </c>
      <c r="AR191" t="s">
        <v>1</v>
      </c>
      <c r="AT191" s="2" t="s">
        <v>0</v>
      </c>
      <c r="AU191" s="1" t="e">
        <f t="shared" si="27"/>
        <v>#VALUE!</v>
      </c>
      <c r="AV191" s="1" t="e">
        <f t="shared" si="28"/>
        <v>#VALUE!</v>
      </c>
      <c r="AW191" s="1" t="e">
        <f t="shared" si="29"/>
        <v>#VALUE!</v>
      </c>
    </row>
    <row r="192" spans="1:49" x14ac:dyDescent="0.2">
      <c r="A192">
        <v>190</v>
      </c>
      <c r="B192" t="s">
        <v>5513</v>
      </c>
      <c r="F192" t="s">
        <v>5512</v>
      </c>
      <c r="G192" t="s">
        <v>15</v>
      </c>
      <c r="H192" t="s">
        <v>14</v>
      </c>
      <c r="I192" t="s">
        <v>5511</v>
      </c>
      <c r="N192">
        <v>2</v>
      </c>
      <c r="O192" t="s">
        <v>5510</v>
      </c>
      <c r="P192" t="s">
        <v>5509</v>
      </c>
      <c r="Q192" t="s">
        <v>342</v>
      </c>
      <c r="R192" s="7">
        <v>30317</v>
      </c>
      <c r="S192" s="8">
        <f t="shared" si="24"/>
        <v>1983</v>
      </c>
      <c r="T192" s="8">
        <v>1983</v>
      </c>
      <c r="U192" s="8">
        <f t="shared" si="25"/>
        <v>39</v>
      </c>
      <c r="V192" s="7" t="s">
        <v>5358</v>
      </c>
      <c r="W192" t="s">
        <v>2613</v>
      </c>
      <c r="X192" s="2">
        <v>1.6379999999999999</v>
      </c>
      <c r="Y192" s="6">
        <f t="shared" si="22"/>
        <v>4.3725474493473214E-2</v>
      </c>
      <c r="AA192">
        <v>963518</v>
      </c>
      <c r="AB192">
        <v>31560</v>
      </c>
      <c r="AD192" t="s">
        <v>5</v>
      </c>
      <c r="AE192" t="s">
        <v>5508</v>
      </c>
      <c r="AF192">
        <v>6</v>
      </c>
      <c r="AH192" t="s">
        <v>5507</v>
      </c>
      <c r="AI192" t="s">
        <v>5506</v>
      </c>
      <c r="AK192" t="s">
        <v>5505</v>
      </c>
      <c r="AL192">
        <v>206</v>
      </c>
      <c r="AM192" s="5">
        <f t="shared" si="26"/>
        <v>5.2820512820512819</v>
      </c>
      <c r="AN192" s="4">
        <f t="shared" si="23"/>
        <v>8.0000776706569965E-3</v>
      </c>
      <c r="AO192" s="3"/>
      <c r="AP192">
        <v>0</v>
      </c>
      <c r="AR192" t="s">
        <v>1</v>
      </c>
      <c r="AT192" s="2" t="s">
        <v>0</v>
      </c>
      <c r="AU192" s="1">
        <f t="shared" si="27"/>
        <v>3.3007855446628347</v>
      </c>
      <c r="AV192" s="1">
        <f t="shared" si="28"/>
        <v>2.5862776082065104</v>
      </c>
      <c r="AW192" s="1">
        <f t="shared" si="29"/>
        <v>1.8717696717501862</v>
      </c>
    </row>
    <row r="193" spans="1:49" x14ac:dyDescent="0.2">
      <c r="A193">
        <v>191</v>
      </c>
      <c r="B193" t="s">
        <v>5504</v>
      </c>
      <c r="F193" t="s">
        <v>5503</v>
      </c>
      <c r="G193" t="s">
        <v>15</v>
      </c>
      <c r="H193" t="s">
        <v>14</v>
      </c>
      <c r="I193" t="s">
        <v>1488</v>
      </c>
      <c r="N193">
        <v>5</v>
      </c>
      <c r="O193" t="s">
        <v>5502</v>
      </c>
      <c r="P193" t="s">
        <v>5501</v>
      </c>
      <c r="Q193" t="s">
        <v>2349</v>
      </c>
      <c r="R193" s="7">
        <v>30317</v>
      </c>
      <c r="S193" s="8">
        <f t="shared" si="24"/>
        <v>1983</v>
      </c>
      <c r="T193" s="8">
        <v>1983</v>
      </c>
      <c r="U193" s="8">
        <f t="shared" si="25"/>
        <v>39</v>
      </c>
      <c r="V193" s="7">
        <v>1983</v>
      </c>
      <c r="W193" t="s">
        <v>5500</v>
      </c>
      <c r="X193" s="2" t="s">
        <v>0</v>
      </c>
      <c r="Y193" s="6" t="e">
        <f t="shared" si="22"/>
        <v>#VALUE!</v>
      </c>
      <c r="AA193">
        <v>271349</v>
      </c>
      <c r="AB193">
        <v>28721</v>
      </c>
      <c r="AD193" t="s">
        <v>5</v>
      </c>
      <c r="AE193">
        <v>38</v>
      </c>
      <c r="AF193">
        <v>3</v>
      </c>
      <c r="AH193" t="s">
        <v>5499</v>
      </c>
      <c r="AI193" t="s">
        <v>5498</v>
      </c>
      <c r="AK193" t="s">
        <v>5497</v>
      </c>
      <c r="AL193">
        <v>0</v>
      </c>
      <c r="AM193" s="5">
        <f t="shared" si="26"/>
        <v>0</v>
      </c>
      <c r="AN193" s="4">
        <f t="shared" si="23"/>
        <v>0</v>
      </c>
      <c r="AO193" s="3"/>
      <c r="AP193">
        <v>0</v>
      </c>
      <c r="AR193" t="s">
        <v>1</v>
      </c>
      <c r="AT193" s="2" t="s">
        <v>0</v>
      </c>
      <c r="AU193" s="1" t="e">
        <f t="shared" si="27"/>
        <v>#VALUE!</v>
      </c>
      <c r="AV193" s="1" t="e">
        <f t="shared" si="28"/>
        <v>#VALUE!</v>
      </c>
      <c r="AW193" s="1" t="e">
        <f t="shared" si="29"/>
        <v>#VALUE!</v>
      </c>
    </row>
    <row r="194" spans="1:49" x14ac:dyDescent="0.2">
      <c r="A194">
        <v>192</v>
      </c>
      <c r="B194" t="s">
        <v>5496</v>
      </c>
      <c r="F194" t="s">
        <v>5495</v>
      </c>
      <c r="G194" t="s">
        <v>15</v>
      </c>
      <c r="H194" t="s">
        <v>14</v>
      </c>
      <c r="I194" t="s">
        <v>5494</v>
      </c>
      <c r="N194">
        <v>1</v>
      </c>
      <c r="O194" t="s">
        <v>5493</v>
      </c>
      <c r="P194">
        <v>7102170104</v>
      </c>
      <c r="R194" s="7">
        <v>30317</v>
      </c>
      <c r="S194" s="8">
        <f t="shared" si="24"/>
        <v>1983</v>
      </c>
      <c r="T194" s="8">
        <v>1983</v>
      </c>
      <c r="U194" s="8">
        <f t="shared" si="25"/>
        <v>39</v>
      </c>
      <c r="V194" s="7">
        <v>1983</v>
      </c>
      <c r="W194" t="s">
        <v>5492</v>
      </c>
      <c r="X194" s="2">
        <v>1.147</v>
      </c>
      <c r="Y194" s="6">
        <f t="shared" ref="Y194:Y257" si="30">(X194-$Z$4)/($Z$3-$Z$4)</f>
        <v>3.0618509916980327E-2</v>
      </c>
      <c r="AA194">
        <v>190578</v>
      </c>
      <c r="AB194">
        <v>29805</v>
      </c>
      <c r="AD194" t="s">
        <v>5</v>
      </c>
      <c r="AE194">
        <v>22</v>
      </c>
      <c r="AF194">
        <v>4</v>
      </c>
      <c r="AH194" t="s">
        <v>5491</v>
      </c>
      <c r="AI194" t="s">
        <v>5490</v>
      </c>
      <c r="AK194" t="s">
        <v>5489</v>
      </c>
      <c r="AL194">
        <v>0</v>
      </c>
      <c r="AM194" s="5">
        <f t="shared" si="26"/>
        <v>0</v>
      </c>
      <c r="AN194" s="4">
        <f t="shared" ref="AN194:AN257" si="31">(AM194-$AO$4)/($AO$3-$AO$4)</f>
        <v>0</v>
      </c>
      <c r="AO194" s="3"/>
      <c r="AP194">
        <v>0</v>
      </c>
      <c r="AR194" t="s">
        <v>1</v>
      </c>
      <c r="AT194" s="2">
        <v>5.468</v>
      </c>
      <c r="AU194" s="1">
        <f t="shared" si="27"/>
        <v>2.1432956941886228</v>
      </c>
      <c r="AV194" s="1">
        <f t="shared" si="28"/>
        <v>1.5309254958490164</v>
      </c>
      <c r="AW194" s="1">
        <f t="shared" si="29"/>
        <v>0.91855529750940967</v>
      </c>
    </row>
    <row r="195" spans="1:49" x14ac:dyDescent="0.2">
      <c r="A195">
        <v>193</v>
      </c>
      <c r="B195" t="s">
        <v>5488</v>
      </c>
      <c r="F195" t="s">
        <v>5487</v>
      </c>
      <c r="G195" t="s">
        <v>15</v>
      </c>
      <c r="H195" t="s">
        <v>14</v>
      </c>
      <c r="I195" t="s">
        <v>5486</v>
      </c>
      <c r="N195">
        <v>1</v>
      </c>
      <c r="O195" t="s">
        <v>5485</v>
      </c>
      <c r="P195">
        <v>6602738602</v>
      </c>
      <c r="R195" s="7">
        <v>30317</v>
      </c>
      <c r="S195" s="8">
        <f t="shared" si="24"/>
        <v>1983</v>
      </c>
      <c r="T195" s="8">
        <v>1983</v>
      </c>
      <c r="U195" s="8">
        <f t="shared" si="25"/>
        <v>39</v>
      </c>
      <c r="V195" s="7">
        <v>1983</v>
      </c>
      <c r="W195" t="s">
        <v>5484</v>
      </c>
      <c r="X195" s="2" t="s">
        <v>0</v>
      </c>
      <c r="Y195" s="6" t="e">
        <f t="shared" si="30"/>
        <v>#VALUE!</v>
      </c>
      <c r="AA195">
        <v>3779254</v>
      </c>
      <c r="AB195">
        <v>95454</v>
      </c>
      <c r="AD195" t="s">
        <v>5</v>
      </c>
      <c r="AE195">
        <v>9</v>
      </c>
      <c r="AF195">
        <v>1</v>
      </c>
      <c r="AH195" s="9">
        <v>44350</v>
      </c>
      <c r="AI195" t="s">
        <v>5483</v>
      </c>
      <c r="AK195" t="s">
        <v>5482</v>
      </c>
      <c r="AL195">
        <v>0</v>
      </c>
      <c r="AM195" s="5">
        <f t="shared" si="26"/>
        <v>0</v>
      </c>
      <c r="AN195" s="4">
        <f t="shared" si="31"/>
        <v>0</v>
      </c>
      <c r="AO195" s="3"/>
      <c r="AP195">
        <v>0</v>
      </c>
      <c r="AR195" t="s">
        <v>1</v>
      </c>
      <c r="AT195" s="2" t="s">
        <v>0</v>
      </c>
      <c r="AU195" s="1" t="e">
        <f t="shared" si="27"/>
        <v>#VALUE!</v>
      </c>
      <c r="AV195" s="1" t="e">
        <f t="shared" si="28"/>
        <v>#VALUE!</v>
      </c>
      <c r="AW195" s="1" t="e">
        <f t="shared" si="29"/>
        <v>#VALUE!</v>
      </c>
    </row>
    <row r="196" spans="1:49" x14ac:dyDescent="0.2">
      <c r="A196">
        <v>194</v>
      </c>
      <c r="B196" t="s">
        <v>5481</v>
      </c>
      <c r="C196" t="s">
        <v>5480</v>
      </c>
      <c r="F196" t="s">
        <v>5479</v>
      </c>
      <c r="G196" t="s">
        <v>15</v>
      </c>
      <c r="H196" t="s">
        <v>14</v>
      </c>
      <c r="I196" t="s">
        <v>5478</v>
      </c>
      <c r="J196">
        <v>60104081</v>
      </c>
      <c r="K196" t="s">
        <v>5477</v>
      </c>
      <c r="L196" t="s">
        <v>5476</v>
      </c>
      <c r="M196" t="s">
        <v>431</v>
      </c>
      <c r="N196">
        <v>2</v>
      </c>
      <c r="O196" t="s">
        <v>5475</v>
      </c>
      <c r="P196" t="s">
        <v>5474</v>
      </c>
      <c r="Q196" t="s">
        <v>5473</v>
      </c>
      <c r="R196" s="7">
        <v>30317</v>
      </c>
      <c r="S196" s="8">
        <f t="shared" si="24"/>
        <v>1983</v>
      </c>
      <c r="T196" s="8">
        <v>1983</v>
      </c>
      <c r="U196" s="8">
        <f t="shared" si="25"/>
        <v>39</v>
      </c>
      <c r="V196" s="7">
        <v>30651</v>
      </c>
      <c r="W196" s="11" t="s">
        <v>1577</v>
      </c>
      <c r="X196" s="2">
        <v>2.383</v>
      </c>
      <c r="Y196" s="6">
        <f t="shared" si="30"/>
        <v>6.3612824003630442E-2</v>
      </c>
      <c r="AA196">
        <v>1437070</v>
      </c>
      <c r="AB196">
        <v>39742</v>
      </c>
      <c r="AD196" t="s">
        <v>5</v>
      </c>
      <c r="AE196">
        <v>130</v>
      </c>
      <c r="AF196">
        <v>7</v>
      </c>
      <c r="AH196" t="s">
        <v>5472</v>
      </c>
      <c r="AI196" t="s">
        <v>5471</v>
      </c>
      <c r="AJ196" t="s">
        <v>5470</v>
      </c>
      <c r="AK196" t="s">
        <v>5469</v>
      </c>
      <c r="AL196">
        <v>5</v>
      </c>
      <c r="AM196" s="5">
        <f t="shared" si="26"/>
        <v>0.12820512820512819</v>
      </c>
      <c r="AN196" s="4">
        <f t="shared" si="31"/>
        <v>1.9417664249167467E-4</v>
      </c>
      <c r="AO196" s="3"/>
      <c r="AP196">
        <v>0</v>
      </c>
      <c r="AR196" t="s">
        <v>1</v>
      </c>
      <c r="AT196" s="2" t="s">
        <v>0</v>
      </c>
      <c r="AU196" s="1">
        <f t="shared" si="27"/>
        <v>4.458722979528881</v>
      </c>
      <c r="AV196" s="1">
        <f t="shared" si="28"/>
        <v>3.1903500323061058</v>
      </c>
      <c r="AW196" s="1">
        <f t="shared" si="29"/>
        <v>1.9219770850833304</v>
      </c>
    </row>
    <row r="197" spans="1:49" x14ac:dyDescent="0.2">
      <c r="A197">
        <v>195</v>
      </c>
      <c r="B197" t="s">
        <v>5468</v>
      </c>
      <c r="C197" t="s">
        <v>5467</v>
      </c>
      <c r="F197" t="s">
        <v>5466</v>
      </c>
      <c r="G197" t="s">
        <v>15</v>
      </c>
      <c r="H197" t="s">
        <v>14</v>
      </c>
      <c r="I197" t="s">
        <v>5465</v>
      </c>
      <c r="J197">
        <v>60032503</v>
      </c>
      <c r="K197" t="s">
        <v>5464</v>
      </c>
      <c r="L197" t="s">
        <v>5463</v>
      </c>
      <c r="M197" t="s">
        <v>10</v>
      </c>
      <c r="N197">
        <v>3</v>
      </c>
      <c r="O197" t="s">
        <v>5462</v>
      </c>
      <c r="P197" t="s">
        <v>5461</v>
      </c>
      <c r="Q197" t="s">
        <v>5460</v>
      </c>
      <c r="R197" s="7">
        <v>30317</v>
      </c>
      <c r="S197" s="8">
        <f t="shared" si="24"/>
        <v>1983</v>
      </c>
      <c r="T197" s="8">
        <v>1983</v>
      </c>
      <c r="U197" s="8">
        <f t="shared" si="25"/>
        <v>39</v>
      </c>
      <c r="V197" s="7">
        <v>30651</v>
      </c>
      <c r="W197" s="11" t="s">
        <v>1577</v>
      </c>
      <c r="X197" s="2">
        <v>2.383</v>
      </c>
      <c r="Y197" s="6">
        <f t="shared" si="30"/>
        <v>6.3612824003630442E-2</v>
      </c>
      <c r="AA197">
        <v>1437070</v>
      </c>
      <c r="AB197">
        <v>39742</v>
      </c>
      <c r="AD197" t="s">
        <v>5</v>
      </c>
      <c r="AE197">
        <v>130</v>
      </c>
      <c r="AF197">
        <v>7</v>
      </c>
      <c r="AH197" t="s">
        <v>5459</v>
      </c>
      <c r="AI197" t="s">
        <v>5458</v>
      </c>
      <c r="AJ197" t="s">
        <v>5457</v>
      </c>
      <c r="AK197" t="s">
        <v>5456</v>
      </c>
      <c r="AL197">
        <v>41</v>
      </c>
      <c r="AM197" s="5">
        <f t="shared" si="26"/>
        <v>1.0512820512820513</v>
      </c>
      <c r="AN197" s="4">
        <f t="shared" si="31"/>
        <v>1.5922484684317323E-3</v>
      </c>
      <c r="AO197" s="3"/>
      <c r="AP197">
        <v>0</v>
      </c>
      <c r="AR197" t="s">
        <v>1</v>
      </c>
      <c r="AT197" s="2" t="s">
        <v>0</v>
      </c>
      <c r="AU197" s="1">
        <f t="shared" si="27"/>
        <v>4.5006651343070834</v>
      </c>
      <c r="AV197" s="1">
        <f t="shared" si="28"/>
        <v>3.2602536236031083</v>
      </c>
      <c r="AW197" s="1">
        <f t="shared" si="29"/>
        <v>2.0198421128991346</v>
      </c>
    </row>
    <row r="198" spans="1:49" x14ac:dyDescent="0.2">
      <c r="A198">
        <v>196</v>
      </c>
      <c r="B198" t="s">
        <v>5455</v>
      </c>
      <c r="F198" t="s">
        <v>5454</v>
      </c>
      <c r="G198" t="s">
        <v>15</v>
      </c>
      <c r="H198" t="s">
        <v>14</v>
      </c>
      <c r="I198" t="s">
        <v>5453</v>
      </c>
      <c r="J198">
        <v>60029445</v>
      </c>
      <c r="K198" t="s">
        <v>5452</v>
      </c>
      <c r="L198" t="s">
        <v>5451</v>
      </c>
      <c r="M198" t="s">
        <v>10</v>
      </c>
      <c r="N198">
        <v>2</v>
      </c>
      <c r="O198" t="s">
        <v>5450</v>
      </c>
      <c r="P198" t="s">
        <v>5449</v>
      </c>
      <c r="Q198" t="s">
        <v>5448</v>
      </c>
      <c r="R198" s="7">
        <v>30317</v>
      </c>
      <c r="S198" s="8">
        <f t="shared" si="24"/>
        <v>1983</v>
      </c>
      <c r="T198" s="8">
        <v>1983</v>
      </c>
      <c r="U198" s="8">
        <f t="shared" si="25"/>
        <v>39</v>
      </c>
      <c r="V198" s="7">
        <v>1983</v>
      </c>
      <c r="W198" t="s">
        <v>5447</v>
      </c>
      <c r="X198" s="2">
        <v>0.57799999999999996</v>
      </c>
      <c r="Y198" s="6">
        <f t="shared" si="30"/>
        <v>1.5429379888417288E-2</v>
      </c>
      <c r="AA198">
        <v>917648</v>
      </c>
      <c r="AB198">
        <v>24505</v>
      </c>
      <c r="AD198" t="s">
        <v>5</v>
      </c>
      <c r="AE198">
        <v>11</v>
      </c>
      <c r="AF198">
        <v>4</v>
      </c>
      <c r="AH198" t="s">
        <v>5446</v>
      </c>
      <c r="AI198" t="s">
        <v>5445</v>
      </c>
      <c r="AK198" t="s">
        <v>5444</v>
      </c>
      <c r="AL198">
        <v>22</v>
      </c>
      <c r="AM198" s="5">
        <f t="shared" si="26"/>
        <v>0.5641025641025641</v>
      </c>
      <c r="AN198" s="4">
        <f t="shared" si="31"/>
        <v>8.5437722696336859E-4</v>
      </c>
      <c r="AO198" s="3"/>
      <c r="AP198">
        <v>0</v>
      </c>
      <c r="AR198" t="s">
        <v>1</v>
      </c>
      <c r="AT198" s="2">
        <v>1.583</v>
      </c>
      <c r="AU198" s="1">
        <f t="shared" si="27"/>
        <v>1.1056879089981111</v>
      </c>
      <c r="AV198" s="1">
        <f t="shared" si="28"/>
        <v>0.81418785576903274</v>
      </c>
      <c r="AW198" s="1">
        <f t="shared" si="29"/>
        <v>0.52268780253995439</v>
      </c>
    </row>
    <row r="199" spans="1:49" x14ac:dyDescent="0.2">
      <c r="A199">
        <v>197</v>
      </c>
      <c r="B199" t="s">
        <v>5443</v>
      </c>
      <c r="F199" t="s">
        <v>5442</v>
      </c>
      <c r="G199" t="s">
        <v>15</v>
      </c>
      <c r="H199" t="s">
        <v>14</v>
      </c>
      <c r="I199" t="s">
        <v>5441</v>
      </c>
      <c r="N199">
        <v>2</v>
      </c>
      <c r="O199" t="s">
        <v>5440</v>
      </c>
      <c r="P199" t="s">
        <v>5439</v>
      </c>
      <c r="Q199" t="s">
        <v>342</v>
      </c>
      <c r="R199" s="7">
        <v>30317</v>
      </c>
      <c r="S199" s="8">
        <f t="shared" si="24"/>
        <v>1983</v>
      </c>
      <c r="T199" s="8">
        <v>1983</v>
      </c>
      <c r="U199" s="8">
        <f t="shared" si="25"/>
        <v>39</v>
      </c>
      <c r="V199" s="7" t="s">
        <v>5358</v>
      </c>
      <c r="W199" t="s">
        <v>560</v>
      </c>
      <c r="X199" s="2" t="s">
        <v>0</v>
      </c>
      <c r="Y199" s="6" t="e">
        <f t="shared" si="30"/>
        <v>#VALUE!</v>
      </c>
      <c r="AA199">
        <v>337889</v>
      </c>
      <c r="AB199">
        <v>40920</v>
      </c>
      <c r="AD199" t="s">
        <v>5</v>
      </c>
      <c r="AE199">
        <v>28</v>
      </c>
      <c r="AF199">
        <v>12</v>
      </c>
      <c r="AH199" t="s">
        <v>5438</v>
      </c>
      <c r="AI199" t="s">
        <v>5437</v>
      </c>
      <c r="AK199" t="s">
        <v>5436</v>
      </c>
      <c r="AL199">
        <v>0</v>
      </c>
      <c r="AM199" s="5">
        <f t="shared" si="26"/>
        <v>0</v>
      </c>
      <c r="AN199" s="4">
        <f t="shared" si="31"/>
        <v>0</v>
      </c>
      <c r="AO199" s="3"/>
      <c r="AP199">
        <v>0</v>
      </c>
      <c r="AR199" t="s">
        <v>1</v>
      </c>
      <c r="AT199" s="2" t="s">
        <v>0</v>
      </c>
      <c r="AU199" s="1" t="e">
        <f t="shared" si="27"/>
        <v>#VALUE!</v>
      </c>
      <c r="AV199" s="1" t="e">
        <f t="shared" si="28"/>
        <v>#VALUE!</v>
      </c>
      <c r="AW199" s="1" t="e">
        <f t="shared" si="29"/>
        <v>#VALUE!</v>
      </c>
    </row>
    <row r="200" spans="1:49" x14ac:dyDescent="0.2">
      <c r="A200">
        <v>198</v>
      </c>
      <c r="B200" t="s">
        <v>5435</v>
      </c>
      <c r="C200" t="s">
        <v>5434</v>
      </c>
      <c r="F200" t="s">
        <v>5433</v>
      </c>
      <c r="G200" t="s">
        <v>15</v>
      </c>
      <c r="H200" t="s">
        <v>14</v>
      </c>
      <c r="I200" t="s">
        <v>5432</v>
      </c>
      <c r="J200" t="s">
        <v>5431</v>
      </c>
      <c r="K200" t="s">
        <v>5430</v>
      </c>
      <c r="L200" t="s">
        <v>5429</v>
      </c>
      <c r="M200" t="s">
        <v>3243</v>
      </c>
      <c r="N200">
        <v>5</v>
      </c>
      <c r="O200" t="s">
        <v>5428</v>
      </c>
      <c r="P200" t="s">
        <v>5427</v>
      </c>
      <c r="Q200" t="s">
        <v>5426</v>
      </c>
      <c r="R200" s="7">
        <v>30317</v>
      </c>
      <c r="S200" s="8">
        <f t="shared" si="24"/>
        <v>1983</v>
      </c>
      <c r="T200" s="8">
        <v>1983</v>
      </c>
      <c r="U200" s="8">
        <f t="shared" si="25"/>
        <v>39</v>
      </c>
      <c r="V200" s="7">
        <v>1983</v>
      </c>
      <c r="W200" t="s">
        <v>227</v>
      </c>
      <c r="X200" s="2">
        <v>0.111</v>
      </c>
      <c r="Y200" s="6">
        <f t="shared" si="30"/>
        <v>2.9630816048690639E-3</v>
      </c>
      <c r="AA200">
        <v>87566621</v>
      </c>
      <c r="AB200">
        <v>24890</v>
      </c>
      <c r="AC200">
        <v>15206424</v>
      </c>
      <c r="AD200" t="s">
        <v>5</v>
      </c>
      <c r="AE200">
        <v>66</v>
      </c>
      <c r="AF200">
        <v>12</v>
      </c>
      <c r="AH200" t="s">
        <v>5425</v>
      </c>
      <c r="AI200" t="s">
        <v>5424</v>
      </c>
      <c r="AK200" t="s">
        <v>5423</v>
      </c>
      <c r="AL200">
        <v>0</v>
      </c>
      <c r="AM200" s="5">
        <f t="shared" si="26"/>
        <v>0</v>
      </c>
      <c r="AN200" s="4">
        <f t="shared" si="31"/>
        <v>0</v>
      </c>
      <c r="AO200" s="3"/>
      <c r="AP200">
        <v>0</v>
      </c>
      <c r="AR200" t="s">
        <v>1</v>
      </c>
      <c r="AT200" s="2" t="s">
        <v>0</v>
      </c>
      <c r="AU200" s="1">
        <f t="shared" si="27"/>
        <v>0.20741571234083445</v>
      </c>
      <c r="AV200" s="1">
        <f t="shared" si="28"/>
        <v>0.1481540802434532</v>
      </c>
      <c r="AW200" s="1">
        <f t="shared" si="29"/>
        <v>8.8892448146071903E-2</v>
      </c>
    </row>
    <row r="201" spans="1:49" x14ac:dyDescent="0.2">
      <c r="A201">
        <v>199</v>
      </c>
      <c r="B201" t="s">
        <v>5422</v>
      </c>
      <c r="F201" t="s">
        <v>5421</v>
      </c>
      <c r="G201" t="s">
        <v>15</v>
      </c>
      <c r="H201" t="s">
        <v>14</v>
      </c>
      <c r="I201" t="s">
        <v>5420</v>
      </c>
      <c r="N201">
        <v>1</v>
      </c>
      <c r="O201" t="s">
        <v>5419</v>
      </c>
      <c r="P201">
        <v>6506727941</v>
      </c>
      <c r="R201" s="7">
        <v>30317</v>
      </c>
      <c r="S201" s="8">
        <f t="shared" si="24"/>
        <v>1983</v>
      </c>
      <c r="T201" s="8">
        <v>1983</v>
      </c>
      <c r="U201" s="8">
        <f t="shared" si="25"/>
        <v>39</v>
      </c>
      <c r="V201" s="7" t="s">
        <v>5358</v>
      </c>
      <c r="W201" t="s">
        <v>5418</v>
      </c>
      <c r="X201" s="2" t="s">
        <v>0</v>
      </c>
      <c r="Y201" s="6" t="e">
        <f t="shared" si="30"/>
        <v>#VALUE!</v>
      </c>
      <c r="AA201">
        <v>134945</v>
      </c>
      <c r="AB201">
        <v>34230</v>
      </c>
      <c r="AD201" t="s">
        <v>5</v>
      </c>
      <c r="AE201">
        <v>23</v>
      </c>
      <c r="AF201">
        <v>12</v>
      </c>
      <c r="AH201" t="s">
        <v>5417</v>
      </c>
      <c r="AI201" t="s">
        <v>5416</v>
      </c>
      <c r="AK201" t="s">
        <v>5415</v>
      </c>
      <c r="AL201">
        <v>0</v>
      </c>
      <c r="AM201" s="5">
        <f t="shared" si="26"/>
        <v>0</v>
      </c>
      <c r="AN201" s="4">
        <f t="shared" si="31"/>
        <v>0</v>
      </c>
      <c r="AO201" s="3"/>
      <c r="AP201">
        <v>0</v>
      </c>
      <c r="AR201" t="s">
        <v>1</v>
      </c>
      <c r="AT201" s="2" t="s">
        <v>0</v>
      </c>
      <c r="AU201" s="1" t="e">
        <f t="shared" si="27"/>
        <v>#VALUE!</v>
      </c>
      <c r="AV201" s="1" t="e">
        <f t="shared" si="28"/>
        <v>#VALUE!</v>
      </c>
      <c r="AW201" s="1" t="e">
        <f t="shared" si="29"/>
        <v>#VALUE!</v>
      </c>
    </row>
    <row r="202" spans="1:49" x14ac:dyDescent="0.2">
      <c r="A202">
        <v>200</v>
      </c>
      <c r="B202" t="s">
        <v>5414</v>
      </c>
      <c r="F202" t="s">
        <v>5413</v>
      </c>
      <c r="G202" t="s">
        <v>15</v>
      </c>
      <c r="H202" t="s">
        <v>14</v>
      </c>
      <c r="I202" t="s">
        <v>5412</v>
      </c>
      <c r="N202">
        <v>3</v>
      </c>
      <c r="O202" t="s">
        <v>5411</v>
      </c>
      <c r="P202" t="s">
        <v>5410</v>
      </c>
      <c r="Q202" t="s">
        <v>510</v>
      </c>
      <c r="R202" s="7">
        <v>30317</v>
      </c>
      <c r="S202" s="8">
        <f t="shared" si="24"/>
        <v>1983</v>
      </c>
      <c r="T202" s="8">
        <v>1983</v>
      </c>
      <c r="U202" s="8">
        <f t="shared" si="25"/>
        <v>39</v>
      </c>
      <c r="V202" s="7" t="s">
        <v>5409</v>
      </c>
      <c r="W202" t="s">
        <v>5408</v>
      </c>
      <c r="X202" s="2" t="s">
        <v>0</v>
      </c>
      <c r="Y202" s="6" t="e">
        <f t="shared" si="30"/>
        <v>#VALUE!</v>
      </c>
      <c r="AA202" t="s">
        <v>5407</v>
      </c>
      <c r="AB202">
        <v>90205</v>
      </c>
      <c r="AD202" t="s">
        <v>5</v>
      </c>
      <c r="AF202">
        <v>146</v>
      </c>
      <c r="AH202" t="s">
        <v>5406</v>
      </c>
      <c r="AI202" t="s">
        <v>5405</v>
      </c>
      <c r="AK202" t="s">
        <v>5404</v>
      </c>
      <c r="AL202">
        <v>0</v>
      </c>
      <c r="AM202" s="5">
        <f t="shared" si="26"/>
        <v>0</v>
      </c>
      <c r="AN202" s="4">
        <f t="shared" si="31"/>
        <v>0</v>
      </c>
      <c r="AO202" s="3"/>
      <c r="AP202">
        <v>0</v>
      </c>
      <c r="AR202" t="s">
        <v>1</v>
      </c>
      <c r="AT202" s="2" t="s">
        <v>0</v>
      </c>
      <c r="AU202" s="1" t="e">
        <f t="shared" si="27"/>
        <v>#VALUE!</v>
      </c>
      <c r="AV202" s="1" t="e">
        <f t="shared" si="28"/>
        <v>#VALUE!</v>
      </c>
      <c r="AW202" s="1" t="e">
        <f t="shared" si="29"/>
        <v>#VALUE!</v>
      </c>
    </row>
    <row r="203" spans="1:49" x14ac:dyDescent="0.2">
      <c r="A203">
        <v>201</v>
      </c>
      <c r="B203" t="s">
        <v>5403</v>
      </c>
      <c r="C203" t="s">
        <v>5402</v>
      </c>
      <c r="F203" t="s">
        <v>5401</v>
      </c>
      <c r="G203" t="s">
        <v>15</v>
      </c>
      <c r="H203" t="s">
        <v>14</v>
      </c>
      <c r="I203" t="s">
        <v>5400</v>
      </c>
      <c r="N203">
        <v>1</v>
      </c>
      <c r="O203" t="s">
        <v>5399</v>
      </c>
      <c r="P203">
        <v>55432714600</v>
      </c>
      <c r="R203" s="7">
        <v>30317</v>
      </c>
      <c r="S203" s="8">
        <f t="shared" si="24"/>
        <v>1983</v>
      </c>
      <c r="T203" s="8">
        <v>1983</v>
      </c>
      <c r="U203" s="8">
        <f t="shared" si="25"/>
        <v>39</v>
      </c>
      <c r="V203" s="7">
        <v>30651</v>
      </c>
      <c r="W203" t="s">
        <v>1099</v>
      </c>
      <c r="X203" s="2">
        <v>0.32300000000000001</v>
      </c>
      <c r="Y203" s="6">
        <f t="shared" si="30"/>
        <v>8.6223005258802502E-3</v>
      </c>
      <c r="AA203">
        <v>58580</v>
      </c>
      <c r="AB203">
        <v>36492</v>
      </c>
      <c r="AC203">
        <v>15387305</v>
      </c>
      <c r="AD203" t="s">
        <v>5</v>
      </c>
      <c r="AE203">
        <v>62</v>
      </c>
      <c r="AF203">
        <v>10</v>
      </c>
      <c r="AH203" t="s">
        <v>5398</v>
      </c>
      <c r="AI203" t="s">
        <v>5397</v>
      </c>
      <c r="AK203" t="s">
        <v>5396</v>
      </c>
      <c r="AL203">
        <v>16</v>
      </c>
      <c r="AM203" s="5">
        <f t="shared" si="26"/>
        <v>0.41025641025641024</v>
      </c>
      <c r="AN203" s="4">
        <f t="shared" si="31"/>
        <v>6.2136525597335896E-4</v>
      </c>
      <c r="AO203" s="3"/>
      <c r="AP203">
        <v>0</v>
      </c>
      <c r="AR203" t="s">
        <v>1</v>
      </c>
      <c r="AT203" s="2" t="s">
        <v>0</v>
      </c>
      <c r="AU203" s="1">
        <f t="shared" si="27"/>
        <v>0.62220199449081826</v>
      </c>
      <c r="AV203" s="1">
        <f t="shared" si="28"/>
        <v>0.46218328909268047</v>
      </c>
      <c r="AW203" s="1">
        <f t="shared" si="29"/>
        <v>0.30216458369454258</v>
      </c>
    </row>
    <row r="204" spans="1:49" x14ac:dyDescent="0.2">
      <c r="A204">
        <v>202</v>
      </c>
      <c r="B204" t="s">
        <v>5395</v>
      </c>
      <c r="C204" t="s">
        <v>5394</v>
      </c>
      <c r="F204" t="s">
        <v>5393</v>
      </c>
      <c r="G204" t="s">
        <v>15</v>
      </c>
      <c r="H204" t="s">
        <v>14</v>
      </c>
      <c r="I204" t="s">
        <v>5392</v>
      </c>
      <c r="J204">
        <v>60011761</v>
      </c>
      <c r="K204" t="s">
        <v>5391</v>
      </c>
      <c r="L204" t="s">
        <v>446</v>
      </c>
      <c r="M204" t="s">
        <v>10</v>
      </c>
      <c r="N204">
        <v>6</v>
      </c>
      <c r="O204" t="s">
        <v>5390</v>
      </c>
      <c r="P204" t="s">
        <v>5389</v>
      </c>
      <c r="Q204" t="s">
        <v>5388</v>
      </c>
      <c r="R204" s="7">
        <v>30317</v>
      </c>
      <c r="S204" s="8">
        <f t="shared" si="24"/>
        <v>1983</v>
      </c>
      <c r="T204" s="8">
        <v>1983</v>
      </c>
      <c r="U204" s="8">
        <f t="shared" si="25"/>
        <v>39</v>
      </c>
      <c r="V204" s="7" t="s">
        <v>5387</v>
      </c>
      <c r="W204" t="s">
        <v>817</v>
      </c>
      <c r="X204" s="2">
        <v>2.9860000000000002</v>
      </c>
      <c r="Y204" s="6">
        <f t="shared" si="30"/>
        <v>7.9709564613865094E-2</v>
      </c>
      <c r="AA204">
        <v>7338716</v>
      </c>
      <c r="AB204">
        <v>18902</v>
      </c>
      <c r="AD204" t="s">
        <v>5</v>
      </c>
      <c r="AE204">
        <v>1</v>
      </c>
      <c r="AF204">
        <v>6</v>
      </c>
      <c r="AH204" t="s">
        <v>5386</v>
      </c>
      <c r="AI204" t="s">
        <v>5385</v>
      </c>
      <c r="AK204" t="s">
        <v>5384</v>
      </c>
      <c r="AL204">
        <v>27</v>
      </c>
      <c r="AM204" s="5">
        <f t="shared" si="26"/>
        <v>0.69230769230769229</v>
      </c>
      <c r="AN204" s="4">
        <f t="shared" si="31"/>
        <v>1.0485538694550431E-3</v>
      </c>
      <c r="AO204" s="3"/>
      <c r="AP204">
        <v>0</v>
      </c>
      <c r="AR204" t="s">
        <v>1</v>
      </c>
      <c r="AT204" s="2" t="s">
        <v>0</v>
      </c>
      <c r="AU204" s="1">
        <f t="shared" si="27"/>
        <v>5.6111261390542078</v>
      </c>
      <c r="AV204" s="1">
        <f t="shared" si="28"/>
        <v>4.0379059241660071</v>
      </c>
      <c r="AW204" s="1">
        <f t="shared" si="29"/>
        <v>2.4646857092778056</v>
      </c>
    </row>
    <row r="205" spans="1:49" x14ac:dyDescent="0.2">
      <c r="A205">
        <v>203</v>
      </c>
      <c r="B205" t="s">
        <v>5383</v>
      </c>
      <c r="C205" t="s">
        <v>5382</v>
      </c>
      <c r="F205" t="s">
        <v>5381</v>
      </c>
      <c r="G205" t="s">
        <v>15</v>
      </c>
      <c r="H205" t="s">
        <v>14</v>
      </c>
      <c r="I205" t="s">
        <v>5380</v>
      </c>
      <c r="J205" t="s">
        <v>5379</v>
      </c>
      <c r="K205" t="s">
        <v>5378</v>
      </c>
      <c r="L205" t="s">
        <v>5377</v>
      </c>
      <c r="M205" t="s">
        <v>5376</v>
      </c>
      <c r="N205">
        <v>4</v>
      </c>
      <c r="O205" t="s">
        <v>5375</v>
      </c>
      <c r="P205" t="s">
        <v>5374</v>
      </c>
      <c r="Q205" t="s">
        <v>5373</v>
      </c>
      <c r="R205" s="7">
        <v>30317</v>
      </c>
      <c r="S205" s="8">
        <f t="shared" si="24"/>
        <v>1983</v>
      </c>
      <c r="T205" s="8">
        <v>1983</v>
      </c>
      <c r="U205" s="8">
        <f t="shared" si="25"/>
        <v>39</v>
      </c>
      <c r="V205" s="7">
        <v>30651</v>
      </c>
      <c r="W205" t="s">
        <v>2163</v>
      </c>
      <c r="X205" s="2">
        <v>0.46</v>
      </c>
      <c r="Y205" s="6">
        <f t="shared" si="30"/>
        <v>1.2279437281439364E-2</v>
      </c>
      <c r="AA205">
        <v>933813</v>
      </c>
      <c r="AB205">
        <v>28031</v>
      </c>
      <c r="AC205">
        <v>19399375</v>
      </c>
      <c r="AD205" t="s">
        <v>5</v>
      </c>
      <c r="AE205">
        <v>11</v>
      </c>
      <c r="AF205">
        <v>4</v>
      </c>
      <c r="AH205" t="s">
        <v>3393</v>
      </c>
      <c r="AI205" t="s">
        <v>5372</v>
      </c>
      <c r="AK205" t="s">
        <v>5371</v>
      </c>
      <c r="AL205">
        <v>4</v>
      </c>
      <c r="AM205" s="5">
        <f t="shared" si="26"/>
        <v>0.10256410256410256</v>
      </c>
      <c r="AN205" s="4">
        <f t="shared" si="31"/>
        <v>1.5534131399333974E-4</v>
      </c>
      <c r="AO205" s="3"/>
      <c r="AP205">
        <v>0</v>
      </c>
      <c r="AR205" t="s">
        <v>1</v>
      </c>
      <c r="AT205" s="2">
        <v>1.222</v>
      </c>
      <c r="AU205" s="1">
        <f t="shared" si="27"/>
        <v>0.86422084912055552</v>
      </c>
      <c r="AV205" s="1">
        <f t="shared" si="28"/>
        <v>0.62173892977163514</v>
      </c>
      <c r="AW205" s="1">
        <f t="shared" si="29"/>
        <v>0.3792570104227147</v>
      </c>
    </row>
    <row r="206" spans="1:49" x14ac:dyDescent="0.2">
      <c r="A206">
        <v>204</v>
      </c>
      <c r="B206" t="s">
        <v>5370</v>
      </c>
      <c r="C206" t="s">
        <v>5369</v>
      </c>
      <c r="F206" t="s">
        <v>5368</v>
      </c>
      <c r="G206" t="s">
        <v>15</v>
      </c>
      <c r="H206" t="s">
        <v>14</v>
      </c>
      <c r="I206" t="s">
        <v>5367</v>
      </c>
      <c r="J206">
        <v>115552146</v>
      </c>
      <c r="K206" t="s">
        <v>2544</v>
      </c>
      <c r="L206" t="s">
        <v>2543</v>
      </c>
      <c r="M206" t="s">
        <v>55</v>
      </c>
      <c r="N206">
        <v>1</v>
      </c>
      <c r="O206" t="s">
        <v>5366</v>
      </c>
      <c r="P206">
        <v>35451621500</v>
      </c>
      <c r="Q206">
        <v>115552146</v>
      </c>
      <c r="R206" s="7">
        <v>30317</v>
      </c>
      <c r="S206" s="8">
        <f t="shared" si="24"/>
        <v>1983</v>
      </c>
      <c r="T206" s="8">
        <v>1983</v>
      </c>
      <c r="U206" s="8">
        <f t="shared" si="25"/>
        <v>39</v>
      </c>
      <c r="V206" s="7">
        <v>1983</v>
      </c>
      <c r="W206" t="s">
        <v>227</v>
      </c>
      <c r="X206" s="2">
        <v>0.111</v>
      </c>
      <c r="Y206" s="6">
        <f t="shared" si="30"/>
        <v>2.9630816048690639E-3</v>
      </c>
      <c r="AA206">
        <v>87566621</v>
      </c>
      <c r="AB206">
        <v>24890</v>
      </c>
      <c r="AC206">
        <v>15206424</v>
      </c>
      <c r="AD206" t="s">
        <v>5</v>
      </c>
      <c r="AE206">
        <v>66</v>
      </c>
      <c r="AF206">
        <v>12</v>
      </c>
      <c r="AH206" t="s">
        <v>5365</v>
      </c>
      <c r="AI206" t="s">
        <v>5364</v>
      </c>
      <c r="AK206" t="s">
        <v>5363</v>
      </c>
      <c r="AL206">
        <v>1</v>
      </c>
      <c r="AM206" s="5">
        <f t="shared" si="26"/>
        <v>2.564102564102564E-2</v>
      </c>
      <c r="AN206" s="4">
        <f t="shared" si="31"/>
        <v>3.8835328498334935E-5</v>
      </c>
      <c r="AO206" s="3"/>
      <c r="AP206">
        <v>0</v>
      </c>
      <c r="AR206" t="s">
        <v>1</v>
      </c>
      <c r="AT206" s="2" t="s">
        <v>0</v>
      </c>
      <c r="AU206" s="1">
        <f t="shared" si="27"/>
        <v>0.2085807721957845</v>
      </c>
      <c r="AV206" s="1">
        <f t="shared" si="28"/>
        <v>0.15009584666836995</v>
      </c>
      <c r="AW206" s="1">
        <f t="shared" si="29"/>
        <v>9.1610921140955356E-2</v>
      </c>
    </row>
    <row r="207" spans="1:49" x14ac:dyDescent="0.2">
      <c r="A207">
        <v>205</v>
      </c>
      <c r="B207" t="s">
        <v>5362</v>
      </c>
      <c r="F207" t="s">
        <v>5361</v>
      </c>
      <c r="G207" t="s">
        <v>15</v>
      </c>
      <c r="H207" t="s">
        <v>14</v>
      </c>
      <c r="I207" t="s">
        <v>5360</v>
      </c>
      <c r="N207">
        <v>1</v>
      </c>
      <c r="O207" t="s">
        <v>5359</v>
      </c>
      <c r="P207">
        <v>6604060450</v>
      </c>
      <c r="R207" s="7">
        <v>30317</v>
      </c>
      <c r="S207" s="8">
        <f t="shared" si="24"/>
        <v>1983</v>
      </c>
      <c r="T207" s="8">
        <v>1983</v>
      </c>
      <c r="U207" s="8">
        <f t="shared" si="25"/>
        <v>39</v>
      </c>
      <c r="V207" s="7" t="s">
        <v>5358</v>
      </c>
      <c r="W207" t="s">
        <v>4376</v>
      </c>
      <c r="X207" s="2" t="s">
        <v>0</v>
      </c>
      <c r="Y207" s="6" t="e">
        <f t="shared" si="30"/>
        <v>#VALUE!</v>
      </c>
      <c r="AA207">
        <v>336831</v>
      </c>
      <c r="AB207">
        <v>33098</v>
      </c>
      <c r="AD207" t="s">
        <v>5</v>
      </c>
      <c r="AE207">
        <v>44</v>
      </c>
      <c r="AF207">
        <v>4</v>
      </c>
      <c r="AH207" t="s">
        <v>5357</v>
      </c>
      <c r="AI207" t="s">
        <v>5356</v>
      </c>
      <c r="AK207" t="s">
        <v>5355</v>
      </c>
      <c r="AL207">
        <v>2</v>
      </c>
      <c r="AM207" s="5">
        <f t="shared" si="26"/>
        <v>5.128205128205128E-2</v>
      </c>
      <c r="AN207" s="4">
        <f t="shared" si="31"/>
        <v>7.767065699666987E-5</v>
      </c>
      <c r="AO207" s="3"/>
      <c r="AP207">
        <v>0</v>
      </c>
      <c r="AR207" t="s">
        <v>1</v>
      </c>
      <c r="AT207" s="2" t="s">
        <v>0</v>
      </c>
      <c r="AU207" s="1" t="e">
        <f t="shared" si="27"/>
        <v>#VALUE!</v>
      </c>
      <c r="AV207" s="1" t="e">
        <f t="shared" si="28"/>
        <v>#VALUE!</v>
      </c>
      <c r="AW207" s="1" t="e">
        <f t="shared" si="29"/>
        <v>#VALUE!</v>
      </c>
    </row>
    <row r="208" spans="1:49" x14ac:dyDescent="0.2">
      <c r="A208">
        <v>206</v>
      </c>
      <c r="B208" t="s">
        <v>5354</v>
      </c>
      <c r="F208" t="s">
        <v>5353</v>
      </c>
      <c r="G208" t="s">
        <v>15</v>
      </c>
      <c r="H208" t="s">
        <v>14</v>
      </c>
      <c r="I208" t="s">
        <v>5352</v>
      </c>
      <c r="J208">
        <v>60012798</v>
      </c>
      <c r="K208" t="s">
        <v>5351</v>
      </c>
      <c r="L208" t="s">
        <v>5350</v>
      </c>
      <c r="M208" t="s">
        <v>5349</v>
      </c>
      <c r="N208">
        <v>1</v>
      </c>
      <c r="O208" t="s">
        <v>5348</v>
      </c>
      <c r="P208">
        <v>7003967868</v>
      </c>
      <c r="Q208">
        <v>60012798</v>
      </c>
      <c r="R208" s="7">
        <v>30317</v>
      </c>
      <c r="S208" s="8">
        <f t="shared" si="24"/>
        <v>1983</v>
      </c>
      <c r="T208" s="8">
        <v>1983</v>
      </c>
      <c r="U208" s="8">
        <f t="shared" si="25"/>
        <v>39</v>
      </c>
      <c r="V208" s="7">
        <v>1983</v>
      </c>
      <c r="W208" t="s">
        <v>5347</v>
      </c>
      <c r="X208" s="2" t="s">
        <v>0</v>
      </c>
      <c r="Y208" s="6" t="e">
        <f t="shared" si="30"/>
        <v>#VALUE!</v>
      </c>
      <c r="AA208" t="s">
        <v>5346</v>
      </c>
      <c r="AB208">
        <v>55459</v>
      </c>
      <c r="AD208" t="s">
        <v>5</v>
      </c>
      <c r="AE208">
        <v>24</v>
      </c>
      <c r="AF208">
        <v>3</v>
      </c>
      <c r="AH208" t="s">
        <v>5345</v>
      </c>
      <c r="AI208" t="s">
        <v>5344</v>
      </c>
      <c r="AK208" t="s">
        <v>5343</v>
      </c>
      <c r="AL208">
        <v>22</v>
      </c>
      <c r="AM208" s="5">
        <f t="shared" si="26"/>
        <v>0.5641025641025641</v>
      </c>
      <c r="AN208" s="4">
        <f t="shared" si="31"/>
        <v>8.5437722696336859E-4</v>
      </c>
      <c r="AO208" s="3"/>
      <c r="AP208">
        <v>0</v>
      </c>
      <c r="AR208" t="s">
        <v>1</v>
      </c>
      <c r="AT208" s="2" t="s">
        <v>0</v>
      </c>
      <c r="AU208" s="1" t="e">
        <f t="shared" si="27"/>
        <v>#VALUE!</v>
      </c>
      <c r="AV208" s="1" t="e">
        <f t="shared" si="28"/>
        <v>#VALUE!</v>
      </c>
      <c r="AW208" s="1" t="e">
        <f t="shared" si="29"/>
        <v>#VALUE!</v>
      </c>
    </row>
    <row r="209" spans="1:49" x14ac:dyDescent="0.2">
      <c r="A209">
        <v>207</v>
      </c>
      <c r="B209" t="s">
        <v>5342</v>
      </c>
      <c r="F209" t="s">
        <v>5341</v>
      </c>
      <c r="G209" t="s">
        <v>15</v>
      </c>
      <c r="H209" t="s">
        <v>14</v>
      </c>
      <c r="I209" t="s">
        <v>5340</v>
      </c>
      <c r="N209">
        <v>2</v>
      </c>
      <c r="O209" t="s">
        <v>5339</v>
      </c>
      <c r="P209" t="s">
        <v>5338</v>
      </c>
      <c r="Q209" t="s">
        <v>342</v>
      </c>
      <c r="R209" s="7">
        <v>30317</v>
      </c>
      <c r="S209" s="8">
        <f t="shared" si="24"/>
        <v>1983</v>
      </c>
      <c r="T209" s="8">
        <v>1983</v>
      </c>
      <c r="U209" s="8">
        <f t="shared" si="25"/>
        <v>39</v>
      </c>
      <c r="V209" s="7" t="s">
        <v>5180</v>
      </c>
      <c r="W209" t="s">
        <v>536</v>
      </c>
      <c r="X209" s="2">
        <v>0.14099999999999999</v>
      </c>
      <c r="Y209" s="6">
        <f t="shared" si="30"/>
        <v>3.7639144710498915E-3</v>
      </c>
      <c r="AA209">
        <v>402508</v>
      </c>
      <c r="AB209">
        <v>20868</v>
      </c>
      <c r="AD209" t="s">
        <v>5</v>
      </c>
      <c r="AE209" t="s">
        <v>535</v>
      </c>
      <c r="AF209">
        <v>11</v>
      </c>
      <c r="AH209" s="9">
        <v>44287</v>
      </c>
      <c r="AI209" t="s">
        <v>5337</v>
      </c>
      <c r="AK209" t="s">
        <v>5336</v>
      </c>
      <c r="AL209">
        <v>0</v>
      </c>
      <c r="AM209" s="5">
        <f t="shared" si="26"/>
        <v>0</v>
      </c>
      <c r="AN209" s="4">
        <f t="shared" si="31"/>
        <v>0</v>
      </c>
      <c r="AO209" s="3"/>
      <c r="AP209">
        <v>0</v>
      </c>
      <c r="AR209" t="s">
        <v>1</v>
      </c>
      <c r="AT209" s="2" t="s">
        <v>0</v>
      </c>
      <c r="AU209" s="1">
        <f t="shared" si="27"/>
        <v>0.26347401297349238</v>
      </c>
      <c r="AV209" s="1">
        <f t="shared" si="28"/>
        <v>0.18819572355249459</v>
      </c>
      <c r="AW209" s="1">
        <f t="shared" si="29"/>
        <v>0.11291743413149673</v>
      </c>
    </row>
    <row r="210" spans="1:49" x14ac:dyDescent="0.2">
      <c r="A210">
        <v>208</v>
      </c>
      <c r="B210" t="s">
        <v>5335</v>
      </c>
      <c r="F210" t="s">
        <v>5334</v>
      </c>
      <c r="G210" t="s">
        <v>15</v>
      </c>
      <c r="H210" t="s">
        <v>14</v>
      </c>
      <c r="I210" t="s">
        <v>5333</v>
      </c>
      <c r="N210">
        <v>3</v>
      </c>
      <c r="O210" t="s">
        <v>5332</v>
      </c>
      <c r="P210" t="s">
        <v>5331</v>
      </c>
      <c r="Q210" t="s">
        <v>510</v>
      </c>
      <c r="R210" s="7">
        <v>30317</v>
      </c>
      <c r="S210" s="8">
        <f t="shared" si="24"/>
        <v>1983</v>
      </c>
      <c r="T210" s="8">
        <v>1983</v>
      </c>
      <c r="U210" s="8">
        <f t="shared" si="25"/>
        <v>39</v>
      </c>
      <c r="V210" s="7" t="s">
        <v>5180</v>
      </c>
      <c r="W210" t="s">
        <v>536</v>
      </c>
      <c r="X210" s="2">
        <v>0.14099999999999999</v>
      </c>
      <c r="Y210" s="6">
        <f t="shared" si="30"/>
        <v>3.7639144710498915E-3</v>
      </c>
      <c r="AA210">
        <v>402508</v>
      </c>
      <c r="AB210">
        <v>20868</v>
      </c>
      <c r="AD210" t="s">
        <v>5</v>
      </c>
      <c r="AE210" t="s">
        <v>535</v>
      </c>
      <c r="AF210">
        <v>11</v>
      </c>
      <c r="AH210" t="s">
        <v>5330</v>
      </c>
      <c r="AI210" t="s">
        <v>5329</v>
      </c>
      <c r="AK210" t="s">
        <v>5328</v>
      </c>
      <c r="AL210">
        <v>0</v>
      </c>
      <c r="AM210" s="5">
        <f t="shared" si="26"/>
        <v>0</v>
      </c>
      <c r="AN210" s="4">
        <f t="shared" si="31"/>
        <v>0</v>
      </c>
      <c r="AO210" s="3"/>
      <c r="AP210">
        <v>0</v>
      </c>
      <c r="AR210" t="s">
        <v>1</v>
      </c>
      <c r="AT210" s="2" t="s">
        <v>0</v>
      </c>
      <c r="AU210" s="1">
        <f t="shared" si="27"/>
        <v>0.26347401297349238</v>
      </c>
      <c r="AV210" s="1">
        <f t="shared" si="28"/>
        <v>0.18819572355249459</v>
      </c>
      <c r="AW210" s="1">
        <f t="shared" si="29"/>
        <v>0.11291743413149673</v>
      </c>
    </row>
    <row r="211" spans="1:49" x14ac:dyDescent="0.2">
      <c r="A211">
        <v>209</v>
      </c>
      <c r="B211" t="s">
        <v>5327</v>
      </c>
      <c r="F211" t="s">
        <v>5326</v>
      </c>
      <c r="G211" t="s">
        <v>15</v>
      </c>
      <c r="H211" t="s">
        <v>14</v>
      </c>
      <c r="I211" t="s">
        <v>5325</v>
      </c>
      <c r="N211">
        <v>1</v>
      </c>
      <c r="O211" t="s">
        <v>5324</v>
      </c>
      <c r="P211">
        <v>6602184351</v>
      </c>
      <c r="R211" s="7">
        <v>30317</v>
      </c>
      <c r="S211" s="8">
        <f t="shared" si="24"/>
        <v>1983</v>
      </c>
      <c r="T211" s="8">
        <v>1983</v>
      </c>
      <c r="U211" s="8">
        <f t="shared" si="25"/>
        <v>39</v>
      </c>
      <c r="V211" s="7" t="s">
        <v>5180</v>
      </c>
      <c r="W211" t="s">
        <v>560</v>
      </c>
      <c r="X211" s="2" t="s">
        <v>0</v>
      </c>
      <c r="Y211" s="6" t="e">
        <f t="shared" si="30"/>
        <v>#VALUE!</v>
      </c>
      <c r="AA211">
        <v>337889</v>
      </c>
      <c r="AB211">
        <v>40920</v>
      </c>
      <c r="AD211" t="s">
        <v>5</v>
      </c>
      <c r="AE211">
        <v>28</v>
      </c>
      <c r="AF211">
        <v>11</v>
      </c>
      <c r="AH211" s="9">
        <v>44287</v>
      </c>
      <c r="AI211" t="s">
        <v>5323</v>
      </c>
      <c r="AK211" t="s">
        <v>5322</v>
      </c>
      <c r="AL211">
        <v>0</v>
      </c>
      <c r="AM211" s="5">
        <f t="shared" si="26"/>
        <v>0</v>
      </c>
      <c r="AN211" s="4">
        <f t="shared" si="31"/>
        <v>0</v>
      </c>
      <c r="AO211" s="3"/>
      <c r="AP211">
        <v>0</v>
      </c>
      <c r="AR211" t="s">
        <v>1</v>
      </c>
      <c r="AT211" s="2" t="s">
        <v>0</v>
      </c>
      <c r="AU211" s="1" t="e">
        <f t="shared" si="27"/>
        <v>#VALUE!</v>
      </c>
      <c r="AV211" s="1" t="e">
        <f t="shared" si="28"/>
        <v>#VALUE!</v>
      </c>
      <c r="AW211" s="1" t="e">
        <f t="shared" si="29"/>
        <v>#VALUE!</v>
      </c>
    </row>
    <row r="212" spans="1:49" x14ac:dyDescent="0.2">
      <c r="A212">
        <v>210</v>
      </c>
      <c r="B212" t="s">
        <v>5321</v>
      </c>
      <c r="F212" t="s">
        <v>5320</v>
      </c>
      <c r="G212" t="s">
        <v>15</v>
      </c>
      <c r="H212" t="s">
        <v>14</v>
      </c>
      <c r="I212" t="s">
        <v>5319</v>
      </c>
      <c r="N212">
        <v>4</v>
      </c>
      <c r="O212" t="s">
        <v>5318</v>
      </c>
      <c r="P212" t="s">
        <v>5317</v>
      </c>
      <c r="Q212" t="s">
        <v>575</v>
      </c>
      <c r="R212" s="7">
        <v>30317</v>
      </c>
      <c r="S212" s="8">
        <f t="shared" si="24"/>
        <v>1983</v>
      </c>
      <c r="T212" s="8">
        <v>1983</v>
      </c>
      <c r="U212" s="8">
        <f t="shared" si="25"/>
        <v>39</v>
      </c>
      <c r="V212" s="7" t="s">
        <v>5180</v>
      </c>
      <c r="W212" t="s">
        <v>536</v>
      </c>
      <c r="X212" s="2">
        <v>0.14099999999999999</v>
      </c>
      <c r="Y212" s="6">
        <f t="shared" si="30"/>
        <v>3.7639144710498915E-3</v>
      </c>
      <c r="AA212">
        <v>402508</v>
      </c>
      <c r="AB212">
        <v>20868</v>
      </c>
      <c r="AD212" t="s">
        <v>5</v>
      </c>
      <c r="AE212" t="s">
        <v>535</v>
      </c>
      <c r="AF212">
        <v>11</v>
      </c>
      <c r="AH212" t="s">
        <v>5316</v>
      </c>
      <c r="AI212" t="s">
        <v>5315</v>
      </c>
      <c r="AK212" t="s">
        <v>5314</v>
      </c>
      <c r="AL212">
        <v>0</v>
      </c>
      <c r="AM212" s="5">
        <f t="shared" si="26"/>
        <v>0</v>
      </c>
      <c r="AN212" s="4">
        <f t="shared" si="31"/>
        <v>0</v>
      </c>
      <c r="AO212" s="3"/>
      <c r="AP212">
        <v>0</v>
      </c>
      <c r="AR212" t="s">
        <v>1</v>
      </c>
      <c r="AT212" s="2" t="s">
        <v>0</v>
      </c>
      <c r="AU212" s="1">
        <f t="shared" si="27"/>
        <v>0.26347401297349238</v>
      </c>
      <c r="AV212" s="1">
        <f t="shared" si="28"/>
        <v>0.18819572355249459</v>
      </c>
      <c r="AW212" s="1">
        <f t="shared" si="29"/>
        <v>0.11291743413149673</v>
      </c>
    </row>
    <row r="213" spans="1:49" x14ac:dyDescent="0.2">
      <c r="A213">
        <v>211</v>
      </c>
      <c r="B213" t="s">
        <v>5313</v>
      </c>
      <c r="F213" t="s">
        <v>5312</v>
      </c>
      <c r="G213" t="s">
        <v>15</v>
      </c>
      <c r="H213" t="s">
        <v>14</v>
      </c>
      <c r="I213" t="s">
        <v>5311</v>
      </c>
      <c r="N213">
        <v>1</v>
      </c>
      <c r="O213" t="s">
        <v>5310</v>
      </c>
      <c r="P213">
        <v>6602748011</v>
      </c>
      <c r="R213" s="7">
        <v>30317</v>
      </c>
      <c r="S213" s="8">
        <f t="shared" si="24"/>
        <v>1983</v>
      </c>
      <c r="T213" s="8">
        <v>1983</v>
      </c>
      <c r="U213" s="8">
        <f t="shared" si="25"/>
        <v>39</v>
      </c>
      <c r="V213" s="7" t="s">
        <v>5180</v>
      </c>
      <c r="W213" t="s">
        <v>536</v>
      </c>
      <c r="X213" s="2">
        <v>0.14099999999999999</v>
      </c>
      <c r="Y213" s="6">
        <f t="shared" si="30"/>
        <v>3.7639144710498915E-3</v>
      </c>
      <c r="AA213">
        <v>402508</v>
      </c>
      <c r="AB213">
        <v>20868</v>
      </c>
      <c r="AD213" t="s">
        <v>5</v>
      </c>
      <c r="AE213" t="s">
        <v>535</v>
      </c>
      <c r="AF213">
        <v>11</v>
      </c>
      <c r="AH213" t="s">
        <v>5309</v>
      </c>
      <c r="AI213" t="s">
        <v>5308</v>
      </c>
      <c r="AK213" t="s">
        <v>5307</v>
      </c>
      <c r="AL213">
        <v>0</v>
      </c>
      <c r="AM213" s="5">
        <f t="shared" si="26"/>
        <v>0</v>
      </c>
      <c r="AN213" s="4">
        <f t="shared" si="31"/>
        <v>0</v>
      </c>
      <c r="AO213" s="3"/>
      <c r="AP213">
        <v>0</v>
      </c>
      <c r="AR213" t="s">
        <v>1</v>
      </c>
      <c r="AT213" s="2" t="s">
        <v>0</v>
      </c>
      <c r="AU213" s="1">
        <f t="shared" si="27"/>
        <v>0.26347401297349238</v>
      </c>
      <c r="AV213" s="1">
        <f t="shared" si="28"/>
        <v>0.18819572355249459</v>
      </c>
      <c r="AW213" s="1">
        <f t="shared" si="29"/>
        <v>0.11291743413149673</v>
      </c>
    </row>
    <row r="214" spans="1:49" x14ac:dyDescent="0.2">
      <c r="A214">
        <v>212</v>
      </c>
      <c r="B214" t="s">
        <v>5306</v>
      </c>
      <c r="F214" t="s">
        <v>5305</v>
      </c>
      <c r="G214" t="s">
        <v>15</v>
      </c>
      <c r="H214" t="s">
        <v>14</v>
      </c>
      <c r="I214" t="s">
        <v>5304</v>
      </c>
      <c r="N214">
        <v>3</v>
      </c>
      <c r="O214" t="s">
        <v>5303</v>
      </c>
      <c r="P214" t="s">
        <v>5302</v>
      </c>
      <c r="Q214" t="s">
        <v>510</v>
      </c>
      <c r="R214" s="7">
        <v>30317</v>
      </c>
      <c r="S214" s="8">
        <f t="shared" si="24"/>
        <v>1983</v>
      </c>
      <c r="T214" s="8">
        <v>1983</v>
      </c>
      <c r="U214" s="8">
        <f t="shared" si="25"/>
        <v>39</v>
      </c>
      <c r="V214" s="7" t="s">
        <v>5180</v>
      </c>
      <c r="W214" t="s">
        <v>536</v>
      </c>
      <c r="X214" s="2">
        <v>0.14099999999999999</v>
      </c>
      <c r="Y214" s="6">
        <f t="shared" si="30"/>
        <v>3.7639144710498915E-3</v>
      </c>
      <c r="AA214">
        <v>402508</v>
      </c>
      <c r="AB214">
        <v>20868</v>
      </c>
      <c r="AD214" t="s">
        <v>5</v>
      </c>
      <c r="AE214" t="s">
        <v>535</v>
      </c>
      <c r="AF214">
        <v>11</v>
      </c>
      <c r="AH214" t="s">
        <v>5301</v>
      </c>
      <c r="AI214" t="s">
        <v>5300</v>
      </c>
      <c r="AK214" t="s">
        <v>5299</v>
      </c>
      <c r="AL214">
        <v>0</v>
      </c>
      <c r="AM214" s="5">
        <f t="shared" si="26"/>
        <v>0</v>
      </c>
      <c r="AN214" s="4">
        <f t="shared" si="31"/>
        <v>0</v>
      </c>
      <c r="AO214" s="3"/>
      <c r="AP214">
        <v>0</v>
      </c>
      <c r="AR214" t="s">
        <v>1</v>
      </c>
      <c r="AT214" s="2" t="s">
        <v>0</v>
      </c>
      <c r="AU214" s="1">
        <f t="shared" si="27"/>
        <v>0.26347401297349238</v>
      </c>
      <c r="AV214" s="1">
        <f t="shared" si="28"/>
        <v>0.18819572355249459</v>
      </c>
      <c r="AW214" s="1">
        <f t="shared" si="29"/>
        <v>0.11291743413149673</v>
      </c>
    </row>
    <row r="215" spans="1:49" x14ac:dyDescent="0.2">
      <c r="A215">
        <v>213</v>
      </c>
      <c r="B215" t="s">
        <v>5298</v>
      </c>
      <c r="C215" t="s">
        <v>5297</v>
      </c>
      <c r="F215" t="s">
        <v>5296</v>
      </c>
      <c r="G215" t="s">
        <v>15</v>
      </c>
      <c r="H215" t="s">
        <v>14</v>
      </c>
      <c r="I215" t="s">
        <v>5295</v>
      </c>
      <c r="J215">
        <v>100526878</v>
      </c>
      <c r="K215" t="s">
        <v>5294</v>
      </c>
      <c r="L215" t="s">
        <v>4276</v>
      </c>
      <c r="M215" t="s">
        <v>4275</v>
      </c>
      <c r="N215">
        <v>1</v>
      </c>
      <c r="O215" t="s">
        <v>5293</v>
      </c>
      <c r="P215">
        <v>56896219300</v>
      </c>
      <c r="Q215">
        <v>100526878</v>
      </c>
      <c r="R215" s="7">
        <v>30317</v>
      </c>
      <c r="S215" s="8">
        <f t="shared" si="24"/>
        <v>1983</v>
      </c>
      <c r="T215" s="8">
        <v>1983</v>
      </c>
      <c r="U215" s="8">
        <f t="shared" si="25"/>
        <v>39</v>
      </c>
      <c r="V215" s="7">
        <v>30560</v>
      </c>
      <c r="W215" t="s">
        <v>669</v>
      </c>
      <c r="X215" s="2">
        <v>1.137</v>
      </c>
      <c r="Y215" s="6">
        <f t="shared" si="30"/>
        <v>3.0351565628253384E-2</v>
      </c>
      <c r="AA215">
        <v>189251</v>
      </c>
      <c r="AB215">
        <v>17336</v>
      </c>
      <c r="AD215" t="s">
        <v>5</v>
      </c>
      <c r="AE215" t="s">
        <v>668</v>
      </c>
      <c r="AF215">
        <v>6</v>
      </c>
      <c r="AH215" t="s">
        <v>5292</v>
      </c>
      <c r="AI215" t="s">
        <v>5291</v>
      </c>
      <c r="AK215" t="s">
        <v>5290</v>
      </c>
      <c r="AL215">
        <v>14</v>
      </c>
      <c r="AM215" s="5">
        <f t="shared" si="26"/>
        <v>0.35897435897435898</v>
      </c>
      <c r="AN215" s="4">
        <f t="shared" si="31"/>
        <v>5.4369459897668905E-4</v>
      </c>
      <c r="AO215" s="3"/>
      <c r="AP215">
        <v>0</v>
      </c>
      <c r="AR215" t="s">
        <v>1</v>
      </c>
      <c r="AT215" s="2" t="s">
        <v>0</v>
      </c>
      <c r="AU215" s="1">
        <f t="shared" si="27"/>
        <v>2.1409204319470376</v>
      </c>
      <c r="AV215" s="1">
        <f t="shared" si="28"/>
        <v>1.5447630113615036</v>
      </c>
      <c r="AW215" s="1">
        <f t="shared" si="29"/>
        <v>0.94860559077596973</v>
      </c>
    </row>
    <row r="216" spans="1:49" x14ac:dyDescent="0.2">
      <c r="A216">
        <v>214</v>
      </c>
      <c r="B216" t="s">
        <v>5289</v>
      </c>
      <c r="C216" t="s">
        <v>5288</v>
      </c>
      <c r="F216" t="s">
        <v>5287</v>
      </c>
      <c r="G216" t="s">
        <v>15</v>
      </c>
      <c r="H216" t="s">
        <v>14</v>
      </c>
      <c r="I216" t="s">
        <v>2993</v>
      </c>
      <c r="J216">
        <v>60003500</v>
      </c>
      <c r="K216" t="s">
        <v>1070</v>
      </c>
      <c r="L216" t="s">
        <v>1069</v>
      </c>
      <c r="M216" t="s">
        <v>10</v>
      </c>
      <c r="N216">
        <v>3</v>
      </c>
      <c r="O216" t="s">
        <v>5286</v>
      </c>
      <c r="P216" t="s">
        <v>5285</v>
      </c>
      <c r="Q216" t="s">
        <v>5284</v>
      </c>
      <c r="R216" s="7">
        <v>30317</v>
      </c>
      <c r="S216" s="8">
        <f t="shared" si="24"/>
        <v>1983</v>
      </c>
      <c r="T216" s="8">
        <v>1983</v>
      </c>
      <c r="U216" s="8">
        <f t="shared" si="25"/>
        <v>39</v>
      </c>
      <c r="V216" s="7">
        <v>30621</v>
      </c>
      <c r="W216" t="s">
        <v>1687</v>
      </c>
      <c r="X216" s="2">
        <v>1.3720000000000001</v>
      </c>
      <c r="Y216" s="6">
        <f t="shared" si="30"/>
        <v>3.662475641333654E-2</v>
      </c>
      <c r="AA216">
        <v>189480</v>
      </c>
      <c r="AB216">
        <v>17366</v>
      </c>
      <c r="AC216">
        <v>15579670</v>
      </c>
      <c r="AD216" t="s">
        <v>5</v>
      </c>
      <c r="AE216">
        <v>31</v>
      </c>
      <c r="AF216">
        <v>11</v>
      </c>
      <c r="AH216" t="s">
        <v>5283</v>
      </c>
      <c r="AI216" t="s">
        <v>5282</v>
      </c>
      <c r="AK216" t="s">
        <v>5281</v>
      </c>
      <c r="AL216">
        <v>24</v>
      </c>
      <c r="AM216" s="5">
        <f t="shared" si="26"/>
        <v>0.61538461538461542</v>
      </c>
      <c r="AN216" s="4">
        <f t="shared" si="31"/>
        <v>9.320478839600385E-4</v>
      </c>
      <c r="AO216" s="3"/>
      <c r="AP216">
        <v>0</v>
      </c>
      <c r="AR216" t="s">
        <v>1</v>
      </c>
      <c r="AT216" s="2" t="s">
        <v>0</v>
      </c>
      <c r="AU216" s="1">
        <f t="shared" si="27"/>
        <v>2.5916943854523589</v>
      </c>
      <c r="AV216" s="1">
        <f t="shared" si="28"/>
        <v>1.8778402148648288</v>
      </c>
      <c r="AW216" s="1">
        <f t="shared" si="29"/>
        <v>1.1639860442772989</v>
      </c>
    </row>
    <row r="217" spans="1:49" x14ac:dyDescent="0.2">
      <c r="A217">
        <v>215</v>
      </c>
      <c r="B217" t="s">
        <v>5280</v>
      </c>
      <c r="C217" t="s">
        <v>5279</v>
      </c>
      <c r="F217" t="s">
        <v>5278</v>
      </c>
      <c r="G217" t="s">
        <v>15</v>
      </c>
      <c r="H217" t="s">
        <v>14</v>
      </c>
      <c r="I217" t="s">
        <v>5277</v>
      </c>
      <c r="J217">
        <v>60108318</v>
      </c>
      <c r="K217" t="s">
        <v>3127</v>
      </c>
      <c r="L217" t="s">
        <v>3126</v>
      </c>
      <c r="M217" t="s">
        <v>10</v>
      </c>
      <c r="N217">
        <v>2</v>
      </c>
      <c r="O217" t="s">
        <v>5276</v>
      </c>
      <c r="P217" t="s">
        <v>5275</v>
      </c>
      <c r="Q217" t="s">
        <v>3123</v>
      </c>
      <c r="R217" s="7">
        <v>30317</v>
      </c>
      <c r="S217" s="8">
        <f t="shared" si="24"/>
        <v>1983</v>
      </c>
      <c r="T217" s="8">
        <v>1983</v>
      </c>
      <c r="U217" s="8">
        <f t="shared" si="25"/>
        <v>39</v>
      </c>
      <c r="V217" s="7">
        <v>30621</v>
      </c>
      <c r="W217" t="s">
        <v>618</v>
      </c>
      <c r="X217" s="2">
        <v>1.6519999999999999</v>
      </c>
      <c r="Y217" s="6">
        <f t="shared" si="30"/>
        <v>4.409919649769093E-2</v>
      </c>
      <c r="AA217" t="s">
        <v>617</v>
      </c>
      <c r="AB217">
        <v>17337</v>
      </c>
      <c r="AC217">
        <v>15582221</v>
      </c>
      <c r="AD217" t="s">
        <v>5</v>
      </c>
      <c r="AE217">
        <v>31</v>
      </c>
      <c r="AF217">
        <v>6</v>
      </c>
      <c r="AH217" t="s">
        <v>5274</v>
      </c>
      <c r="AI217" t="s">
        <v>5273</v>
      </c>
      <c r="AK217" t="s">
        <v>5272</v>
      </c>
      <c r="AL217">
        <v>43</v>
      </c>
      <c r="AM217" s="5">
        <f t="shared" si="26"/>
        <v>1.1025641025641026</v>
      </c>
      <c r="AN217" s="4">
        <f t="shared" si="31"/>
        <v>1.6699191254284024E-3</v>
      </c>
      <c r="AO217" s="3"/>
      <c r="AP217">
        <v>0</v>
      </c>
      <c r="AR217" t="s">
        <v>1</v>
      </c>
      <c r="AT217" s="2" t="s">
        <v>0</v>
      </c>
      <c r="AU217" s="1">
        <f t="shared" si="27"/>
        <v>3.1370413286012173</v>
      </c>
      <c r="AV217" s="1">
        <f t="shared" si="28"/>
        <v>2.2884557811559665</v>
      </c>
      <c r="AW217" s="1">
        <f t="shared" si="29"/>
        <v>1.4398702337107159</v>
      </c>
    </row>
    <row r="218" spans="1:49" x14ac:dyDescent="0.2">
      <c r="A218">
        <v>216</v>
      </c>
      <c r="B218" t="s">
        <v>5271</v>
      </c>
      <c r="C218" t="s">
        <v>5270</v>
      </c>
      <c r="F218" t="s">
        <v>5269</v>
      </c>
      <c r="G218" t="s">
        <v>15</v>
      </c>
      <c r="H218" t="s">
        <v>14</v>
      </c>
      <c r="I218" t="s">
        <v>5268</v>
      </c>
      <c r="J218">
        <v>60029575</v>
      </c>
      <c r="K218" t="s">
        <v>623</v>
      </c>
      <c r="L218" t="s">
        <v>622</v>
      </c>
      <c r="M218" t="s">
        <v>10</v>
      </c>
      <c r="N218">
        <v>1</v>
      </c>
      <c r="O218" t="s">
        <v>5267</v>
      </c>
      <c r="P218">
        <v>26659952200</v>
      </c>
      <c r="Q218">
        <v>60029575</v>
      </c>
      <c r="R218" s="7">
        <v>30317</v>
      </c>
      <c r="S218" s="8">
        <f t="shared" si="24"/>
        <v>1983</v>
      </c>
      <c r="T218" s="8">
        <v>1983</v>
      </c>
      <c r="U218" s="8">
        <f t="shared" si="25"/>
        <v>39</v>
      </c>
      <c r="V218" s="7">
        <v>30621</v>
      </c>
      <c r="W218" t="s">
        <v>3022</v>
      </c>
      <c r="X218" s="2">
        <v>1.573</v>
      </c>
      <c r="Y218" s="6">
        <f t="shared" si="30"/>
        <v>4.1990336616748086E-2</v>
      </c>
      <c r="AA218">
        <v>7315090</v>
      </c>
      <c r="AB218">
        <v>29586</v>
      </c>
      <c r="AD218" t="s">
        <v>5</v>
      </c>
      <c r="AE218">
        <v>6</v>
      </c>
      <c r="AF218">
        <v>6</v>
      </c>
      <c r="AH218" t="s">
        <v>5266</v>
      </c>
      <c r="AI218" t="s">
        <v>5265</v>
      </c>
      <c r="AK218" t="s">
        <v>5264</v>
      </c>
      <c r="AL218">
        <v>2</v>
      </c>
      <c r="AM218" s="5">
        <f t="shared" si="26"/>
        <v>5.128205128205128E-2</v>
      </c>
      <c r="AN218" s="4">
        <f t="shared" si="31"/>
        <v>7.767065699666987E-5</v>
      </c>
      <c r="AO218" s="3"/>
      <c r="AP218">
        <v>0</v>
      </c>
      <c r="AR218" t="s">
        <v>1</v>
      </c>
      <c r="AT218" s="2" t="s">
        <v>0</v>
      </c>
      <c r="AU218" s="1">
        <f t="shared" si="27"/>
        <v>2.9416536828822659</v>
      </c>
      <c r="AV218" s="1">
        <f t="shared" si="28"/>
        <v>2.1034003636872378</v>
      </c>
      <c r="AW218" s="1">
        <f t="shared" si="29"/>
        <v>1.2651470444922093</v>
      </c>
    </row>
    <row r="219" spans="1:49" x14ac:dyDescent="0.2">
      <c r="A219">
        <v>217</v>
      </c>
      <c r="B219" t="s">
        <v>5263</v>
      </c>
      <c r="C219" t="s">
        <v>5262</v>
      </c>
      <c r="F219" t="s">
        <v>5261</v>
      </c>
      <c r="G219" t="s">
        <v>15</v>
      </c>
      <c r="H219" t="s">
        <v>14</v>
      </c>
      <c r="I219" t="s">
        <v>5260</v>
      </c>
      <c r="N219">
        <v>2</v>
      </c>
      <c r="O219" t="s">
        <v>5259</v>
      </c>
      <c r="P219" t="s">
        <v>5258</v>
      </c>
      <c r="Q219" t="s">
        <v>342</v>
      </c>
      <c r="R219" s="7">
        <v>30317</v>
      </c>
      <c r="S219" s="8">
        <f t="shared" si="24"/>
        <v>1983</v>
      </c>
      <c r="T219" s="8">
        <v>1983</v>
      </c>
      <c r="U219" s="8">
        <f t="shared" si="25"/>
        <v>39</v>
      </c>
      <c r="V219" s="7">
        <v>30621</v>
      </c>
      <c r="W219" t="s">
        <v>817</v>
      </c>
      <c r="X219" s="2">
        <v>2.9860000000000002</v>
      </c>
      <c r="Y219" s="6">
        <f t="shared" si="30"/>
        <v>7.9709564613865094E-2</v>
      </c>
      <c r="AA219">
        <v>7338716</v>
      </c>
      <c r="AB219">
        <v>18902</v>
      </c>
      <c r="AD219" t="s">
        <v>5</v>
      </c>
      <c r="AE219">
        <v>1</v>
      </c>
      <c r="AF219">
        <v>5</v>
      </c>
      <c r="AH219" t="s">
        <v>5257</v>
      </c>
      <c r="AI219" t="s">
        <v>5256</v>
      </c>
      <c r="AK219" t="s">
        <v>5255</v>
      </c>
      <c r="AL219">
        <v>7</v>
      </c>
      <c r="AM219" s="5">
        <f t="shared" si="26"/>
        <v>0.17948717948717949</v>
      </c>
      <c r="AN219" s="4">
        <f t="shared" si="31"/>
        <v>2.7184729948834453E-4</v>
      </c>
      <c r="AO219" s="3"/>
      <c r="AP219">
        <v>0</v>
      </c>
      <c r="AR219" t="s">
        <v>1</v>
      </c>
      <c r="AT219" s="2" t="s">
        <v>0</v>
      </c>
      <c r="AU219" s="1">
        <f t="shared" si="27"/>
        <v>5.5878249419552066</v>
      </c>
      <c r="AV219" s="1">
        <f t="shared" si="28"/>
        <v>3.9990705956676718</v>
      </c>
      <c r="AW219" s="1">
        <f t="shared" si="29"/>
        <v>2.4103162493801369</v>
      </c>
    </row>
    <row r="220" spans="1:49" x14ac:dyDescent="0.2">
      <c r="A220">
        <v>218</v>
      </c>
      <c r="B220" t="s">
        <v>5254</v>
      </c>
      <c r="C220" t="s">
        <v>5253</v>
      </c>
      <c r="F220" t="s">
        <v>5252</v>
      </c>
      <c r="G220" t="s">
        <v>15</v>
      </c>
      <c r="H220" t="s">
        <v>14</v>
      </c>
      <c r="I220" t="s">
        <v>5251</v>
      </c>
      <c r="J220">
        <v>60003500</v>
      </c>
      <c r="K220" t="s">
        <v>1070</v>
      </c>
      <c r="L220" t="s">
        <v>1069</v>
      </c>
      <c r="M220" t="s">
        <v>10</v>
      </c>
      <c r="N220">
        <v>1</v>
      </c>
      <c r="O220" t="s">
        <v>5250</v>
      </c>
      <c r="P220">
        <v>35579308700</v>
      </c>
      <c r="Q220">
        <v>60003500</v>
      </c>
      <c r="R220" s="7">
        <v>30317</v>
      </c>
      <c r="S220" s="8">
        <f t="shared" si="24"/>
        <v>1983</v>
      </c>
      <c r="T220" s="8">
        <v>1983</v>
      </c>
      <c r="U220" s="8">
        <f t="shared" si="25"/>
        <v>39</v>
      </c>
      <c r="V220" s="7">
        <v>30621</v>
      </c>
      <c r="W220" t="s">
        <v>618</v>
      </c>
      <c r="X220" s="2">
        <v>1.6519999999999999</v>
      </c>
      <c r="Y220" s="6">
        <f t="shared" si="30"/>
        <v>4.409919649769093E-2</v>
      </c>
      <c r="AA220" t="s">
        <v>617</v>
      </c>
      <c r="AB220">
        <v>17337</v>
      </c>
      <c r="AC220">
        <v>15582221</v>
      </c>
      <c r="AD220" t="s">
        <v>5</v>
      </c>
      <c r="AE220">
        <v>31</v>
      </c>
      <c r="AF220">
        <v>6</v>
      </c>
      <c r="AH220" t="s">
        <v>5249</v>
      </c>
      <c r="AI220" t="s">
        <v>5248</v>
      </c>
      <c r="AK220" t="s">
        <v>5247</v>
      </c>
      <c r="AL220">
        <v>74</v>
      </c>
      <c r="AM220" s="5">
        <f t="shared" si="26"/>
        <v>1.8974358974358974</v>
      </c>
      <c r="AN220" s="4">
        <f t="shared" si="31"/>
        <v>2.873814308876785E-3</v>
      </c>
      <c r="AO220" s="3"/>
      <c r="AP220">
        <v>0</v>
      </c>
      <c r="AR220" t="s">
        <v>1</v>
      </c>
      <c r="AT220" s="2" t="s">
        <v>0</v>
      </c>
      <c r="AU220" s="1">
        <f t="shared" si="27"/>
        <v>3.1731581841046683</v>
      </c>
      <c r="AV220" s="1">
        <f t="shared" si="28"/>
        <v>2.3486505403283857</v>
      </c>
      <c r="AW220" s="1">
        <f t="shared" si="29"/>
        <v>1.5241428965521027</v>
      </c>
    </row>
    <row r="221" spans="1:49" x14ac:dyDescent="0.2">
      <c r="A221">
        <v>219</v>
      </c>
      <c r="B221" t="s">
        <v>5246</v>
      </c>
      <c r="C221" t="s">
        <v>5245</v>
      </c>
      <c r="F221" t="s">
        <v>5244</v>
      </c>
      <c r="G221" t="s">
        <v>15</v>
      </c>
      <c r="H221" t="s">
        <v>14</v>
      </c>
      <c r="I221" t="s">
        <v>919</v>
      </c>
      <c r="J221">
        <v>60021378</v>
      </c>
      <c r="K221" t="s">
        <v>1635</v>
      </c>
      <c r="L221" t="s">
        <v>1634</v>
      </c>
      <c r="M221" t="s">
        <v>10</v>
      </c>
      <c r="N221">
        <v>2</v>
      </c>
      <c r="O221" t="s">
        <v>5243</v>
      </c>
      <c r="P221" t="s">
        <v>5242</v>
      </c>
      <c r="Q221" t="s">
        <v>5170</v>
      </c>
      <c r="R221" s="7">
        <v>30317</v>
      </c>
      <c r="S221" s="8">
        <f t="shared" si="24"/>
        <v>1983</v>
      </c>
      <c r="T221" s="8">
        <v>1983</v>
      </c>
      <c r="U221" s="8">
        <f t="shared" si="25"/>
        <v>39</v>
      </c>
      <c r="V221" s="7">
        <v>30621</v>
      </c>
      <c r="W221" t="s">
        <v>618</v>
      </c>
      <c r="X221" s="2">
        <v>1.6519999999999999</v>
      </c>
      <c r="Y221" s="6">
        <f t="shared" si="30"/>
        <v>4.409919649769093E-2</v>
      </c>
      <c r="AA221" t="s">
        <v>617</v>
      </c>
      <c r="AB221">
        <v>17337</v>
      </c>
      <c r="AC221">
        <v>15582221</v>
      </c>
      <c r="AD221" t="s">
        <v>5</v>
      </c>
      <c r="AE221">
        <v>31</v>
      </c>
      <c r="AF221">
        <v>6</v>
      </c>
      <c r="AH221" t="s">
        <v>5241</v>
      </c>
      <c r="AI221" t="s">
        <v>5240</v>
      </c>
      <c r="AK221" t="s">
        <v>5239</v>
      </c>
      <c r="AL221">
        <v>1</v>
      </c>
      <c r="AM221" s="5">
        <f t="shared" si="26"/>
        <v>2.564102564102564E-2</v>
      </c>
      <c r="AN221" s="4">
        <f t="shared" si="31"/>
        <v>3.8835328498334935E-5</v>
      </c>
      <c r="AO221" s="3"/>
      <c r="AP221">
        <v>0</v>
      </c>
      <c r="AR221" t="s">
        <v>1</v>
      </c>
      <c r="AT221" s="2" t="s">
        <v>0</v>
      </c>
      <c r="AU221" s="1">
        <f t="shared" si="27"/>
        <v>3.0881088146933151</v>
      </c>
      <c r="AV221" s="1">
        <f t="shared" si="28"/>
        <v>2.2069015913094634</v>
      </c>
      <c r="AW221" s="1">
        <f t="shared" si="29"/>
        <v>1.3256943679256112</v>
      </c>
    </row>
    <row r="222" spans="1:49" x14ac:dyDescent="0.2">
      <c r="A222">
        <v>220</v>
      </c>
      <c r="B222" t="s">
        <v>5238</v>
      </c>
      <c r="C222" t="s">
        <v>5237</v>
      </c>
      <c r="F222" t="s">
        <v>5236</v>
      </c>
      <c r="G222" t="s">
        <v>15</v>
      </c>
      <c r="H222" t="s">
        <v>14</v>
      </c>
      <c r="I222" t="s">
        <v>5235</v>
      </c>
      <c r="J222">
        <v>60030551</v>
      </c>
      <c r="K222" t="s">
        <v>3078</v>
      </c>
      <c r="L222" t="s">
        <v>3077</v>
      </c>
      <c r="M222" t="s">
        <v>10</v>
      </c>
      <c r="N222">
        <v>2</v>
      </c>
      <c r="O222" t="s">
        <v>5234</v>
      </c>
      <c r="P222" t="s">
        <v>5233</v>
      </c>
      <c r="Q222" t="s">
        <v>3074</v>
      </c>
      <c r="R222" s="7">
        <v>30317</v>
      </c>
      <c r="S222" s="8">
        <f t="shared" si="24"/>
        <v>1983</v>
      </c>
      <c r="T222" s="8">
        <v>1983</v>
      </c>
      <c r="U222" s="8">
        <f t="shared" si="25"/>
        <v>39</v>
      </c>
      <c r="V222" s="7">
        <v>30621</v>
      </c>
      <c r="W222" t="s">
        <v>1531</v>
      </c>
      <c r="X222" s="2">
        <v>0.65500000000000003</v>
      </c>
      <c r="Y222" s="6">
        <f t="shared" si="30"/>
        <v>1.7484850911614749E-2</v>
      </c>
      <c r="AA222">
        <v>189375</v>
      </c>
      <c r="AB222">
        <v>26051</v>
      </c>
      <c r="AC222" t="s">
        <v>1530</v>
      </c>
      <c r="AD222" t="s">
        <v>5</v>
      </c>
      <c r="AE222" t="s">
        <v>1529</v>
      </c>
      <c r="AF222">
        <v>4</v>
      </c>
      <c r="AH222" t="s">
        <v>5232</v>
      </c>
      <c r="AI222" t="s">
        <v>5231</v>
      </c>
      <c r="AJ222" t="s">
        <v>5230</v>
      </c>
      <c r="AK222" t="s">
        <v>5229</v>
      </c>
      <c r="AL222">
        <v>0</v>
      </c>
      <c r="AM222" s="5">
        <f t="shared" si="26"/>
        <v>0</v>
      </c>
      <c r="AN222" s="4">
        <f t="shared" si="31"/>
        <v>0</v>
      </c>
      <c r="AO222" s="3"/>
      <c r="AP222">
        <v>0</v>
      </c>
      <c r="AR222" t="s">
        <v>1</v>
      </c>
      <c r="AT222" s="2" t="s">
        <v>0</v>
      </c>
      <c r="AU222" s="1">
        <f t="shared" si="27"/>
        <v>1.2239395638130324</v>
      </c>
      <c r="AV222" s="1">
        <f t="shared" si="28"/>
        <v>0.87424254558073744</v>
      </c>
      <c r="AW222" s="1">
        <f t="shared" si="29"/>
        <v>0.52454552734844251</v>
      </c>
    </row>
    <row r="223" spans="1:49" x14ac:dyDescent="0.2">
      <c r="A223">
        <v>221</v>
      </c>
      <c r="B223" t="s">
        <v>5228</v>
      </c>
      <c r="C223" t="s">
        <v>5227</v>
      </c>
      <c r="F223" t="s">
        <v>5226</v>
      </c>
      <c r="G223" t="s">
        <v>15</v>
      </c>
      <c r="H223" t="s">
        <v>14</v>
      </c>
      <c r="I223" t="s">
        <v>5225</v>
      </c>
      <c r="N223">
        <v>2</v>
      </c>
      <c r="O223" t="s">
        <v>5224</v>
      </c>
      <c r="P223" t="s">
        <v>5223</v>
      </c>
      <c r="Q223" t="s">
        <v>342</v>
      </c>
      <c r="R223" s="7">
        <v>30317</v>
      </c>
      <c r="S223" s="8">
        <f t="shared" ref="S223:S286" si="32">YEAR(R223)</f>
        <v>1983</v>
      </c>
      <c r="T223" s="8">
        <v>1983</v>
      </c>
      <c r="U223" s="8">
        <f t="shared" ref="U223:U286" si="33">2022-T223</f>
        <v>39</v>
      </c>
      <c r="V223" s="7" t="s">
        <v>5180</v>
      </c>
      <c r="W223" t="s">
        <v>3012</v>
      </c>
      <c r="X223" s="2" t="s">
        <v>0</v>
      </c>
      <c r="Y223" s="6" t="e">
        <f t="shared" si="30"/>
        <v>#VALUE!</v>
      </c>
      <c r="AA223">
        <v>84204</v>
      </c>
      <c r="AB223">
        <v>27420</v>
      </c>
      <c r="AD223" t="s">
        <v>5</v>
      </c>
      <c r="AE223">
        <v>61</v>
      </c>
      <c r="AF223">
        <v>11</v>
      </c>
      <c r="AH223" t="s">
        <v>5222</v>
      </c>
      <c r="AI223" t="s">
        <v>5221</v>
      </c>
      <c r="AK223" t="s">
        <v>5220</v>
      </c>
      <c r="AL223">
        <v>3</v>
      </c>
      <c r="AM223" s="5">
        <f t="shared" ref="AM223:AM286" si="34">AL223/U223</f>
        <v>7.6923076923076927E-2</v>
      </c>
      <c r="AN223" s="4">
        <f t="shared" si="31"/>
        <v>1.1650598549500481E-4</v>
      </c>
      <c r="AO223" s="3"/>
      <c r="AP223">
        <v>0</v>
      </c>
      <c r="AR223" t="s">
        <v>1</v>
      </c>
      <c r="AT223" s="2">
        <v>1.24</v>
      </c>
      <c r="AU223" s="1" t="e">
        <f t="shared" ref="AU223:AU286" si="35">(Y223*0.7+AN223*0.3)*100</f>
        <v>#VALUE!</v>
      </c>
      <c r="AV223" s="1" t="e">
        <f t="shared" ref="AV223:AV286" si="36">(Y223*0.5+AN223*0.5)*100</f>
        <v>#VALUE!</v>
      </c>
      <c r="AW223" s="1" t="e">
        <f t="shared" ref="AW223:AW286" si="37">(Y223*0.3+AN223*0.7)*100</f>
        <v>#VALUE!</v>
      </c>
    </row>
    <row r="224" spans="1:49" x14ac:dyDescent="0.2">
      <c r="A224">
        <v>222</v>
      </c>
      <c r="B224" t="s">
        <v>5219</v>
      </c>
      <c r="C224" t="s">
        <v>5218</v>
      </c>
      <c r="F224" t="s">
        <v>5217</v>
      </c>
      <c r="G224" t="s">
        <v>15</v>
      </c>
      <c r="H224" t="s">
        <v>14</v>
      </c>
      <c r="I224" t="s">
        <v>5216</v>
      </c>
      <c r="N224">
        <v>1</v>
      </c>
      <c r="O224" t="s">
        <v>5215</v>
      </c>
      <c r="P224">
        <v>7406465664</v>
      </c>
      <c r="R224" s="7">
        <v>30317</v>
      </c>
      <c r="S224" s="8">
        <f t="shared" si="32"/>
        <v>1983</v>
      </c>
      <c r="T224" s="8">
        <v>1983</v>
      </c>
      <c r="U224" s="8">
        <f t="shared" si="33"/>
        <v>39</v>
      </c>
      <c r="V224" s="7">
        <v>30621</v>
      </c>
      <c r="W224" t="s">
        <v>618</v>
      </c>
      <c r="X224" s="2">
        <v>1.6519999999999999</v>
      </c>
      <c r="Y224" s="6">
        <f t="shared" si="30"/>
        <v>4.409919649769093E-2</v>
      </c>
      <c r="AA224" t="s">
        <v>617</v>
      </c>
      <c r="AB224">
        <v>17337</v>
      </c>
      <c r="AC224">
        <v>15582221</v>
      </c>
      <c r="AD224" t="s">
        <v>5</v>
      </c>
      <c r="AE224">
        <v>31</v>
      </c>
      <c r="AF224">
        <v>6</v>
      </c>
      <c r="AH224" t="s">
        <v>5214</v>
      </c>
      <c r="AI224" t="s">
        <v>5213</v>
      </c>
      <c r="AK224" t="s">
        <v>5212</v>
      </c>
      <c r="AL224">
        <v>4</v>
      </c>
      <c r="AM224" s="5">
        <f t="shared" si="34"/>
        <v>0.10256410256410256</v>
      </c>
      <c r="AN224" s="4">
        <f t="shared" si="31"/>
        <v>1.5534131399333974E-4</v>
      </c>
      <c r="AO224" s="3"/>
      <c r="AP224">
        <v>0</v>
      </c>
      <c r="AR224" t="s">
        <v>1</v>
      </c>
      <c r="AT224" s="2" t="s">
        <v>0</v>
      </c>
      <c r="AU224" s="1">
        <f t="shared" si="35"/>
        <v>3.0916039942581652</v>
      </c>
      <c r="AV224" s="1">
        <f t="shared" si="36"/>
        <v>2.2127268905842135</v>
      </c>
      <c r="AW224" s="1">
        <f t="shared" si="37"/>
        <v>1.3338497869102617</v>
      </c>
    </row>
    <row r="225" spans="1:49" x14ac:dyDescent="0.2">
      <c r="A225">
        <v>223</v>
      </c>
      <c r="B225" t="s">
        <v>5211</v>
      </c>
      <c r="F225" t="s">
        <v>5210</v>
      </c>
      <c r="G225" t="s">
        <v>15</v>
      </c>
      <c r="H225" t="s">
        <v>14</v>
      </c>
      <c r="I225" t="s">
        <v>5209</v>
      </c>
      <c r="N225">
        <v>1</v>
      </c>
      <c r="O225" t="s">
        <v>5208</v>
      </c>
      <c r="P225">
        <v>6603435457</v>
      </c>
      <c r="R225" s="7">
        <v>30317</v>
      </c>
      <c r="S225" s="8">
        <f t="shared" si="32"/>
        <v>1983</v>
      </c>
      <c r="T225" s="8">
        <v>1983</v>
      </c>
      <c r="U225" s="8">
        <f t="shared" si="33"/>
        <v>39</v>
      </c>
      <c r="V225" s="7" t="s">
        <v>5207</v>
      </c>
      <c r="W225" t="s">
        <v>1117</v>
      </c>
      <c r="X225" s="2" t="s">
        <v>0</v>
      </c>
      <c r="Y225" s="6" t="e">
        <f t="shared" si="30"/>
        <v>#VALUE!</v>
      </c>
      <c r="AA225" t="s">
        <v>1116</v>
      </c>
      <c r="AB225">
        <v>33832</v>
      </c>
      <c r="AD225" t="s">
        <v>5</v>
      </c>
      <c r="AE225">
        <v>17</v>
      </c>
      <c r="AF225">
        <v>10</v>
      </c>
      <c r="AH225" t="s">
        <v>5206</v>
      </c>
      <c r="AI225" t="s">
        <v>5205</v>
      </c>
      <c r="AK225" t="s">
        <v>5204</v>
      </c>
      <c r="AL225">
        <v>0</v>
      </c>
      <c r="AM225" s="5">
        <f t="shared" si="34"/>
        <v>0</v>
      </c>
      <c r="AN225" s="4">
        <f t="shared" si="31"/>
        <v>0</v>
      </c>
      <c r="AO225" s="3"/>
      <c r="AP225">
        <v>0</v>
      </c>
      <c r="AR225" t="s">
        <v>1</v>
      </c>
      <c r="AT225" s="2" t="s">
        <v>0</v>
      </c>
      <c r="AU225" s="1" t="e">
        <f t="shared" si="35"/>
        <v>#VALUE!</v>
      </c>
      <c r="AV225" s="1" t="e">
        <f t="shared" si="36"/>
        <v>#VALUE!</v>
      </c>
      <c r="AW225" s="1" t="e">
        <f t="shared" si="37"/>
        <v>#VALUE!</v>
      </c>
    </row>
    <row r="226" spans="1:49" x14ac:dyDescent="0.2">
      <c r="A226">
        <v>224</v>
      </c>
      <c r="B226" t="s">
        <v>5203</v>
      </c>
      <c r="C226" t="s">
        <v>5202</v>
      </c>
      <c r="F226" t="s">
        <v>5201</v>
      </c>
      <c r="G226" t="s">
        <v>15</v>
      </c>
      <c r="H226" t="s">
        <v>14</v>
      </c>
      <c r="I226" t="s">
        <v>2213</v>
      </c>
      <c r="N226">
        <v>1</v>
      </c>
      <c r="O226" t="s">
        <v>5200</v>
      </c>
      <c r="P226">
        <v>7404847472</v>
      </c>
      <c r="R226" s="7">
        <v>30317</v>
      </c>
      <c r="S226" s="8">
        <f t="shared" si="32"/>
        <v>1983</v>
      </c>
      <c r="T226" s="8">
        <v>1983</v>
      </c>
      <c r="U226" s="8">
        <f t="shared" si="33"/>
        <v>39</v>
      </c>
      <c r="V226" s="7" t="s">
        <v>509</v>
      </c>
      <c r="W226" t="s">
        <v>508</v>
      </c>
      <c r="X226" s="2">
        <v>0.371</v>
      </c>
      <c r="Y226" s="6">
        <f t="shared" si="30"/>
        <v>9.9036331117695747E-3</v>
      </c>
      <c r="AA226">
        <v>486604</v>
      </c>
      <c r="AB226">
        <v>28580</v>
      </c>
      <c r="AC226" t="s">
        <v>507</v>
      </c>
      <c r="AD226" t="s">
        <v>5</v>
      </c>
      <c r="AE226">
        <v>18</v>
      </c>
      <c r="AF226">
        <v>6</v>
      </c>
      <c r="AH226" t="s">
        <v>5199</v>
      </c>
      <c r="AI226" t="s">
        <v>5198</v>
      </c>
      <c r="AK226" t="s">
        <v>5197</v>
      </c>
      <c r="AL226">
        <v>13</v>
      </c>
      <c r="AM226" s="5">
        <f t="shared" si="34"/>
        <v>0.33333333333333331</v>
      </c>
      <c r="AN226" s="4">
        <f t="shared" si="31"/>
        <v>5.048592704783541E-4</v>
      </c>
      <c r="AO226" s="3"/>
      <c r="AP226">
        <v>0</v>
      </c>
      <c r="AR226" t="s">
        <v>1</v>
      </c>
      <c r="AT226" s="2">
        <v>1.431</v>
      </c>
      <c r="AU226" s="1">
        <f t="shared" si="35"/>
        <v>0.70840009593822084</v>
      </c>
      <c r="AV226" s="1">
        <f t="shared" si="36"/>
        <v>0.52042461911239646</v>
      </c>
      <c r="AW226" s="1">
        <f t="shared" si="37"/>
        <v>0.33244914228657207</v>
      </c>
    </row>
    <row r="227" spans="1:49" x14ac:dyDescent="0.2">
      <c r="A227">
        <v>225</v>
      </c>
      <c r="B227" t="s">
        <v>5196</v>
      </c>
      <c r="C227" t="s">
        <v>5195</v>
      </c>
      <c r="F227" t="s">
        <v>5194</v>
      </c>
      <c r="G227" t="s">
        <v>15</v>
      </c>
      <c r="H227" t="s">
        <v>14</v>
      </c>
      <c r="I227" t="s">
        <v>5193</v>
      </c>
      <c r="J227">
        <v>60021907</v>
      </c>
      <c r="K227" t="s">
        <v>5192</v>
      </c>
      <c r="L227" t="s">
        <v>5191</v>
      </c>
      <c r="M227" t="s">
        <v>10</v>
      </c>
      <c r="N227">
        <v>3</v>
      </c>
      <c r="O227" t="s">
        <v>5190</v>
      </c>
      <c r="P227" t="s">
        <v>5189</v>
      </c>
      <c r="Q227" t="s">
        <v>5188</v>
      </c>
      <c r="R227" s="7">
        <v>30317</v>
      </c>
      <c r="S227" s="8">
        <f t="shared" si="32"/>
        <v>1983</v>
      </c>
      <c r="T227" s="8">
        <v>1983</v>
      </c>
      <c r="U227" s="8">
        <f t="shared" si="33"/>
        <v>39</v>
      </c>
      <c r="V227" s="7">
        <v>30621</v>
      </c>
      <c r="W227" t="s">
        <v>1414</v>
      </c>
      <c r="X227" s="2">
        <v>2.383</v>
      </c>
      <c r="Y227" s="6">
        <f t="shared" si="30"/>
        <v>6.3612824003630442E-2</v>
      </c>
      <c r="AA227">
        <v>189219</v>
      </c>
      <c r="AB227">
        <v>17915</v>
      </c>
      <c r="AC227">
        <v>15582256</v>
      </c>
      <c r="AD227" t="s">
        <v>5</v>
      </c>
      <c r="AE227">
        <v>71</v>
      </c>
      <c r="AF227">
        <v>11</v>
      </c>
      <c r="AH227" t="s">
        <v>5187</v>
      </c>
      <c r="AI227" t="s">
        <v>5186</v>
      </c>
      <c r="AK227" t="s">
        <v>5185</v>
      </c>
      <c r="AL227">
        <v>253</v>
      </c>
      <c r="AM227" s="5">
        <f t="shared" si="34"/>
        <v>6.4871794871794872</v>
      </c>
      <c r="AN227" s="4">
        <f t="shared" si="31"/>
        <v>9.825338110078739E-3</v>
      </c>
      <c r="AO227" s="3"/>
      <c r="AP227">
        <v>0</v>
      </c>
      <c r="AR227" t="s">
        <v>1</v>
      </c>
      <c r="AT227" s="2">
        <v>10.961</v>
      </c>
      <c r="AU227" s="1">
        <f t="shared" si="35"/>
        <v>4.7476578235564935</v>
      </c>
      <c r="AV227" s="1">
        <f t="shared" si="36"/>
        <v>3.6719081056854592</v>
      </c>
      <c r="AW227" s="1">
        <f t="shared" si="37"/>
        <v>2.596158387814425</v>
      </c>
    </row>
    <row r="228" spans="1:49" x14ac:dyDescent="0.2">
      <c r="A228">
        <v>226</v>
      </c>
      <c r="B228" t="s">
        <v>5184</v>
      </c>
      <c r="F228" t="s">
        <v>5183</v>
      </c>
      <c r="G228" t="s">
        <v>15</v>
      </c>
      <c r="H228" t="s">
        <v>14</v>
      </c>
      <c r="I228" t="s">
        <v>5182</v>
      </c>
      <c r="N228">
        <v>1</v>
      </c>
      <c r="O228" t="s">
        <v>5181</v>
      </c>
      <c r="P228">
        <v>7102436555</v>
      </c>
      <c r="R228" s="7">
        <v>30317</v>
      </c>
      <c r="S228" s="8">
        <f t="shared" si="32"/>
        <v>1983</v>
      </c>
      <c r="T228" s="8">
        <v>1983</v>
      </c>
      <c r="U228" s="8">
        <f t="shared" si="33"/>
        <v>39</v>
      </c>
      <c r="V228" s="7" t="s">
        <v>5180</v>
      </c>
      <c r="W228" t="s">
        <v>5179</v>
      </c>
      <c r="X228" s="2">
        <v>0.115</v>
      </c>
      <c r="Y228" s="6">
        <f t="shared" si="30"/>
        <v>3.069859320359841E-3</v>
      </c>
      <c r="AA228">
        <v>933651</v>
      </c>
      <c r="AB228">
        <v>14396</v>
      </c>
      <c r="AD228" t="s">
        <v>5</v>
      </c>
      <c r="AE228">
        <v>24</v>
      </c>
      <c r="AF228">
        <v>11</v>
      </c>
      <c r="AI228" t="s">
        <v>5178</v>
      </c>
      <c r="AK228" t="s">
        <v>5177</v>
      </c>
      <c r="AL228">
        <v>0</v>
      </c>
      <c r="AM228" s="5">
        <f t="shared" si="34"/>
        <v>0</v>
      </c>
      <c r="AN228" s="4">
        <f t="shared" si="31"/>
        <v>0</v>
      </c>
      <c r="AO228" s="3"/>
      <c r="AP228">
        <v>0</v>
      </c>
      <c r="AR228" t="s">
        <v>1</v>
      </c>
      <c r="AT228" s="2">
        <v>0.17499999999999999</v>
      </c>
      <c r="AU228" s="1">
        <f t="shared" si="35"/>
        <v>0.21489015242518883</v>
      </c>
      <c r="AV228" s="1">
        <f t="shared" si="36"/>
        <v>0.15349296601799206</v>
      </c>
      <c r="AW228" s="1">
        <f t="shared" si="37"/>
        <v>9.2095779610795223E-2</v>
      </c>
    </row>
    <row r="229" spans="1:49" x14ac:dyDescent="0.2">
      <c r="A229">
        <v>227</v>
      </c>
      <c r="B229" t="s">
        <v>5176</v>
      </c>
      <c r="C229" t="s">
        <v>5175</v>
      </c>
      <c r="F229" t="s">
        <v>5174</v>
      </c>
      <c r="G229" t="s">
        <v>15</v>
      </c>
      <c r="H229" t="s">
        <v>14</v>
      </c>
      <c r="I229" t="s">
        <v>5173</v>
      </c>
      <c r="J229">
        <v>60021378</v>
      </c>
      <c r="K229" t="s">
        <v>1635</v>
      </c>
      <c r="L229" t="s">
        <v>1634</v>
      </c>
      <c r="M229" t="s">
        <v>10</v>
      </c>
      <c r="N229">
        <v>2</v>
      </c>
      <c r="O229" t="s">
        <v>5172</v>
      </c>
      <c r="P229" t="s">
        <v>5171</v>
      </c>
      <c r="Q229" t="s">
        <v>5170</v>
      </c>
      <c r="R229" s="7">
        <v>30317</v>
      </c>
      <c r="S229" s="8">
        <f t="shared" si="32"/>
        <v>1983</v>
      </c>
      <c r="T229" s="8">
        <v>1983</v>
      </c>
      <c r="U229" s="8">
        <f t="shared" si="33"/>
        <v>39</v>
      </c>
      <c r="V229" s="7">
        <v>30621</v>
      </c>
      <c r="W229" t="s">
        <v>618</v>
      </c>
      <c r="X229" s="2">
        <v>1.6519999999999999</v>
      </c>
      <c r="Y229" s="6">
        <f t="shared" si="30"/>
        <v>4.409919649769093E-2</v>
      </c>
      <c r="AA229" t="s">
        <v>617</v>
      </c>
      <c r="AB229">
        <v>17337</v>
      </c>
      <c r="AC229">
        <v>15582221</v>
      </c>
      <c r="AD229" t="s">
        <v>5</v>
      </c>
      <c r="AE229">
        <v>31</v>
      </c>
      <c r="AF229">
        <v>6</v>
      </c>
      <c r="AH229" t="s">
        <v>5169</v>
      </c>
      <c r="AI229" t="s">
        <v>5168</v>
      </c>
      <c r="AK229" t="s">
        <v>5167</v>
      </c>
      <c r="AL229">
        <v>4</v>
      </c>
      <c r="AM229" s="5">
        <f t="shared" si="34"/>
        <v>0.10256410256410256</v>
      </c>
      <c r="AN229" s="4">
        <f t="shared" si="31"/>
        <v>1.5534131399333974E-4</v>
      </c>
      <c r="AO229" s="3"/>
      <c r="AP229">
        <v>0</v>
      </c>
      <c r="AR229" t="s">
        <v>1</v>
      </c>
      <c r="AT229" s="2" t="s">
        <v>0</v>
      </c>
      <c r="AU229" s="1">
        <f t="shared" si="35"/>
        <v>3.0916039942581652</v>
      </c>
      <c r="AV229" s="1">
        <f t="shared" si="36"/>
        <v>2.2127268905842135</v>
      </c>
      <c r="AW229" s="1">
        <f t="shared" si="37"/>
        <v>1.3338497869102617</v>
      </c>
    </row>
    <row r="230" spans="1:49" x14ac:dyDescent="0.2">
      <c r="A230">
        <v>228</v>
      </c>
      <c r="B230" t="s">
        <v>5166</v>
      </c>
      <c r="C230" t="s">
        <v>5165</v>
      </c>
      <c r="F230" t="s">
        <v>5164</v>
      </c>
      <c r="G230" t="s">
        <v>15</v>
      </c>
      <c r="H230" t="s">
        <v>14</v>
      </c>
      <c r="I230" t="s">
        <v>2391</v>
      </c>
      <c r="J230">
        <v>60030821</v>
      </c>
      <c r="K230" t="s">
        <v>2390</v>
      </c>
      <c r="L230" t="s">
        <v>2389</v>
      </c>
      <c r="M230" t="s">
        <v>10</v>
      </c>
      <c r="N230">
        <v>2</v>
      </c>
      <c r="O230" t="s">
        <v>2388</v>
      </c>
      <c r="P230" t="s">
        <v>2387</v>
      </c>
      <c r="Q230" t="s">
        <v>2386</v>
      </c>
      <c r="R230" s="7">
        <v>30317</v>
      </c>
      <c r="S230" s="8">
        <f t="shared" si="32"/>
        <v>1983</v>
      </c>
      <c r="T230" s="8">
        <v>1983</v>
      </c>
      <c r="U230" s="8">
        <f t="shared" si="33"/>
        <v>39</v>
      </c>
      <c r="V230" s="7">
        <v>30621</v>
      </c>
      <c r="W230" t="s">
        <v>618</v>
      </c>
      <c r="X230" s="2">
        <v>1.6519999999999999</v>
      </c>
      <c r="Y230" s="6">
        <f t="shared" si="30"/>
        <v>4.409919649769093E-2</v>
      </c>
      <c r="AA230" t="s">
        <v>617</v>
      </c>
      <c r="AB230">
        <v>17337</v>
      </c>
      <c r="AC230">
        <v>15582221</v>
      </c>
      <c r="AD230" t="s">
        <v>5</v>
      </c>
      <c r="AE230">
        <v>31</v>
      </c>
      <c r="AF230">
        <v>6</v>
      </c>
      <c r="AH230" t="s">
        <v>5163</v>
      </c>
      <c r="AI230" t="s">
        <v>5162</v>
      </c>
      <c r="AK230" t="s">
        <v>5161</v>
      </c>
      <c r="AL230">
        <v>2</v>
      </c>
      <c r="AM230" s="5">
        <f t="shared" si="34"/>
        <v>5.128205128205128E-2</v>
      </c>
      <c r="AN230" s="4">
        <f t="shared" si="31"/>
        <v>7.767065699666987E-5</v>
      </c>
      <c r="AO230" s="3"/>
      <c r="AP230">
        <v>0</v>
      </c>
      <c r="AR230" t="s">
        <v>1</v>
      </c>
      <c r="AT230" s="2" t="s">
        <v>0</v>
      </c>
      <c r="AU230" s="1">
        <f t="shared" si="35"/>
        <v>3.0892738745482653</v>
      </c>
      <c r="AV230" s="1">
        <f t="shared" si="36"/>
        <v>2.2088433577343798</v>
      </c>
      <c r="AW230" s="1">
        <f t="shared" si="37"/>
        <v>1.3284128409204947</v>
      </c>
    </row>
    <row r="231" spans="1:49" x14ac:dyDescent="0.2">
      <c r="A231">
        <v>229</v>
      </c>
      <c r="B231" t="s">
        <v>5160</v>
      </c>
      <c r="C231" t="s">
        <v>5159</v>
      </c>
      <c r="F231" t="s">
        <v>5158</v>
      </c>
      <c r="G231" t="s">
        <v>15</v>
      </c>
      <c r="H231" t="s">
        <v>14</v>
      </c>
      <c r="I231" t="s">
        <v>5157</v>
      </c>
      <c r="N231">
        <v>1</v>
      </c>
      <c r="O231" t="s">
        <v>5156</v>
      </c>
      <c r="P231">
        <v>6603301777</v>
      </c>
      <c r="R231" s="7">
        <v>30317</v>
      </c>
      <c r="S231" s="8">
        <f t="shared" si="32"/>
        <v>1983</v>
      </c>
      <c r="T231" s="8">
        <v>1983</v>
      </c>
      <c r="U231" s="8">
        <f t="shared" si="33"/>
        <v>39</v>
      </c>
      <c r="V231" s="7" t="s">
        <v>509</v>
      </c>
      <c r="W231" t="s">
        <v>508</v>
      </c>
      <c r="X231" s="2">
        <v>0.371</v>
      </c>
      <c r="Y231" s="6">
        <f t="shared" si="30"/>
        <v>9.9036331117695747E-3</v>
      </c>
      <c r="AA231">
        <v>486604</v>
      </c>
      <c r="AB231">
        <v>28580</v>
      </c>
      <c r="AC231" t="s">
        <v>507</v>
      </c>
      <c r="AD231" t="s">
        <v>5</v>
      </c>
      <c r="AE231">
        <v>18</v>
      </c>
      <c r="AF231">
        <v>6</v>
      </c>
      <c r="AH231" t="s">
        <v>5155</v>
      </c>
      <c r="AI231" t="s">
        <v>5154</v>
      </c>
      <c r="AK231" t="s">
        <v>5153</v>
      </c>
      <c r="AL231">
        <v>20</v>
      </c>
      <c r="AM231" s="5">
        <f t="shared" si="34"/>
        <v>0.51282051282051277</v>
      </c>
      <c r="AN231" s="4">
        <f t="shared" si="31"/>
        <v>7.7670656996669868E-4</v>
      </c>
      <c r="AO231" s="3"/>
      <c r="AP231">
        <v>0</v>
      </c>
      <c r="AR231" t="s">
        <v>1</v>
      </c>
      <c r="AT231" s="2">
        <v>1.431</v>
      </c>
      <c r="AU231" s="1">
        <f t="shared" si="35"/>
        <v>0.71655551492287117</v>
      </c>
      <c r="AV231" s="1">
        <f t="shared" si="36"/>
        <v>0.53401698408681364</v>
      </c>
      <c r="AW231" s="1">
        <f t="shared" si="37"/>
        <v>0.35147845325075616</v>
      </c>
    </row>
    <row r="232" spans="1:49" x14ac:dyDescent="0.2">
      <c r="A232">
        <v>230</v>
      </c>
      <c r="B232" t="s">
        <v>5152</v>
      </c>
      <c r="C232" t="s">
        <v>5151</v>
      </c>
      <c r="F232" t="s">
        <v>5150</v>
      </c>
      <c r="G232" t="s">
        <v>15</v>
      </c>
      <c r="H232" t="s">
        <v>14</v>
      </c>
      <c r="I232" t="s">
        <v>5149</v>
      </c>
      <c r="J232">
        <v>60022148</v>
      </c>
      <c r="K232" t="s">
        <v>1011</v>
      </c>
      <c r="L232" t="s">
        <v>1010</v>
      </c>
      <c r="M232" t="s">
        <v>271</v>
      </c>
      <c r="N232">
        <v>2</v>
      </c>
      <c r="O232" t="s">
        <v>5148</v>
      </c>
      <c r="P232" t="s">
        <v>5147</v>
      </c>
      <c r="Q232" t="s">
        <v>1007</v>
      </c>
      <c r="R232" s="7">
        <v>30317</v>
      </c>
      <c r="S232" s="8">
        <f t="shared" si="32"/>
        <v>1983</v>
      </c>
      <c r="T232" s="8">
        <v>1983</v>
      </c>
      <c r="U232" s="8">
        <f t="shared" si="33"/>
        <v>39</v>
      </c>
      <c r="V232" s="7">
        <v>30621</v>
      </c>
      <c r="W232" t="s">
        <v>618</v>
      </c>
      <c r="X232" s="2">
        <v>1.6519999999999999</v>
      </c>
      <c r="Y232" s="6">
        <f t="shared" si="30"/>
        <v>4.409919649769093E-2</v>
      </c>
      <c r="AA232" t="s">
        <v>617</v>
      </c>
      <c r="AB232">
        <v>17337</v>
      </c>
      <c r="AC232">
        <v>15582221</v>
      </c>
      <c r="AD232" t="s">
        <v>5</v>
      </c>
      <c r="AE232">
        <v>31</v>
      </c>
      <c r="AF232">
        <v>6</v>
      </c>
      <c r="AH232" t="s">
        <v>5146</v>
      </c>
      <c r="AI232" t="s">
        <v>5145</v>
      </c>
      <c r="AK232" t="s">
        <v>5144</v>
      </c>
      <c r="AL232">
        <v>64</v>
      </c>
      <c r="AM232" s="5">
        <f t="shared" si="34"/>
        <v>1.641025641025641</v>
      </c>
      <c r="AN232" s="4">
        <f t="shared" si="31"/>
        <v>2.4854610238934358E-3</v>
      </c>
      <c r="AO232" s="3"/>
      <c r="AP232">
        <v>0</v>
      </c>
      <c r="AR232" t="s">
        <v>1</v>
      </c>
      <c r="AT232" s="2" t="s">
        <v>0</v>
      </c>
      <c r="AU232" s="1">
        <f t="shared" si="35"/>
        <v>3.1615075855551686</v>
      </c>
      <c r="AV232" s="1">
        <f t="shared" si="36"/>
        <v>2.3292328760792183</v>
      </c>
      <c r="AW232" s="1">
        <f t="shared" si="37"/>
        <v>1.4969581666032683</v>
      </c>
    </row>
    <row r="233" spans="1:49" x14ac:dyDescent="0.2">
      <c r="A233">
        <v>231</v>
      </c>
      <c r="B233" t="s">
        <v>5143</v>
      </c>
      <c r="C233" t="s">
        <v>5142</v>
      </c>
      <c r="F233" t="s">
        <v>5141</v>
      </c>
      <c r="G233" t="s">
        <v>15</v>
      </c>
      <c r="H233" t="s">
        <v>14</v>
      </c>
      <c r="I233" t="s">
        <v>5140</v>
      </c>
      <c r="N233">
        <v>2</v>
      </c>
      <c r="O233" t="s">
        <v>5139</v>
      </c>
      <c r="P233" t="s">
        <v>5138</v>
      </c>
      <c r="Q233" t="s">
        <v>342</v>
      </c>
      <c r="R233" s="7">
        <v>30317</v>
      </c>
      <c r="S233" s="8">
        <f t="shared" si="32"/>
        <v>1983</v>
      </c>
      <c r="T233" s="8">
        <v>1983</v>
      </c>
      <c r="U233" s="8">
        <f t="shared" si="33"/>
        <v>39</v>
      </c>
      <c r="V233" s="7" t="s">
        <v>509</v>
      </c>
      <c r="W233" t="s">
        <v>508</v>
      </c>
      <c r="X233" s="2">
        <v>0.371</v>
      </c>
      <c r="Y233" s="6">
        <f t="shared" si="30"/>
        <v>9.9036331117695747E-3</v>
      </c>
      <c r="AA233">
        <v>486604</v>
      </c>
      <c r="AB233">
        <v>28580</v>
      </c>
      <c r="AC233" t="s">
        <v>507</v>
      </c>
      <c r="AD233" t="s">
        <v>5</v>
      </c>
      <c r="AE233">
        <v>18</v>
      </c>
      <c r="AF233">
        <v>6</v>
      </c>
      <c r="AH233" t="s">
        <v>5137</v>
      </c>
      <c r="AI233" t="s">
        <v>5136</v>
      </c>
      <c r="AK233" t="s">
        <v>5135</v>
      </c>
      <c r="AL233">
        <v>12</v>
      </c>
      <c r="AM233" s="5">
        <f t="shared" si="34"/>
        <v>0.30769230769230771</v>
      </c>
      <c r="AN233" s="4">
        <f t="shared" si="31"/>
        <v>4.6602394198001925E-4</v>
      </c>
      <c r="AO233" s="3"/>
      <c r="AP233">
        <v>0</v>
      </c>
      <c r="AR233" t="s">
        <v>1</v>
      </c>
      <c r="AT233" s="2">
        <v>1.431</v>
      </c>
      <c r="AU233" s="1">
        <f t="shared" si="35"/>
        <v>0.70723503608327076</v>
      </c>
      <c r="AV233" s="1">
        <f t="shared" si="36"/>
        <v>0.51848285268747973</v>
      </c>
      <c r="AW233" s="1">
        <f t="shared" si="37"/>
        <v>0.32973066929168859</v>
      </c>
    </row>
    <row r="234" spans="1:49" x14ac:dyDescent="0.2">
      <c r="A234">
        <v>232</v>
      </c>
      <c r="B234" t="s">
        <v>5134</v>
      </c>
      <c r="C234" t="s">
        <v>5133</v>
      </c>
      <c r="F234" t="s">
        <v>5132</v>
      </c>
      <c r="G234" t="s">
        <v>15</v>
      </c>
      <c r="H234" t="s">
        <v>14</v>
      </c>
      <c r="I234" t="s">
        <v>5131</v>
      </c>
      <c r="J234" t="s">
        <v>5130</v>
      </c>
      <c r="K234" t="s">
        <v>5129</v>
      </c>
      <c r="L234" t="s">
        <v>5128</v>
      </c>
      <c r="M234" t="s">
        <v>5127</v>
      </c>
      <c r="N234">
        <v>2</v>
      </c>
      <c r="O234" t="s">
        <v>5126</v>
      </c>
      <c r="P234" t="s">
        <v>5125</v>
      </c>
      <c r="Q234" t="s">
        <v>5124</v>
      </c>
      <c r="R234" s="7">
        <v>30317</v>
      </c>
      <c r="S234" s="8">
        <f t="shared" si="32"/>
        <v>1983</v>
      </c>
      <c r="T234" s="8">
        <v>1983</v>
      </c>
      <c r="U234" s="8">
        <f t="shared" si="33"/>
        <v>39</v>
      </c>
      <c r="V234" s="7">
        <v>30621</v>
      </c>
      <c r="W234" t="s">
        <v>618</v>
      </c>
      <c r="X234" s="2">
        <v>1.6519999999999999</v>
      </c>
      <c r="Y234" s="6">
        <f t="shared" si="30"/>
        <v>4.409919649769093E-2</v>
      </c>
      <c r="AA234" t="s">
        <v>617</v>
      </c>
      <c r="AB234">
        <v>17337</v>
      </c>
      <c r="AC234">
        <v>15582221</v>
      </c>
      <c r="AD234" t="s">
        <v>5</v>
      </c>
      <c r="AE234">
        <v>31</v>
      </c>
      <c r="AF234">
        <v>6</v>
      </c>
      <c r="AH234" t="s">
        <v>5123</v>
      </c>
      <c r="AI234" t="s">
        <v>5122</v>
      </c>
      <c r="AK234" t="s">
        <v>5121</v>
      </c>
      <c r="AL234">
        <v>483</v>
      </c>
      <c r="AM234" s="5">
        <f t="shared" si="34"/>
        <v>12.384615384615385</v>
      </c>
      <c r="AN234" s="4">
        <f t="shared" si="31"/>
        <v>1.8757463664695773E-2</v>
      </c>
      <c r="AO234" s="3"/>
      <c r="AP234">
        <v>0</v>
      </c>
      <c r="AR234" t="s">
        <v>1</v>
      </c>
      <c r="AT234" s="2" t="s">
        <v>0</v>
      </c>
      <c r="AU234" s="1">
        <f t="shared" si="35"/>
        <v>3.6496676647792379</v>
      </c>
      <c r="AV234" s="1">
        <f t="shared" si="36"/>
        <v>3.142833008119335</v>
      </c>
      <c r="AW234" s="1">
        <f t="shared" si="37"/>
        <v>2.6359983514594321</v>
      </c>
    </row>
    <row r="235" spans="1:49" x14ac:dyDescent="0.2">
      <c r="A235">
        <v>233</v>
      </c>
      <c r="B235" t="s">
        <v>5120</v>
      </c>
      <c r="C235" t="s">
        <v>5119</v>
      </c>
      <c r="F235" t="s">
        <v>5118</v>
      </c>
      <c r="G235" t="s">
        <v>15</v>
      </c>
      <c r="H235" t="s">
        <v>14</v>
      </c>
      <c r="I235" t="s">
        <v>5117</v>
      </c>
      <c r="J235">
        <v>60000264</v>
      </c>
      <c r="K235" t="s">
        <v>232</v>
      </c>
      <c r="L235" t="s">
        <v>231</v>
      </c>
      <c r="M235" t="s">
        <v>55</v>
      </c>
      <c r="N235">
        <v>2</v>
      </c>
      <c r="O235" t="s">
        <v>5116</v>
      </c>
      <c r="P235" t="s">
        <v>5115</v>
      </c>
      <c r="Q235" t="s">
        <v>228</v>
      </c>
      <c r="R235" s="7">
        <v>30317</v>
      </c>
      <c r="S235" s="8">
        <f t="shared" si="32"/>
        <v>1983</v>
      </c>
      <c r="T235" s="8">
        <v>1983</v>
      </c>
      <c r="U235" s="8">
        <f t="shared" si="33"/>
        <v>39</v>
      </c>
      <c r="V235" s="7">
        <v>30621</v>
      </c>
      <c r="W235" t="s">
        <v>1531</v>
      </c>
      <c r="X235" s="2">
        <v>0.65500000000000003</v>
      </c>
      <c r="Y235" s="6">
        <f t="shared" si="30"/>
        <v>1.7484850911614749E-2</v>
      </c>
      <c r="AA235">
        <v>189375</v>
      </c>
      <c r="AB235">
        <v>26051</v>
      </c>
      <c r="AC235" t="s">
        <v>1530</v>
      </c>
      <c r="AD235" t="s">
        <v>5</v>
      </c>
      <c r="AE235" t="s">
        <v>1529</v>
      </c>
      <c r="AF235">
        <v>4</v>
      </c>
      <c r="AH235" t="s">
        <v>5114</v>
      </c>
      <c r="AI235" t="s">
        <v>5113</v>
      </c>
      <c r="AJ235" t="s">
        <v>5112</v>
      </c>
      <c r="AK235" t="s">
        <v>5111</v>
      </c>
      <c r="AL235">
        <v>3</v>
      </c>
      <c r="AM235" s="5">
        <f t="shared" si="34"/>
        <v>7.6923076923076927E-2</v>
      </c>
      <c r="AN235" s="4">
        <f t="shared" si="31"/>
        <v>1.1650598549500481E-4</v>
      </c>
      <c r="AO235" s="3"/>
      <c r="AP235">
        <v>0</v>
      </c>
      <c r="AR235" t="s">
        <v>1</v>
      </c>
      <c r="AT235" s="2" t="s">
        <v>0</v>
      </c>
      <c r="AU235" s="1">
        <f t="shared" si="35"/>
        <v>1.2274347433778825</v>
      </c>
      <c r="AV235" s="1">
        <f t="shared" si="36"/>
        <v>0.88006784485548761</v>
      </c>
      <c r="AW235" s="1">
        <f t="shared" si="37"/>
        <v>0.53270094633309284</v>
      </c>
    </row>
    <row r="236" spans="1:49" x14ac:dyDescent="0.2">
      <c r="A236">
        <v>234</v>
      </c>
      <c r="B236" t="s">
        <v>5110</v>
      </c>
      <c r="C236" t="s">
        <v>5109</v>
      </c>
      <c r="F236" t="s">
        <v>5108</v>
      </c>
      <c r="G236" t="s">
        <v>15</v>
      </c>
      <c r="H236" t="s">
        <v>14</v>
      </c>
      <c r="I236" t="s">
        <v>5107</v>
      </c>
      <c r="J236">
        <v>60013141</v>
      </c>
      <c r="K236" t="s">
        <v>750</v>
      </c>
      <c r="L236" t="s">
        <v>749</v>
      </c>
      <c r="M236" t="s">
        <v>748</v>
      </c>
      <c r="N236">
        <v>2</v>
      </c>
      <c r="O236" t="s">
        <v>5106</v>
      </c>
      <c r="P236" t="s">
        <v>5105</v>
      </c>
      <c r="Q236" t="s">
        <v>3614</v>
      </c>
      <c r="R236" s="7">
        <v>30317</v>
      </c>
      <c r="S236" s="8">
        <f t="shared" si="32"/>
        <v>1983</v>
      </c>
      <c r="T236" s="8">
        <v>1983</v>
      </c>
      <c r="U236" s="8">
        <f t="shared" si="33"/>
        <v>39</v>
      </c>
      <c r="V236" s="7">
        <v>30621</v>
      </c>
      <c r="W236" t="s">
        <v>618</v>
      </c>
      <c r="X236" s="2">
        <v>1.6519999999999999</v>
      </c>
      <c r="Y236" s="6">
        <f t="shared" si="30"/>
        <v>4.409919649769093E-2</v>
      </c>
      <c r="AA236" t="s">
        <v>617</v>
      </c>
      <c r="AB236">
        <v>17337</v>
      </c>
      <c r="AC236">
        <v>15582221</v>
      </c>
      <c r="AD236" t="s">
        <v>5</v>
      </c>
      <c r="AE236">
        <v>31</v>
      </c>
      <c r="AF236">
        <v>6</v>
      </c>
      <c r="AH236" t="s">
        <v>5104</v>
      </c>
      <c r="AI236" t="s">
        <v>5103</v>
      </c>
      <c r="AK236" t="s">
        <v>5102</v>
      </c>
      <c r="AL236">
        <v>68</v>
      </c>
      <c r="AM236" s="5">
        <f t="shared" si="34"/>
        <v>1.7435897435897436</v>
      </c>
      <c r="AN236" s="4">
        <f t="shared" si="31"/>
        <v>2.6408023378867757E-3</v>
      </c>
      <c r="AO236" s="3"/>
      <c r="AP236">
        <v>0</v>
      </c>
      <c r="AR236" t="s">
        <v>1</v>
      </c>
      <c r="AT236" s="2" t="s">
        <v>0</v>
      </c>
      <c r="AU236" s="1">
        <f t="shared" si="35"/>
        <v>3.1661678249749685</v>
      </c>
      <c r="AV236" s="1">
        <f t="shared" si="36"/>
        <v>2.3369999417788856</v>
      </c>
      <c r="AW236" s="1">
        <f t="shared" si="37"/>
        <v>1.507832058582802</v>
      </c>
    </row>
    <row r="237" spans="1:49" x14ac:dyDescent="0.2">
      <c r="A237">
        <v>235</v>
      </c>
      <c r="B237" t="s">
        <v>5101</v>
      </c>
      <c r="C237" t="s">
        <v>5100</v>
      </c>
      <c r="F237" t="s">
        <v>5099</v>
      </c>
      <c r="G237" t="s">
        <v>15</v>
      </c>
      <c r="H237" t="s">
        <v>14</v>
      </c>
      <c r="I237" t="s">
        <v>5098</v>
      </c>
      <c r="J237">
        <v>60024590</v>
      </c>
      <c r="K237" t="s">
        <v>3180</v>
      </c>
      <c r="L237" t="s">
        <v>3179</v>
      </c>
      <c r="M237" t="s">
        <v>10</v>
      </c>
      <c r="N237">
        <v>2</v>
      </c>
      <c r="O237" t="s">
        <v>5097</v>
      </c>
      <c r="P237" t="s">
        <v>5096</v>
      </c>
      <c r="Q237" t="s">
        <v>5095</v>
      </c>
      <c r="R237" s="7">
        <v>30317</v>
      </c>
      <c r="S237" s="8">
        <f t="shared" si="32"/>
        <v>1983</v>
      </c>
      <c r="T237" s="8">
        <v>1983</v>
      </c>
      <c r="U237" s="8">
        <f t="shared" si="33"/>
        <v>39</v>
      </c>
      <c r="V237" s="7">
        <v>30621</v>
      </c>
      <c r="W237" t="s">
        <v>1632</v>
      </c>
      <c r="X237" s="2">
        <v>1.365</v>
      </c>
      <c r="Y237" s="6">
        <f t="shared" si="30"/>
        <v>3.6437895411227675E-2</v>
      </c>
      <c r="AA237">
        <v>189545</v>
      </c>
      <c r="AB237">
        <v>17393</v>
      </c>
      <c r="AC237">
        <v>19399359</v>
      </c>
      <c r="AD237" t="s">
        <v>5</v>
      </c>
      <c r="AE237">
        <v>32</v>
      </c>
      <c r="AF237">
        <v>4</v>
      </c>
      <c r="AH237" t="s">
        <v>5094</v>
      </c>
      <c r="AI237" t="s">
        <v>5093</v>
      </c>
      <c r="AK237" t="s">
        <v>5092</v>
      </c>
      <c r="AL237">
        <v>0</v>
      </c>
      <c r="AM237" s="5">
        <f t="shared" si="34"/>
        <v>0</v>
      </c>
      <c r="AN237" s="4">
        <f t="shared" si="31"/>
        <v>0</v>
      </c>
      <c r="AO237" s="3"/>
      <c r="AP237">
        <v>0</v>
      </c>
      <c r="AR237" t="s">
        <v>1</v>
      </c>
      <c r="AT237" s="2" t="s">
        <v>0</v>
      </c>
      <c r="AU237" s="1">
        <f t="shared" si="35"/>
        <v>2.5506526787859372</v>
      </c>
      <c r="AV237" s="1">
        <f t="shared" si="36"/>
        <v>1.8218947705613837</v>
      </c>
      <c r="AW237" s="1">
        <f t="shared" si="37"/>
        <v>1.0931368623368303</v>
      </c>
    </row>
    <row r="238" spans="1:49" x14ac:dyDescent="0.2">
      <c r="A238">
        <v>236</v>
      </c>
      <c r="B238" t="s">
        <v>5091</v>
      </c>
      <c r="C238" t="s">
        <v>5090</v>
      </c>
      <c r="D238">
        <v>16003283900479</v>
      </c>
      <c r="F238" t="s">
        <v>5089</v>
      </c>
      <c r="G238" t="s">
        <v>15</v>
      </c>
      <c r="H238" t="s">
        <v>14</v>
      </c>
      <c r="I238" t="s">
        <v>5088</v>
      </c>
      <c r="J238" t="s">
        <v>5082</v>
      </c>
      <c r="K238" t="s">
        <v>5087</v>
      </c>
      <c r="L238" t="s">
        <v>5086</v>
      </c>
      <c r="M238" t="s">
        <v>5085</v>
      </c>
      <c r="N238">
        <v>2</v>
      </c>
      <c r="O238" t="s">
        <v>5084</v>
      </c>
      <c r="P238" t="s">
        <v>5083</v>
      </c>
      <c r="Q238" t="s">
        <v>5082</v>
      </c>
      <c r="R238" s="7">
        <v>30317</v>
      </c>
      <c r="S238" s="8">
        <f t="shared" si="32"/>
        <v>1983</v>
      </c>
      <c r="T238" s="8">
        <v>1983</v>
      </c>
      <c r="U238" s="8">
        <f t="shared" si="33"/>
        <v>39</v>
      </c>
      <c r="V238" s="7">
        <v>30621</v>
      </c>
      <c r="W238" t="s">
        <v>3032</v>
      </c>
      <c r="X238" s="2">
        <v>1.0049999999999999</v>
      </c>
      <c r="Y238" s="6">
        <f t="shared" si="30"/>
        <v>2.6827901017057738E-2</v>
      </c>
      <c r="AA238">
        <v>160032</v>
      </c>
      <c r="AB238">
        <v>27959</v>
      </c>
      <c r="AD238" t="s">
        <v>5</v>
      </c>
      <c r="AE238">
        <v>316</v>
      </c>
      <c r="AF238">
        <v>5</v>
      </c>
      <c r="AH238" t="s">
        <v>5081</v>
      </c>
      <c r="AI238" t="s">
        <v>5080</v>
      </c>
      <c r="AK238" t="s">
        <v>5079</v>
      </c>
      <c r="AL238">
        <v>0</v>
      </c>
      <c r="AM238" s="5">
        <f t="shared" si="34"/>
        <v>0</v>
      </c>
      <c r="AN238" s="4">
        <f t="shared" si="31"/>
        <v>0</v>
      </c>
      <c r="AO238" s="3"/>
      <c r="AP238">
        <v>0</v>
      </c>
      <c r="AR238" t="s">
        <v>1</v>
      </c>
      <c r="AT238" s="2" t="s">
        <v>0</v>
      </c>
      <c r="AU238" s="1">
        <f t="shared" si="35"/>
        <v>1.8779530711940415</v>
      </c>
      <c r="AV238" s="1">
        <f t="shared" si="36"/>
        <v>1.3413950508528869</v>
      </c>
      <c r="AW238" s="1">
        <f t="shared" si="37"/>
        <v>0.80483703051173217</v>
      </c>
    </row>
    <row r="239" spans="1:49" x14ac:dyDescent="0.2">
      <c r="A239">
        <v>237</v>
      </c>
      <c r="B239" t="s">
        <v>5078</v>
      </c>
      <c r="C239" t="s">
        <v>5077</v>
      </c>
      <c r="F239" t="s">
        <v>5076</v>
      </c>
      <c r="G239" t="s">
        <v>15</v>
      </c>
      <c r="H239" t="s">
        <v>14</v>
      </c>
      <c r="I239" t="s">
        <v>5075</v>
      </c>
      <c r="J239">
        <v>60017293</v>
      </c>
      <c r="K239" t="s">
        <v>5074</v>
      </c>
      <c r="L239" t="s">
        <v>5073</v>
      </c>
      <c r="M239" t="s">
        <v>4275</v>
      </c>
      <c r="N239">
        <v>4</v>
      </c>
      <c r="O239" t="s">
        <v>5072</v>
      </c>
      <c r="P239" t="s">
        <v>5071</v>
      </c>
      <c r="Q239" t="s">
        <v>5070</v>
      </c>
      <c r="R239" s="7">
        <v>30317</v>
      </c>
      <c r="S239" s="8">
        <f t="shared" si="32"/>
        <v>1983</v>
      </c>
      <c r="T239" s="8">
        <v>1983</v>
      </c>
      <c r="U239" s="8">
        <f t="shared" si="33"/>
        <v>39</v>
      </c>
      <c r="V239" s="7">
        <v>30621</v>
      </c>
      <c r="W239" t="s">
        <v>618</v>
      </c>
      <c r="X239" s="2">
        <v>1.6519999999999999</v>
      </c>
      <c r="Y239" s="6">
        <f t="shared" si="30"/>
        <v>4.409919649769093E-2</v>
      </c>
      <c r="AA239" t="s">
        <v>617</v>
      </c>
      <c r="AB239">
        <v>17337</v>
      </c>
      <c r="AC239">
        <v>15582221</v>
      </c>
      <c r="AD239" t="s">
        <v>5</v>
      </c>
      <c r="AE239">
        <v>31</v>
      </c>
      <c r="AF239">
        <v>6</v>
      </c>
      <c r="AH239" t="s">
        <v>5069</v>
      </c>
      <c r="AI239" t="s">
        <v>5068</v>
      </c>
      <c r="AK239" t="s">
        <v>5067</v>
      </c>
      <c r="AL239">
        <v>0</v>
      </c>
      <c r="AM239" s="5">
        <f t="shared" si="34"/>
        <v>0</v>
      </c>
      <c r="AN239" s="4">
        <f t="shared" si="31"/>
        <v>0</v>
      </c>
      <c r="AO239" s="3"/>
      <c r="AP239">
        <v>0</v>
      </c>
      <c r="AR239" t="s">
        <v>1</v>
      </c>
      <c r="AT239" s="2" t="s">
        <v>0</v>
      </c>
      <c r="AU239" s="1">
        <f t="shared" si="35"/>
        <v>3.0869437548383649</v>
      </c>
      <c r="AV239" s="1">
        <f t="shared" si="36"/>
        <v>2.2049598248845466</v>
      </c>
      <c r="AW239" s="1">
        <f t="shared" si="37"/>
        <v>1.3229758949307278</v>
      </c>
    </row>
    <row r="240" spans="1:49" x14ac:dyDescent="0.2">
      <c r="A240">
        <v>238</v>
      </c>
      <c r="B240" t="s">
        <v>5066</v>
      </c>
      <c r="C240" t="s">
        <v>5065</v>
      </c>
      <c r="F240" t="s">
        <v>5064</v>
      </c>
      <c r="G240" t="s">
        <v>15</v>
      </c>
      <c r="H240" t="s">
        <v>14</v>
      </c>
      <c r="I240" t="s">
        <v>5063</v>
      </c>
      <c r="J240" t="s">
        <v>5062</v>
      </c>
      <c r="K240" t="s">
        <v>5061</v>
      </c>
      <c r="L240" t="s">
        <v>5060</v>
      </c>
      <c r="M240" t="s">
        <v>3243</v>
      </c>
      <c r="N240">
        <v>4</v>
      </c>
      <c r="O240" t="s">
        <v>5059</v>
      </c>
      <c r="P240" t="s">
        <v>5058</v>
      </c>
      <c r="Q240" t="s">
        <v>5057</v>
      </c>
      <c r="R240" s="7">
        <v>30317</v>
      </c>
      <c r="S240" s="8">
        <f t="shared" si="32"/>
        <v>1983</v>
      </c>
      <c r="T240" s="8">
        <v>1983</v>
      </c>
      <c r="U240" s="8">
        <f t="shared" si="33"/>
        <v>39</v>
      </c>
      <c r="V240" s="7">
        <v>1983</v>
      </c>
      <c r="W240" t="s">
        <v>227</v>
      </c>
      <c r="X240" s="2">
        <v>0.111</v>
      </c>
      <c r="Y240" s="6">
        <f t="shared" si="30"/>
        <v>2.9630816048690639E-3</v>
      </c>
      <c r="AA240">
        <v>87566621</v>
      </c>
      <c r="AB240">
        <v>24890</v>
      </c>
      <c r="AC240">
        <v>15206424</v>
      </c>
      <c r="AD240" t="s">
        <v>5</v>
      </c>
      <c r="AE240">
        <v>66</v>
      </c>
      <c r="AF240">
        <v>11</v>
      </c>
      <c r="AH240" t="s">
        <v>5056</v>
      </c>
      <c r="AI240" t="s">
        <v>5055</v>
      </c>
      <c r="AK240" t="s">
        <v>5054</v>
      </c>
      <c r="AL240">
        <v>0</v>
      </c>
      <c r="AM240" s="5">
        <f t="shared" si="34"/>
        <v>0</v>
      </c>
      <c r="AN240" s="4">
        <f t="shared" si="31"/>
        <v>0</v>
      </c>
      <c r="AO240" s="3"/>
      <c r="AP240">
        <v>0</v>
      </c>
      <c r="AR240" t="s">
        <v>1</v>
      </c>
      <c r="AT240" s="2" t="s">
        <v>0</v>
      </c>
      <c r="AU240" s="1">
        <f t="shared" si="35"/>
        <v>0.20741571234083445</v>
      </c>
      <c r="AV240" s="1">
        <f t="shared" si="36"/>
        <v>0.1481540802434532</v>
      </c>
      <c r="AW240" s="1">
        <f t="shared" si="37"/>
        <v>8.8892448146071903E-2</v>
      </c>
    </row>
    <row r="241" spans="1:49" x14ac:dyDescent="0.2">
      <c r="A241">
        <v>239</v>
      </c>
      <c r="B241" t="s">
        <v>5053</v>
      </c>
      <c r="C241" t="s">
        <v>5052</v>
      </c>
      <c r="F241" t="s">
        <v>5051</v>
      </c>
      <c r="G241" t="s">
        <v>15</v>
      </c>
      <c r="H241" t="s">
        <v>14</v>
      </c>
      <c r="I241" t="s">
        <v>5050</v>
      </c>
      <c r="J241" t="s">
        <v>5045</v>
      </c>
      <c r="K241" t="s">
        <v>5049</v>
      </c>
      <c r="L241" t="s">
        <v>5048</v>
      </c>
      <c r="M241" t="s">
        <v>4251</v>
      </c>
      <c r="N241">
        <v>3</v>
      </c>
      <c r="O241" t="s">
        <v>5047</v>
      </c>
      <c r="P241" t="s">
        <v>5046</v>
      </c>
      <c r="Q241" t="s">
        <v>5045</v>
      </c>
      <c r="R241" s="7">
        <v>30317</v>
      </c>
      <c r="S241" s="8">
        <f t="shared" si="32"/>
        <v>1983</v>
      </c>
      <c r="T241" s="8">
        <v>1983</v>
      </c>
      <c r="U241" s="8">
        <f t="shared" si="33"/>
        <v>39</v>
      </c>
      <c r="V241" s="7">
        <v>30560</v>
      </c>
      <c r="W241" t="s">
        <v>669</v>
      </c>
      <c r="X241" s="2">
        <v>1.137</v>
      </c>
      <c r="Y241" s="6">
        <f t="shared" si="30"/>
        <v>3.0351565628253384E-2</v>
      </c>
      <c r="AA241">
        <v>189251</v>
      </c>
      <c r="AB241">
        <v>17336</v>
      </c>
      <c r="AD241" t="s">
        <v>5</v>
      </c>
      <c r="AE241" t="s">
        <v>668</v>
      </c>
      <c r="AF241">
        <v>6</v>
      </c>
      <c r="AH241" t="s">
        <v>5044</v>
      </c>
      <c r="AI241" t="s">
        <v>5043</v>
      </c>
      <c r="AK241" t="s">
        <v>5042</v>
      </c>
      <c r="AL241">
        <v>14</v>
      </c>
      <c r="AM241" s="5">
        <f t="shared" si="34"/>
        <v>0.35897435897435898</v>
      </c>
      <c r="AN241" s="4">
        <f t="shared" si="31"/>
        <v>5.4369459897668905E-4</v>
      </c>
      <c r="AO241" s="3"/>
      <c r="AP241">
        <v>0</v>
      </c>
      <c r="AR241" t="s">
        <v>1</v>
      </c>
      <c r="AT241" s="2" t="s">
        <v>0</v>
      </c>
      <c r="AU241" s="1">
        <f t="shared" si="35"/>
        <v>2.1409204319470376</v>
      </c>
      <c r="AV241" s="1">
        <f t="shared" si="36"/>
        <v>1.5447630113615036</v>
      </c>
      <c r="AW241" s="1">
        <f t="shared" si="37"/>
        <v>0.94860559077596973</v>
      </c>
    </row>
    <row r="242" spans="1:49" x14ac:dyDescent="0.2">
      <c r="A242">
        <v>240</v>
      </c>
      <c r="B242" t="s">
        <v>5041</v>
      </c>
      <c r="C242" t="s">
        <v>5040</v>
      </c>
      <c r="F242" t="s">
        <v>5039</v>
      </c>
      <c r="G242" t="s">
        <v>15</v>
      </c>
      <c r="H242" t="s">
        <v>14</v>
      </c>
      <c r="I242" t="s">
        <v>5038</v>
      </c>
      <c r="J242" t="s">
        <v>5037</v>
      </c>
      <c r="K242" t="s">
        <v>5036</v>
      </c>
      <c r="L242" t="s">
        <v>5035</v>
      </c>
      <c r="M242" t="s">
        <v>91</v>
      </c>
      <c r="N242">
        <v>2</v>
      </c>
      <c r="O242" t="s">
        <v>5034</v>
      </c>
      <c r="P242" t="s">
        <v>5033</v>
      </c>
      <c r="Q242" t="s">
        <v>5032</v>
      </c>
      <c r="R242" s="7">
        <v>30317</v>
      </c>
      <c r="S242" s="8">
        <f t="shared" si="32"/>
        <v>1983</v>
      </c>
      <c r="T242" s="8">
        <v>1983</v>
      </c>
      <c r="U242" s="8">
        <f t="shared" si="33"/>
        <v>39</v>
      </c>
      <c r="V242" s="7">
        <v>30621</v>
      </c>
      <c r="W242" t="s">
        <v>618</v>
      </c>
      <c r="X242" s="2">
        <v>1.6519999999999999</v>
      </c>
      <c r="Y242" s="6">
        <f t="shared" si="30"/>
        <v>4.409919649769093E-2</v>
      </c>
      <c r="AA242" t="s">
        <v>617</v>
      </c>
      <c r="AB242">
        <v>17337</v>
      </c>
      <c r="AC242">
        <v>15582221</v>
      </c>
      <c r="AD242" t="s">
        <v>5</v>
      </c>
      <c r="AE242">
        <v>31</v>
      </c>
      <c r="AF242">
        <v>6</v>
      </c>
      <c r="AH242" t="s">
        <v>5031</v>
      </c>
      <c r="AI242" t="s">
        <v>5030</v>
      </c>
      <c r="AK242" t="s">
        <v>5029</v>
      </c>
      <c r="AL242">
        <v>68</v>
      </c>
      <c r="AM242" s="5">
        <f t="shared" si="34"/>
        <v>1.7435897435897436</v>
      </c>
      <c r="AN242" s="4">
        <f t="shared" si="31"/>
        <v>2.6408023378867757E-3</v>
      </c>
      <c r="AO242" s="3"/>
      <c r="AP242">
        <v>0</v>
      </c>
      <c r="AR242" t="s">
        <v>1</v>
      </c>
      <c r="AT242" s="2" t="s">
        <v>0</v>
      </c>
      <c r="AU242" s="1">
        <f t="shared" si="35"/>
        <v>3.1661678249749685</v>
      </c>
      <c r="AV242" s="1">
        <f t="shared" si="36"/>
        <v>2.3369999417788856</v>
      </c>
      <c r="AW242" s="1">
        <f t="shared" si="37"/>
        <v>1.507832058582802</v>
      </c>
    </row>
    <row r="243" spans="1:49" x14ac:dyDescent="0.2">
      <c r="A243">
        <v>241</v>
      </c>
      <c r="B243" t="s">
        <v>5028</v>
      </c>
      <c r="C243" t="s">
        <v>5027</v>
      </c>
      <c r="F243" t="s">
        <v>5026</v>
      </c>
      <c r="G243" t="s">
        <v>15</v>
      </c>
      <c r="H243" t="s">
        <v>14</v>
      </c>
      <c r="I243" t="s">
        <v>5025</v>
      </c>
      <c r="N243">
        <v>2</v>
      </c>
      <c r="O243" t="s">
        <v>5024</v>
      </c>
      <c r="P243" t="s">
        <v>5023</v>
      </c>
      <c r="Q243" t="s">
        <v>342</v>
      </c>
      <c r="R243" s="7">
        <v>30317</v>
      </c>
      <c r="S243" s="8">
        <f t="shared" si="32"/>
        <v>1983</v>
      </c>
      <c r="T243" s="8">
        <v>1983</v>
      </c>
      <c r="U243" s="8">
        <f t="shared" si="33"/>
        <v>39</v>
      </c>
      <c r="V243" s="7">
        <v>30621</v>
      </c>
      <c r="W243" t="s">
        <v>618</v>
      </c>
      <c r="X243" s="2">
        <v>1.6519999999999999</v>
      </c>
      <c r="Y243" s="6">
        <f t="shared" si="30"/>
        <v>4.409919649769093E-2</v>
      </c>
      <c r="AA243" t="s">
        <v>617</v>
      </c>
      <c r="AB243">
        <v>17337</v>
      </c>
      <c r="AC243">
        <v>15582221</v>
      </c>
      <c r="AD243" t="s">
        <v>5</v>
      </c>
      <c r="AE243">
        <v>31</v>
      </c>
      <c r="AF243">
        <v>6</v>
      </c>
      <c r="AH243" t="s">
        <v>5022</v>
      </c>
      <c r="AI243" t="s">
        <v>5021</v>
      </c>
      <c r="AK243" t="s">
        <v>5020</v>
      </c>
      <c r="AL243">
        <v>18</v>
      </c>
      <c r="AM243" s="5">
        <f t="shared" si="34"/>
        <v>0.46153846153846156</v>
      </c>
      <c r="AN243" s="4">
        <f t="shared" si="31"/>
        <v>6.9903591297002887E-4</v>
      </c>
      <c r="AO243" s="3"/>
      <c r="AP243">
        <v>0</v>
      </c>
      <c r="AR243" t="s">
        <v>1</v>
      </c>
      <c r="AT243" s="2" t="s">
        <v>0</v>
      </c>
      <c r="AU243" s="1">
        <f t="shared" si="35"/>
        <v>3.1079148322274661</v>
      </c>
      <c r="AV243" s="1">
        <f t="shared" si="36"/>
        <v>2.2399116205330478</v>
      </c>
      <c r="AW243" s="1">
        <f t="shared" si="37"/>
        <v>1.3719084088386297</v>
      </c>
    </row>
    <row r="244" spans="1:49" x14ac:dyDescent="0.2">
      <c r="A244">
        <v>242</v>
      </c>
      <c r="B244" t="s">
        <v>5019</v>
      </c>
      <c r="C244" t="s">
        <v>5018</v>
      </c>
      <c r="F244" t="s">
        <v>5017</v>
      </c>
      <c r="G244" t="s">
        <v>15</v>
      </c>
      <c r="H244" t="s">
        <v>14</v>
      </c>
      <c r="I244" t="s">
        <v>3214</v>
      </c>
      <c r="J244">
        <v>60009982</v>
      </c>
      <c r="K244" t="s">
        <v>447</v>
      </c>
      <c r="L244" t="s">
        <v>446</v>
      </c>
      <c r="M244" t="s">
        <v>10</v>
      </c>
      <c r="N244">
        <v>1</v>
      </c>
      <c r="O244" t="s">
        <v>1775</v>
      </c>
      <c r="P244">
        <v>35586046100</v>
      </c>
      <c r="Q244">
        <v>60009982</v>
      </c>
      <c r="R244" s="7">
        <v>30317</v>
      </c>
      <c r="S244" s="8">
        <f t="shared" si="32"/>
        <v>1983</v>
      </c>
      <c r="T244" s="8">
        <v>1983</v>
      </c>
      <c r="U244" s="8">
        <f t="shared" si="33"/>
        <v>39</v>
      </c>
      <c r="V244" s="7">
        <v>30621</v>
      </c>
      <c r="W244" t="s">
        <v>618</v>
      </c>
      <c r="X244" s="2">
        <v>1.6519999999999999</v>
      </c>
      <c r="Y244" s="6">
        <f t="shared" si="30"/>
        <v>4.409919649769093E-2</v>
      </c>
      <c r="AA244" t="s">
        <v>617</v>
      </c>
      <c r="AB244">
        <v>17337</v>
      </c>
      <c r="AC244">
        <v>15582221</v>
      </c>
      <c r="AD244" t="s">
        <v>5</v>
      </c>
      <c r="AE244">
        <v>31</v>
      </c>
      <c r="AF244">
        <v>6</v>
      </c>
      <c r="AH244" t="s">
        <v>5016</v>
      </c>
      <c r="AI244" t="s">
        <v>5015</v>
      </c>
      <c r="AK244" t="s">
        <v>5014</v>
      </c>
      <c r="AL244">
        <v>10</v>
      </c>
      <c r="AM244" s="5">
        <f t="shared" si="34"/>
        <v>0.25641025641025639</v>
      </c>
      <c r="AN244" s="4">
        <f t="shared" si="31"/>
        <v>3.8835328498334934E-4</v>
      </c>
      <c r="AO244" s="3"/>
      <c r="AP244">
        <v>0</v>
      </c>
      <c r="AR244" t="s">
        <v>1</v>
      </c>
      <c r="AT244" s="2" t="s">
        <v>0</v>
      </c>
      <c r="AU244" s="1">
        <f t="shared" si="35"/>
        <v>3.0985943533878655</v>
      </c>
      <c r="AV244" s="1">
        <f t="shared" si="36"/>
        <v>2.224377489133714</v>
      </c>
      <c r="AW244" s="1">
        <f t="shared" si="37"/>
        <v>1.3501606248795621</v>
      </c>
    </row>
    <row r="245" spans="1:49" x14ac:dyDescent="0.2">
      <c r="A245">
        <v>243</v>
      </c>
      <c r="B245" t="s">
        <v>5013</v>
      </c>
      <c r="C245" t="s">
        <v>5012</v>
      </c>
      <c r="F245" t="s">
        <v>5011</v>
      </c>
      <c r="G245" t="s">
        <v>15</v>
      </c>
      <c r="H245" t="s">
        <v>14</v>
      </c>
      <c r="I245" t="s">
        <v>3140</v>
      </c>
      <c r="J245">
        <v>60102562</v>
      </c>
      <c r="K245" t="s">
        <v>3139</v>
      </c>
      <c r="L245" t="s">
        <v>3138</v>
      </c>
      <c r="M245" t="s">
        <v>10</v>
      </c>
      <c r="N245">
        <v>2</v>
      </c>
      <c r="O245" t="s">
        <v>5010</v>
      </c>
      <c r="P245" t="s">
        <v>5009</v>
      </c>
      <c r="Q245" t="s">
        <v>5008</v>
      </c>
      <c r="R245" s="7">
        <v>30317</v>
      </c>
      <c r="S245" s="8">
        <f t="shared" si="32"/>
        <v>1983</v>
      </c>
      <c r="T245" s="8">
        <v>1983</v>
      </c>
      <c r="U245" s="8">
        <f t="shared" si="33"/>
        <v>39</v>
      </c>
      <c r="V245" s="7">
        <v>30621</v>
      </c>
      <c r="W245" t="s">
        <v>618</v>
      </c>
      <c r="X245" s="2">
        <v>1.6519999999999999</v>
      </c>
      <c r="Y245" s="6">
        <f t="shared" si="30"/>
        <v>4.409919649769093E-2</v>
      </c>
      <c r="AA245" t="s">
        <v>617</v>
      </c>
      <c r="AB245">
        <v>17337</v>
      </c>
      <c r="AC245">
        <v>15582221</v>
      </c>
      <c r="AD245" t="s">
        <v>5</v>
      </c>
      <c r="AE245">
        <v>31</v>
      </c>
      <c r="AF245">
        <v>6</v>
      </c>
      <c r="AH245" t="s">
        <v>5007</v>
      </c>
      <c r="AI245" t="s">
        <v>5006</v>
      </c>
      <c r="AK245" t="s">
        <v>5005</v>
      </c>
      <c r="AL245">
        <v>16</v>
      </c>
      <c r="AM245" s="5">
        <f t="shared" si="34"/>
        <v>0.41025641025641024</v>
      </c>
      <c r="AN245" s="4">
        <f t="shared" si="31"/>
        <v>6.2136525597335896E-4</v>
      </c>
      <c r="AO245" s="3"/>
      <c r="AP245">
        <v>0</v>
      </c>
      <c r="AR245" t="s">
        <v>1</v>
      </c>
      <c r="AT245" s="2" t="s">
        <v>0</v>
      </c>
      <c r="AU245" s="1">
        <f t="shared" si="35"/>
        <v>3.1055847125175657</v>
      </c>
      <c r="AV245" s="1">
        <f t="shared" si="36"/>
        <v>2.2360280876832146</v>
      </c>
      <c r="AW245" s="1">
        <f t="shared" si="37"/>
        <v>1.3664714628488628</v>
      </c>
    </row>
    <row r="246" spans="1:49" x14ac:dyDescent="0.2">
      <c r="A246">
        <v>244</v>
      </c>
      <c r="B246" t="s">
        <v>5004</v>
      </c>
      <c r="C246" t="s">
        <v>5003</v>
      </c>
      <c r="F246" t="s">
        <v>5002</v>
      </c>
      <c r="G246" t="s">
        <v>15</v>
      </c>
      <c r="H246" t="s">
        <v>14</v>
      </c>
      <c r="I246" t="s">
        <v>5001</v>
      </c>
      <c r="J246">
        <v>60030821</v>
      </c>
      <c r="K246" t="s">
        <v>2390</v>
      </c>
      <c r="L246" t="s">
        <v>2389</v>
      </c>
      <c r="M246" t="s">
        <v>10</v>
      </c>
      <c r="N246">
        <v>2</v>
      </c>
      <c r="O246" t="s">
        <v>5000</v>
      </c>
      <c r="P246" t="s">
        <v>4999</v>
      </c>
      <c r="Q246" t="s">
        <v>2386</v>
      </c>
      <c r="R246" s="7">
        <v>30317</v>
      </c>
      <c r="S246" s="8">
        <f t="shared" si="32"/>
        <v>1983</v>
      </c>
      <c r="T246" s="8">
        <v>1983</v>
      </c>
      <c r="U246" s="8">
        <f t="shared" si="33"/>
        <v>39</v>
      </c>
      <c r="V246" s="7">
        <v>30621</v>
      </c>
      <c r="W246" t="s">
        <v>618</v>
      </c>
      <c r="X246" s="2">
        <v>1.6519999999999999</v>
      </c>
      <c r="Y246" s="6">
        <f t="shared" si="30"/>
        <v>4.409919649769093E-2</v>
      </c>
      <c r="AA246" t="s">
        <v>617</v>
      </c>
      <c r="AB246">
        <v>17337</v>
      </c>
      <c r="AC246">
        <v>15582221</v>
      </c>
      <c r="AD246" t="s">
        <v>5</v>
      </c>
      <c r="AE246">
        <v>31</v>
      </c>
      <c r="AF246">
        <v>6</v>
      </c>
      <c r="AH246" t="s">
        <v>4998</v>
      </c>
      <c r="AI246" t="s">
        <v>4997</v>
      </c>
      <c r="AK246" t="s">
        <v>4996</v>
      </c>
      <c r="AL246">
        <v>10</v>
      </c>
      <c r="AM246" s="5">
        <f t="shared" si="34"/>
        <v>0.25641025641025639</v>
      </c>
      <c r="AN246" s="4">
        <f t="shared" si="31"/>
        <v>3.8835328498334934E-4</v>
      </c>
      <c r="AO246" s="3"/>
      <c r="AP246">
        <v>0</v>
      </c>
      <c r="AR246" t="s">
        <v>1</v>
      </c>
      <c r="AT246" s="2" t="s">
        <v>0</v>
      </c>
      <c r="AU246" s="1">
        <f t="shared" si="35"/>
        <v>3.0985943533878655</v>
      </c>
      <c r="AV246" s="1">
        <f t="shared" si="36"/>
        <v>2.224377489133714</v>
      </c>
      <c r="AW246" s="1">
        <f t="shared" si="37"/>
        <v>1.3501606248795621</v>
      </c>
    </row>
    <row r="247" spans="1:49" x14ac:dyDescent="0.2">
      <c r="A247">
        <v>245</v>
      </c>
      <c r="B247" t="s">
        <v>4995</v>
      </c>
      <c r="C247" t="s">
        <v>4994</v>
      </c>
      <c r="F247" t="s">
        <v>4993</v>
      </c>
      <c r="G247" t="s">
        <v>15</v>
      </c>
      <c r="H247" t="s">
        <v>14</v>
      </c>
      <c r="I247" t="s">
        <v>4992</v>
      </c>
      <c r="J247">
        <v>60032315</v>
      </c>
      <c r="K247" t="s">
        <v>4991</v>
      </c>
      <c r="L247" t="s">
        <v>4990</v>
      </c>
      <c r="M247" t="s">
        <v>55</v>
      </c>
      <c r="N247">
        <v>1</v>
      </c>
      <c r="O247" t="s">
        <v>4989</v>
      </c>
      <c r="P247">
        <v>7201588670</v>
      </c>
      <c r="Q247">
        <v>60032315</v>
      </c>
      <c r="R247" s="7">
        <v>30317</v>
      </c>
      <c r="S247" s="8">
        <f t="shared" si="32"/>
        <v>1983</v>
      </c>
      <c r="T247" s="8">
        <v>1983</v>
      </c>
      <c r="U247" s="8">
        <f t="shared" si="33"/>
        <v>39</v>
      </c>
      <c r="V247" s="7">
        <v>1983</v>
      </c>
      <c r="W247" t="s">
        <v>227</v>
      </c>
      <c r="X247" s="2">
        <v>0.111</v>
      </c>
      <c r="Y247" s="6">
        <f t="shared" si="30"/>
        <v>2.9630816048690639E-3</v>
      </c>
      <c r="AA247">
        <v>87566621</v>
      </c>
      <c r="AB247">
        <v>24890</v>
      </c>
      <c r="AC247">
        <v>15206424</v>
      </c>
      <c r="AD247" t="s">
        <v>5</v>
      </c>
      <c r="AE247">
        <v>66</v>
      </c>
      <c r="AF247">
        <v>11</v>
      </c>
      <c r="AH247" t="s">
        <v>4988</v>
      </c>
      <c r="AI247" t="s">
        <v>4987</v>
      </c>
      <c r="AK247" t="s">
        <v>4986</v>
      </c>
      <c r="AL247">
        <v>4</v>
      </c>
      <c r="AM247" s="5">
        <f t="shared" si="34"/>
        <v>0.10256410256410256</v>
      </c>
      <c r="AN247" s="4">
        <f t="shared" si="31"/>
        <v>1.5534131399333974E-4</v>
      </c>
      <c r="AO247" s="3"/>
      <c r="AP247">
        <v>0</v>
      </c>
      <c r="AR247" t="s">
        <v>1</v>
      </c>
      <c r="AT247" s="2" t="s">
        <v>0</v>
      </c>
      <c r="AU247" s="1">
        <f t="shared" si="35"/>
        <v>0.21207595176063465</v>
      </c>
      <c r="AV247" s="1">
        <f t="shared" si="36"/>
        <v>0.15592114594312018</v>
      </c>
      <c r="AW247" s="1">
        <f t="shared" si="37"/>
        <v>9.9766340125605674E-2</v>
      </c>
    </row>
    <row r="248" spans="1:49" x14ac:dyDescent="0.2">
      <c r="A248">
        <v>246</v>
      </c>
      <c r="B248" t="s">
        <v>4985</v>
      </c>
      <c r="C248" t="s">
        <v>4984</v>
      </c>
      <c r="F248" t="s">
        <v>4983</v>
      </c>
      <c r="G248" t="s">
        <v>15</v>
      </c>
      <c r="H248" t="s">
        <v>14</v>
      </c>
      <c r="I248" t="s">
        <v>4982</v>
      </c>
      <c r="J248" t="s">
        <v>4981</v>
      </c>
      <c r="K248" t="s">
        <v>4980</v>
      </c>
      <c r="L248" t="s">
        <v>4979</v>
      </c>
      <c r="M248" t="s">
        <v>4978</v>
      </c>
      <c r="N248">
        <v>2</v>
      </c>
      <c r="O248" t="s">
        <v>4977</v>
      </c>
      <c r="P248" t="s">
        <v>4976</v>
      </c>
      <c r="Q248" t="s">
        <v>4975</v>
      </c>
      <c r="R248" s="7">
        <v>30317</v>
      </c>
      <c r="S248" s="8">
        <f t="shared" si="32"/>
        <v>1983</v>
      </c>
      <c r="T248" s="8">
        <v>1983</v>
      </c>
      <c r="U248" s="8">
        <f t="shared" si="33"/>
        <v>39</v>
      </c>
      <c r="V248" s="7">
        <v>30621</v>
      </c>
      <c r="W248" t="s">
        <v>1566</v>
      </c>
      <c r="X248" s="2">
        <v>0.251</v>
      </c>
      <c r="Y248" s="6">
        <f t="shared" si="30"/>
        <v>6.7003016470462617E-3</v>
      </c>
      <c r="AA248">
        <v>207217</v>
      </c>
      <c r="AB248">
        <v>26145</v>
      </c>
      <c r="AC248">
        <v>13623060</v>
      </c>
      <c r="AD248" t="s">
        <v>5</v>
      </c>
      <c r="AE248">
        <v>55</v>
      </c>
      <c r="AF248">
        <v>5</v>
      </c>
      <c r="AH248" t="s">
        <v>4974</v>
      </c>
      <c r="AI248" t="s">
        <v>4973</v>
      </c>
      <c r="AK248" t="s">
        <v>4972</v>
      </c>
      <c r="AL248">
        <v>10</v>
      </c>
      <c r="AM248" s="5">
        <f t="shared" si="34"/>
        <v>0.25641025641025639</v>
      </c>
      <c r="AN248" s="4">
        <f t="shared" si="31"/>
        <v>3.8835328498334934E-4</v>
      </c>
      <c r="AO248" s="3"/>
      <c r="AP248">
        <v>0</v>
      </c>
      <c r="AQ248" t="s">
        <v>4971</v>
      </c>
      <c r="AR248" t="s">
        <v>1</v>
      </c>
      <c r="AS248" t="s">
        <v>4970</v>
      </c>
      <c r="AT248" s="2">
        <v>1.3360000000000001</v>
      </c>
      <c r="AU248" s="1">
        <f t="shared" si="35"/>
        <v>0.48067171384273871</v>
      </c>
      <c r="AV248" s="1">
        <f t="shared" si="36"/>
        <v>0.35443274660148055</v>
      </c>
      <c r="AW248" s="1">
        <f t="shared" si="37"/>
        <v>0.22819377936022228</v>
      </c>
    </row>
    <row r="249" spans="1:49" x14ac:dyDescent="0.2">
      <c r="A249">
        <v>247</v>
      </c>
      <c r="B249" t="s">
        <v>4969</v>
      </c>
      <c r="C249" t="s">
        <v>4968</v>
      </c>
      <c r="F249" t="s">
        <v>4967</v>
      </c>
      <c r="G249" t="s">
        <v>15</v>
      </c>
      <c r="H249" t="s">
        <v>14</v>
      </c>
      <c r="I249" t="s">
        <v>3265</v>
      </c>
      <c r="N249">
        <v>3</v>
      </c>
      <c r="O249" t="s">
        <v>4966</v>
      </c>
      <c r="P249" t="s">
        <v>4965</v>
      </c>
      <c r="Q249" t="s">
        <v>510</v>
      </c>
      <c r="R249" s="7">
        <v>30317</v>
      </c>
      <c r="S249" s="8">
        <f t="shared" si="32"/>
        <v>1983</v>
      </c>
      <c r="T249" s="8">
        <v>1983</v>
      </c>
      <c r="U249" s="8">
        <f t="shared" si="33"/>
        <v>39</v>
      </c>
      <c r="V249" s="7">
        <v>30621</v>
      </c>
      <c r="W249" t="s">
        <v>1099</v>
      </c>
      <c r="X249" s="2">
        <v>0.32300000000000001</v>
      </c>
      <c r="Y249" s="6">
        <f t="shared" si="30"/>
        <v>8.6223005258802502E-3</v>
      </c>
      <c r="AA249">
        <v>58580</v>
      </c>
      <c r="AB249">
        <v>36492</v>
      </c>
      <c r="AC249">
        <v>15387305</v>
      </c>
      <c r="AD249" t="s">
        <v>5</v>
      </c>
      <c r="AE249">
        <v>62</v>
      </c>
      <c r="AF249">
        <v>9</v>
      </c>
      <c r="AH249" t="s">
        <v>4964</v>
      </c>
      <c r="AI249" t="s">
        <v>4963</v>
      </c>
      <c r="AK249" t="s">
        <v>4962</v>
      </c>
      <c r="AL249">
        <v>46</v>
      </c>
      <c r="AM249" s="5">
        <f t="shared" si="34"/>
        <v>1.1794871794871795</v>
      </c>
      <c r="AN249" s="4">
        <f t="shared" si="31"/>
        <v>1.7864251109234071E-3</v>
      </c>
      <c r="AO249" s="3"/>
      <c r="AP249">
        <v>0</v>
      </c>
      <c r="AR249" t="s">
        <v>1</v>
      </c>
      <c r="AT249" s="2" t="s">
        <v>0</v>
      </c>
      <c r="AU249" s="1">
        <f t="shared" si="35"/>
        <v>0.65715379013931963</v>
      </c>
      <c r="AV249" s="1">
        <f t="shared" si="36"/>
        <v>0.52043628184018287</v>
      </c>
      <c r="AW249" s="1">
        <f t="shared" si="37"/>
        <v>0.38371877354104594</v>
      </c>
    </row>
    <row r="250" spans="1:49" x14ac:dyDescent="0.2">
      <c r="A250">
        <v>248</v>
      </c>
      <c r="B250" t="s">
        <v>4961</v>
      </c>
      <c r="C250" t="s">
        <v>4960</v>
      </c>
      <c r="F250" t="s">
        <v>4959</v>
      </c>
      <c r="G250" t="s">
        <v>15</v>
      </c>
      <c r="H250" t="s">
        <v>14</v>
      </c>
      <c r="I250" t="s">
        <v>2367</v>
      </c>
      <c r="J250">
        <v>60009037</v>
      </c>
      <c r="K250" t="s">
        <v>720</v>
      </c>
      <c r="L250" t="s">
        <v>719</v>
      </c>
      <c r="M250" t="s">
        <v>10</v>
      </c>
      <c r="N250">
        <v>1</v>
      </c>
      <c r="O250" t="s">
        <v>4958</v>
      </c>
      <c r="P250">
        <v>57193752819</v>
      </c>
      <c r="Q250">
        <v>60009037</v>
      </c>
      <c r="R250" s="7">
        <v>30317</v>
      </c>
      <c r="S250" s="8">
        <f t="shared" si="32"/>
        <v>1983</v>
      </c>
      <c r="T250" s="8">
        <v>1983</v>
      </c>
      <c r="U250" s="8">
        <f t="shared" si="33"/>
        <v>39</v>
      </c>
      <c r="V250" s="7">
        <v>30621</v>
      </c>
      <c r="W250" t="s">
        <v>618</v>
      </c>
      <c r="X250" s="2">
        <v>1.6519999999999999</v>
      </c>
      <c r="Y250" s="6">
        <f t="shared" si="30"/>
        <v>4.409919649769093E-2</v>
      </c>
      <c r="AA250" t="s">
        <v>617</v>
      </c>
      <c r="AB250">
        <v>17337</v>
      </c>
      <c r="AC250">
        <v>15582221</v>
      </c>
      <c r="AD250" t="s">
        <v>5</v>
      </c>
      <c r="AE250">
        <v>31</v>
      </c>
      <c r="AF250">
        <v>6</v>
      </c>
      <c r="AH250" t="s">
        <v>4957</v>
      </c>
      <c r="AI250" t="s">
        <v>4956</v>
      </c>
      <c r="AK250" t="s">
        <v>4955</v>
      </c>
      <c r="AL250">
        <v>13</v>
      </c>
      <c r="AM250" s="5">
        <f t="shared" si="34"/>
        <v>0.33333333333333331</v>
      </c>
      <c r="AN250" s="4">
        <f t="shared" si="31"/>
        <v>5.048592704783541E-4</v>
      </c>
      <c r="AO250" s="3"/>
      <c r="AP250">
        <v>0</v>
      </c>
      <c r="AR250" t="s">
        <v>1</v>
      </c>
      <c r="AT250" s="2" t="s">
        <v>0</v>
      </c>
      <c r="AU250" s="1">
        <f t="shared" si="35"/>
        <v>3.1020895329527156</v>
      </c>
      <c r="AV250" s="1">
        <f t="shared" si="36"/>
        <v>2.2302027884084641</v>
      </c>
      <c r="AW250" s="1">
        <f t="shared" si="37"/>
        <v>1.3583160438642126</v>
      </c>
    </row>
    <row r="251" spans="1:49" x14ac:dyDescent="0.2">
      <c r="A251">
        <v>249</v>
      </c>
      <c r="B251" t="s">
        <v>4954</v>
      </c>
      <c r="C251" t="s">
        <v>4953</v>
      </c>
      <c r="F251" t="s">
        <v>4952</v>
      </c>
      <c r="G251" t="s">
        <v>15</v>
      </c>
      <c r="H251" t="s">
        <v>14</v>
      </c>
      <c r="I251" t="s">
        <v>4951</v>
      </c>
      <c r="N251">
        <v>1</v>
      </c>
      <c r="O251" t="s">
        <v>4950</v>
      </c>
      <c r="P251">
        <v>7402245663</v>
      </c>
      <c r="R251" s="7">
        <v>30317</v>
      </c>
      <c r="S251" s="8">
        <f t="shared" si="32"/>
        <v>1983</v>
      </c>
      <c r="T251" s="8">
        <v>1983</v>
      </c>
      <c r="U251" s="8">
        <f t="shared" si="33"/>
        <v>39</v>
      </c>
      <c r="V251" s="7">
        <v>30560</v>
      </c>
      <c r="W251" t="s">
        <v>669</v>
      </c>
      <c r="X251" s="2">
        <v>1.137</v>
      </c>
      <c r="Y251" s="6">
        <f t="shared" si="30"/>
        <v>3.0351565628253384E-2</v>
      </c>
      <c r="AA251">
        <v>189251</v>
      </c>
      <c r="AB251">
        <v>17336</v>
      </c>
      <c r="AD251" t="s">
        <v>5</v>
      </c>
      <c r="AE251" t="s">
        <v>668</v>
      </c>
      <c r="AF251">
        <v>6</v>
      </c>
      <c r="AH251" t="s">
        <v>4949</v>
      </c>
      <c r="AI251" t="s">
        <v>4948</v>
      </c>
      <c r="AK251" t="s">
        <v>4947</v>
      </c>
      <c r="AL251">
        <v>30</v>
      </c>
      <c r="AM251" s="5">
        <f t="shared" si="34"/>
        <v>0.76923076923076927</v>
      </c>
      <c r="AN251" s="4">
        <f t="shared" si="31"/>
        <v>1.1650598549500482E-3</v>
      </c>
      <c r="AO251" s="3"/>
      <c r="AP251">
        <v>0</v>
      </c>
      <c r="AR251" t="s">
        <v>1</v>
      </c>
      <c r="AT251" s="2" t="s">
        <v>0</v>
      </c>
      <c r="AU251" s="1">
        <f t="shared" si="35"/>
        <v>2.159561389626238</v>
      </c>
      <c r="AV251" s="1">
        <f t="shared" si="36"/>
        <v>1.5758312741601717</v>
      </c>
      <c r="AW251" s="1">
        <f t="shared" si="37"/>
        <v>0.99210115869410498</v>
      </c>
    </row>
    <row r="252" spans="1:49" x14ac:dyDescent="0.2">
      <c r="A252">
        <v>250</v>
      </c>
      <c r="B252" t="s">
        <v>4946</v>
      </c>
      <c r="C252" t="s">
        <v>4945</v>
      </c>
      <c r="F252" t="s">
        <v>4944</v>
      </c>
      <c r="G252" t="s">
        <v>15</v>
      </c>
      <c r="H252" t="s">
        <v>14</v>
      </c>
      <c r="I252" t="s">
        <v>751</v>
      </c>
      <c r="J252">
        <v>60013141</v>
      </c>
      <c r="K252" t="s">
        <v>750</v>
      </c>
      <c r="L252" t="s">
        <v>749</v>
      </c>
      <c r="M252" t="s">
        <v>748</v>
      </c>
      <c r="N252">
        <v>1</v>
      </c>
      <c r="O252" t="s">
        <v>747</v>
      </c>
      <c r="P252">
        <v>7101988263</v>
      </c>
      <c r="Q252">
        <v>60013141</v>
      </c>
      <c r="R252" s="7">
        <v>30317</v>
      </c>
      <c r="S252" s="8">
        <f t="shared" si="32"/>
        <v>1983</v>
      </c>
      <c r="T252" s="8">
        <v>1983</v>
      </c>
      <c r="U252" s="8">
        <f t="shared" si="33"/>
        <v>39</v>
      </c>
      <c r="V252" s="7">
        <v>30621</v>
      </c>
      <c r="W252" t="s">
        <v>618</v>
      </c>
      <c r="X252" s="2">
        <v>1.6519999999999999</v>
      </c>
      <c r="Y252" s="6">
        <f t="shared" si="30"/>
        <v>4.409919649769093E-2</v>
      </c>
      <c r="AA252" t="s">
        <v>617</v>
      </c>
      <c r="AB252">
        <v>17337</v>
      </c>
      <c r="AC252">
        <v>15582221</v>
      </c>
      <c r="AD252" t="s">
        <v>5</v>
      </c>
      <c r="AE252">
        <v>31</v>
      </c>
      <c r="AF252">
        <v>6</v>
      </c>
      <c r="AH252" t="s">
        <v>4943</v>
      </c>
      <c r="AI252" t="s">
        <v>4942</v>
      </c>
      <c r="AK252" t="s">
        <v>4941</v>
      </c>
      <c r="AL252">
        <v>32</v>
      </c>
      <c r="AM252" s="5">
        <f t="shared" si="34"/>
        <v>0.82051282051282048</v>
      </c>
      <c r="AN252" s="4">
        <f t="shared" si="31"/>
        <v>1.2427305119467179E-3</v>
      </c>
      <c r="AO252" s="3"/>
      <c r="AP252">
        <v>0</v>
      </c>
      <c r="AR252" t="s">
        <v>1</v>
      </c>
      <c r="AT252" s="2" t="s">
        <v>0</v>
      </c>
      <c r="AU252" s="1">
        <f t="shared" si="35"/>
        <v>3.1242256701967666</v>
      </c>
      <c r="AV252" s="1">
        <f t="shared" si="36"/>
        <v>2.2670963504818826</v>
      </c>
      <c r="AW252" s="1">
        <f t="shared" si="37"/>
        <v>1.4099670307669983</v>
      </c>
    </row>
    <row r="253" spans="1:49" x14ac:dyDescent="0.2">
      <c r="A253">
        <v>251</v>
      </c>
      <c r="B253" t="s">
        <v>4940</v>
      </c>
      <c r="C253" t="s">
        <v>4939</v>
      </c>
      <c r="F253" t="s">
        <v>4938</v>
      </c>
      <c r="G253" t="s">
        <v>15</v>
      </c>
      <c r="H253" t="s">
        <v>14</v>
      </c>
      <c r="I253" t="s">
        <v>4937</v>
      </c>
      <c r="N253">
        <v>3</v>
      </c>
      <c r="O253" t="s">
        <v>4936</v>
      </c>
      <c r="P253" t="s">
        <v>4935</v>
      </c>
      <c r="Q253" t="s">
        <v>510</v>
      </c>
      <c r="R253" s="7">
        <v>30317</v>
      </c>
      <c r="S253" s="8">
        <f t="shared" si="32"/>
        <v>1983</v>
      </c>
      <c r="T253" s="8">
        <v>1983</v>
      </c>
      <c r="U253" s="8">
        <f t="shared" si="33"/>
        <v>39</v>
      </c>
      <c r="V253" s="7" t="s">
        <v>509</v>
      </c>
      <c r="W253" t="s">
        <v>508</v>
      </c>
      <c r="X253" s="2">
        <v>0.371</v>
      </c>
      <c r="Y253" s="6">
        <f t="shared" si="30"/>
        <v>9.9036331117695747E-3</v>
      </c>
      <c r="AA253">
        <v>486604</v>
      </c>
      <c r="AB253">
        <v>28580</v>
      </c>
      <c r="AC253" t="s">
        <v>507</v>
      </c>
      <c r="AD253" t="s">
        <v>5</v>
      </c>
      <c r="AE253">
        <v>18</v>
      </c>
      <c r="AF253">
        <v>6</v>
      </c>
      <c r="AH253" t="s">
        <v>4934</v>
      </c>
      <c r="AI253" t="s">
        <v>4933</v>
      </c>
      <c r="AK253" t="s">
        <v>4932</v>
      </c>
      <c r="AL253">
        <v>3</v>
      </c>
      <c r="AM253" s="5">
        <f t="shared" si="34"/>
        <v>7.6923076923076927E-2</v>
      </c>
      <c r="AN253" s="4">
        <f t="shared" si="31"/>
        <v>1.1650598549500481E-4</v>
      </c>
      <c r="AO253" s="3"/>
      <c r="AP253">
        <v>0</v>
      </c>
      <c r="AR253" t="s">
        <v>1</v>
      </c>
      <c r="AT253" s="2">
        <v>1.431</v>
      </c>
      <c r="AU253" s="1">
        <f t="shared" si="35"/>
        <v>0.69674949738872027</v>
      </c>
      <c r="AV253" s="1">
        <f t="shared" si="36"/>
        <v>0.50100695486322899</v>
      </c>
      <c r="AW253" s="1">
        <f t="shared" si="37"/>
        <v>0.3052644123377376</v>
      </c>
    </row>
    <row r="254" spans="1:49" x14ac:dyDescent="0.2">
      <c r="A254">
        <v>252</v>
      </c>
      <c r="B254" t="s">
        <v>4931</v>
      </c>
      <c r="C254" t="s">
        <v>4930</v>
      </c>
      <c r="F254" t="s">
        <v>4929</v>
      </c>
      <c r="G254" t="s">
        <v>15</v>
      </c>
      <c r="H254" t="s">
        <v>14</v>
      </c>
      <c r="I254" t="s">
        <v>4928</v>
      </c>
      <c r="J254">
        <v>60020943</v>
      </c>
      <c r="K254" t="s">
        <v>4927</v>
      </c>
      <c r="L254" t="s">
        <v>2717</v>
      </c>
      <c r="M254" t="s">
        <v>2716</v>
      </c>
      <c r="N254">
        <v>1</v>
      </c>
      <c r="O254" t="s">
        <v>4926</v>
      </c>
      <c r="P254">
        <v>16680338800</v>
      </c>
      <c r="Q254">
        <v>60020943</v>
      </c>
      <c r="R254" s="7">
        <v>30317</v>
      </c>
      <c r="S254" s="8">
        <f t="shared" si="32"/>
        <v>1983</v>
      </c>
      <c r="T254" s="8">
        <v>1983</v>
      </c>
      <c r="U254" s="8">
        <f t="shared" si="33"/>
        <v>39</v>
      </c>
      <c r="V254" s="7">
        <v>30621</v>
      </c>
      <c r="W254" t="s">
        <v>644</v>
      </c>
      <c r="X254" s="2">
        <v>1.774</v>
      </c>
      <c r="Y254" s="6">
        <f t="shared" si="30"/>
        <v>4.7355916820159633E-2</v>
      </c>
      <c r="AA254">
        <v>295515</v>
      </c>
      <c r="AB254">
        <v>29066</v>
      </c>
      <c r="AC254">
        <v>17414326</v>
      </c>
      <c r="AD254" t="s">
        <v>5</v>
      </c>
      <c r="AE254">
        <v>23</v>
      </c>
      <c r="AF254">
        <v>11</v>
      </c>
      <c r="AH254" t="s">
        <v>4925</v>
      </c>
      <c r="AI254" t="s">
        <v>4924</v>
      </c>
      <c r="AK254" t="s">
        <v>4923</v>
      </c>
      <c r="AL254">
        <v>27</v>
      </c>
      <c r="AM254" s="5">
        <f t="shared" si="34"/>
        <v>0.69230769230769229</v>
      </c>
      <c r="AN254" s="4">
        <f t="shared" si="31"/>
        <v>1.0485538694550431E-3</v>
      </c>
      <c r="AO254" s="3"/>
      <c r="AP254">
        <v>0</v>
      </c>
      <c r="AR254" t="s">
        <v>1</v>
      </c>
      <c r="AT254" s="2">
        <v>3.1789999999999998</v>
      </c>
      <c r="AU254" s="1">
        <f t="shared" si="35"/>
        <v>3.3463707934948252</v>
      </c>
      <c r="AV254" s="1">
        <f t="shared" si="36"/>
        <v>2.4202235344807339</v>
      </c>
      <c r="AW254" s="1">
        <f t="shared" si="37"/>
        <v>1.4940762754666419</v>
      </c>
    </row>
    <row r="255" spans="1:49" x14ac:dyDescent="0.2">
      <c r="A255">
        <v>253</v>
      </c>
      <c r="B255" t="s">
        <v>4922</v>
      </c>
      <c r="C255" t="s">
        <v>4921</v>
      </c>
      <c r="F255" t="s">
        <v>4920</v>
      </c>
      <c r="G255" t="s">
        <v>15</v>
      </c>
      <c r="H255" t="s">
        <v>14</v>
      </c>
      <c r="I255" t="s">
        <v>4919</v>
      </c>
      <c r="J255">
        <v>60027271</v>
      </c>
      <c r="K255" t="s">
        <v>979</v>
      </c>
      <c r="L255" t="s">
        <v>978</v>
      </c>
      <c r="M255" t="s">
        <v>10</v>
      </c>
      <c r="N255">
        <v>2</v>
      </c>
      <c r="O255" t="s">
        <v>4918</v>
      </c>
      <c r="P255" t="s">
        <v>4917</v>
      </c>
      <c r="Q255" t="s">
        <v>4916</v>
      </c>
      <c r="R255" s="7">
        <v>30317</v>
      </c>
      <c r="S255" s="8">
        <f t="shared" si="32"/>
        <v>1983</v>
      </c>
      <c r="T255" s="8">
        <v>1983</v>
      </c>
      <c r="U255" s="8">
        <f t="shared" si="33"/>
        <v>39</v>
      </c>
      <c r="V255" s="7">
        <v>30621</v>
      </c>
      <c r="W255" t="s">
        <v>618</v>
      </c>
      <c r="X255" s="2">
        <v>1.6519999999999999</v>
      </c>
      <c r="Y255" s="6">
        <f t="shared" si="30"/>
        <v>4.409919649769093E-2</v>
      </c>
      <c r="AA255" t="s">
        <v>617</v>
      </c>
      <c r="AB255">
        <v>17337</v>
      </c>
      <c r="AC255">
        <v>15582221</v>
      </c>
      <c r="AD255" t="s">
        <v>5</v>
      </c>
      <c r="AE255">
        <v>31</v>
      </c>
      <c r="AF255">
        <v>6</v>
      </c>
      <c r="AH255" t="s">
        <v>4915</v>
      </c>
      <c r="AI255" t="s">
        <v>4914</v>
      </c>
      <c r="AK255" t="s">
        <v>4913</v>
      </c>
      <c r="AL255">
        <v>33</v>
      </c>
      <c r="AM255" s="5">
        <f t="shared" si="34"/>
        <v>0.84615384615384615</v>
      </c>
      <c r="AN255" s="4">
        <f t="shared" si="31"/>
        <v>1.2815658404450529E-3</v>
      </c>
      <c r="AO255" s="3"/>
      <c r="AP255">
        <v>0</v>
      </c>
      <c r="AR255" t="s">
        <v>1</v>
      </c>
      <c r="AT255" s="2" t="s">
        <v>0</v>
      </c>
      <c r="AU255" s="1">
        <f t="shared" si="35"/>
        <v>3.1253907300517163</v>
      </c>
      <c r="AV255" s="1">
        <f t="shared" si="36"/>
        <v>2.269038116906799</v>
      </c>
      <c r="AW255" s="1">
        <f t="shared" si="37"/>
        <v>1.4126855037618815</v>
      </c>
    </row>
    <row r="256" spans="1:49" x14ac:dyDescent="0.2">
      <c r="A256">
        <v>254</v>
      </c>
      <c r="B256" t="s">
        <v>4912</v>
      </c>
      <c r="F256" t="s">
        <v>4911</v>
      </c>
      <c r="G256" t="s">
        <v>15</v>
      </c>
      <c r="H256" t="s">
        <v>14</v>
      </c>
      <c r="I256" t="s">
        <v>4910</v>
      </c>
      <c r="N256">
        <v>1</v>
      </c>
      <c r="O256" t="s">
        <v>4909</v>
      </c>
      <c r="P256">
        <v>7004178597</v>
      </c>
      <c r="R256" s="7">
        <v>30317</v>
      </c>
      <c r="S256" s="8">
        <f t="shared" si="32"/>
        <v>1983</v>
      </c>
      <c r="T256" s="8">
        <v>1983</v>
      </c>
      <c r="U256" s="8">
        <f t="shared" si="33"/>
        <v>39</v>
      </c>
      <c r="V256" s="7" t="s">
        <v>4687</v>
      </c>
      <c r="W256" t="s">
        <v>4908</v>
      </c>
      <c r="X256" s="2" t="s">
        <v>0</v>
      </c>
      <c r="Y256" s="6" t="e">
        <f t="shared" si="30"/>
        <v>#VALUE!</v>
      </c>
      <c r="AA256">
        <v>3854507</v>
      </c>
      <c r="AB256">
        <v>37257</v>
      </c>
      <c r="AD256" t="s">
        <v>5</v>
      </c>
      <c r="AE256">
        <v>20</v>
      </c>
      <c r="AF256">
        <v>202</v>
      </c>
      <c r="AH256" t="s">
        <v>4907</v>
      </c>
      <c r="AI256" t="s">
        <v>4906</v>
      </c>
      <c r="AK256" t="s">
        <v>4905</v>
      </c>
      <c r="AL256">
        <v>0</v>
      </c>
      <c r="AM256" s="5">
        <f t="shared" si="34"/>
        <v>0</v>
      </c>
      <c r="AN256" s="4">
        <f t="shared" si="31"/>
        <v>0</v>
      </c>
      <c r="AO256" s="3"/>
      <c r="AP256">
        <v>0</v>
      </c>
      <c r="AR256" t="s">
        <v>1</v>
      </c>
      <c r="AT256" s="2" t="s">
        <v>0</v>
      </c>
      <c r="AU256" s="1" t="e">
        <f t="shared" si="35"/>
        <v>#VALUE!</v>
      </c>
      <c r="AV256" s="1" t="e">
        <f t="shared" si="36"/>
        <v>#VALUE!</v>
      </c>
      <c r="AW256" s="1" t="e">
        <f t="shared" si="37"/>
        <v>#VALUE!</v>
      </c>
    </row>
    <row r="257" spans="1:49" x14ac:dyDescent="0.2">
      <c r="A257">
        <v>255</v>
      </c>
      <c r="B257" t="s">
        <v>4904</v>
      </c>
      <c r="C257" t="s">
        <v>4903</v>
      </c>
      <c r="F257" t="s">
        <v>4902</v>
      </c>
      <c r="G257" t="s">
        <v>15</v>
      </c>
      <c r="H257" t="s">
        <v>14</v>
      </c>
      <c r="I257" t="s">
        <v>4901</v>
      </c>
      <c r="N257">
        <v>1</v>
      </c>
      <c r="O257" t="s">
        <v>4900</v>
      </c>
      <c r="P257">
        <v>6603962056</v>
      </c>
      <c r="R257" s="7">
        <v>30317</v>
      </c>
      <c r="S257" s="8">
        <f t="shared" si="32"/>
        <v>1983</v>
      </c>
      <c r="T257" s="8">
        <v>1983</v>
      </c>
      <c r="U257" s="8">
        <f t="shared" si="33"/>
        <v>39</v>
      </c>
      <c r="V257" s="7">
        <v>37165</v>
      </c>
      <c r="W257" t="s">
        <v>1319</v>
      </c>
      <c r="X257" s="2">
        <v>1.67</v>
      </c>
      <c r="Y257" s="6">
        <f t="shared" si="30"/>
        <v>4.4579696217399427E-2</v>
      </c>
      <c r="AA257">
        <v>1480227</v>
      </c>
      <c r="AB257">
        <v>28428</v>
      </c>
      <c r="AD257" t="s">
        <v>5</v>
      </c>
      <c r="AE257">
        <v>88</v>
      </c>
      <c r="AF257" t="s">
        <v>4899</v>
      </c>
      <c r="AH257" t="s">
        <v>4898</v>
      </c>
      <c r="AI257" t="s">
        <v>4897</v>
      </c>
      <c r="AK257" t="s">
        <v>4896</v>
      </c>
      <c r="AL257">
        <v>11</v>
      </c>
      <c r="AM257" s="5">
        <f t="shared" si="34"/>
        <v>0.28205128205128205</v>
      </c>
      <c r="AN257" s="4">
        <f t="shared" si="31"/>
        <v>4.2718861348168429E-4</v>
      </c>
      <c r="AO257" s="3"/>
      <c r="AP257">
        <v>0</v>
      </c>
      <c r="AR257" t="s">
        <v>1</v>
      </c>
      <c r="AT257" s="2" t="s">
        <v>0</v>
      </c>
      <c r="AU257" s="1">
        <f t="shared" si="35"/>
        <v>3.1333943936224102</v>
      </c>
      <c r="AV257" s="1">
        <f t="shared" si="36"/>
        <v>2.2503442415440555</v>
      </c>
      <c r="AW257" s="1">
        <f t="shared" si="37"/>
        <v>1.3672940894657009</v>
      </c>
    </row>
    <row r="258" spans="1:49" x14ac:dyDescent="0.2">
      <c r="A258">
        <v>256</v>
      </c>
      <c r="B258" t="s">
        <v>4895</v>
      </c>
      <c r="F258" t="s">
        <v>4894</v>
      </c>
      <c r="G258" t="s">
        <v>15</v>
      </c>
      <c r="H258" t="s">
        <v>14</v>
      </c>
      <c r="I258" t="s">
        <v>4893</v>
      </c>
      <c r="N258">
        <v>2</v>
      </c>
      <c r="O258" t="s">
        <v>4892</v>
      </c>
      <c r="P258" t="s">
        <v>4891</v>
      </c>
      <c r="Q258" t="s">
        <v>342</v>
      </c>
      <c r="R258" s="7">
        <v>30317</v>
      </c>
      <c r="S258" s="8">
        <f t="shared" si="32"/>
        <v>1983</v>
      </c>
      <c r="T258" s="8">
        <v>1983</v>
      </c>
      <c r="U258" s="8">
        <f t="shared" si="33"/>
        <v>39</v>
      </c>
      <c r="V258" s="7" t="s">
        <v>4687</v>
      </c>
      <c r="W258" t="s">
        <v>536</v>
      </c>
      <c r="X258" s="2">
        <v>0.14099999999999999</v>
      </c>
      <c r="Y258" s="6">
        <f t="shared" ref="Y258:Y321" si="38">(X258-$Z$4)/($Z$3-$Z$4)</f>
        <v>3.7639144710498915E-3</v>
      </c>
      <c r="AA258">
        <v>402508</v>
      </c>
      <c r="AB258">
        <v>20868</v>
      </c>
      <c r="AD258" t="s">
        <v>5</v>
      </c>
      <c r="AE258" t="s">
        <v>535</v>
      </c>
      <c r="AF258">
        <v>10</v>
      </c>
      <c r="AH258" t="s">
        <v>3355</v>
      </c>
      <c r="AI258" t="s">
        <v>4890</v>
      </c>
      <c r="AK258" t="s">
        <v>4889</v>
      </c>
      <c r="AL258">
        <v>0</v>
      </c>
      <c r="AM258" s="5">
        <f t="shared" si="34"/>
        <v>0</v>
      </c>
      <c r="AN258" s="4">
        <f t="shared" ref="AN258:AN321" si="39">(AM258-$AO$4)/($AO$3-$AO$4)</f>
        <v>0</v>
      </c>
      <c r="AO258" s="3"/>
      <c r="AP258">
        <v>0</v>
      </c>
      <c r="AR258" t="s">
        <v>1</v>
      </c>
      <c r="AT258" s="2" t="s">
        <v>0</v>
      </c>
      <c r="AU258" s="1">
        <f t="shared" si="35"/>
        <v>0.26347401297349238</v>
      </c>
      <c r="AV258" s="1">
        <f t="shared" si="36"/>
        <v>0.18819572355249459</v>
      </c>
      <c r="AW258" s="1">
        <f t="shared" si="37"/>
        <v>0.11291743413149673</v>
      </c>
    </row>
    <row r="259" spans="1:49" x14ac:dyDescent="0.2">
      <c r="A259">
        <v>257</v>
      </c>
      <c r="B259" t="s">
        <v>4888</v>
      </c>
      <c r="F259" t="s">
        <v>4887</v>
      </c>
      <c r="G259" t="s">
        <v>15</v>
      </c>
      <c r="H259" t="s">
        <v>14</v>
      </c>
      <c r="I259" t="s">
        <v>4886</v>
      </c>
      <c r="N259">
        <v>1</v>
      </c>
      <c r="O259" t="s">
        <v>4885</v>
      </c>
      <c r="P259">
        <v>6701371017</v>
      </c>
      <c r="R259" s="7">
        <v>30317</v>
      </c>
      <c r="S259" s="8">
        <f t="shared" si="32"/>
        <v>1983</v>
      </c>
      <c r="T259" s="8">
        <v>1983</v>
      </c>
      <c r="U259" s="8">
        <f t="shared" si="33"/>
        <v>39</v>
      </c>
      <c r="V259" s="7" t="s">
        <v>4687</v>
      </c>
      <c r="W259" t="s">
        <v>536</v>
      </c>
      <c r="X259" s="2">
        <v>0.14099999999999999</v>
      </c>
      <c r="Y259" s="6">
        <f t="shared" si="38"/>
        <v>3.7639144710498915E-3</v>
      </c>
      <c r="AA259">
        <v>402508</v>
      </c>
      <c r="AB259">
        <v>20868</v>
      </c>
      <c r="AD259" t="s">
        <v>5</v>
      </c>
      <c r="AE259" t="s">
        <v>535</v>
      </c>
      <c r="AF259">
        <v>10</v>
      </c>
      <c r="AH259" t="s">
        <v>4884</v>
      </c>
      <c r="AI259" t="s">
        <v>4883</v>
      </c>
      <c r="AK259" t="s">
        <v>4882</v>
      </c>
      <c r="AL259">
        <v>0</v>
      </c>
      <c r="AM259" s="5">
        <f t="shared" si="34"/>
        <v>0</v>
      </c>
      <c r="AN259" s="4">
        <f t="shared" si="39"/>
        <v>0</v>
      </c>
      <c r="AO259" s="3"/>
      <c r="AP259">
        <v>0</v>
      </c>
      <c r="AR259" t="s">
        <v>1</v>
      </c>
      <c r="AT259" s="2" t="s">
        <v>0</v>
      </c>
      <c r="AU259" s="1">
        <f t="shared" si="35"/>
        <v>0.26347401297349238</v>
      </c>
      <c r="AV259" s="1">
        <f t="shared" si="36"/>
        <v>0.18819572355249459</v>
      </c>
      <c r="AW259" s="1">
        <f t="shared" si="37"/>
        <v>0.11291743413149673</v>
      </c>
    </row>
    <row r="260" spans="1:49" x14ac:dyDescent="0.2">
      <c r="A260">
        <v>258</v>
      </c>
      <c r="B260" t="s">
        <v>4881</v>
      </c>
      <c r="F260" t="s">
        <v>4880</v>
      </c>
      <c r="G260" t="s">
        <v>15</v>
      </c>
      <c r="H260" t="s">
        <v>14</v>
      </c>
      <c r="I260" t="s">
        <v>4879</v>
      </c>
      <c r="N260">
        <v>1</v>
      </c>
      <c r="O260" t="s">
        <v>4878</v>
      </c>
      <c r="P260">
        <v>7005792907</v>
      </c>
      <c r="R260" s="7">
        <v>30317</v>
      </c>
      <c r="S260" s="8">
        <f t="shared" si="32"/>
        <v>1983</v>
      </c>
      <c r="T260" s="8">
        <v>1983</v>
      </c>
      <c r="U260" s="8">
        <f t="shared" si="33"/>
        <v>39</v>
      </c>
      <c r="V260" s="7" t="s">
        <v>4687</v>
      </c>
      <c r="W260" t="s">
        <v>536</v>
      </c>
      <c r="X260" s="2">
        <v>0.14099999999999999</v>
      </c>
      <c r="Y260" s="6">
        <f t="shared" si="38"/>
        <v>3.7639144710498915E-3</v>
      </c>
      <c r="AA260">
        <v>402508</v>
      </c>
      <c r="AB260">
        <v>20868</v>
      </c>
      <c r="AD260" t="s">
        <v>5</v>
      </c>
      <c r="AE260" t="s">
        <v>535</v>
      </c>
      <c r="AF260">
        <v>10</v>
      </c>
      <c r="AH260" t="s">
        <v>4877</v>
      </c>
      <c r="AI260" t="s">
        <v>4876</v>
      </c>
      <c r="AK260" t="s">
        <v>4875</v>
      </c>
      <c r="AL260">
        <v>0</v>
      </c>
      <c r="AM260" s="5">
        <f t="shared" si="34"/>
        <v>0</v>
      </c>
      <c r="AN260" s="4">
        <f t="shared" si="39"/>
        <v>0</v>
      </c>
      <c r="AO260" s="3"/>
      <c r="AP260">
        <v>0</v>
      </c>
      <c r="AR260" t="s">
        <v>1</v>
      </c>
      <c r="AT260" s="2" t="s">
        <v>0</v>
      </c>
      <c r="AU260" s="1">
        <f t="shared" si="35"/>
        <v>0.26347401297349238</v>
      </c>
      <c r="AV260" s="1">
        <f t="shared" si="36"/>
        <v>0.18819572355249459</v>
      </c>
      <c r="AW260" s="1">
        <f t="shared" si="37"/>
        <v>0.11291743413149673</v>
      </c>
    </row>
    <row r="261" spans="1:49" x14ac:dyDescent="0.2">
      <c r="A261">
        <v>259</v>
      </c>
      <c r="B261" t="s">
        <v>4874</v>
      </c>
      <c r="F261" t="s">
        <v>4873</v>
      </c>
      <c r="G261" t="s">
        <v>15</v>
      </c>
      <c r="H261" t="s">
        <v>14</v>
      </c>
      <c r="I261" t="s">
        <v>4872</v>
      </c>
      <c r="N261">
        <v>1</v>
      </c>
      <c r="O261" t="s">
        <v>4871</v>
      </c>
      <c r="P261">
        <v>6506514077</v>
      </c>
      <c r="R261" s="7">
        <v>30317</v>
      </c>
      <c r="S261" s="8">
        <f t="shared" si="32"/>
        <v>1983</v>
      </c>
      <c r="T261" s="8">
        <v>1983</v>
      </c>
      <c r="U261" s="8">
        <f t="shared" si="33"/>
        <v>39</v>
      </c>
      <c r="V261" s="7" t="s">
        <v>4687</v>
      </c>
      <c r="W261" t="s">
        <v>536</v>
      </c>
      <c r="X261" s="2">
        <v>0.14099999999999999</v>
      </c>
      <c r="Y261" s="6">
        <f t="shared" si="38"/>
        <v>3.7639144710498915E-3</v>
      </c>
      <c r="AA261">
        <v>402508</v>
      </c>
      <c r="AB261">
        <v>20868</v>
      </c>
      <c r="AD261" t="s">
        <v>5</v>
      </c>
      <c r="AE261" t="s">
        <v>535</v>
      </c>
      <c r="AF261">
        <v>10</v>
      </c>
      <c r="AH261" t="s">
        <v>4870</v>
      </c>
      <c r="AI261" t="s">
        <v>4869</v>
      </c>
      <c r="AK261" t="s">
        <v>4868</v>
      </c>
      <c r="AL261">
        <v>0</v>
      </c>
      <c r="AM261" s="5">
        <f t="shared" si="34"/>
        <v>0</v>
      </c>
      <c r="AN261" s="4">
        <f t="shared" si="39"/>
        <v>0</v>
      </c>
      <c r="AO261" s="3"/>
      <c r="AP261">
        <v>0</v>
      </c>
      <c r="AR261" t="s">
        <v>1</v>
      </c>
      <c r="AT261" s="2" t="s">
        <v>0</v>
      </c>
      <c r="AU261" s="1">
        <f t="shared" si="35"/>
        <v>0.26347401297349238</v>
      </c>
      <c r="AV261" s="1">
        <f t="shared" si="36"/>
        <v>0.18819572355249459</v>
      </c>
      <c r="AW261" s="1">
        <f t="shared" si="37"/>
        <v>0.11291743413149673</v>
      </c>
    </row>
    <row r="262" spans="1:49" x14ac:dyDescent="0.2">
      <c r="A262">
        <v>260</v>
      </c>
      <c r="B262" t="s">
        <v>4867</v>
      </c>
      <c r="F262" t="s">
        <v>4866</v>
      </c>
      <c r="G262" t="s">
        <v>15</v>
      </c>
      <c r="H262" t="s">
        <v>14</v>
      </c>
      <c r="I262" t="s">
        <v>4865</v>
      </c>
      <c r="N262">
        <v>1</v>
      </c>
      <c r="O262" t="s">
        <v>4864</v>
      </c>
      <c r="P262">
        <v>6507842716</v>
      </c>
      <c r="R262" s="7">
        <v>30317</v>
      </c>
      <c r="S262" s="8">
        <f t="shared" si="32"/>
        <v>1983</v>
      </c>
      <c r="T262" s="8">
        <v>1983</v>
      </c>
      <c r="U262" s="8">
        <f t="shared" si="33"/>
        <v>39</v>
      </c>
      <c r="V262" s="7" t="s">
        <v>4687</v>
      </c>
      <c r="W262" t="s">
        <v>3506</v>
      </c>
      <c r="X262" s="2" t="s">
        <v>0</v>
      </c>
      <c r="Y262" s="6" t="e">
        <f t="shared" si="38"/>
        <v>#VALUE!</v>
      </c>
      <c r="AA262">
        <v>262897</v>
      </c>
      <c r="AB262">
        <v>18580</v>
      </c>
      <c r="AD262" t="s">
        <v>5</v>
      </c>
      <c r="AE262">
        <v>26</v>
      </c>
      <c r="AF262">
        <v>10</v>
      </c>
      <c r="AI262" t="s">
        <v>4863</v>
      </c>
      <c r="AK262" t="s">
        <v>4862</v>
      </c>
      <c r="AL262">
        <v>0</v>
      </c>
      <c r="AM262" s="5">
        <f t="shared" si="34"/>
        <v>0</v>
      </c>
      <c r="AN262" s="4">
        <f t="shared" si="39"/>
        <v>0</v>
      </c>
      <c r="AO262" s="3"/>
      <c r="AP262">
        <v>0</v>
      </c>
      <c r="AR262" t="s">
        <v>1</v>
      </c>
      <c r="AT262" s="2">
        <v>0.30599999999999999</v>
      </c>
      <c r="AU262" s="1" t="e">
        <f t="shared" si="35"/>
        <v>#VALUE!</v>
      </c>
      <c r="AV262" s="1" t="e">
        <f t="shared" si="36"/>
        <v>#VALUE!</v>
      </c>
      <c r="AW262" s="1" t="e">
        <f t="shared" si="37"/>
        <v>#VALUE!</v>
      </c>
    </row>
    <row r="263" spans="1:49" x14ac:dyDescent="0.2">
      <c r="A263">
        <v>261</v>
      </c>
      <c r="B263" t="s">
        <v>4861</v>
      </c>
      <c r="C263" t="s">
        <v>4860</v>
      </c>
      <c r="F263" t="s">
        <v>4859</v>
      </c>
      <c r="G263" t="s">
        <v>15</v>
      </c>
      <c r="H263" t="s">
        <v>14</v>
      </c>
      <c r="I263" t="s">
        <v>859</v>
      </c>
      <c r="N263">
        <v>2</v>
      </c>
      <c r="O263" t="s">
        <v>4858</v>
      </c>
      <c r="P263" t="s">
        <v>4857</v>
      </c>
      <c r="Q263" t="s">
        <v>342</v>
      </c>
      <c r="R263" s="7">
        <v>30317</v>
      </c>
      <c r="S263" s="8">
        <f t="shared" si="32"/>
        <v>1983</v>
      </c>
      <c r="T263" s="8">
        <v>1983</v>
      </c>
      <c r="U263" s="8">
        <f t="shared" si="33"/>
        <v>39</v>
      </c>
      <c r="V263" s="7" t="s">
        <v>4687</v>
      </c>
      <c r="W263" t="s">
        <v>856</v>
      </c>
      <c r="X263" s="2" t="s">
        <v>0</v>
      </c>
      <c r="Y263" s="6" t="e">
        <f t="shared" si="38"/>
        <v>#VALUE!</v>
      </c>
      <c r="AA263">
        <v>7009216</v>
      </c>
      <c r="AB263">
        <v>39801</v>
      </c>
      <c r="AD263" t="s">
        <v>5</v>
      </c>
      <c r="AE263">
        <v>8</v>
      </c>
      <c r="AF263">
        <v>4</v>
      </c>
      <c r="AH263" t="s">
        <v>4856</v>
      </c>
      <c r="AI263" t="s">
        <v>4855</v>
      </c>
      <c r="AK263" t="s">
        <v>4854</v>
      </c>
      <c r="AL263">
        <v>1</v>
      </c>
      <c r="AM263" s="5">
        <f t="shared" si="34"/>
        <v>2.564102564102564E-2</v>
      </c>
      <c r="AN263" s="4">
        <f t="shared" si="39"/>
        <v>3.8835328498334935E-5</v>
      </c>
      <c r="AO263" s="3"/>
      <c r="AP263">
        <v>0</v>
      </c>
      <c r="AR263" t="s">
        <v>1</v>
      </c>
      <c r="AT263" s="2" t="s">
        <v>0</v>
      </c>
      <c r="AU263" s="1" t="e">
        <f t="shared" si="35"/>
        <v>#VALUE!</v>
      </c>
      <c r="AV263" s="1" t="e">
        <f t="shared" si="36"/>
        <v>#VALUE!</v>
      </c>
      <c r="AW263" s="1" t="e">
        <f t="shared" si="37"/>
        <v>#VALUE!</v>
      </c>
    </row>
    <row r="264" spans="1:49" x14ac:dyDescent="0.2">
      <c r="A264">
        <v>262</v>
      </c>
      <c r="B264" t="s">
        <v>4853</v>
      </c>
      <c r="F264" t="s">
        <v>4852</v>
      </c>
      <c r="G264" t="s">
        <v>15</v>
      </c>
      <c r="H264" t="s">
        <v>14</v>
      </c>
      <c r="I264" t="s">
        <v>2674</v>
      </c>
      <c r="N264">
        <v>5</v>
      </c>
      <c r="O264" t="s">
        <v>4851</v>
      </c>
      <c r="P264" t="s">
        <v>4850</v>
      </c>
      <c r="Q264" t="s">
        <v>2349</v>
      </c>
      <c r="R264" s="7">
        <v>30317</v>
      </c>
      <c r="S264" s="8">
        <f t="shared" si="32"/>
        <v>1983</v>
      </c>
      <c r="T264" s="8">
        <v>1983</v>
      </c>
      <c r="U264" s="8">
        <f t="shared" si="33"/>
        <v>39</v>
      </c>
      <c r="V264" s="7" t="s">
        <v>4687</v>
      </c>
      <c r="W264" t="s">
        <v>2671</v>
      </c>
      <c r="X264" s="2" t="s">
        <v>0</v>
      </c>
      <c r="Y264" s="6" t="e">
        <f t="shared" si="38"/>
        <v>#VALUE!</v>
      </c>
      <c r="AB264">
        <v>18207</v>
      </c>
      <c r="AD264" t="s">
        <v>5</v>
      </c>
      <c r="AE264">
        <v>11</v>
      </c>
      <c r="AF264">
        <v>5</v>
      </c>
      <c r="AH264" t="s">
        <v>4849</v>
      </c>
      <c r="AI264" t="s">
        <v>4848</v>
      </c>
      <c r="AK264" t="s">
        <v>4847</v>
      </c>
      <c r="AL264">
        <v>0</v>
      </c>
      <c r="AM264" s="5">
        <f t="shared" si="34"/>
        <v>0</v>
      </c>
      <c r="AN264" s="4">
        <f t="shared" si="39"/>
        <v>0</v>
      </c>
      <c r="AO264" s="3"/>
      <c r="AP264">
        <v>0</v>
      </c>
      <c r="AR264" t="s">
        <v>1</v>
      </c>
      <c r="AT264" s="2" t="s">
        <v>0</v>
      </c>
      <c r="AU264" s="1" t="e">
        <f t="shared" si="35"/>
        <v>#VALUE!</v>
      </c>
      <c r="AV264" s="1" t="e">
        <f t="shared" si="36"/>
        <v>#VALUE!</v>
      </c>
      <c r="AW264" s="1" t="e">
        <f t="shared" si="37"/>
        <v>#VALUE!</v>
      </c>
    </row>
    <row r="265" spans="1:49" x14ac:dyDescent="0.2">
      <c r="A265">
        <v>263</v>
      </c>
      <c r="B265" t="s">
        <v>4846</v>
      </c>
      <c r="F265" t="s">
        <v>4845</v>
      </c>
      <c r="G265" t="s">
        <v>15</v>
      </c>
      <c r="H265" t="s">
        <v>14</v>
      </c>
      <c r="I265" t="s">
        <v>1660</v>
      </c>
      <c r="N265">
        <v>1</v>
      </c>
      <c r="O265" t="s">
        <v>1659</v>
      </c>
      <c r="P265">
        <v>7102847307</v>
      </c>
      <c r="R265" s="7">
        <v>30317</v>
      </c>
      <c r="S265" s="8">
        <f t="shared" si="32"/>
        <v>1983</v>
      </c>
      <c r="T265" s="8">
        <v>1983</v>
      </c>
      <c r="U265" s="8">
        <f t="shared" si="33"/>
        <v>39</v>
      </c>
      <c r="V265" s="7" t="s">
        <v>4687</v>
      </c>
      <c r="W265" t="s">
        <v>1658</v>
      </c>
      <c r="X265" s="2" t="s">
        <v>0</v>
      </c>
      <c r="Y265" s="6" t="e">
        <f t="shared" si="38"/>
        <v>#VALUE!</v>
      </c>
      <c r="AB265">
        <v>34646</v>
      </c>
      <c r="AD265" t="s">
        <v>5</v>
      </c>
      <c r="AE265">
        <v>9</v>
      </c>
      <c r="AF265">
        <v>1</v>
      </c>
      <c r="AH265" t="s">
        <v>4844</v>
      </c>
      <c r="AI265" t="s">
        <v>4843</v>
      </c>
      <c r="AK265" t="s">
        <v>4842</v>
      </c>
      <c r="AL265">
        <v>0</v>
      </c>
      <c r="AM265" s="5">
        <f t="shared" si="34"/>
        <v>0</v>
      </c>
      <c r="AN265" s="4">
        <f t="shared" si="39"/>
        <v>0</v>
      </c>
      <c r="AO265" s="3"/>
      <c r="AP265">
        <v>0</v>
      </c>
      <c r="AR265" t="s">
        <v>1</v>
      </c>
      <c r="AT265" s="2" t="s">
        <v>0</v>
      </c>
      <c r="AU265" s="1" t="e">
        <f t="shared" si="35"/>
        <v>#VALUE!</v>
      </c>
      <c r="AV265" s="1" t="e">
        <f t="shared" si="36"/>
        <v>#VALUE!</v>
      </c>
      <c r="AW265" s="1" t="e">
        <f t="shared" si="37"/>
        <v>#VALUE!</v>
      </c>
    </row>
    <row r="266" spans="1:49" x14ac:dyDescent="0.2">
      <c r="A266">
        <v>264</v>
      </c>
      <c r="B266" t="s">
        <v>4841</v>
      </c>
      <c r="F266" t="s">
        <v>4840</v>
      </c>
      <c r="G266" t="s">
        <v>15</v>
      </c>
      <c r="H266" t="s">
        <v>14</v>
      </c>
      <c r="I266" t="s">
        <v>3363</v>
      </c>
      <c r="N266">
        <v>1</v>
      </c>
      <c r="O266" t="s">
        <v>3362</v>
      </c>
      <c r="P266">
        <v>7006461984</v>
      </c>
      <c r="R266" s="7">
        <v>30317</v>
      </c>
      <c r="S266" s="8">
        <f t="shared" si="32"/>
        <v>1983</v>
      </c>
      <c r="T266" s="8">
        <v>1983</v>
      </c>
      <c r="U266" s="8">
        <f t="shared" si="33"/>
        <v>39</v>
      </c>
      <c r="V266" s="7" t="s">
        <v>4687</v>
      </c>
      <c r="W266" t="s">
        <v>560</v>
      </c>
      <c r="X266" s="2" t="s">
        <v>0</v>
      </c>
      <c r="Y266" s="6" t="e">
        <f t="shared" si="38"/>
        <v>#VALUE!</v>
      </c>
      <c r="AA266">
        <v>337889</v>
      </c>
      <c r="AB266">
        <v>40920</v>
      </c>
      <c r="AD266" t="s">
        <v>5</v>
      </c>
      <c r="AE266">
        <v>28</v>
      </c>
      <c r="AF266">
        <v>10</v>
      </c>
      <c r="AH266" s="10">
        <v>42644</v>
      </c>
      <c r="AI266" t="s">
        <v>4839</v>
      </c>
      <c r="AK266" t="s">
        <v>4838</v>
      </c>
      <c r="AL266">
        <v>0</v>
      </c>
      <c r="AM266" s="5">
        <f t="shared" si="34"/>
        <v>0</v>
      </c>
      <c r="AN266" s="4">
        <f t="shared" si="39"/>
        <v>0</v>
      </c>
      <c r="AO266" s="3"/>
      <c r="AP266">
        <v>0</v>
      </c>
      <c r="AR266" t="s">
        <v>1</v>
      </c>
      <c r="AT266" s="2" t="s">
        <v>0</v>
      </c>
      <c r="AU266" s="1" t="e">
        <f t="shared" si="35"/>
        <v>#VALUE!</v>
      </c>
      <c r="AV266" s="1" t="e">
        <f t="shared" si="36"/>
        <v>#VALUE!</v>
      </c>
      <c r="AW266" s="1" t="e">
        <f t="shared" si="37"/>
        <v>#VALUE!</v>
      </c>
    </row>
    <row r="267" spans="1:49" x14ac:dyDescent="0.2">
      <c r="A267">
        <v>265</v>
      </c>
      <c r="B267" t="s">
        <v>4837</v>
      </c>
      <c r="C267" t="s">
        <v>4836</v>
      </c>
      <c r="F267" t="s">
        <v>4835</v>
      </c>
      <c r="G267" t="s">
        <v>15</v>
      </c>
      <c r="H267" t="s">
        <v>14</v>
      </c>
      <c r="I267" t="s">
        <v>4834</v>
      </c>
      <c r="N267">
        <v>2</v>
      </c>
      <c r="O267" t="s">
        <v>4833</v>
      </c>
      <c r="P267" t="s">
        <v>4832</v>
      </c>
      <c r="Q267" t="s">
        <v>342</v>
      </c>
      <c r="R267" s="7">
        <v>30317</v>
      </c>
      <c r="S267" s="8">
        <f t="shared" si="32"/>
        <v>1983</v>
      </c>
      <c r="T267" s="8">
        <v>1983</v>
      </c>
      <c r="U267" s="8">
        <f t="shared" si="33"/>
        <v>39</v>
      </c>
      <c r="V267" s="7" t="s">
        <v>4687</v>
      </c>
      <c r="W267" t="s">
        <v>798</v>
      </c>
      <c r="X267" s="2">
        <v>0.218</v>
      </c>
      <c r="Y267" s="6">
        <f t="shared" si="38"/>
        <v>5.8193854942473512E-3</v>
      </c>
      <c r="AA267">
        <v>3772063</v>
      </c>
      <c r="AB267">
        <v>130012</v>
      </c>
      <c r="AD267" t="s">
        <v>5</v>
      </c>
      <c r="AE267">
        <v>29</v>
      </c>
      <c r="AF267">
        <v>10</v>
      </c>
      <c r="AH267" t="s">
        <v>4831</v>
      </c>
      <c r="AI267" t="s">
        <v>4830</v>
      </c>
      <c r="AK267" t="s">
        <v>4829</v>
      </c>
      <c r="AL267">
        <v>0</v>
      </c>
      <c r="AM267" s="5">
        <f t="shared" si="34"/>
        <v>0</v>
      </c>
      <c r="AN267" s="4">
        <f t="shared" si="39"/>
        <v>0</v>
      </c>
      <c r="AO267" s="3"/>
      <c r="AP267">
        <v>0</v>
      </c>
      <c r="AR267" t="s">
        <v>1</v>
      </c>
      <c r="AT267" s="2">
        <v>2.3330000000000002</v>
      </c>
      <c r="AU267" s="1">
        <f t="shared" si="35"/>
        <v>0.40735698459731456</v>
      </c>
      <c r="AV267" s="1">
        <f t="shared" si="36"/>
        <v>0.29096927471236755</v>
      </c>
      <c r="AW267" s="1">
        <f t="shared" si="37"/>
        <v>0.17458156482742054</v>
      </c>
    </row>
    <row r="268" spans="1:49" x14ac:dyDescent="0.2">
      <c r="A268">
        <v>266</v>
      </c>
      <c r="B268" t="s">
        <v>4828</v>
      </c>
      <c r="C268" t="s">
        <v>4827</v>
      </c>
      <c r="F268" t="s">
        <v>4826</v>
      </c>
      <c r="G268" t="s">
        <v>15</v>
      </c>
      <c r="H268" t="s">
        <v>14</v>
      </c>
      <c r="I268" t="s">
        <v>4825</v>
      </c>
      <c r="N268">
        <v>4</v>
      </c>
      <c r="O268" t="s">
        <v>4824</v>
      </c>
      <c r="P268" t="s">
        <v>4823</v>
      </c>
      <c r="Q268" t="s">
        <v>575</v>
      </c>
      <c r="R268" s="7">
        <v>30317</v>
      </c>
      <c r="S268" s="8">
        <f t="shared" si="32"/>
        <v>1983</v>
      </c>
      <c r="T268" s="8">
        <v>1983</v>
      </c>
      <c r="U268" s="8">
        <f t="shared" si="33"/>
        <v>39</v>
      </c>
      <c r="V268" s="7" t="s">
        <v>4687</v>
      </c>
      <c r="W268" t="s">
        <v>798</v>
      </c>
      <c r="X268" s="2">
        <v>0.218</v>
      </c>
      <c r="Y268" s="6">
        <f t="shared" si="38"/>
        <v>5.8193854942473512E-3</v>
      </c>
      <c r="AA268">
        <v>3772063</v>
      </c>
      <c r="AB268">
        <v>130012</v>
      </c>
      <c r="AD268" t="s">
        <v>5</v>
      </c>
      <c r="AE268">
        <v>29</v>
      </c>
      <c r="AF268">
        <v>10</v>
      </c>
      <c r="AH268" t="s">
        <v>4822</v>
      </c>
      <c r="AI268" t="s">
        <v>4821</v>
      </c>
      <c r="AK268" t="s">
        <v>4820</v>
      </c>
      <c r="AL268">
        <v>0</v>
      </c>
      <c r="AM268" s="5">
        <f t="shared" si="34"/>
        <v>0</v>
      </c>
      <c r="AN268" s="4">
        <f t="shared" si="39"/>
        <v>0</v>
      </c>
      <c r="AO268" s="3"/>
      <c r="AP268">
        <v>0</v>
      </c>
      <c r="AR268" t="s">
        <v>1</v>
      </c>
      <c r="AT268" s="2">
        <v>2.3330000000000002</v>
      </c>
      <c r="AU268" s="1">
        <f t="shared" si="35"/>
        <v>0.40735698459731456</v>
      </c>
      <c r="AV268" s="1">
        <f t="shared" si="36"/>
        <v>0.29096927471236755</v>
      </c>
      <c r="AW268" s="1">
        <f t="shared" si="37"/>
        <v>0.17458156482742054</v>
      </c>
    </row>
    <row r="269" spans="1:49" x14ac:dyDescent="0.2">
      <c r="A269">
        <v>267</v>
      </c>
      <c r="B269" t="s">
        <v>4819</v>
      </c>
      <c r="C269" t="s">
        <v>4818</v>
      </c>
      <c r="F269" t="s">
        <v>4817</v>
      </c>
      <c r="G269" t="s">
        <v>15</v>
      </c>
      <c r="H269" t="s">
        <v>14</v>
      </c>
      <c r="I269" t="s">
        <v>4816</v>
      </c>
      <c r="N269">
        <v>2</v>
      </c>
      <c r="O269" t="s">
        <v>4815</v>
      </c>
      <c r="P269" t="s">
        <v>4814</v>
      </c>
      <c r="Q269" t="s">
        <v>342</v>
      </c>
      <c r="R269" s="7">
        <v>30317</v>
      </c>
      <c r="S269" s="8">
        <f t="shared" si="32"/>
        <v>1983</v>
      </c>
      <c r="T269" s="8">
        <v>1983</v>
      </c>
      <c r="U269" s="8">
        <f t="shared" si="33"/>
        <v>39</v>
      </c>
      <c r="V269" s="7" t="s">
        <v>4687</v>
      </c>
      <c r="W269" s="11" t="s">
        <v>1587</v>
      </c>
      <c r="X269" s="2">
        <v>2.383</v>
      </c>
      <c r="Y269" s="6">
        <f t="shared" si="38"/>
        <v>6.3612824003630442E-2</v>
      </c>
      <c r="AA269">
        <v>1437097</v>
      </c>
      <c r="AB269">
        <v>101236</v>
      </c>
      <c r="AD269" t="s">
        <v>5</v>
      </c>
      <c r="AE269">
        <v>130</v>
      </c>
      <c r="AF269">
        <v>6</v>
      </c>
      <c r="AH269" t="s">
        <v>4813</v>
      </c>
      <c r="AI269" t="s">
        <v>4812</v>
      </c>
      <c r="AK269" t="s">
        <v>4811</v>
      </c>
      <c r="AL269">
        <v>19</v>
      </c>
      <c r="AM269" s="5">
        <f t="shared" si="34"/>
        <v>0.48717948717948717</v>
      </c>
      <c r="AN269" s="4">
        <f t="shared" si="39"/>
        <v>7.3787124146836372E-4</v>
      </c>
      <c r="AO269" s="3"/>
      <c r="AP269">
        <v>0</v>
      </c>
      <c r="AR269" t="s">
        <v>1</v>
      </c>
      <c r="AT269" s="2" t="s">
        <v>0</v>
      </c>
      <c r="AU269" s="1">
        <f t="shared" si="35"/>
        <v>4.4750338174981819</v>
      </c>
      <c r="AV269" s="1">
        <f t="shared" si="36"/>
        <v>3.2175347622549402</v>
      </c>
      <c r="AW269" s="1">
        <f t="shared" si="37"/>
        <v>1.9600357070116987</v>
      </c>
    </row>
    <row r="270" spans="1:49" x14ac:dyDescent="0.2">
      <c r="A270">
        <v>268</v>
      </c>
      <c r="B270" t="s">
        <v>4810</v>
      </c>
      <c r="C270" t="s">
        <v>4809</v>
      </c>
      <c r="F270" t="s">
        <v>4808</v>
      </c>
      <c r="G270" t="s">
        <v>15</v>
      </c>
      <c r="H270" t="s">
        <v>14</v>
      </c>
      <c r="I270" t="s">
        <v>4807</v>
      </c>
      <c r="J270">
        <v>60001881</v>
      </c>
      <c r="K270" t="s">
        <v>4806</v>
      </c>
      <c r="L270" t="s">
        <v>4805</v>
      </c>
      <c r="M270" t="s">
        <v>271</v>
      </c>
      <c r="N270">
        <v>2</v>
      </c>
      <c r="O270" t="s">
        <v>4804</v>
      </c>
      <c r="P270" t="s">
        <v>4803</v>
      </c>
      <c r="Q270" t="s">
        <v>4802</v>
      </c>
      <c r="R270" s="7">
        <v>30317</v>
      </c>
      <c r="S270" s="8">
        <f t="shared" si="32"/>
        <v>1983</v>
      </c>
      <c r="T270" s="8">
        <v>1983</v>
      </c>
      <c r="U270" s="8">
        <f t="shared" si="33"/>
        <v>39</v>
      </c>
      <c r="V270" s="7">
        <v>30590</v>
      </c>
      <c r="W270" s="11" t="s">
        <v>1577</v>
      </c>
      <c r="X270" s="2">
        <v>2.383</v>
      </c>
      <c r="Y270" s="6">
        <f t="shared" si="38"/>
        <v>6.3612824003630442E-2</v>
      </c>
      <c r="AA270">
        <v>1437070</v>
      </c>
      <c r="AB270">
        <v>39742</v>
      </c>
      <c r="AD270" t="s">
        <v>5</v>
      </c>
      <c r="AE270">
        <v>130</v>
      </c>
      <c r="AF270">
        <v>6</v>
      </c>
      <c r="AH270" t="s">
        <v>4801</v>
      </c>
      <c r="AI270" t="s">
        <v>4800</v>
      </c>
      <c r="AJ270" t="s">
        <v>4799</v>
      </c>
      <c r="AK270" t="s">
        <v>4798</v>
      </c>
      <c r="AL270">
        <v>1</v>
      </c>
      <c r="AM270" s="5">
        <f t="shared" si="34"/>
        <v>2.564102564102564E-2</v>
      </c>
      <c r="AN270" s="4">
        <f t="shared" si="39"/>
        <v>3.8835328498334935E-5</v>
      </c>
      <c r="AO270" s="3"/>
      <c r="AP270">
        <v>0</v>
      </c>
      <c r="AR270" t="s">
        <v>1</v>
      </c>
      <c r="AT270" s="2" t="s">
        <v>0</v>
      </c>
      <c r="AU270" s="1">
        <f t="shared" si="35"/>
        <v>4.4540627401090811</v>
      </c>
      <c r="AV270" s="1">
        <f t="shared" si="36"/>
        <v>3.1825829666064389</v>
      </c>
      <c r="AW270" s="1">
        <f t="shared" si="37"/>
        <v>1.9111031931037965</v>
      </c>
    </row>
    <row r="271" spans="1:49" x14ac:dyDescent="0.2">
      <c r="A271">
        <v>269</v>
      </c>
      <c r="B271" t="s">
        <v>4797</v>
      </c>
      <c r="C271" t="s">
        <v>4796</v>
      </c>
      <c r="F271" t="s">
        <v>4795</v>
      </c>
      <c r="G271" t="s">
        <v>15</v>
      </c>
      <c r="H271" t="s">
        <v>14</v>
      </c>
      <c r="I271" t="s">
        <v>1012</v>
      </c>
      <c r="N271">
        <v>2</v>
      </c>
      <c r="O271" t="s">
        <v>1009</v>
      </c>
      <c r="P271" t="s">
        <v>1008</v>
      </c>
      <c r="Q271" t="s">
        <v>342</v>
      </c>
      <c r="R271" s="7">
        <v>30317</v>
      </c>
      <c r="S271" s="8">
        <f t="shared" si="32"/>
        <v>1983</v>
      </c>
      <c r="T271" s="8">
        <v>1983</v>
      </c>
      <c r="U271" s="8">
        <f t="shared" si="33"/>
        <v>39</v>
      </c>
      <c r="V271" s="7" t="s">
        <v>4687</v>
      </c>
      <c r="W271" s="11" t="s">
        <v>1587</v>
      </c>
      <c r="X271" s="2">
        <v>2.383</v>
      </c>
      <c r="Y271" s="6">
        <f t="shared" si="38"/>
        <v>6.3612824003630442E-2</v>
      </c>
      <c r="AA271">
        <v>1437097</v>
      </c>
      <c r="AB271">
        <v>101236</v>
      </c>
      <c r="AD271" t="s">
        <v>5</v>
      </c>
      <c r="AE271">
        <v>130</v>
      </c>
      <c r="AF271">
        <v>6</v>
      </c>
      <c r="AH271" t="s">
        <v>4794</v>
      </c>
      <c r="AI271" t="s">
        <v>4793</v>
      </c>
      <c r="AK271" t="s">
        <v>4792</v>
      </c>
      <c r="AL271">
        <v>12</v>
      </c>
      <c r="AM271" s="5">
        <f t="shared" si="34"/>
        <v>0.30769230769230771</v>
      </c>
      <c r="AN271" s="4">
        <f t="shared" si="39"/>
        <v>4.6602394198001925E-4</v>
      </c>
      <c r="AO271" s="3"/>
      <c r="AP271">
        <v>0</v>
      </c>
      <c r="AR271" t="s">
        <v>1</v>
      </c>
      <c r="AT271" s="2" t="s">
        <v>0</v>
      </c>
      <c r="AU271" s="1">
        <f t="shared" si="35"/>
        <v>4.4668783985135319</v>
      </c>
      <c r="AV271" s="1">
        <f t="shared" si="36"/>
        <v>3.2039423972805228</v>
      </c>
      <c r="AW271" s="1">
        <f t="shared" si="37"/>
        <v>1.9410063960475146</v>
      </c>
    </row>
    <row r="272" spans="1:49" x14ac:dyDescent="0.2">
      <c r="A272">
        <v>270</v>
      </c>
      <c r="B272" t="s">
        <v>4791</v>
      </c>
      <c r="C272" t="s">
        <v>4790</v>
      </c>
      <c r="F272" t="s">
        <v>4789</v>
      </c>
      <c r="G272" t="s">
        <v>15</v>
      </c>
      <c r="H272" t="s">
        <v>14</v>
      </c>
      <c r="I272" t="s">
        <v>4788</v>
      </c>
      <c r="J272">
        <v>60071174</v>
      </c>
      <c r="K272" t="s">
        <v>4787</v>
      </c>
      <c r="L272" t="s">
        <v>4786</v>
      </c>
      <c r="M272" t="s">
        <v>4785</v>
      </c>
      <c r="N272">
        <v>2</v>
      </c>
      <c r="O272" t="s">
        <v>4784</v>
      </c>
      <c r="P272" t="s">
        <v>4783</v>
      </c>
      <c r="Q272" t="s">
        <v>4782</v>
      </c>
      <c r="R272" s="7">
        <v>30317</v>
      </c>
      <c r="S272" s="8">
        <f t="shared" si="32"/>
        <v>1983</v>
      </c>
      <c r="T272" s="8">
        <v>1983</v>
      </c>
      <c r="U272" s="8">
        <f t="shared" si="33"/>
        <v>39</v>
      </c>
      <c r="V272" s="7">
        <v>30590</v>
      </c>
      <c r="W272" t="s">
        <v>1566</v>
      </c>
      <c r="X272" s="2">
        <v>0.251</v>
      </c>
      <c r="Y272" s="6">
        <f t="shared" si="38"/>
        <v>6.7003016470462617E-3</v>
      </c>
      <c r="AA272">
        <v>207217</v>
      </c>
      <c r="AB272">
        <v>26145</v>
      </c>
      <c r="AC272">
        <v>13623060</v>
      </c>
      <c r="AD272" t="s">
        <v>5</v>
      </c>
      <c r="AE272">
        <v>55</v>
      </c>
      <c r="AF272">
        <v>4</v>
      </c>
      <c r="AH272" t="s">
        <v>4557</v>
      </c>
      <c r="AI272" t="s">
        <v>4781</v>
      </c>
      <c r="AK272" t="s">
        <v>4780</v>
      </c>
      <c r="AL272">
        <v>1</v>
      </c>
      <c r="AM272" s="5">
        <f t="shared" si="34"/>
        <v>2.564102564102564E-2</v>
      </c>
      <c r="AN272" s="4">
        <f t="shared" si="39"/>
        <v>3.8835328498334935E-5</v>
      </c>
      <c r="AO272" s="3"/>
      <c r="AP272">
        <v>0</v>
      </c>
      <c r="AR272" t="s">
        <v>1</v>
      </c>
      <c r="AT272" s="2">
        <v>1.3360000000000001</v>
      </c>
      <c r="AU272" s="1">
        <f t="shared" si="35"/>
        <v>0.47018617514818828</v>
      </c>
      <c r="AV272" s="1">
        <f t="shared" si="36"/>
        <v>0.33695684877722981</v>
      </c>
      <c r="AW272" s="1">
        <f t="shared" si="37"/>
        <v>0.20372752240627126</v>
      </c>
    </row>
    <row r="273" spans="1:49" x14ac:dyDescent="0.2">
      <c r="A273">
        <v>271</v>
      </c>
      <c r="B273" t="s">
        <v>4779</v>
      </c>
      <c r="C273" t="s">
        <v>4778</v>
      </c>
      <c r="F273" t="s">
        <v>4777</v>
      </c>
      <c r="G273" t="s">
        <v>15</v>
      </c>
      <c r="H273" t="s">
        <v>14</v>
      </c>
      <c r="I273" t="s">
        <v>4776</v>
      </c>
      <c r="J273">
        <v>60014313</v>
      </c>
      <c r="K273" t="s">
        <v>1786</v>
      </c>
      <c r="L273" t="s">
        <v>1785</v>
      </c>
      <c r="M273" t="s">
        <v>10</v>
      </c>
      <c r="N273">
        <v>2</v>
      </c>
      <c r="O273" t="s">
        <v>4775</v>
      </c>
      <c r="P273" t="s">
        <v>4774</v>
      </c>
      <c r="Q273" t="s">
        <v>4773</v>
      </c>
      <c r="R273" s="7">
        <v>30317</v>
      </c>
      <c r="S273" s="8">
        <f t="shared" si="32"/>
        <v>1983</v>
      </c>
      <c r="T273" s="8">
        <v>1983</v>
      </c>
      <c r="U273" s="8">
        <f t="shared" si="33"/>
        <v>39</v>
      </c>
      <c r="V273" s="7">
        <v>30590</v>
      </c>
      <c r="W273" t="s">
        <v>470</v>
      </c>
      <c r="X273" s="2">
        <v>2.141</v>
      </c>
      <c r="Y273" s="6">
        <f t="shared" si="38"/>
        <v>5.7152772216438434E-2</v>
      </c>
      <c r="AA273">
        <v>1962892</v>
      </c>
      <c r="AB273">
        <v>17360</v>
      </c>
      <c r="AC273">
        <v>15580644</v>
      </c>
      <c r="AD273" t="s">
        <v>5</v>
      </c>
      <c r="AE273" t="s">
        <v>469</v>
      </c>
      <c r="AF273">
        <v>4</v>
      </c>
      <c r="AH273" t="s">
        <v>4772</v>
      </c>
      <c r="AI273" t="s">
        <v>4771</v>
      </c>
      <c r="AK273" t="s">
        <v>4770</v>
      </c>
      <c r="AL273">
        <v>93</v>
      </c>
      <c r="AM273" s="5">
        <f t="shared" si="34"/>
        <v>2.3846153846153846</v>
      </c>
      <c r="AN273" s="4">
        <f t="shared" si="39"/>
        <v>3.6116855503451491E-3</v>
      </c>
      <c r="AO273" s="3"/>
      <c r="AP273">
        <v>0</v>
      </c>
      <c r="AR273" t="s">
        <v>1</v>
      </c>
      <c r="AT273" s="2" t="s">
        <v>0</v>
      </c>
      <c r="AU273" s="1">
        <f t="shared" si="35"/>
        <v>4.1090446216610443</v>
      </c>
      <c r="AV273" s="1">
        <f t="shared" si="36"/>
        <v>3.0382228883391793</v>
      </c>
      <c r="AW273" s="1">
        <f t="shared" si="37"/>
        <v>1.9674011550173134</v>
      </c>
    </row>
    <row r="274" spans="1:49" x14ac:dyDescent="0.2">
      <c r="A274">
        <v>272</v>
      </c>
      <c r="B274" t="s">
        <v>4769</v>
      </c>
      <c r="C274" t="s">
        <v>4768</v>
      </c>
      <c r="F274" t="s">
        <v>4767</v>
      </c>
      <c r="G274" t="s">
        <v>15</v>
      </c>
      <c r="H274" t="s">
        <v>14</v>
      </c>
      <c r="I274" t="s">
        <v>2194</v>
      </c>
      <c r="N274">
        <v>1</v>
      </c>
      <c r="O274" t="s">
        <v>4766</v>
      </c>
      <c r="P274">
        <v>57223664212</v>
      </c>
      <c r="R274" s="7">
        <v>30317</v>
      </c>
      <c r="S274" s="8">
        <f t="shared" si="32"/>
        <v>1983</v>
      </c>
      <c r="T274" s="8">
        <v>1983</v>
      </c>
      <c r="U274" s="8">
        <f t="shared" si="33"/>
        <v>39</v>
      </c>
      <c r="V274" s="7" t="s">
        <v>4687</v>
      </c>
      <c r="W274" s="11" t="s">
        <v>1587</v>
      </c>
      <c r="X274" s="2">
        <v>2.383</v>
      </c>
      <c r="Y274" s="6">
        <f t="shared" si="38"/>
        <v>6.3612824003630442E-2</v>
      </c>
      <c r="AA274">
        <v>1437097</v>
      </c>
      <c r="AB274">
        <v>101236</v>
      </c>
      <c r="AD274" t="s">
        <v>5</v>
      </c>
      <c r="AE274">
        <v>130</v>
      </c>
      <c r="AF274">
        <v>6</v>
      </c>
      <c r="AH274" t="s">
        <v>4765</v>
      </c>
      <c r="AI274" t="s">
        <v>4764</v>
      </c>
      <c r="AK274" t="s">
        <v>4763</v>
      </c>
      <c r="AL274">
        <v>6</v>
      </c>
      <c r="AM274" s="5">
        <f t="shared" si="34"/>
        <v>0.15384615384615385</v>
      </c>
      <c r="AN274" s="4">
        <f t="shared" si="39"/>
        <v>2.3301197099000962E-4</v>
      </c>
      <c r="AO274" s="3"/>
      <c r="AP274">
        <v>0</v>
      </c>
      <c r="AR274" t="s">
        <v>1</v>
      </c>
      <c r="AT274" s="2" t="s">
        <v>0</v>
      </c>
      <c r="AU274" s="1">
        <f t="shared" si="35"/>
        <v>4.4598880393838307</v>
      </c>
      <c r="AV274" s="1">
        <f t="shared" si="36"/>
        <v>3.1922917987310226</v>
      </c>
      <c r="AW274" s="1">
        <f t="shared" si="37"/>
        <v>1.9246955580782141</v>
      </c>
    </row>
    <row r="275" spans="1:49" x14ac:dyDescent="0.2">
      <c r="A275">
        <v>273</v>
      </c>
      <c r="B275" t="s">
        <v>4762</v>
      </c>
      <c r="F275" t="s">
        <v>4761</v>
      </c>
      <c r="G275" t="s">
        <v>15</v>
      </c>
      <c r="H275" t="s">
        <v>14</v>
      </c>
      <c r="I275" t="s">
        <v>4760</v>
      </c>
      <c r="N275">
        <v>2</v>
      </c>
      <c r="O275" t="s">
        <v>4759</v>
      </c>
      <c r="P275" t="s">
        <v>4758</v>
      </c>
      <c r="Q275" t="s">
        <v>342</v>
      </c>
      <c r="R275" s="7">
        <v>30317</v>
      </c>
      <c r="S275" s="8">
        <f t="shared" si="32"/>
        <v>1983</v>
      </c>
      <c r="T275" s="8">
        <v>1983</v>
      </c>
      <c r="U275" s="8">
        <f t="shared" si="33"/>
        <v>39</v>
      </c>
      <c r="V275" s="7" t="s">
        <v>4687</v>
      </c>
      <c r="W275" t="s">
        <v>560</v>
      </c>
      <c r="X275" s="2" t="s">
        <v>0</v>
      </c>
      <c r="Y275" s="6" t="e">
        <f t="shared" si="38"/>
        <v>#VALUE!</v>
      </c>
      <c r="AA275">
        <v>337889</v>
      </c>
      <c r="AB275">
        <v>40920</v>
      </c>
      <c r="AD275" t="s">
        <v>5</v>
      </c>
      <c r="AE275">
        <v>28</v>
      </c>
      <c r="AF275">
        <v>10</v>
      </c>
      <c r="AH275" t="s">
        <v>4757</v>
      </c>
      <c r="AI275" t="s">
        <v>4756</v>
      </c>
      <c r="AK275" t="s">
        <v>4755</v>
      </c>
      <c r="AL275">
        <v>0</v>
      </c>
      <c r="AM275" s="5">
        <f t="shared" si="34"/>
        <v>0</v>
      </c>
      <c r="AN275" s="4">
        <f t="shared" si="39"/>
        <v>0</v>
      </c>
      <c r="AO275" s="3"/>
      <c r="AP275">
        <v>0</v>
      </c>
      <c r="AR275" t="s">
        <v>1</v>
      </c>
      <c r="AT275" s="2" t="s">
        <v>0</v>
      </c>
      <c r="AU275" s="1" t="e">
        <f t="shared" si="35"/>
        <v>#VALUE!</v>
      </c>
      <c r="AV275" s="1" t="e">
        <f t="shared" si="36"/>
        <v>#VALUE!</v>
      </c>
      <c r="AW275" s="1" t="e">
        <f t="shared" si="37"/>
        <v>#VALUE!</v>
      </c>
    </row>
    <row r="276" spans="1:49" x14ac:dyDescent="0.2">
      <c r="A276">
        <v>274</v>
      </c>
      <c r="B276" t="s">
        <v>4754</v>
      </c>
      <c r="C276" t="s">
        <v>4753</v>
      </c>
      <c r="F276" t="s">
        <v>4752</v>
      </c>
      <c r="G276" t="s">
        <v>15</v>
      </c>
      <c r="H276" t="s">
        <v>14</v>
      </c>
      <c r="I276" t="s">
        <v>4751</v>
      </c>
      <c r="J276">
        <v>60010742</v>
      </c>
      <c r="K276" t="s">
        <v>4750</v>
      </c>
      <c r="L276" t="s">
        <v>4749</v>
      </c>
      <c r="M276" t="s">
        <v>55</v>
      </c>
      <c r="N276">
        <v>2</v>
      </c>
      <c r="O276" t="s">
        <v>4748</v>
      </c>
      <c r="P276" t="s">
        <v>4747</v>
      </c>
      <c r="Q276" t="s">
        <v>4746</v>
      </c>
      <c r="R276" s="7">
        <v>30317</v>
      </c>
      <c r="S276" s="8">
        <f t="shared" si="32"/>
        <v>1983</v>
      </c>
      <c r="T276" s="8">
        <v>1983</v>
      </c>
      <c r="U276" s="8">
        <f t="shared" si="33"/>
        <v>39</v>
      </c>
      <c r="V276" s="7">
        <v>1983</v>
      </c>
      <c r="W276" t="s">
        <v>227</v>
      </c>
      <c r="X276" s="2">
        <v>0.111</v>
      </c>
      <c r="Y276" s="6">
        <f t="shared" si="38"/>
        <v>2.9630816048690639E-3</v>
      </c>
      <c r="AA276">
        <v>87566621</v>
      </c>
      <c r="AB276">
        <v>24890</v>
      </c>
      <c r="AC276">
        <v>15206424</v>
      </c>
      <c r="AD276" t="s">
        <v>5</v>
      </c>
      <c r="AE276">
        <v>66</v>
      </c>
      <c r="AF276">
        <v>10</v>
      </c>
      <c r="AH276" t="s">
        <v>940</v>
      </c>
      <c r="AI276" t="s">
        <v>4745</v>
      </c>
      <c r="AK276" t="s">
        <v>4744</v>
      </c>
      <c r="AL276">
        <v>0</v>
      </c>
      <c r="AM276" s="5">
        <f t="shared" si="34"/>
        <v>0</v>
      </c>
      <c r="AN276" s="4">
        <f t="shared" si="39"/>
        <v>0</v>
      </c>
      <c r="AO276" s="3"/>
      <c r="AP276">
        <v>0</v>
      </c>
      <c r="AR276" t="s">
        <v>1</v>
      </c>
      <c r="AT276" s="2" t="s">
        <v>0</v>
      </c>
      <c r="AU276" s="1">
        <f t="shared" si="35"/>
        <v>0.20741571234083445</v>
      </c>
      <c r="AV276" s="1">
        <f t="shared" si="36"/>
        <v>0.1481540802434532</v>
      </c>
      <c r="AW276" s="1">
        <f t="shared" si="37"/>
        <v>8.8892448146071903E-2</v>
      </c>
    </row>
    <row r="277" spans="1:49" x14ac:dyDescent="0.2">
      <c r="A277">
        <v>275</v>
      </c>
      <c r="B277" t="s">
        <v>4743</v>
      </c>
      <c r="C277" t="s">
        <v>4742</v>
      </c>
      <c r="F277" t="s">
        <v>4741</v>
      </c>
      <c r="G277" t="s">
        <v>15</v>
      </c>
      <c r="H277" t="s">
        <v>14</v>
      </c>
      <c r="I277" t="s">
        <v>4740</v>
      </c>
      <c r="J277" t="s">
        <v>4739</v>
      </c>
      <c r="K277" t="s">
        <v>4738</v>
      </c>
      <c r="L277" t="s">
        <v>4737</v>
      </c>
      <c r="M277" t="s">
        <v>91</v>
      </c>
      <c r="N277">
        <v>2</v>
      </c>
      <c r="O277" t="s">
        <v>4736</v>
      </c>
      <c r="P277" t="s">
        <v>4735</v>
      </c>
      <c r="Q277" t="s">
        <v>4734</v>
      </c>
      <c r="R277" s="7">
        <v>30317</v>
      </c>
      <c r="S277" s="8">
        <f t="shared" si="32"/>
        <v>1983</v>
      </c>
      <c r="T277" s="8">
        <v>1983</v>
      </c>
      <c r="U277" s="8">
        <f t="shared" si="33"/>
        <v>39</v>
      </c>
      <c r="V277" s="7">
        <v>30590</v>
      </c>
      <c r="W277" t="s">
        <v>2712</v>
      </c>
      <c r="X277" s="2">
        <v>0.752</v>
      </c>
      <c r="Y277" s="6">
        <f t="shared" si="38"/>
        <v>2.0074210512266089E-2</v>
      </c>
      <c r="AA277">
        <v>3649059</v>
      </c>
      <c r="AB277">
        <v>17277</v>
      </c>
      <c r="AC277">
        <v>15581691</v>
      </c>
      <c r="AD277" t="s">
        <v>5</v>
      </c>
      <c r="AE277">
        <v>8</v>
      </c>
      <c r="AF277">
        <v>4</v>
      </c>
      <c r="AH277" t="s">
        <v>4733</v>
      </c>
      <c r="AI277" t="s">
        <v>4732</v>
      </c>
      <c r="AK277" t="s">
        <v>4731</v>
      </c>
      <c r="AL277">
        <v>212</v>
      </c>
      <c r="AM277" s="5">
        <f t="shared" si="34"/>
        <v>5.4358974358974361</v>
      </c>
      <c r="AN277" s="4">
        <f t="shared" si="39"/>
        <v>8.2330896416470071E-3</v>
      </c>
      <c r="AO277" s="3"/>
      <c r="AP277">
        <v>0</v>
      </c>
      <c r="AR277" t="s">
        <v>1</v>
      </c>
      <c r="AT277" s="2">
        <v>3.5539999999999998</v>
      </c>
      <c r="AU277" s="1">
        <f t="shared" si="35"/>
        <v>1.6521874251080364</v>
      </c>
      <c r="AV277" s="1">
        <f t="shared" si="36"/>
        <v>1.415365007695655</v>
      </c>
      <c r="AW277" s="1">
        <f t="shared" si="37"/>
        <v>1.1785425902832731</v>
      </c>
    </row>
    <row r="278" spans="1:49" x14ac:dyDescent="0.2">
      <c r="A278">
        <v>276</v>
      </c>
      <c r="B278" t="s">
        <v>4730</v>
      </c>
      <c r="F278" t="s">
        <v>4729</v>
      </c>
      <c r="G278" t="s">
        <v>15</v>
      </c>
      <c r="H278" t="s">
        <v>14</v>
      </c>
      <c r="I278" t="s">
        <v>4728</v>
      </c>
      <c r="N278">
        <v>1</v>
      </c>
      <c r="O278" t="s">
        <v>4727</v>
      </c>
      <c r="P278">
        <v>7402485093</v>
      </c>
      <c r="R278" s="7">
        <v>30317</v>
      </c>
      <c r="S278" s="8">
        <f t="shared" si="32"/>
        <v>1983</v>
      </c>
      <c r="T278" s="8">
        <v>1983</v>
      </c>
      <c r="U278" s="8">
        <f t="shared" si="33"/>
        <v>39</v>
      </c>
      <c r="V278" s="7" t="s">
        <v>4687</v>
      </c>
      <c r="W278" t="s">
        <v>2626</v>
      </c>
      <c r="X278" s="2" t="s">
        <v>0</v>
      </c>
      <c r="Y278" s="6" t="e">
        <f t="shared" si="38"/>
        <v>#VALUE!</v>
      </c>
      <c r="AA278" t="s">
        <v>2625</v>
      </c>
      <c r="AB278">
        <v>18614</v>
      </c>
      <c r="AD278" t="s">
        <v>5</v>
      </c>
      <c r="AF278">
        <v>71</v>
      </c>
      <c r="AH278" s="10">
        <v>43709</v>
      </c>
      <c r="AI278" t="s">
        <v>4726</v>
      </c>
      <c r="AK278" t="s">
        <v>4725</v>
      </c>
      <c r="AL278">
        <v>0</v>
      </c>
      <c r="AM278" s="5">
        <f t="shared" si="34"/>
        <v>0</v>
      </c>
      <c r="AN278" s="4">
        <f t="shared" si="39"/>
        <v>0</v>
      </c>
      <c r="AO278" s="3"/>
      <c r="AP278">
        <v>0</v>
      </c>
      <c r="AR278" t="s">
        <v>1</v>
      </c>
      <c r="AT278" s="2" t="s">
        <v>0</v>
      </c>
      <c r="AU278" s="1" t="e">
        <f t="shared" si="35"/>
        <v>#VALUE!</v>
      </c>
      <c r="AV278" s="1" t="e">
        <f t="shared" si="36"/>
        <v>#VALUE!</v>
      </c>
      <c r="AW278" s="1" t="e">
        <f t="shared" si="37"/>
        <v>#VALUE!</v>
      </c>
    </row>
    <row r="279" spans="1:49" x14ac:dyDescent="0.2">
      <c r="A279">
        <v>277</v>
      </c>
      <c r="B279" t="s">
        <v>4724</v>
      </c>
      <c r="F279" t="s">
        <v>4723</v>
      </c>
      <c r="G279" t="s">
        <v>15</v>
      </c>
      <c r="H279" t="s">
        <v>14</v>
      </c>
      <c r="I279" t="s">
        <v>1488</v>
      </c>
      <c r="N279">
        <v>4</v>
      </c>
      <c r="O279" t="s">
        <v>4722</v>
      </c>
      <c r="P279" t="s">
        <v>4721</v>
      </c>
      <c r="Q279" t="s">
        <v>575</v>
      </c>
      <c r="R279" s="7">
        <v>30317</v>
      </c>
      <c r="S279" s="8">
        <f t="shared" si="32"/>
        <v>1983</v>
      </c>
      <c r="T279" s="8">
        <v>1983</v>
      </c>
      <c r="U279" s="8">
        <f t="shared" si="33"/>
        <v>39</v>
      </c>
      <c r="V279" s="7" t="s">
        <v>4687</v>
      </c>
      <c r="W279" t="s">
        <v>1452</v>
      </c>
      <c r="X279" s="2" t="s">
        <v>0</v>
      </c>
      <c r="Y279" s="6" t="e">
        <f t="shared" si="38"/>
        <v>#VALUE!</v>
      </c>
      <c r="AA279">
        <v>188689</v>
      </c>
      <c r="AB279">
        <v>99388</v>
      </c>
      <c r="AD279" t="s">
        <v>5</v>
      </c>
      <c r="AE279">
        <v>26</v>
      </c>
      <c r="AF279">
        <v>5</v>
      </c>
      <c r="AH279" t="s">
        <v>4720</v>
      </c>
      <c r="AI279" t="s">
        <v>4719</v>
      </c>
      <c r="AK279" t="s">
        <v>4718</v>
      </c>
      <c r="AL279">
        <v>0</v>
      </c>
      <c r="AM279" s="5">
        <f t="shared" si="34"/>
        <v>0</v>
      </c>
      <c r="AN279" s="4">
        <f t="shared" si="39"/>
        <v>0</v>
      </c>
      <c r="AO279" s="3"/>
      <c r="AP279">
        <v>0</v>
      </c>
      <c r="AR279" t="s">
        <v>1</v>
      </c>
      <c r="AT279" s="2" t="s">
        <v>0</v>
      </c>
      <c r="AU279" s="1" t="e">
        <f t="shared" si="35"/>
        <v>#VALUE!</v>
      </c>
      <c r="AV279" s="1" t="e">
        <f t="shared" si="36"/>
        <v>#VALUE!</v>
      </c>
      <c r="AW279" s="1" t="e">
        <f t="shared" si="37"/>
        <v>#VALUE!</v>
      </c>
    </row>
    <row r="280" spans="1:49" x14ac:dyDescent="0.2">
      <c r="A280">
        <v>278</v>
      </c>
      <c r="B280" t="s">
        <v>4717</v>
      </c>
      <c r="F280" t="s">
        <v>4716</v>
      </c>
      <c r="G280" t="s">
        <v>15</v>
      </c>
      <c r="H280" t="s">
        <v>14</v>
      </c>
      <c r="I280" t="s">
        <v>4715</v>
      </c>
      <c r="N280">
        <v>2</v>
      </c>
      <c r="O280" t="s">
        <v>4714</v>
      </c>
      <c r="P280" t="s">
        <v>4713</v>
      </c>
      <c r="Q280" t="s">
        <v>342</v>
      </c>
      <c r="R280" s="7">
        <v>30317</v>
      </c>
      <c r="S280" s="8">
        <f t="shared" si="32"/>
        <v>1983</v>
      </c>
      <c r="T280" s="8">
        <v>1983</v>
      </c>
      <c r="U280" s="8">
        <f t="shared" si="33"/>
        <v>39</v>
      </c>
      <c r="V280" s="7" t="s">
        <v>4712</v>
      </c>
      <c r="W280" t="s">
        <v>3755</v>
      </c>
      <c r="X280" s="2">
        <v>0.69799999999999995</v>
      </c>
      <c r="Y280" s="6">
        <f t="shared" si="38"/>
        <v>1.86327113531406E-2</v>
      </c>
      <c r="AA280">
        <v>219142</v>
      </c>
      <c r="AB280">
        <v>29585</v>
      </c>
      <c r="AD280" t="s">
        <v>5</v>
      </c>
      <c r="AE280">
        <v>31</v>
      </c>
      <c r="AF280">
        <v>4</v>
      </c>
      <c r="AH280" t="s">
        <v>4711</v>
      </c>
      <c r="AI280" t="s">
        <v>4710</v>
      </c>
      <c r="AK280" t="s">
        <v>4709</v>
      </c>
      <c r="AL280">
        <v>0</v>
      </c>
      <c r="AM280" s="5">
        <f t="shared" si="34"/>
        <v>0</v>
      </c>
      <c r="AN280" s="4">
        <f t="shared" si="39"/>
        <v>0</v>
      </c>
      <c r="AO280" s="3"/>
      <c r="AP280">
        <v>0</v>
      </c>
      <c r="AR280" t="s">
        <v>1</v>
      </c>
      <c r="AT280" s="2">
        <v>1.5309999999999999</v>
      </c>
      <c r="AU280" s="1">
        <f t="shared" si="35"/>
        <v>1.304289794719842</v>
      </c>
      <c r="AV280" s="1">
        <f t="shared" si="36"/>
        <v>0.93163556765703004</v>
      </c>
      <c r="AW280" s="1">
        <f t="shared" si="37"/>
        <v>0.558981340594218</v>
      </c>
    </row>
    <row r="281" spans="1:49" x14ac:dyDescent="0.2">
      <c r="A281">
        <v>279</v>
      </c>
      <c r="B281" t="s">
        <v>4708</v>
      </c>
      <c r="C281" t="s">
        <v>4707</v>
      </c>
      <c r="F281" t="s">
        <v>4706</v>
      </c>
      <c r="G281" t="s">
        <v>15</v>
      </c>
      <c r="H281" t="s">
        <v>14</v>
      </c>
      <c r="I281" t="s">
        <v>1569</v>
      </c>
      <c r="N281">
        <v>3</v>
      </c>
      <c r="O281" t="s">
        <v>4705</v>
      </c>
      <c r="P281" t="s">
        <v>4704</v>
      </c>
      <c r="Q281" t="s">
        <v>510</v>
      </c>
      <c r="R281" s="7">
        <v>30317</v>
      </c>
      <c r="S281" s="8">
        <f t="shared" si="32"/>
        <v>1983</v>
      </c>
      <c r="T281" s="8">
        <v>1983</v>
      </c>
      <c r="U281" s="8">
        <f t="shared" si="33"/>
        <v>39</v>
      </c>
      <c r="V281" s="7" t="s">
        <v>4687</v>
      </c>
      <c r="W281" s="11" t="s">
        <v>1587</v>
      </c>
      <c r="X281" s="2">
        <v>2.383</v>
      </c>
      <c r="Y281" s="6">
        <f t="shared" si="38"/>
        <v>6.3612824003630442E-2</v>
      </c>
      <c r="AA281">
        <v>1437097</v>
      </c>
      <c r="AB281">
        <v>101236</v>
      </c>
      <c r="AD281" t="s">
        <v>5</v>
      </c>
      <c r="AE281">
        <v>130</v>
      </c>
      <c r="AF281">
        <v>6</v>
      </c>
      <c r="AH281" t="s">
        <v>4703</v>
      </c>
      <c r="AI281" t="s">
        <v>4702</v>
      </c>
      <c r="AK281" t="s">
        <v>4701</v>
      </c>
      <c r="AL281">
        <v>4</v>
      </c>
      <c r="AM281" s="5">
        <f t="shared" si="34"/>
        <v>0.10256410256410256</v>
      </c>
      <c r="AN281" s="4">
        <f t="shared" si="39"/>
        <v>1.5534131399333974E-4</v>
      </c>
      <c r="AO281" s="3"/>
      <c r="AP281">
        <v>0</v>
      </c>
      <c r="AR281" t="s">
        <v>1</v>
      </c>
      <c r="AT281" s="2" t="s">
        <v>0</v>
      </c>
      <c r="AU281" s="1">
        <f t="shared" si="35"/>
        <v>4.4575579196739312</v>
      </c>
      <c r="AV281" s="1">
        <f t="shared" si="36"/>
        <v>3.188408265881189</v>
      </c>
      <c r="AW281" s="1">
        <f t="shared" si="37"/>
        <v>1.9192586120884469</v>
      </c>
    </row>
    <row r="282" spans="1:49" x14ac:dyDescent="0.2">
      <c r="A282">
        <v>280</v>
      </c>
      <c r="B282" t="s">
        <v>4700</v>
      </c>
      <c r="C282" t="s">
        <v>4699</v>
      </c>
      <c r="F282" t="s">
        <v>4698</v>
      </c>
      <c r="G282" t="s">
        <v>15</v>
      </c>
      <c r="H282" t="s">
        <v>14</v>
      </c>
      <c r="I282" t="s">
        <v>4697</v>
      </c>
      <c r="N282">
        <v>1</v>
      </c>
      <c r="O282" t="s">
        <v>4696</v>
      </c>
      <c r="P282">
        <v>35581830600</v>
      </c>
      <c r="R282" s="7">
        <v>30317</v>
      </c>
      <c r="S282" s="8">
        <f t="shared" si="32"/>
        <v>1983</v>
      </c>
      <c r="T282" s="8">
        <v>1983</v>
      </c>
      <c r="U282" s="8">
        <f t="shared" si="33"/>
        <v>39</v>
      </c>
      <c r="V282" s="7" t="s">
        <v>4687</v>
      </c>
      <c r="W282" s="11" t="s">
        <v>1587</v>
      </c>
      <c r="X282" s="2">
        <v>2.383</v>
      </c>
      <c r="Y282" s="6">
        <f t="shared" si="38"/>
        <v>6.3612824003630442E-2</v>
      </c>
      <c r="AA282">
        <v>1437097</v>
      </c>
      <c r="AB282">
        <v>101236</v>
      </c>
      <c r="AD282" t="s">
        <v>5</v>
      </c>
      <c r="AE282">
        <v>130</v>
      </c>
      <c r="AF282">
        <v>6</v>
      </c>
      <c r="AH282" t="s">
        <v>4695</v>
      </c>
      <c r="AI282" t="s">
        <v>4694</v>
      </c>
      <c r="AK282" t="s">
        <v>4693</v>
      </c>
      <c r="AL282">
        <v>10</v>
      </c>
      <c r="AM282" s="5">
        <f t="shared" si="34"/>
        <v>0.25641025641025639</v>
      </c>
      <c r="AN282" s="4">
        <f t="shared" si="39"/>
        <v>3.8835328498334934E-4</v>
      </c>
      <c r="AO282" s="3"/>
      <c r="AP282">
        <v>0</v>
      </c>
      <c r="AR282" t="s">
        <v>1</v>
      </c>
      <c r="AT282" s="2" t="s">
        <v>0</v>
      </c>
      <c r="AU282" s="1">
        <f t="shared" si="35"/>
        <v>4.4645482788036315</v>
      </c>
      <c r="AV282" s="1">
        <f t="shared" si="36"/>
        <v>3.2000588644306895</v>
      </c>
      <c r="AW282" s="1">
        <f t="shared" si="37"/>
        <v>1.9355694500577478</v>
      </c>
    </row>
    <row r="283" spans="1:49" x14ac:dyDescent="0.2">
      <c r="A283">
        <v>281</v>
      </c>
      <c r="B283" t="s">
        <v>4692</v>
      </c>
      <c r="F283" t="s">
        <v>4691</v>
      </c>
      <c r="G283" t="s">
        <v>15</v>
      </c>
      <c r="H283" t="s">
        <v>14</v>
      </c>
      <c r="I283" t="s">
        <v>4690</v>
      </c>
      <c r="N283">
        <v>2</v>
      </c>
      <c r="O283" t="s">
        <v>4689</v>
      </c>
      <c r="P283" t="s">
        <v>4688</v>
      </c>
      <c r="Q283" t="s">
        <v>342</v>
      </c>
      <c r="R283" s="7">
        <v>30317</v>
      </c>
      <c r="S283" s="8">
        <f t="shared" si="32"/>
        <v>1983</v>
      </c>
      <c r="T283" s="8">
        <v>1983</v>
      </c>
      <c r="U283" s="8">
        <f t="shared" si="33"/>
        <v>39</v>
      </c>
      <c r="V283" s="7" t="s">
        <v>4687</v>
      </c>
      <c r="W283" t="s">
        <v>1452</v>
      </c>
      <c r="X283" s="2" t="s">
        <v>0</v>
      </c>
      <c r="Y283" s="6" t="e">
        <f t="shared" si="38"/>
        <v>#VALUE!</v>
      </c>
      <c r="AA283">
        <v>188689</v>
      </c>
      <c r="AB283">
        <v>99388</v>
      </c>
      <c r="AD283" t="s">
        <v>5</v>
      </c>
      <c r="AE283">
        <v>26</v>
      </c>
      <c r="AF283">
        <v>5</v>
      </c>
      <c r="AH283" t="s">
        <v>4686</v>
      </c>
      <c r="AI283" t="s">
        <v>4685</v>
      </c>
      <c r="AK283" t="s">
        <v>4684</v>
      </c>
      <c r="AL283">
        <v>0</v>
      </c>
      <c r="AM283" s="5">
        <f t="shared" si="34"/>
        <v>0</v>
      </c>
      <c r="AN283" s="4">
        <f t="shared" si="39"/>
        <v>0</v>
      </c>
      <c r="AO283" s="3"/>
      <c r="AP283">
        <v>0</v>
      </c>
      <c r="AR283" t="s">
        <v>1</v>
      </c>
      <c r="AT283" s="2" t="s">
        <v>0</v>
      </c>
      <c r="AU283" s="1" t="e">
        <f t="shared" si="35"/>
        <v>#VALUE!</v>
      </c>
      <c r="AV283" s="1" t="e">
        <f t="shared" si="36"/>
        <v>#VALUE!</v>
      </c>
      <c r="AW283" s="1" t="e">
        <f t="shared" si="37"/>
        <v>#VALUE!</v>
      </c>
    </row>
    <row r="284" spans="1:49" x14ac:dyDescent="0.2">
      <c r="A284">
        <v>282</v>
      </c>
      <c r="B284" t="s">
        <v>4683</v>
      </c>
      <c r="F284" t="s">
        <v>4682</v>
      </c>
      <c r="G284" t="s">
        <v>15</v>
      </c>
      <c r="H284" t="s">
        <v>14</v>
      </c>
      <c r="I284" t="s">
        <v>4681</v>
      </c>
      <c r="N284">
        <v>1</v>
      </c>
      <c r="O284" t="s">
        <v>4680</v>
      </c>
      <c r="P284">
        <v>6603031402</v>
      </c>
      <c r="R284" s="7">
        <v>30317</v>
      </c>
      <c r="S284" s="8">
        <f t="shared" si="32"/>
        <v>1983</v>
      </c>
      <c r="T284" s="8">
        <v>1983</v>
      </c>
      <c r="U284" s="8">
        <f t="shared" si="33"/>
        <v>39</v>
      </c>
      <c r="V284" s="7" t="s">
        <v>4186</v>
      </c>
      <c r="W284" t="s">
        <v>3822</v>
      </c>
      <c r="X284" s="2">
        <v>0.10100000000000001</v>
      </c>
      <c r="Y284" s="6">
        <f t="shared" si="38"/>
        <v>2.6961373161421215E-3</v>
      </c>
      <c r="AA284">
        <v>7452883</v>
      </c>
      <c r="AB284">
        <v>18563</v>
      </c>
      <c r="AD284" t="s">
        <v>5</v>
      </c>
      <c r="AE284">
        <v>22</v>
      </c>
      <c r="AF284">
        <v>9</v>
      </c>
      <c r="AI284" t="s">
        <v>4679</v>
      </c>
      <c r="AK284" t="s">
        <v>4678</v>
      </c>
      <c r="AL284">
        <v>1</v>
      </c>
      <c r="AM284" s="5">
        <f t="shared" si="34"/>
        <v>2.564102564102564E-2</v>
      </c>
      <c r="AN284" s="4">
        <f t="shared" si="39"/>
        <v>3.8835328498334935E-5</v>
      </c>
      <c r="AO284" s="3"/>
      <c r="AP284">
        <v>0</v>
      </c>
      <c r="AR284" t="s">
        <v>1</v>
      </c>
      <c r="AT284" s="2" t="s">
        <v>0</v>
      </c>
      <c r="AU284" s="1">
        <f t="shared" si="35"/>
        <v>0.18989467198489854</v>
      </c>
      <c r="AV284" s="1">
        <f t="shared" si="36"/>
        <v>0.13674863223202283</v>
      </c>
      <c r="AW284" s="1">
        <f t="shared" si="37"/>
        <v>8.3602592479147086E-2</v>
      </c>
    </row>
    <row r="285" spans="1:49" x14ac:dyDescent="0.2">
      <c r="A285">
        <v>283</v>
      </c>
      <c r="B285" t="s">
        <v>4677</v>
      </c>
      <c r="C285" t="s">
        <v>4676</v>
      </c>
      <c r="D285">
        <v>12160683902506</v>
      </c>
      <c r="E285">
        <v>6413277</v>
      </c>
      <c r="F285" t="s">
        <v>4675</v>
      </c>
      <c r="G285" t="s">
        <v>15</v>
      </c>
      <c r="H285" t="s">
        <v>14</v>
      </c>
      <c r="I285" t="s">
        <v>4674</v>
      </c>
      <c r="J285" t="s">
        <v>4673</v>
      </c>
      <c r="K285" t="s">
        <v>4672</v>
      </c>
      <c r="L285" t="s">
        <v>4671</v>
      </c>
      <c r="M285" t="s">
        <v>4670</v>
      </c>
      <c r="N285">
        <v>3</v>
      </c>
      <c r="O285" t="s">
        <v>4669</v>
      </c>
      <c r="P285" t="s">
        <v>4668</v>
      </c>
      <c r="Q285" t="s">
        <v>4667</v>
      </c>
      <c r="R285" s="7">
        <v>30317</v>
      </c>
      <c r="S285" s="8">
        <f t="shared" si="32"/>
        <v>1983</v>
      </c>
      <c r="T285" s="8">
        <v>1983</v>
      </c>
      <c r="U285" s="8">
        <f t="shared" si="33"/>
        <v>39</v>
      </c>
      <c r="V285" s="7">
        <v>30560</v>
      </c>
      <c r="W285" t="s">
        <v>3328</v>
      </c>
      <c r="X285" s="2">
        <v>1.77</v>
      </c>
      <c r="Y285" s="6">
        <f t="shared" si="38"/>
        <v>4.7249139104668859E-2</v>
      </c>
      <c r="AA285">
        <v>121606</v>
      </c>
      <c r="AB285">
        <v>14536</v>
      </c>
      <c r="AD285" t="s">
        <v>5</v>
      </c>
      <c r="AE285">
        <v>99</v>
      </c>
      <c r="AF285">
        <v>1</v>
      </c>
      <c r="AH285" t="s">
        <v>4666</v>
      </c>
      <c r="AI285" t="s">
        <v>4665</v>
      </c>
      <c r="AK285" t="s">
        <v>4664</v>
      </c>
      <c r="AL285">
        <v>13</v>
      </c>
      <c r="AM285" s="5">
        <f t="shared" si="34"/>
        <v>0.33333333333333331</v>
      </c>
      <c r="AN285" s="4">
        <f t="shared" si="39"/>
        <v>5.048592704783541E-4</v>
      </c>
      <c r="AO285" s="3"/>
      <c r="AP285">
        <v>0</v>
      </c>
      <c r="AR285" t="s">
        <v>1</v>
      </c>
      <c r="AT285" s="2">
        <v>3.5819999999999999</v>
      </c>
      <c r="AU285" s="1">
        <f t="shared" si="35"/>
        <v>3.3225855154411703</v>
      </c>
      <c r="AV285" s="1">
        <f t="shared" si="36"/>
        <v>2.3876999187573604</v>
      </c>
      <c r="AW285" s="1">
        <f t="shared" si="37"/>
        <v>1.4528143220735505</v>
      </c>
    </row>
    <row r="286" spans="1:49" x14ac:dyDescent="0.2">
      <c r="A286">
        <v>284</v>
      </c>
      <c r="B286" t="s">
        <v>4663</v>
      </c>
      <c r="C286" t="s">
        <v>4662</v>
      </c>
      <c r="F286" t="s">
        <v>4661</v>
      </c>
      <c r="G286" t="s">
        <v>15</v>
      </c>
      <c r="H286" t="s">
        <v>14</v>
      </c>
      <c r="I286" t="s">
        <v>4660</v>
      </c>
      <c r="J286" t="s">
        <v>4659</v>
      </c>
      <c r="K286" t="s">
        <v>4658</v>
      </c>
      <c r="L286" t="s">
        <v>4657</v>
      </c>
      <c r="M286" t="s">
        <v>91</v>
      </c>
      <c r="N286">
        <v>2</v>
      </c>
      <c r="O286" t="s">
        <v>4656</v>
      </c>
      <c r="P286" t="s">
        <v>4655</v>
      </c>
      <c r="Q286" t="s">
        <v>4654</v>
      </c>
      <c r="R286" s="7">
        <v>30317</v>
      </c>
      <c r="S286" s="8">
        <f t="shared" si="32"/>
        <v>1983</v>
      </c>
      <c r="T286" s="8">
        <v>1983</v>
      </c>
      <c r="U286" s="8">
        <f t="shared" si="33"/>
        <v>39</v>
      </c>
      <c r="V286" s="7">
        <v>30560</v>
      </c>
      <c r="W286" t="s">
        <v>1687</v>
      </c>
      <c r="X286" s="2">
        <v>1.3720000000000001</v>
      </c>
      <c r="Y286" s="6">
        <f t="shared" si="38"/>
        <v>3.662475641333654E-2</v>
      </c>
      <c r="AA286">
        <v>189480</v>
      </c>
      <c r="AB286">
        <v>17366</v>
      </c>
      <c r="AC286">
        <v>15579670</v>
      </c>
      <c r="AD286" t="s">
        <v>5</v>
      </c>
      <c r="AE286">
        <v>31</v>
      </c>
      <c r="AF286">
        <v>9</v>
      </c>
      <c r="AH286" t="s">
        <v>4653</v>
      </c>
      <c r="AI286" t="s">
        <v>4652</v>
      </c>
      <c r="AK286" t="s">
        <v>4651</v>
      </c>
      <c r="AL286">
        <v>9</v>
      </c>
      <c r="AM286" s="5">
        <f t="shared" si="34"/>
        <v>0.23076923076923078</v>
      </c>
      <c r="AN286" s="4">
        <f t="shared" si="39"/>
        <v>3.4951795648501444E-4</v>
      </c>
      <c r="AO286" s="3"/>
      <c r="AP286">
        <v>0</v>
      </c>
      <c r="AR286" t="s">
        <v>1</v>
      </c>
      <c r="AT286" s="2" t="s">
        <v>0</v>
      </c>
      <c r="AU286" s="1">
        <f t="shared" si="35"/>
        <v>2.5742184876281082</v>
      </c>
      <c r="AV286" s="1">
        <f t="shared" si="36"/>
        <v>1.8487137184910778</v>
      </c>
      <c r="AW286" s="1">
        <f t="shared" si="37"/>
        <v>1.1232089493540474</v>
      </c>
    </row>
    <row r="287" spans="1:49" x14ac:dyDescent="0.2">
      <c r="A287">
        <v>285</v>
      </c>
      <c r="B287" t="s">
        <v>4650</v>
      </c>
      <c r="C287" t="s">
        <v>4649</v>
      </c>
      <c r="D287" t="s">
        <v>4648</v>
      </c>
      <c r="E287">
        <v>6414380</v>
      </c>
      <c r="F287" t="s">
        <v>4647</v>
      </c>
      <c r="G287" t="s">
        <v>15</v>
      </c>
      <c r="H287" t="s">
        <v>14</v>
      </c>
      <c r="I287" t="s">
        <v>4646</v>
      </c>
      <c r="J287">
        <v>60025272</v>
      </c>
      <c r="K287" t="s">
        <v>4645</v>
      </c>
      <c r="L287" t="s">
        <v>56</v>
      </c>
      <c r="M287" t="s">
        <v>55</v>
      </c>
      <c r="N287">
        <v>2</v>
      </c>
      <c r="O287" t="s">
        <v>4644</v>
      </c>
      <c r="P287" t="s">
        <v>4643</v>
      </c>
      <c r="Q287" t="s">
        <v>4642</v>
      </c>
      <c r="R287" s="7">
        <v>30317</v>
      </c>
      <c r="S287" s="8">
        <f t="shared" ref="S287:S350" si="40">YEAR(R287)</f>
        <v>1983</v>
      </c>
      <c r="T287" s="8">
        <v>1983</v>
      </c>
      <c r="U287" s="8">
        <f t="shared" ref="U287:U350" si="41">2022-T287</f>
        <v>39</v>
      </c>
      <c r="V287" s="7">
        <v>30560</v>
      </c>
      <c r="W287" t="s">
        <v>4641</v>
      </c>
      <c r="X287" s="2">
        <v>1.097</v>
      </c>
      <c r="Y287" s="6">
        <f t="shared" si="38"/>
        <v>2.9283788473345614E-2</v>
      </c>
      <c r="AA287">
        <v>39861</v>
      </c>
      <c r="AB287">
        <v>16811</v>
      </c>
      <c r="AC287">
        <v>10960384</v>
      </c>
      <c r="AD287" t="s">
        <v>5</v>
      </c>
      <c r="AE287">
        <v>225</v>
      </c>
      <c r="AF287">
        <v>2</v>
      </c>
      <c r="AH287" t="s">
        <v>4640</v>
      </c>
      <c r="AI287" t="s">
        <v>4639</v>
      </c>
      <c r="AK287" t="s">
        <v>4638</v>
      </c>
      <c r="AL287">
        <v>43</v>
      </c>
      <c r="AM287" s="5">
        <f t="shared" ref="AM287:AM350" si="42">AL287/U287</f>
        <v>1.1025641025641026</v>
      </c>
      <c r="AN287" s="4">
        <f t="shared" si="39"/>
        <v>1.6699191254284024E-3</v>
      </c>
      <c r="AO287" s="3"/>
      <c r="AP287">
        <v>0</v>
      </c>
      <c r="AR287">
        <v>56112003</v>
      </c>
      <c r="AT287" s="2" t="s">
        <v>0</v>
      </c>
      <c r="AU287" s="1">
        <f t="shared" ref="AU287:AU350" si="43">(Y287*0.7+AN287*0.3)*100</f>
        <v>2.0999627668970451</v>
      </c>
      <c r="AV287" s="1">
        <f t="shared" ref="AV287:AV350" si="44">(Y287*0.5+AN287*0.5)*100</f>
        <v>1.5476853799387009</v>
      </c>
      <c r="AW287" s="1">
        <f t="shared" ref="AW287:AW350" si="45">(Y287*0.3+AN287*0.7)*100</f>
        <v>0.99540799298035654</v>
      </c>
    </row>
    <row r="288" spans="1:49" x14ac:dyDescent="0.2">
      <c r="A288">
        <v>286</v>
      </c>
      <c r="B288" t="s">
        <v>4637</v>
      </c>
      <c r="C288" t="s">
        <v>4636</v>
      </c>
      <c r="F288" t="s">
        <v>4635</v>
      </c>
      <c r="G288" t="s">
        <v>15</v>
      </c>
      <c r="H288" t="s">
        <v>14</v>
      </c>
      <c r="I288" t="s">
        <v>1569</v>
      </c>
      <c r="J288">
        <v>60030526</v>
      </c>
      <c r="K288" t="s">
        <v>4634</v>
      </c>
      <c r="L288" t="s">
        <v>56</v>
      </c>
      <c r="M288" t="s">
        <v>55</v>
      </c>
      <c r="N288">
        <v>4</v>
      </c>
      <c r="O288" t="s">
        <v>4633</v>
      </c>
      <c r="P288" t="s">
        <v>4632</v>
      </c>
      <c r="Q288" t="s">
        <v>4631</v>
      </c>
      <c r="R288" s="7">
        <v>30317</v>
      </c>
      <c r="S288" s="8">
        <f t="shared" si="40"/>
        <v>1983</v>
      </c>
      <c r="T288" s="8">
        <v>1983</v>
      </c>
      <c r="U288" s="8">
        <f t="shared" si="41"/>
        <v>39</v>
      </c>
      <c r="V288" s="7">
        <v>30560</v>
      </c>
      <c r="W288" t="s">
        <v>1566</v>
      </c>
      <c r="X288" s="2">
        <v>0.251</v>
      </c>
      <c r="Y288" s="6">
        <f t="shared" si="38"/>
        <v>6.7003016470462617E-3</v>
      </c>
      <c r="AA288">
        <v>207217</v>
      </c>
      <c r="AB288">
        <v>26145</v>
      </c>
      <c r="AC288">
        <v>13623060</v>
      </c>
      <c r="AD288" t="s">
        <v>5</v>
      </c>
      <c r="AE288">
        <v>55</v>
      </c>
      <c r="AF288">
        <v>3</v>
      </c>
      <c r="AH288" t="s">
        <v>4630</v>
      </c>
      <c r="AI288" t="s">
        <v>4629</v>
      </c>
      <c r="AK288" t="s">
        <v>4628</v>
      </c>
      <c r="AL288">
        <v>9</v>
      </c>
      <c r="AM288" s="5">
        <f t="shared" si="42"/>
        <v>0.23076923076923078</v>
      </c>
      <c r="AN288" s="4">
        <f t="shared" si="39"/>
        <v>3.4951795648501444E-4</v>
      </c>
      <c r="AO288" s="3"/>
      <c r="AP288">
        <v>0</v>
      </c>
      <c r="AR288" t="s">
        <v>1</v>
      </c>
      <c r="AT288" s="2">
        <v>1.3360000000000001</v>
      </c>
      <c r="AU288" s="1">
        <f t="shared" si="43"/>
        <v>0.47950665398778869</v>
      </c>
      <c r="AV288" s="1">
        <f t="shared" si="44"/>
        <v>0.35249098017656377</v>
      </c>
      <c r="AW288" s="1">
        <f t="shared" si="45"/>
        <v>0.22547530636533886</v>
      </c>
    </row>
    <row r="289" spans="1:49" x14ac:dyDescent="0.2">
      <c r="A289">
        <v>287</v>
      </c>
      <c r="B289" t="s">
        <v>4627</v>
      </c>
      <c r="C289" t="s">
        <v>4626</v>
      </c>
      <c r="F289" t="s">
        <v>4625</v>
      </c>
      <c r="G289" t="s">
        <v>15</v>
      </c>
      <c r="H289" t="s">
        <v>14</v>
      </c>
      <c r="I289" t="s">
        <v>4624</v>
      </c>
      <c r="J289">
        <v>60005686</v>
      </c>
      <c r="K289" t="s">
        <v>4623</v>
      </c>
      <c r="L289" t="s">
        <v>4622</v>
      </c>
      <c r="M289" t="s">
        <v>3452</v>
      </c>
      <c r="N289">
        <v>1</v>
      </c>
      <c r="O289" t="s">
        <v>4621</v>
      </c>
      <c r="P289">
        <v>7202701174</v>
      </c>
      <c r="Q289">
        <v>60005686</v>
      </c>
      <c r="R289" s="7">
        <v>30317</v>
      </c>
      <c r="S289" s="8">
        <f t="shared" si="40"/>
        <v>1983</v>
      </c>
      <c r="T289" s="8">
        <v>1983</v>
      </c>
      <c r="U289" s="8">
        <f t="shared" si="41"/>
        <v>39</v>
      </c>
      <c r="V289" s="7">
        <v>30560</v>
      </c>
      <c r="W289" t="s">
        <v>1566</v>
      </c>
      <c r="X289" s="2">
        <v>0.251</v>
      </c>
      <c r="Y289" s="6">
        <f t="shared" si="38"/>
        <v>6.7003016470462617E-3</v>
      </c>
      <c r="AA289">
        <v>207217</v>
      </c>
      <c r="AB289">
        <v>26145</v>
      </c>
      <c r="AC289">
        <v>13623060</v>
      </c>
      <c r="AD289" t="s">
        <v>5</v>
      </c>
      <c r="AE289">
        <v>55</v>
      </c>
      <c r="AF289">
        <v>3</v>
      </c>
      <c r="AH289" t="s">
        <v>4620</v>
      </c>
      <c r="AI289" t="s">
        <v>4619</v>
      </c>
      <c r="AK289" t="s">
        <v>4618</v>
      </c>
      <c r="AL289">
        <v>2</v>
      </c>
      <c r="AM289" s="5">
        <f t="shared" si="42"/>
        <v>5.128205128205128E-2</v>
      </c>
      <c r="AN289" s="4">
        <f t="shared" si="39"/>
        <v>7.767065699666987E-5</v>
      </c>
      <c r="AO289" s="3"/>
      <c r="AP289">
        <v>0</v>
      </c>
      <c r="AR289" t="s">
        <v>1</v>
      </c>
      <c r="AT289" s="2">
        <v>1.3360000000000001</v>
      </c>
      <c r="AU289" s="1">
        <f t="shared" si="43"/>
        <v>0.47135123500313836</v>
      </c>
      <c r="AV289" s="1">
        <f t="shared" si="44"/>
        <v>0.33889861520214659</v>
      </c>
      <c r="AW289" s="1">
        <f t="shared" si="45"/>
        <v>0.20644599540115471</v>
      </c>
    </row>
    <row r="290" spans="1:49" x14ac:dyDescent="0.2">
      <c r="A290">
        <v>288</v>
      </c>
      <c r="B290" t="s">
        <v>4617</v>
      </c>
      <c r="C290" t="s">
        <v>4616</v>
      </c>
      <c r="F290" t="s">
        <v>4615</v>
      </c>
      <c r="G290" t="s">
        <v>15</v>
      </c>
      <c r="H290" t="s">
        <v>14</v>
      </c>
      <c r="I290" t="s">
        <v>4614</v>
      </c>
      <c r="J290">
        <v>60002959</v>
      </c>
      <c r="K290" t="s">
        <v>2378</v>
      </c>
      <c r="L290" t="s">
        <v>2377</v>
      </c>
      <c r="M290" t="s">
        <v>10</v>
      </c>
      <c r="N290">
        <v>1</v>
      </c>
      <c r="O290" t="s">
        <v>4613</v>
      </c>
      <c r="P290">
        <v>6701499493</v>
      </c>
      <c r="Q290">
        <v>60002959</v>
      </c>
      <c r="R290" s="7">
        <v>30317</v>
      </c>
      <c r="S290" s="8">
        <f t="shared" si="40"/>
        <v>1983</v>
      </c>
      <c r="T290" s="8">
        <v>1983</v>
      </c>
      <c r="U290" s="8">
        <f t="shared" si="41"/>
        <v>39</v>
      </c>
      <c r="V290" s="7">
        <v>30560</v>
      </c>
      <c r="W290" t="s">
        <v>3022</v>
      </c>
      <c r="X290" s="2">
        <v>1.573</v>
      </c>
      <c r="Y290" s="6">
        <f t="shared" si="38"/>
        <v>4.1990336616748086E-2</v>
      </c>
      <c r="AA290">
        <v>7315090</v>
      </c>
      <c r="AB290">
        <v>29586</v>
      </c>
      <c r="AD290" t="s">
        <v>5</v>
      </c>
      <c r="AE290">
        <v>6</v>
      </c>
      <c r="AF290">
        <v>5</v>
      </c>
      <c r="AH290" t="s">
        <v>4612</v>
      </c>
      <c r="AI290" t="s">
        <v>4611</v>
      </c>
      <c r="AK290" t="s">
        <v>4610</v>
      </c>
      <c r="AL290">
        <v>11</v>
      </c>
      <c r="AM290" s="5">
        <f t="shared" si="42"/>
        <v>0.28205128205128205</v>
      </c>
      <c r="AN290" s="4">
        <f t="shared" si="39"/>
        <v>4.2718861348168429E-4</v>
      </c>
      <c r="AO290" s="3"/>
      <c r="AP290">
        <v>0</v>
      </c>
      <c r="AQ290" t="s">
        <v>415</v>
      </c>
      <c r="AR290" t="s">
        <v>4609</v>
      </c>
      <c r="AS290" t="s">
        <v>414</v>
      </c>
      <c r="AT290" s="2" t="s">
        <v>0</v>
      </c>
      <c r="AU290" s="1">
        <f t="shared" si="43"/>
        <v>2.9521392215768163</v>
      </c>
      <c r="AV290" s="1">
        <f t="shared" si="44"/>
        <v>2.1208762615114884</v>
      </c>
      <c r="AW290" s="1">
        <f t="shared" si="45"/>
        <v>1.2896133014461604</v>
      </c>
    </row>
    <row r="291" spans="1:49" x14ac:dyDescent="0.2">
      <c r="A291">
        <v>289</v>
      </c>
      <c r="B291" t="s">
        <v>4608</v>
      </c>
      <c r="C291" t="s">
        <v>4607</v>
      </c>
      <c r="F291" t="s">
        <v>4606</v>
      </c>
      <c r="G291" t="s">
        <v>15</v>
      </c>
      <c r="H291" t="s">
        <v>14</v>
      </c>
      <c r="I291" t="s">
        <v>4605</v>
      </c>
      <c r="N291">
        <v>2</v>
      </c>
      <c r="O291" t="s">
        <v>4604</v>
      </c>
      <c r="P291" t="s">
        <v>4603</v>
      </c>
      <c r="Q291" t="s">
        <v>342</v>
      </c>
      <c r="R291" s="7">
        <v>30317</v>
      </c>
      <c r="S291" s="8">
        <f t="shared" si="40"/>
        <v>1983</v>
      </c>
      <c r="T291" s="8">
        <v>1983</v>
      </c>
      <c r="U291" s="8">
        <f t="shared" si="41"/>
        <v>39</v>
      </c>
      <c r="V291" s="7" t="s">
        <v>4186</v>
      </c>
      <c r="W291" t="s">
        <v>4602</v>
      </c>
      <c r="X291" s="2" t="s">
        <v>0</v>
      </c>
      <c r="Y291" s="6" t="e">
        <f t="shared" si="38"/>
        <v>#VALUE!</v>
      </c>
      <c r="AA291">
        <v>7380666</v>
      </c>
      <c r="AB291">
        <v>50116</v>
      </c>
      <c r="AD291" t="s">
        <v>5</v>
      </c>
      <c r="AE291">
        <v>105</v>
      </c>
      <c r="AF291">
        <v>3</v>
      </c>
      <c r="AH291" t="s">
        <v>4601</v>
      </c>
      <c r="AI291" t="s">
        <v>4600</v>
      </c>
      <c r="AK291" t="s">
        <v>4599</v>
      </c>
      <c r="AL291">
        <v>1</v>
      </c>
      <c r="AM291" s="5">
        <f t="shared" si="42"/>
        <v>2.564102564102564E-2</v>
      </c>
      <c r="AN291" s="4">
        <f t="shared" si="39"/>
        <v>3.8835328498334935E-5</v>
      </c>
      <c r="AO291" s="3"/>
      <c r="AP291">
        <v>0</v>
      </c>
      <c r="AR291" t="s">
        <v>1</v>
      </c>
      <c r="AT291" s="2" t="s">
        <v>0</v>
      </c>
      <c r="AU291" s="1" t="e">
        <f t="shared" si="43"/>
        <v>#VALUE!</v>
      </c>
      <c r="AV291" s="1" t="e">
        <f t="shared" si="44"/>
        <v>#VALUE!</v>
      </c>
      <c r="AW291" s="1" t="e">
        <f t="shared" si="45"/>
        <v>#VALUE!</v>
      </c>
    </row>
    <row r="292" spans="1:49" x14ac:dyDescent="0.2">
      <c r="A292">
        <v>290</v>
      </c>
      <c r="B292" t="s">
        <v>4598</v>
      </c>
      <c r="F292" t="s">
        <v>4597</v>
      </c>
      <c r="G292" t="s">
        <v>15</v>
      </c>
      <c r="H292" t="s">
        <v>14</v>
      </c>
      <c r="I292" t="s">
        <v>4596</v>
      </c>
      <c r="N292">
        <v>2</v>
      </c>
      <c r="O292" t="s">
        <v>4595</v>
      </c>
      <c r="P292" t="s">
        <v>4594</v>
      </c>
      <c r="Q292" t="s">
        <v>342</v>
      </c>
      <c r="R292" s="7">
        <v>30317</v>
      </c>
      <c r="S292" s="8">
        <f t="shared" si="40"/>
        <v>1983</v>
      </c>
      <c r="T292" s="8">
        <v>1983</v>
      </c>
      <c r="U292" s="8">
        <f t="shared" si="41"/>
        <v>39</v>
      </c>
      <c r="V292" s="7" t="s">
        <v>4186</v>
      </c>
      <c r="W292" t="s">
        <v>536</v>
      </c>
      <c r="X292" s="2">
        <v>0.14099999999999999</v>
      </c>
      <c r="Y292" s="6">
        <f t="shared" si="38"/>
        <v>3.7639144710498915E-3</v>
      </c>
      <c r="AA292">
        <v>402508</v>
      </c>
      <c r="AB292">
        <v>20868</v>
      </c>
      <c r="AD292" t="s">
        <v>5</v>
      </c>
      <c r="AE292" t="s">
        <v>535</v>
      </c>
      <c r="AF292">
        <v>9</v>
      </c>
      <c r="AH292" t="s">
        <v>4593</v>
      </c>
      <c r="AI292" t="s">
        <v>4592</v>
      </c>
      <c r="AK292" t="s">
        <v>4591</v>
      </c>
      <c r="AL292">
        <v>0</v>
      </c>
      <c r="AM292" s="5">
        <f t="shared" si="42"/>
        <v>0</v>
      </c>
      <c r="AN292" s="4">
        <f t="shared" si="39"/>
        <v>0</v>
      </c>
      <c r="AO292" s="3"/>
      <c r="AP292">
        <v>0</v>
      </c>
      <c r="AR292" t="s">
        <v>1</v>
      </c>
      <c r="AT292" s="2" t="s">
        <v>0</v>
      </c>
      <c r="AU292" s="1">
        <f t="shared" si="43"/>
        <v>0.26347401297349238</v>
      </c>
      <c r="AV292" s="1">
        <f t="shared" si="44"/>
        <v>0.18819572355249459</v>
      </c>
      <c r="AW292" s="1">
        <f t="shared" si="45"/>
        <v>0.11291743413149673</v>
      </c>
    </row>
    <row r="293" spans="1:49" x14ac:dyDescent="0.2">
      <c r="A293">
        <v>291</v>
      </c>
      <c r="B293" t="s">
        <v>4590</v>
      </c>
      <c r="F293" t="s">
        <v>4589</v>
      </c>
      <c r="G293" t="s">
        <v>15</v>
      </c>
      <c r="H293" t="s">
        <v>14</v>
      </c>
      <c r="I293" t="s">
        <v>4588</v>
      </c>
      <c r="N293">
        <v>3</v>
      </c>
      <c r="O293" t="s">
        <v>4587</v>
      </c>
      <c r="P293" t="s">
        <v>4586</v>
      </c>
      <c r="Q293" t="s">
        <v>510</v>
      </c>
      <c r="R293" s="7">
        <v>30317</v>
      </c>
      <c r="S293" s="8">
        <f t="shared" si="40"/>
        <v>1983</v>
      </c>
      <c r="T293" s="8">
        <v>1983</v>
      </c>
      <c r="U293" s="8">
        <f t="shared" si="41"/>
        <v>39</v>
      </c>
      <c r="V293" s="7" t="s">
        <v>4186</v>
      </c>
      <c r="W293" t="s">
        <v>536</v>
      </c>
      <c r="X293" s="2">
        <v>0.14099999999999999</v>
      </c>
      <c r="Y293" s="6">
        <f t="shared" si="38"/>
        <v>3.7639144710498915E-3</v>
      </c>
      <c r="AA293">
        <v>402508</v>
      </c>
      <c r="AB293">
        <v>20868</v>
      </c>
      <c r="AD293" t="s">
        <v>5</v>
      </c>
      <c r="AE293" t="s">
        <v>535</v>
      </c>
      <c r="AF293">
        <v>9</v>
      </c>
      <c r="AH293" t="s">
        <v>4585</v>
      </c>
      <c r="AI293" t="s">
        <v>4584</v>
      </c>
      <c r="AK293" t="s">
        <v>4583</v>
      </c>
      <c r="AL293">
        <v>0</v>
      </c>
      <c r="AM293" s="5">
        <f t="shared" si="42"/>
        <v>0</v>
      </c>
      <c r="AN293" s="4">
        <f t="shared" si="39"/>
        <v>0</v>
      </c>
      <c r="AO293" s="3"/>
      <c r="AP293">
        <v>0</v>
      </c>
      <c r="AR293" t="s">
        <v>1</v>
      </c>
      <c r="AT293" s="2" t="s">
        <v>0</v>
      </c>
      <c r="AU293" s="1">
        <f t="shared" si="43"/>
        <v>0.26347401297349238</v>
      </c>
      <c r="AV293" s="1">
        <f t="shared" si="44"/>
        <v>0.18819572355249459</v>
      </c>
      <c r="AW293" s="1">
        <f t="shared" si="45"/>
        <v>0.11291743413149673</v>
      </c>
    </row>
    <row r="294" spans="1:49" x14ac:dyDescent="0.2">
      <c r="A294">
        <v>292</v>
      </c>
      <c r="B294" t="s">
        <v>4582</v>
      </c>
      <c r="F294" t="s">
        <v>4581</v>
      </c>
      <c r="G294" t="s">
        <v>15</v>
      </c>
      <c r="H294" t="s">
        <v>14</v>
      </c>
      <c r="I294" t="s">
        <v>4580</v>
      </c>
      <c r="N294">
        <v>2</v>
      </c>
      <c r="O294" t="s">
        <v>4579</v>
      </c>
      <c r="P294" t="s">
        <v>4578</v>
      </c>
      <c r="Q294" t="s">
        <v>342</v>
      </c>
      <c r="R294" s="7">
        <v>30317</v>
      </c>
      <c r="S294" s="8">
        <f t="shared" si="40"/>
        <v>1983</v>
      </c>
      <c r="T294" s="8">
        <v>1983</v>
      </c>
      <c r="U294" s="8">
        <f t="shared" si="41"/>
        <v>39</v>
      </c>
      <c r="V294" s="7" t="s">
        <v>4186</v>
      </c>
      <c r="W294" t="s">
        <v>3506</v>
      </c>
      <c r="X294" s="2" t="s">
        <v>0</v>
      </c>
      <c r="Y294" s="6" t="e">
        <f t="shared" si="38"/>
        <v>#VALUE!</v>
      </c>
      <c r="AA294">
        <v>262897</v>
      </c>
      <c r="AB294">
        <v>18580</v>
      </c>
      <c r="AD294" t="s">
        <v>5</v>
      </c>
      <c r="AE294">
        <v>26</v>
      </c>
      <c r="AF294">
        <v>9</v>
      </c>
      <c r="AI294" t="s">
        <v>4577</v>
      </c>
      <c r="AK294" t="s">
        <v>4576</v>
      </c>
      <c r="AL294">
        <v>2</v>
      </c>
      <c r="AM294" s="5">
        <f t="shared" si="42"/>
        <v>5.128205128205128E-2</v>
      </c>
      <c r="AN294" s="4">
        <f t="shared" si="39"/>
        <v>7.767065699666987E-5</v>
      </c>
      <c r="AO294" s="3"/>
      <c r="AP294">
        <v>0</v>
      </c>
      <c r="AR294" t="s">
        <v>1</v>
      </c>
      <c r="AT294" s="2">
        <v>0.30599999999999999</v>
      </c>
      <c r="AU294" s="1" t="e">
        <f t="shared" si="43"/>
        <v>#VALUE!</v>
      </c>
      <c r="AV294" s="1" t="e">
        <f t="shared" si="44"/>
        <v>#VALUE!</v>
      </c>
      <c r="AW294" s="1" t="e">
        <f t="shared" si="45"/>
        <v>#VALUE!</v>
      </c>
    </row>
    <row r="295" spans="1:49" x14ac:dyDescent="0.2">
      <c r="A295">
        <v>293</v>
      </c>
      <c r="B295" t="s">
        <v>4575</v>
      </c>
      <c r="F295" t="s">
        <v>4574</v>
      </c>
      <c r="G295" t="s">
        <v>15</v>
      </c>
      <c r="H295" t="s">
        <v>14</v>
      </c>
      <c r="I295" t="s">
        <v>4573</v>
      </c>
      <c r="N295">
        <v>1</v>
      </c>
      <c r="O295" t="s">
        <v>4572</v>
      </c>
      <c r="P295">
        <v>7006353178</v>
      </c>
      <c r="R295" s="7">
        <v>30317</v>
      </c>
      <c r="S295" s="8">
        <f t="shared" si="40"/>
        <v>1983</v>
      </c>
      <c r="T295" s="8">
        <v>1983</v>
      </c>
      <c r="U295" s="8">
        <f t="shared" si="41"/>
        <v>39</v>
      </c>
      <c r="V295" s="7" t="s">
        <v>4186</v>
      </c>
      <c r="W295" t="s">
        <v>536</v>
      </c>
      <c r="X295" s="2">
        <v>0.14099999999999999</v>
      </c>
      <c r="Y295" s="6">
        <f t="shared" si="38"/>
        <v>3.7639144710498915E-3</v>
      </c>
      <c r="AA295">
        <v>402508</v>
      </c>
      <c r="AB295">
        <v>20868</v>
      </c>
      <c r="AD295" t="s">
        <v>5</v>
      </c>
      <c r="AE295" t="s">
        <v>535</v>
      </c>
      <c r="AF295">
        <v>9</v>
      </c>
      <c r="AH295" t="s">
        <v>4571</v>
      </c>
      <c r="AI295" t="s">
        <v>4570</v>
      </c>
      <c r="AK295" t="s">
        <v>4569</v>
      </c>
      <c r="AL295">
        <v>0</v>
      </c>
      <c r="AM295" s="5">
        <f t="shared" si="42"/>
        <v>0</v>
      </c>
      <c r="AN295" s="4">
        <f t="shared" si="39"/>
        <v>0</v>
      </c>
      <c r="AO295" s="3"/>
      <c r="AP295">
        <v>0</v>
      </c>
      <c r="AR295" t="s">
        <v>1</v>
      </c>
      <c r="AT295" s="2" t="s">
        <v>0</v>
      </c>
      <c r="AU295" s="1">
        <f t="shared" si="43"/>
        <v>0.26347401297349238</v>
      </c>
      <c r="AV295" s="1">
        <f t="shared" si="44"/>
        <v>0.18819572355249459</v>
      </c>
      <c r="AW295" s="1">
        <f t="shared" si="45"/>
        <v>0.11291743413149673</v>
      </c>
    </row>
    <row r="296" spans="1:49" x14ac:dyDescent="0.2">
      <c r="A296">
        <v>294</v>
      </c>
      <c r="B296" t="s">
        <v>4568</v>
      </c>
      <c r="C296" t="s">
        <v>4567</v>
      </c>
      <c r="F296" t="s">
        <v>4566</v>
      </c>
      <c r="G296" t="s">
        <v>15</v>
      </c>
      <c r="H296" t="s">
        <v>14</v>
      </c>
      <c r="I296" t="s">
        <v>4565</v>
      </c>
      <c r="J296" t="s">
        <v>4564</v>
      </c>
      <c r="K296" t="s">
        <v>4563</v>
      </c>
      <c r="L296" t="s">
        <v>4562</v>
      </c>
      <c r="M296" t="s">
        <v>91</v>
      </c>
      <c r="N296">
        <v>2</v>
      </c>
      <c r="O296" t="s">
        <v>4561</v>
      </c>
      <c r="P296" t="s">
        <v>4560</v>
      </c>
      <c r="Q296" t="s">
        <v>4559</v>
      </c>
      <c r="R296" s="7">
        <v>30317</v>
      </c>
      <c r="S296" s="8">
        <f t="shared" si="40"/>
        <v>1983</v>
      </c>
      <c r="T296" s="8">
        <v>1983</v>
      </c>
      <c r="U296" s="8">
        <f t="shared" si="41"/>
        <v>39</v>
      </c>
      <c r="V296" s="7">
        <v>30560</v>
      </c>
      <c r="W296" t="s">
        <v>4558</v>
      </c>
      <c r="X296" s="2">
        <v>0.69</v>
      </c>
      <c r="Y296" s="6">
        <f t="shared" si="38"/>
        <v>1.8419155922159043E-2</v>
      </c>
      <c r="AA296">
        <v>218936</v>
      </c>
      <c r="AB296">
        <v>20949</v>
      </c>
      <c r="AC296">
        <v>15289036</v>
      </c>
      <c r="AD296" t="s">
        <v>5</v>
      </c>
      <c r="AE296">
        <v>50</v>
      </c>
      <c r="AF296">
        <v>3</v>
      </c>
      <c r="AH296" t="s">
        <v>4557</v>
      </c>
      <c r="AI296" t="s">
        <v>4556</v>
      </c>
      <c r="AK296" t="s">
        <v>4555</v>
      </c>
      <c r="AL296">
        <v>0</v>
      </c>
      <c r="AM296" s="5">
        <f t="shared" si="42"/>
        <v>0</v>
      </c>
      <c r="AN296" s="4">
        <f t="shared" si="39"/>
        <v>0</v>
      </c>
      <c r="AO296" s="3"/>
      <c r="AP296">
        <v>0</v>
      </c>
      <c r="AR296" t="s">
        <v>1</v>
      </c>
      <c r="AT296" s="2" t="s">
        <v>0</v>
      </c>
      <c r="AU296" s="1">
        <f t="shared" si="43"/>
        <v>1.289340914551133</v>
      </c>
      <c r="AV296" s="1">
        <f t="shared" si="44"/>
        <v>0.92095779610795214</v>
      </c>
      <c r="AW296" s="1">
        <f t="shared" si="45"/>
        <v>0.55257467766477131</v>
      </c>
    </row>
    <row r="297" spans="1:49" x14ac:dyDescent="0.2">
      <c r="A297">
        <v>295</v>
      </c>
      <c r="B297" t="s">
        <v>4554</v>
      </c>
      <c r="C297" t="s">
        <v>4553</v>
      </c>
      <c r="F297" t="s">
        <v>4552</v>
      </c>
      <c r="G297" t="s">
        <v>15</v>
      </c>
      <c r="H297" t="s">
        <v>14</v>
      </c>
      <c r="I297" t="s">
        <v>4551</v>
      </c>
      <c r="J297">
        <v>60029575</v>
      </c>
      <c r="K297" t="s">
        <v>623</v>
      </c>
      <c r="L297" t="s">
        <v>622</v>
      </c>
      <c r="M297" t="s">
        <v>10</v>
      </c>
      <c r="N297">
        <v>1</v>
      </c>
      <c r="O297" t="s">
        <v>4550</v>
      </c>
      <c r="P297">
        <v>7003489341</v>
      </c>
      <c r="Q297">
        <v>60029575</v>
      </c>
      <c r="R297" s="7">
        <v>30317</v>
      </c>
      <c r="S297" s="8">
        <f t="shared" si="40"/>
        <v>1983</v>
      </c>
      <c r="T297" s="8">
        <v>1983</v>
      </c>
      <c r="U297" s="8">
        <f t="shared" si="41"/>
        <v>39</v>
      </c>
      <c r="V297" s="7">
        <v>30560</v>
      </c>
      <c r="W297" t="s">
        <v>817</v>
      </c>
      <c r="X297" s="2">
        <v>2.9860000000000002</v>
      </c>
      <c r="Y297" s="6">
        <f t="shared" si="38"/>
        <v>7.9709564613865094E-2</v>
      </c>
      <c r="AA297">
        <v>7338716</v>
      </c>
      <c r="AB297">
        <v>18902</v>
      </c>
      <c r="AD297" t="s">
        <v>5</v>
      </c>
      <c r="AE297">
        <v>1</v>
      </c>
      <c r="AF297">
        <v>4</v>
      </c>
      <c r="AH297" t="s">
        <v>4549</v>
      </c>
      <c r="AI297" t="s">
        <v>4548</v>
      </c>
      <c r="AK297" t="s">
        <v>4547</v>
      </c>
      <c r="AL297">
        <v>7</v>
      </c>
      <c r="AM297" s="5">
        <f t="shared" si="42"/>
        <v>0.17948717948717949</v>
      </c>
      <c r="AN297" s="4">
        <f t="shared" si="39"/>
        <v>2.7184729948834453E-4</v>
      </c>
      <c r="AO297" s="3"/>
      <c r="AP297">
        <v>0</v>
      </c>
      <c r="AR297" t="s">
        <v>1</v>
      </c>
      <c r="AT297" s="2" t="s">
        <v>0</v>
      </c>
      <c r="AU297" s="1">
        <f t="shared" si="43"/>
        <v>5.5878249419552066</v>
      </c>
      <c r="AV297" s="1">
        <f t="shared" si="44"/>
        <v>3.9990705956676718</v>
      </c>
      <c r="AW297" s="1">
        <f t="shared" si="45"/>
        <v>2.4103162493801369</v>
      </c>
    </row>
    <row r="298" spans="1:49" x14ac:dyDescent="0.2">
      <c r="A298">
        <v>296</v>
      </c>
      <c r="B298" t="s">
        <v>4546</v>
      </c>
      <c r="F298" t="s">
        <v>4545</v>
      </c>
      <c r="G298" t="s">
        <v>15</v>
      </c>
      <c r="H298" t="s">
        <v>14</v>
      </c>
      <c r="I298" t="s">
        <v>4544</v>
      </c>
      <c r="N298">
        <v>2</v>
      </c>
      <c r="O298" t="s">
        <v>4543</v>
      </c>
      <c r="P298" t="s">
        <v>4542</v>
      </c>
      <c r="Q298" t="s">
        <v>342</v>
      </c>
      <c r="R298" s="7">
        <v>30317</v>
      </c>
      <c r="S298" s="8">
        <f t="shared" si="40"/>
        <v>1983</v>
      </c>
      <c r="T298" s="8">
        <v>1983</v>
      </c>
      <c r="U298" s="8">
        <f t="shared" si="41"/>
        <v>39</v>
      </c>
      <c r="V298" s="7" t="s">
        <v>4186</v>
      </c>
      <c r="W298" t="s">
        <v>560</v>
      </c>
      <c r="X298" s="2" t="s">
        <v>0</v>
      </c>
      <c r="Y298" s="6" t="e">
        <f t="shared" si="38"/>
        <v>#VALUE!</v>
      </c>
      <c r="AA298">
        <v>337889</v>
      </c>
      <c r="AB298">
        <v>40920</v>
      </c>
      <c r="AD298" t="s">
        <v>5</v>
      </c>
      <c r="AE298">
        <v>28</v>
      </c>
      <c r="AF298">
        <v>9</v>
      </c>
      <c r="AH298" t="s">
        <v>4541</v>
      </c>
      <c r="AI298" t="s">
        <v>4540</v>
      </c>
      <c r="AK298" t="s">
        <v>4539</v>
      </c>
      <c r="AL298">
        <v>0</v>
      </c>
      <c r="AM298" s="5">
        <f t="shared" si="42"/>
        <v>0</v>
      </c>
      <c r="AN298" s="4">
        <f t="shared" si="39"/>
        <v>0</v>
      </c>
      <c r="AO298" s="3"/>
      <c r="AP298">
        <v>0</v>
      </c>
      <c r="AR298" t="s">
        <v>1</v>
      </c>
      <c r="AT298" s="2" t="s">
        <v>0</v>
      </c>
      <c r="AU298" s="1" t="e">
        <f t="shared" si="43"/>
        <v>#VALUE!</v>
      </c>
      <c r="AV298" s="1" t="e">
        <f t="shared" si="44"/>
        <v>#VALUE!</v>
      </c>
      <c r="AW298" s="1" t="e">
        <f t="shared" si="45"/>
        <v>#VALUE!</v>
      </c>
    </row>
    <row r="299" spans="1:49" x14ac:dyDescent="0.2">
      <c r="A299">
        <v>297</v>
      </c>
      <c r="B299" t="s">
        <v>4538</v>
      </c>
      <c r="C299" t="s">
        <v>4537</v>
      </c>
      <c r="F299" t="s">
        <v>4536</v>
      </c>
      <c r="G299" t="s">
        <v>15</v>
      </c>
      <c r="H299" t="s">
        <v>14</v>
      </c>
      <c r="I299" t="s">
        <v>4535</v>
      </c>
      <c r="J299">
        <v>60030551</v>
      </c>
      <c r="K299" t="s">
        <v>3078</v>
      </c>
      <c r="L299" t="s">
        <v>3077</v>
      </c>
      <c r="M299" t="s">
        <v>10</v>
      </c>
      <c r="N299">
        <v>2</v>
      </c>
      <c r="O299" t="s">
        <v>4534</v>
      </c>
      <c r="P299" t="s">
        <v>4533</v>
      </c>
      <c r="Q299" t="s">
        <v>3074</v>
      </c>
      <c r="R299" s="7">
        <v>30317</v>
      </c>
      <c r="S299" s="8">
        <f t="shared" si="40"/>
        <v>1983</v>
      </c>
      <c r="T299" s="8">
        <v>1983</v>
      </c>
      <c r="U299" s="8">
        <f t="shared" si="41"/>
        <v>39</v>
      </c>
      <c r="V299" s="7">
        <v>30560</v>
      </c>
      <c r="W299" t="s">
        <v>618</v>
      </c>
      <c r="X299" s="2">
        <v>1.6519999999999999</v>
      </c>
      <c r="Y299" s="6">
        <f t="shared" si="38"/>
        <v>4.409919649769093E-2</v>
      </c>
      <c r="AA299" t="s">
        <v>617</v>
      </c>
      <c r="AB299">
        <v>17337</v>
      </c>
      <c r="AC299">
        <v>15582221</v>
      </c>
      <c r="AD299" t="s">
        <v>5</v>
      </c>
      <c r="AE299">
        <v>31</v>
      </c>
      <c r="AF299">
        <v>5</v>
      </c>
      <c r="AH299" t="s">
        <v>4532</v>
      </c>
      <c r="AI299" t="s">
        <v>4531</v>
      </c>
      <c r="AK299" t="s">
        <v>4530</v>
      </c>
      <c r="AL299">
        <v>28</v>
      </c>
      <c r="AM299" s="5">
        <f t="shared" si="42"/>
        <v>0.71794871794871795</v>
      </c>
      <c r="AN299" s="4">
        <f t="shared" si="39"/>
        <v>1.0873891979533781E-3</v>
      </c>
      <c r="AO299" s="3"/>
      <c r="AP299">
        <v>0</v>
      </c>
      <c r="AR299" t="s">
        <v>1</v>
      </c>
      <c r="AT299" s="2" t="s">
        <v>0</v>
      </c>
      <c r="AU299" s="1">
        <f t="shared" si="43"/>
        <v>3.1195654307769662</v>
      </c>
      <c r="AV299" s="1">
        <f t="shared" si="44"/>
        <v>2.2593292847822153</v>
      </c>
      <c r="AW299" s="1">
        <f t="shared" si="45"/>
        <v>1.3990931387874641</v>
      </c>
    </row>
    <row r="300" spans="1:49" x14ac:dyDescent="0.2">
      <c r="A300">
        <v>298</v>
      </c>
      <c r="B300" t="s">
        <v>4529</v>
      </c>
      <c r="C300" t="s">
        <v>4528</v>
      </c>
      <c r="F300" t="s">
        <v>4527</v>
      </c>
      <c r="G300" t="s">
        <v>15</v>
      </c>
      <c r="H300" t="s">
        <v>14</v>
      </c>
      <c r="I300" t="s">
        <v>4164</v>
      </c>
      <c r="J300">
        <v>60025757</v>
      </c>
      <c r="K300" t="s">
        <v>4526</v>
      </c>
      <c r="L300" t="s">
        <v>4525</v>
      </c>
      <c r="M300" t="s">
        <v>175</v>
      </c>
      <c r="N300">
        <v>3</v>
      </c>
      <c r="O300" t="s">
        <v>4524</v>
      </c>
      <c r="P300" t="s">
        <v>4523</v>
      </c>
      <c r="Q300" t="s">
        <v>4522</v>
      </c>
      <c r="R300" s="7">
        <v>30317</v>
      </c>
      <c r="S300" s="8">
        <f t="shared" si="40"/>
        <v>1983</v>
      </c>
      <c r="T300" s="8">
        <v>1983</v>
      </c>
      <c r="U300" s="8">
        <f t="shared" si="41"/>
        <v>39</v>
      </c>
      <c r="V300" s="7">
        <v>30560</v>
      </c>
      <c r="W300" t="s">
        <v>618</v>
      </c>
      <c r="X300" s="2">
        <v>1.6519999999999999</v>
      </c>
      <c r="Y300" s="6">
        <f t="shared" si="38"/>
        <v>4.409919649769093E-2</v>
      </c>
      <c r="AA300" t="s">
        <v>617</v>
      </c>
      <c r="AB300">
        <v>17337</v>
      </c>
      <c r="AC300">
        <v>15582221</v>
      </c>
      <c r="AD300" t="s">
        <v>5</v>
      </c>
      <c r="AE300">
        <v>31</v>
      </c>
      <c r="AF300">
        <v>5</v>
      </c>
      <c r="AH300" t="s">
        <v>4521</v>
      </c>
      <c r="AI300" t="s">
        <v>4520</v>
      </c>
      <c r="AK300" t="s">
        <v>4519</v>
      </c>
      <c r="AL300">
        <v>6</v>
      </c>
      <c r="AM300" s="5">
        <f t="shared" si="42"/>
        <v>0.15384615384615385</v>
      </c>
      <c r="AN300" s="4">
        <f t="shared" si="39"/>
        <v>2.3301197099000962E-4</v>
      </c>
      <c r="AO300" s="3"/>
      <c r="AP300">
        <v>0</v>
      </c>
      <c r="AR300" t="s">
        <v>1</v>
      </c>
      <c r="AT300" s="2" t="s">
        <v>0</v>
      </c>
      <c r="AU300" s="1">
        <f t="shared" si="43"/>
        <v>3.0939341139680656</v>
      </c>
      <c r="AV300" s="1">
        <f t="shared" si="44"/>
        <v>2.2166104234340471</v>
      </c>
      <c r="AW300" s="1">
        <f t="shared" si="45"/>
        <v>1.3392867329000284</v>
      </c>
    </row>
    <row r="301" spans="1:49" x14ac:dyDescent="0.2">
      <c r="A301">
        <v>299</v>
      </c>
      <c r="B301" t="s">
        <v>4518</v>
      </c>
      <c r="C301" t="s">
        <v>4517</v>
      </c>
      <c r="F301" t="s">
        <v>4516</v>
      </c>
      <c r="G301" t="s">
        <v>15</v>
      </c>
      <c r="H301" t="s">
        <v>14</v>
      </c>
      <c r="I301" t="s">
        <v>4515</v>
      </c>
      <c r="J301" t="s">
        <v>4510</v>
      </c>
      <c r="K301" t="s">
        <v>4514</v>
      </c>
      <c r="L301" t="s">
        <v>4513</v>
      </c>
      <c r="M301" t="s">
        <v>91</v>
      </c>
      <c r="N301">
        <v>2</v>
      </c>
      <c r="O301" t="s">
        <v>4512</v>
      </c>
      <c r="P301" t="s">
        <v>4511</v>
      </c>
      <c r="Q301" t="s">
        <v>4510</v>
      </c>
      <c r="R301" s="7">
        <v>30317</v>
      </c>
      <c r="S301" s="8">
        <f t="shared" si="40"/>
        <v>1983</v>
      </c>
      <c r="T301" s="8">
        <v>1983</v>
      </c>
      <c r="U301" s="8">
        <f t="shared" si="41"/>
        <v>39</v>
      </c>
      <c r="V301" s="7">
        <v>30560</v>
      </c>
      <c r="W301" t="s">
        <v>618</v>
      </c>
      <c r="X301" s="2">
        <v>1.6519999999999999</v>
      </c>
      <c r="Y301" s="6">
        <f t="shared" si="38"/>
        <v>4.409919649769093E-2</v>
      </c>
      <c r="AA301" t="s">
        <v>617</v>
      </c>
      <c r="AB301">
        <v>17337</v>
      </c>
      <c r="AC301">
        <v>15582221</v>
      </c>
      <c r="AD301" t="s">
        <v>5</v>
      </c>
      <c r="AE301">
        <v>31</v>
      </c>
      <c r="AF301">
        <v>5</v>
      </c>
      <c r="AH301" t="s">
        <v>4509</v>
      </c>
      <c r="AI301" t="s">
        <v>4508</v>
      </c>
      <c r="AK301" t="s">
        <v>4507</v>
      </c>
      <c r="AL301">
        <v>28</v>
      </c>
      <c r="AM301" s="5">
        <f t="shared" si="42"/>
        <v>0.71794871794871795</v>
      </c>
      <c r="AN301" s="4">
        <f t="shared" si="39"/>
        <v>1.0873891979533781E-3</v>
      </c>
      <c r="AO301" s="3"/>
      <c r="AP301">
        <v>0</v>
      </c>
      <c r="AR301" t="s">
        <v>1</v>
      </c>
      <c r="AT301" s="2" t="s">
        <v>0</v>
      </c>
      <c r="AU301" s="1">
        <f t="shared" si="43"/>
        <v>3.1195654307769662</v>
      </c>
      <c r="AV301" s="1">
        <f t="shared" si="44"/>
        <v>2.2593292847822153</v>
      </c>
      <c r="AW301" s="1">
        <f t="shared" si="45"/>
        <v>1.3990931387874641</v>
      </c>
    </row>
    <row r="302" spans="1:49" x14ac:dyDescent="0.2">
      <c r="A302">
        <v>300</v>
      </c>
      <c r="B302" t="s">
        <v>4506</v>
      </c>
      <c r="F302" t="s">
        <v>4505</v>
      </c>
      <c r="G302" t="s">
        <v>15</v>
      </c>
      <c r="H302" t="s">
        <v>14</v>
      </c>
      <c r="I302" t="s">
        <v>4504</v>
      </c>
      <c r="N302">
        <v>2</v>
      </c>
      <c r="O302" t="s">
        <v>4503</v>
      </c>
      <c r="P302" t="s">
        <v>4502</v>
      </c>
      <c r="Q302" t="s">
        <v>342</v>
      </c>
      <c r="R302" s="7">
        <v>30317</v>
      </c>
      <c r="S302" s="8">
        <f t="shared" si="40"/>
        <v>1983</v>
      </c>
      <c r="T302" s="8">
        <v>1983</v>
      </c>
      <c r="U302" s="8">
        <f t="shared" si="41"/>
        <v>39</v>
      </c>
      <c r="V302" s="7" t="s">
        <v>4186</v>
      </c>
      <c r="W302" t="s">
        <v>560</v>
      </c>
      <c r="X302" s="2" t="s">
        <v>0</v>
      </c>
      <c r="Y302" s="6" t="e">
        <f t="shared" si="38"/>
        <v>#VALUE!</v>
      </c>
      <c r="AA302">
        <v>337889</v>
      </c>
      <c r="AB302">
        <v>40920</v>
      </c>
      <c r="AD302" t="s">
        <v>5</v>
      </c>
      <c r="AE302">
        <v>28</v>
      </c>
      <c r="AF302">
        <v>9</v>
      </c>
      <c r="AH302" t="s">
        <v>4501</v>
      </c>
      <c r="AI302" t="s">
        <v>4500</v>
      </c>
      <c r="AK302" t="s">
        <v>4499</v>
      </c>
      <c r="AL302">
        <v>2</v>
      </c>
      <c r="AM302" s="5">
        <f t="shared" si="42"/>
        <v>5.128205128205128E-2</v>
      </c>
      <c r="AN302" s="4">
        <f t="shared" si="39"/>
        <v>7.767065699666987E-5</v>
      </c>
      <c r="AO302" s="3"/>
      <c r="AP302">
        <v>0</v>
      </c>
      <c r="AR302" t="s">
        <v>1</v>
      </c>
      <c r="AT302" s="2" t="s">
        <v>0</v>
      </c>
      <c r="AU302" s="1" t="e">
        <f t="shared" si="43"/>
        <v>#VALUE!</v>
      </c>
      <c r="AV302" s="1" t="e">
        <f t="shared" si="44"/>
        <v>#VALUE!</v>
      </c>
      <c r="AW302" s="1" t="e">
        <f t="shared" si="45"/>
        <v>#VALUE!</v>
      </c>
    </row>
    <row r="303" spans="1:49" x14ac:dyDescent="0.2">
      <c r="A303">
        <v>301</v>
      </c>
      <c r="B303" t="s">
        <v>4498</v>
      </c>
      <c r="C303" t="s">
        <v>4497</v>
      </c>
      <c r="F303" t="s">
        <v>4496</v>
      </c>
      <c r="G303" t="s">
        <v>15</v>
      </c>
      <c r="H303" t="s">
        <v>14</v>
      </c>
      <c r="I303" t="s">
        <v>4495</v>
      </c>
      <c r="J303">
        <v>60003500</v>
      </c>
      <c r="K303" t="s">
        <v>1070</v>
      </c>
      <c r="L303" t="s">
        <v>1069</v>
      </c>
      <c r="M303" t="s">
        <v>10</v>
      </c>
      <c r="N303">
        <v>1</v>
      </c>
      <c r="O303" t="s">
        <v>4494</v>
      </c>
      <c r="P303">
        <v>56838926000</v>
      </c>
      <c r="Q303">
        <v>60003500</v>
      </c>
      <c r="R303" s="7">
        <v>30317</v>
      </c>
      <c r="S303" s="8">
        <f t="shared" si="40"/>
        <v>1983</v>
      </c>
      <c r="T303" s="8">
        <v>1983</v>
      </c>
      <c r="U303" s="8">
        <f t="shared" si="41"/>
        <v>39</v>
      </c>
      <c r="V303" s="7">
        <v>30560</v>
      </c>
      <c r="W303" t="s">
        <v>669</v>
      </c>
      <c r="X303" s="2">
        <v>1.137</v>
      </c>
      <c r="Y303" s="6">
        <f t="shared" si="38"/>
        <v>3.0351565628253384E-2</v>
      </c>
      <c r="AA303">
        <v>189251</v>
      </c>
      <c r="AB303">
        <v>17336</v>
      </c>
      <c r="AD303" t="s">
        <v>5</v>
      </c>
      <c r="AE303" t="s">
        <v>668</v>
      </c>
      <c r="AF303">
        <v>5</v>
      </c>
      <c r="AH303" t="s">
        <v>4493</v>
      </c>
      <c r="AI303" t="s">
        <v>4492</v>
      </c>
      <c r="AK303" t="s">
        <v>4491</v>
      </c>
      <c r="AL303">
        <v>7</v>
      </c>
      <c r="AM303" s="5">
        <f t="shared" si="42"/>
        <v>0.17948717948717949</v>
      </c>
      <c r="AN303" s="4">
        <f t="shared" si="39"/>
        <v>2.7184729948834453E-4</v>
      </c>
      <c r="AO303" s="3"/>
      <c r="AP303">
        <v>0</v>
      </c>
      <c r="AR303" t="s">
        <v>1</v>
      </c>
      <c r="AT303" s="2" t="s">
        <v>0</v>
      </c>
      <c r="AU303" s="1">
        <f t="shared" si="43"/>
        <v>2.1327650129623872</v>
      </c>
      <c r="AV303" s="1">
        <f t="shared" si="44"/>
        <v>1.5311706463870864</v>
      </c>
      <c r="AW303" s="1">
        <f t="shared" si="45"/>
        <v>0.9295762798117857</v>
      </c>
    </row>
    <row r="304" spans="1:49" x14ac:dyDescent="0.2">
      <c r="A304">
        <v>302</v>
      </c>
      <c r="B304" t="s">
        <v>4490</v>
      </c>
      <c r="C304" t="s">
        <v>4489</v>
      </c>
      <c r="F304" t="s">
        <v>4488</v>
      </c>
      <c r="G304" t="s">
        <v>15</v>
      </c>
      <c r="H304" t="s">
        <v>14</v>
      </c>
      <c r="I304" t="s">
        <v>4487</v>
      </c>
      <c r="N304">
        <v>2</v>
      </c>
      <c r="O304" t="s">
        <v>4486</v>
      </c>
      <c r="P304" t="s">
        <v>4485</v>
      </c>
      <c r="Q304" t="s">
        <v>342</v>
      </c>
      <c r="R304" s="7">
        <v>30317</v>
      </c>
      <c r="S304" s="8">
        <f t="shared" si="40"/>
        <v>1983</v>
      </c>
      <c r="T304" s="8">
        <v>1983</v>
      </c>
      <c r="U304" s="8">
        <f t="shared" si="41"/>
        <v>39</v>
      </c>
      <c r="V304" s="7" t="s">
        <v>4475</v>
      </c>
      <c r="W304" t="s">
        <v>508</v>
      </c>
      <c r="X304" s="2">
        <v>0.371</v>
      </c>
      <c r="Y304" s="6">
        <f t="shared" si="38"/>
        <v>9.9036331117695747E-3</v>
      </c>
      <c r="AA304">
        <v>486604</v>
      </c>
      <c r="AB304">
        <v>28580</v>
      </c>
      <c r="AC304" t="s">
        <v>507</v>
      </c>
      <c r="AD304" t="s">
        <v>5</v>
      </c>
      <c r="AE304">
        <v>18</v>
      </c>
      <c r="AF304">
        <v>5</v>
      </c>
      <c r="AH304" t="s">
        <v>4484</v>
      </c>
      <c r="AI304" t="s">
        <v>4483</v>
      </c>
      <c r="AK304" t="s">
        <v>4482</v>
      </c>
      <c r="AL304">
        <v>11</v>
      </c>
      <c r="AM304" s="5">
        <f t="shared" si="42"/>
        <v>0.28205128205128205</v>
      </c>
      <c r="AN304" s="4">
        <f t="shared" si="39"/>
        <v>4.2718861348168429E-4</v>
      </c>
      <c r="AO304" s="3"/>
      <c r="AP304">
        <v>0</v>
      </c>
      <c r="AR304" t="s">
        <v>1</v>
      </c>
      <c r="AT304" s="2">
        <v>1.431</v>
      </c>
      <c r="AU304" s="1">
        <f t="shared" si="43"/>
        <v>0.70606997622832068</v>
      </c>
      <c r="AV304" s="1">
        <f t="shared" si="44"/>
        <v>0.5165410862625629</v>
      </c>
      <c r="AW304" s="1">
        <f t="shared" si="45"/>
        <v>0.32701219629680517</v>
      </c>
    </row>
    <row r="305" spans="1:49" x14ac:dyDescent="0.2">
      <c r="A305">
        <v>303</v>
      </c>
      <c r="B305" t="s">
        <v>4481</v>
      </c>
      <c r="C305" t="s">
        <v>4480</v>
      </c>
      <c r="F305" t="s">
        <v>4479</v>
      </c>
      <c r="G305" t="s">
        <v>15</v>
      </c>
      <c r="H305" t="s">
        <v>14</v>
      </c>
      <c r="I305" t="s">
        <v>4478</v>
      </c>
      <c r="N305">
        <v>2</v>
      </c>
      <c r="O305" t="s">
        <v>4477</v>
      </c>
      <c r="P305" t="s">
        <v>4476</v>
      </c>
      <c r="Q305" t="s">
        <v>342</v>
      </c>
      <c r="R305" s="7">
        <v>30317</v>
      </c>
      <c r="S305" s="8">
        <f t="shared" si="40"/>
        <v>1983</v>
      </c>
      <c r="T305" s="8">
        <v>1983</v>
      </c>
      <c r="U305" s="8">
        <f t="shared" si="41"/>
        <v>39</v>
      </c>
      <c r="V305" s="7" t="s">
        <v>4475</v>
      </c>
      <c r="W305" t="s">
        <v>508</v>
      </c>
      <c r="X305" s="2">
        <v>0.371</v>
      </c>
      <c r="Y305" s="6">
        <f t="shared" si="38"/>
        <v>9.9036331117695747E-3</v>
      </c>
      <c r="AA305">
        <v>486604</v>
      </c>
      <c r="AB305">
        <v>28580</v>
      </c>
      <c r="AC305" t="s">
        <v>507</v>
      </c>
      <c r="AD305" t="s">
        <v>5</v>
      </c>
      <c r="AE305">
        <v>18</v>
      </c>
      <c r="AF305">
        <v>5</v>
      </c>
      <c r="AH305" t="s">
        <v>4474</v>
      </c>
      <c r="AI305" t="s">
        <v>4473</v>
      </c>
      <c r="AK305" t="s">
        <v>4472</v>
      </c>
      <c r="AL305">
        <v>1</v>
      </c>
      <c r="AM305" s="5">
        <f t="shared" si="42"/>
        <v>2.564102564102564E-2</v>
      </c>
      <c r="AN305" s="4">
        <f t="shared" si="39"/>
        <v>3.8835328498334935E-5</v>
      </c>
      <c r="AO305" s="3"/>
      <c r="AP305">
        <v>0</v>
      </c>
      <c r="AR305" t="s">
        <v>1</v>
      </c>
      <c r="AT305" s="2">
        <v>1.431</v>
      </c>
      <c r="AU305" s="1">
        <f t="shared" si="43"/>
        <v>0.69441937767882023</v>
      </c>
      <c r="AV305" s="1">
        <f t="shared" si="44"/>
        <v>0.49712342201339549</v>
      </c>
      <c r="AW305" s="1">
        <f t="shared" si="45"/>
        <v>0.29982746634797069</v>
      </c>
    </row>
    <row r="306" spans="1:49" x14ac:dyDescent="0.2">
      <c r="A306">
        <v>304</v>
      </c>
      <c r="B306" t="s">
        <v>4471</v>
      </c>
      <c r="F306" t="s">
        <v>4470</v>
      </c>
      <c r="G306" t="s">
        <v>15</v>
      </c>
      <c r="H306" t="s">
        <v>14</v>
      </c>
      <c r="I306" t="s">
        <v>2545</v>
      </c>
      <c r="N306">
        <v>3</v>
      </c>
      <c r="O306" t="s">
        <v>2542</v>
      </c>
      <c r="P306" t="s">
        <v>2541</v>
      </c>
      <c r="Q306" t="s">
        <v>510</v>
      </c>
      <c r="R306" s="7">
        <v>30317</v>
      </c>
      <c r="S306" s="8">
        <f t="shared" si="40"/>
        <v>1983</v>
      </c>
      <c r="T306" s="8">
        <v>1983</v>
      </c>
      <c r="U306" s="8">
        <f t="shared" si="41"/>
        <v>39</v>
      </c>
      <c r="V306" s="7" t="s">
        <v>4186</v>
      </c>
      <c r="W306" t="s">
        <v>932</v>
      </c>
      <c r="X306" s="2" t="s">
        <v>0</v>
      </c>
      <c r="Y306" s="6" t="e">
        <f t="shared" si="38"/>
        <v>#VALUE!</v>
      </c>
      <c r="AA306">
        <v>4186338</v>
      </c>
      <c r="AB306">
        <v>34729</v>
      </c>
      <c r="AD306" t="s">
        <v>5</v>
      </c>
      <c r="AE306">
        <v>31</v>
      </c>
      <c r="AF306">
        <v>5</v>
      </c>
      <c r="AH306" t="s">
        <v>4469</v>
      </c>
      <c r="AI306" t="s">
        <v>4468</v>
      </c>
      <c r="AK306" t="s">
        <v>4467</v>
      </c>
      <c r="AL306">
        <v>2</v>
      </c>
      <c r="AM306" s="5">
        <f t="shared" si="42"/>
        <v>5.128205128205128E-2</v>
      </c>
      <c r="AN306" s="4">
        <f t="shared" si="39"/>
        <v>7.767065699666987E-5</v>
      </c>
      <c r="AO306" s="3"/>
      <c r="AP306">
        <v>0</v>
      </c>
      <c r="AR306" t="s">
        <v>1</v>
      </c>
      <c r="AT306" s="2" t="s">
        <v>0</v>
      </c>
      <c r="AU306" s="1" t="e">
        <f t="shared" si="43"/>
        <v>#VALUE!</v>
      </c>
      <c r="AV306" s="1" t="e">
        <f t="shared" si="44"/>
        <v>#VALUE!</v>
      </c>
      <c r="AW306" s="1" t="e">
        <f t="shared" si="45"/>
        <v>#VALUE!</v>
      </c>
    </row>
    <row r="307" spans="1:49" x14ac:dyDescent="0.2">
      <c r="A307">
        <v>305</v>
      </c>
      <c r="B307" t="s">
        <v>4466</v>
      </c>
      <c r="C307" t="s">
        <v>4465</v>
      </c>
      <c r="F307" t="s">
        <v>4464</v>
      </c>
      <c r="G307" t="s">
        <v>15</v>
      </c>
      <c r="H307" t="s">
        <v>14</v>
      </c>
      <c r="I307" t="s">
        <v>4463</v>
      </c>
      <c r="N307">
        <v>1</v>
      </c>
      <c r="O307" t="s">
        <v>4462</v>
      </c>
      <c r="P307">
        <v>55410535700</v>
      </c>
      <c r="R307" s="7">
        <v>30317</v>
      </c>
      <c r="S307" s="8">
        <f t="shared" si="40"/>
        <v>1983</v>
      </c>
      <c r="T307" s="8">
        <v>1983</v>
      </c>
      <c r="U307" s="8">
        <f t="shared" si="41"/>
        <v>39</v>
      </c>
      <c r="V307" s="7">
        <v>30560</v>
      </c>
      <c r="W307" t="s">
        <v>1099</v>
      </c>
      <c r="X307" s="2">
        <v>0.32300000000000001</v>
      </c>
      <c r="Y307" s="6">
        <f t="shared" si="38"/>
        <v>8.6223005258802502E-3</v>
      </c>
      <c r="AA307">
        <v>58580</v>
      </c>
      <c r="AB307">
        <v>36492</v>
      </c>
      <c r="AC307">
        <v>15387305</v>
      </c>
      <c r="AD307" t="s">
        <v>5</v>
      </c>
      <c r="AE307">
        <v>62</v>
      </c>
      <c r="AF307">
        <v>7</v>
      </c>
      <c r="AH307" t="s">
        <v>4461</v>
      </c>
      <c r="AI307" t="s">
        <v>4460</v>
      </c>
      <c r="AK307" t="s">
        <v>4459</v>
      </c>
      <c r="AL307">
        <v>9</v>
      </c>
      <c r="AM307" s="5">
        <f t="shared" si="42"/>
        <v>0.23076923076923078</v>
      </c>
      <c r="AN307" s="4">
        <f t="shared" si="39"/>
        <v>3.4951795648501444E-4</v>
      </c>
      <c r="AO307" s="3"/>
      <c r="AP307">
        <v>0</v>
      </c>
      <c r="AR307" t="s">
        <v>1</v>
      </c>
      <c r="AT307" s="2" t="s">
        <v>0</v>
      </c>
      <c r="AU307" s="1">
        <f t="shared" si="43"/>
        <v>0.61404657550616792</v>
      </c>
      <c r="AV307" s="1">
        <f t="shared" si="44"/>
        <v>0.44859092411826329</v>
      </c>
      <c r="AW307" s="1">
        <f t="shared" si="45"/>
        <v>0.28313527273035849</v>
      </c>
    </row>
    <row r="308" spans="1:49" x14ac:dyDescent="0.2">
      <c r="A308">
        <v>306</v>
      </c>
      <c r="B308" t="s">
        <v>4458</v>
      </c>
      <c r="F308" t="s">
        <v>4457</v>
      </c>
      <c r="G308" t="s">
        <v>15</v>
      </c>
      <c r="H308" t="s">
        <v>14</v>
      </c>
      <c r="I308" t="s">
        <v>4456</v>
      </c>
      <c r="N308">
        <v>2</v>
      </c>
      <c r="O308" t="s">
        <v>4455</v>
      </c>
      <c r="P308" t="s">
        <v>4454</v>
      </c>
      <c r="Q308" t="s">
        <v>342</v>
      </c>
      <c r="R308" s="7">
        <v>30317</v>
      </c>
      <c r="S308" s="8">
        <f t="shared" si="40"/>
        <v>1983</v>
      </c>
      <c r="T308" s="8">
        <v>1983</v>
      </c>
      <c r="U308" s="8">
        <f t="shared" si="41"/>
        <v>39</v>
      </c>
      <c r="V308" s="7" t="s">
        <v>4186</v>
      </c>
      <c r="W308" t="s">
        <v>560</v>
      </c>
      <c r="X308" s="2" t="s">
        <v>0</v>
      </c>
      <c r="Y308" s="6" t="e">
        <f t="shared" si="38"/>
        <v>#VALUE!</v>
      </c>
      <c r="AA308">
        <v>337889</v>
      </c>
      <c r="AB308">
        <v>40920</v>
      </c>
      <c r="AD308" t="s">
        <v>5</v>
      </c>
      <c r="AE308">
        <v>28</v>
      </c>
      <c r="AF308">
        <v>9</v>
      </c>
      <c r="AH308" t="s">
        <v>4453</v>
      </c>
      <c r="AI308" t="s">
        <v>4452</v>
      </c>
      <c r="AK308" t="s">
        <v>4451</v>
      </c>
      <c r="AL308">
        <v>1</v>
      </c>
      <c r="AM308" s="5">
        <f t="shared" si="42"/>
        <v>2.564102564102564E-2</v>
      </c>
      <c r="AN308" s="4">
        <f t="shared" si="39"/>
        <v>3.8835328498334935E-5</v>
      </c>
      <c r="AO308" s="3"/>
      <c r="AP308">
        <v>0</v>
      </c>
      <c r="AR308" t="s">
        <v>1</v>
      </c>
      <c r="AT308" s="2" t="s">
        <v>0</v>
      </c>
      <c r="AU308" s="1" t="e">
        <f t="shared" si="43"/>
        <v>#VALUE!</v>
      </c>
      <c r="AV308" s="1" t="e">
        <f t="shared" si="44"/>
        <v>#VALUE!</v>
      </c>
      <c r="AW308" s="1" t="e">
        <f t="shared" si="45"/>
        <v>#VALUE!</v>
      </c>
    </row>
    <row r="309" spans="1:49" x14ac:dyDescent="0.2">
      <c r="A309">
        <v>307</v>
      </c>
      <c r="B309" t="s">
        <v>4450</v>
      </c>
      <c r="C309" t="s">
        <v>4449</v>
      </c>
      <c r="F309" t="s">
        <v>4448</v>
      </c>
      <c r="G309" t="s">
        <v>15</v>
      </c>
      <c r="H309" t="s">
        <v>14</v>
      </c>
      <c r="I309" t="s">
        <v>4447</v>
      </c>
      <c r="J309">
        <v>60014756</v>
      </c>
      <c r="K309" t="s">
        <v>4446</v>
      </c>
      <c r="L309" t="s">
        <v>4445</v>
      </c>
      <c r="M309" t="s">
        <v>55</v>
      </c>
      <c r="N309">
        <v>1</v>
      </c>
      <c r="O309" t="s">
        <v>4444</v>
      </c>
      <c r="P309">
        <v>35583472800</v>
      </c>
      <c r="Q309">
        <v>60014756</v>
      </c>
      <c r="R309" s="7">
        <v>30317</v>
      </c>
      <c r="S309" s="8">
        <f t="shared" si="40"/>
        <v>1983</v>
      </c>
      <c r="T309" s="8">
        <v>1983</v>
      </c>
      <c r="U309" s="8">
        <f t="shared" si="41"/>
        <v>39</v>
      </c>
      <c r="V309" s="7">
        <v>30560</v>
      </c>
      <c r="W309" t="s">
        <v>618</v>
      </c>
      <c r="X309" s="2">
        <v>1.6519999999999999</v>
      </c>
      <c r="Y309" s="6">
        <f t="shared" si="38"/>
        <v>4.409919649769093E-2</v>
      </c>
      <c r="AA309" t="s">
        <v>617</v>
      </c>
      <c r="AB309">
        <v>17337</v>
      </c>
      <c r="AC309">
        <v>15582221</v>
      </c>
      <c r="AD309" t="s">
        <v>5</v>
      </c>
      <c r="AE309">
        <v>31</v>
      </c>
      <c r="AF309">
        <v>5</v>
      </c>
      <c r="AH309" t="s">
        <v>4443</v>
      </c>
      <c r="AI309" t="s">
        <v>4442</v>
      </c>
      <c r="AK309" t="s">
        <v>4441</v>
      </c>
      <c r="AL309">
        <v>7</v>
      </c>
      <c r="AM309" s="5">
        <f t="shared" si="42"/>
        <v>0.17948717948717949</v>
      </c>
      <c r="AN309" s="4">
        <f t="shared" si="39"/>
        <v>2.7184729948834453E-4</v>
      </c>
      <c r="AO309" s="3"/>
      <c r="AP309">
        <v>0</v>
      </c>
      <c r="AR309" t="s">
        <v>1</v>
      </c>
      <c r="AT309" s="2" t="s">
        <v>0</v>
      </c>
      <c r="AU309" s="1">
        <f t="shared" si="43"/>
        <v>3.0950991738230154</v>
      </c>
      <c r="AV309" s="1">
        <f t="shared" si="44"/>
        <v>2.2185521898589635</v>
      </c>
      <c r="AW309" s="1">
        <f t="shared" si="45"/>
        <v>1.3420052058949119</v>
      </c>
    </row>
    <row r="310" spans="1:49" x14ac:dyDescent="0.2">
      <c r="A310">
        <v>308</v>
      </c>
      <c r="B310" t="s">
        <v>4440</v>
      </c>
      <c r="C310" t="s">
        <v>4439</v>
      </c>
      <c r="F310" t="s">
        <v>4438</v>
      </c>
      <c r="G310" t="s">
        <v>15</v>
      </c>
      <c r="H310" t="s">
        <v>14</v>
      </c>
      <c r="I310" t="s">
        <v>4437</v>
      </c>
      <c r="J310">
        <v>60026717</v>
      </c>
      <c r="K310" t="s">
        <v>4436</v>
      </c>
      <c r="L310" t="s">
        <v>4435</v>
      </c>
      <c r="M310" t="s">
        <v>10</v>
      </c>
      <c r="N310">
        <v>1</v>
      </c>
      <c r="O310" t="s">
        <v>4434</v>
      </c>
      <c r="P310">
        <v>6701703057</v>
      </c>
      <c r="Q310">
        <v>60026717</v>
      </c>
      <c r="R310" s="7">
        <v>30317</v>
      </c>
      <c r="S310" s="8">
        <f t="shared" si="40"/>
        <v>1983</v>
      </c>
      <c r="T310" s="8">
        <v>1983</v>
      </c>
      <c r="U310" s="8">
        <f t="shared" si="41"/>
        <v>39</v>
      </c>
      <c r="V310" s="7">
        <v>30560</v>
      </c>
      <c r="W310" t="s">
        <v>817</v>
      </c>
      <c r="X310" s="2">
        <v>2.9860000000000002</v>
      </c>
      <c r="Y310" s="6">
        <f t="shared" si="38"/>
        <v>7.9709564613865094E-2</v>
      </c>
      <c r="AA310">
        <v>7338716</v>
      </c>
      <c r="AB310">
        <v>18902</v>
      </c>
      <c r="AD310" t="s">
        <v>5</v>
      </c>
      <c r="AE310">
        <v>1</v>
      </c>
      <c r="AF310">
        <v>4</v>
      </c>
      <c r="AH310" t="s">
        <v>4433</v>
      </c>
      <c r="AI310" t="s">
        <v>4432</v>
      </c>
      <c r="AK310" t="s">
        <v>4431</v>
      </c>
      <c r="AL310">
        <v>11</v>
      </c>
      <c r="AM310" s="5">
        <f t="shared" si="42"/>
        <v>0.28205128205128205</v>
      </c>
      <c r="AN310" s="4">
        <f t="shared" si="39"/>
        <v>4.2718861348168429E-4</v>
      </c>
      <c r="AO310" s="3"/>
      <c r="AP310">
        <v>0</v>
      </c>
      <c r="AR310" t="s">
        <v>1</v>
      </c>
      <c r="AT310" s="2" t="s">
        <v>0</v>
      </c>
      <c r="AU310" s="1">
        <f t="shared" si="43"/>
        <v>5.5924851813750065</v>
      </c>
      <c r="AV310" s="1">
        <f t="shared" si="44"/>
        <v>4.0068376613673395</v>
      </c>
      <c r="AW310" s="1">
        <f t="shared" si="45"/>
        <v>2.4211901413596708</v>
      </c>
    </row>
    <row r="311" spans="1:49" x14ac:dyDescent="0.2">
      <c r="A311">
        <v>309</v>
      </c>
      <c r="B311" t="s">
        <v>4430</v>
      </c>
      <c r="C311" t="s">
        <v>4429</v>
      </c>
      <c r="F311" t="s">
        <v>4428</v>
      </c>
      <c r="G311" t="s">
        <v>15</v>
      </c>
      <c r="H311" t="s">
        <v>14</v>
      </c>
      <c r="I311" t="s">
        <v>4427</v>
      </c>
      <c r="J311">
        <v>60004750</v>
      </c>
      <c r="K311" t="s">
        <v>4426</v>
      </c>
      <c r="L311" t="s">
        <v>4425</v>
      </c>
      <c r="M311" t="s">
        <v>175</v>
      </c>
      <c r="N311">
        <v>2</v>
      </c>
      <c r="O311" t="s">
        <v>4424</v>
      </c>
      <c r="P311" t="s">
        <v>4423</v>
      </c>
      <c r="Q311" t="s">
        <v>4422</v>
      </c>
      <c r="R311" s="7">
        <v>30317</v>
      </c>
      <c r="S311" s="8">
        <f t="shared" si="40"/>
        <v>1983</v>
      </c>
      <c r="T311" s="8">
        <v>1983</v>
      </c>
      <c r="U311" s="8">
        <f t="shared" si="41"/>
        <v>39</v>
      </c>
      <c r="V311" s="7">
        <v>30560</v>
      </c>
      <c r="W311" t="s">
        <v>618</v>
      </c>
      <c r="X311" s="2">
        <v>1.6519999999999999</v>
      </c>
      <c r="Y311" s="6">
        <f t="shared" si="38"/>
        <v>4.409919649769093E-2</v>
      </c>
      <c r="AA311" t="s">
        <v>617</v>
      </c>
      <c r="AB311">
        <v>17337</v>
      </c>
      <c r="AC311">
        <v>15582221</v>
      </c>
      <c r="AD311" t="s">
        <v>5</v>
      </c>
      <c r="AE311">
        <v>31</v>
      </c>
      <c r="AF311">
        <v>5</v>
      </c>
      <c r="AH311" t="s">
        <v>4421</v>
      </c>
      <c r="AI311" t="s">
        <v>4420</v>
      </c>
      <c r="AK311" t="s">
        <v>4419</v>
      </c>
      <c r="AL311">
        <v>2</v>
      </c>
      <c r="AM311" s="5">
        <f t="shared" si="42"/>
        <v>5.128205128205128E-2</v>
      </c>
      <c r="AN311" s="4">
        <f t="shared" si="39"/>
        <v>7.767065699666987E-5</v>
      </c>
      <c r="AO311" s="3"/>
      <c r="AP311">
        <v>0</v>
      </c>
      <c r="AR311" t="s">
        <v>1</v>
      </c>
      <c r="AT311" s="2" t="s">
        <v>0</v>
      </c>
      <c r="AU311" s="1">
        <f t="shared" si="43"/>
        <v>3.0892738745482653</v>
      </c>
      <c r="AV311" s="1">
        <f t="shared" si="44"/>
        <v>2.2088433577343798</v>
      </c>
      <c r="AW311" s="1">
        <f t="shared" si="45"/>
        <v>1.3284128409204947</v>
      </c>
    </row>
    <row r="312" spans="1:49" x14ac:dyDescent="0.2">
      <c r="A312">
        <v>310</v>
      </c>
      <c r="B312" t="s">
        <v>4418</v>
      </c>
      <c r="C312" t="s">
        <v>4417</v>
      </c>
      <c r="F312" t="s">
        <v>4416</v>
      </c>
      <c r="G312" t="s">
        <v>15</v>
      </c>
      <c r="H312" t="s">
        <v>14</v>
      </c>
      <c r="I312" t="s">
        <v>4415</v>
      </c>
      <c r="J312">
        <v>60025555</v>
      </c>
      <c r="K312" t="s">
        <v>878</v>
      </c>
      <c r="L312" t="s">
        <v>56</v>
      </c>
      <c r="M312" t="s">
        <v>55</v>
      </c>
      <c r="N312">
        <v>5</v>
      </c>
      <c r="O312" t="s">
        <v>4414</v>
      </c>
      <c r="P312" t="s">
        <v>4413</v>
      </c>
      <c r="Q312" t="s">
        <v>1283</v>
      </c>
      <c r="R312" s="7">
        <v>30317</v>
      </c>
      <c r="S312" s="8">
        <f t="shared" si="40"/>
        <v>1983</v>
      </c>
      <c r="T312" s="8">
        <v>1983</v>
      </c>
      <c r="U312" s="8">
        <f t="shared" si="41"/>
        <v>39</v>
      </c>
      <c r="V312" s="7">
        <v>30560</v>
      </c>
      <c r="W312" t="s">
        <v>817</v>
      </c>
      <c r="X312" s="2">
        <v>2.9860000000000002</v>
      </c>
      <c r="Y312" s="6">
        <f t="shared" si="38"/>
        <v>7.9709564613865094E-2</v>
      </c>
      <c r="AA312">
        <v>7338716</v>
      </c>
      <c r="AB312">
        <v>18902</v>
      </c>
      <c r="AD312" t="s">
        <v>5</v>
      </c>
      <c r="AE312">
        <v>1</v>
      </c>
      <c r="AF312">
        <v>4</v>
      </c>
      <c r="AH312" t="s">
        <v>4412</v>
      </c>
      <c r="AI312" t="s">
        <v>4411</v>
      </c>
      <c r="AK312" t="s">
        <v>4410</v>
      </c>
      <c r="AL312">
        <v>3</v>
      </c>
      <c r="AM312" s="5">
        <f t="shared" si="42"/>
        <v>7.6923076923076927E-2</v>
      </c>
      <c r="AN312" s="4">
        <f t="shared" si="39"/>
        <v>1.1650598549500481E-4</v>
      </c>
      <c r="AO312" s="3"/>
      <c r="AP312">
        <v>0</v>
      </c>
      <c r="AR312" t="s">
        <v>1</v>
      </c>
      <c r="AT312" s="2" t="s">
        <v>0</v>
      </c>
      <c r="AU312" s="1">
        <f t="shared" si="43"/>
        <v>5.5831647025354068</v>
      </c>
      <c r="AV312" s="1">
        <f t="shared" si="44"/>
        <v>3.9913035299680053</v>
      </c>
      <c r="AW312" s="1">
        <f t="shared" si="45"/>
        <v>2.399442357400603</v>
      </c>
    </row>
    <row r="313" spans="1:49" x14ac:dyDescent="0.2">
      <c r="A313">
        <v>311</v>
      </c>
      <c r="B313" t="s">
        <v>4409</v>
      </c>
      <c r="C313" t="s">
        <v>4408</v>
      </c>
      <c r="F313" t="s">
        <v>4407</v>
      </c>
      <c r="G313" t="s">
        <v>15</v>
      </c>
      <c r="H313" t="s">
        <v>14</v>
      </c>
      <c r="I313" t="s">
        <v>4406</v>
      </c>
      <c r="J313">
        <v>60003500</v>
      </c>
      <c r="K313" t="s">
        <v>1070</v>
      </c>
      <c r="L313" t="s">
        <v>1069</v>
      </c>
      <c r="M313" t="s">
        <v>10</v>
      </c>
      <c r="N313">
        <v>2</v>
      </c>
      <c r="O313" t="s">
        <v>4405</v>
      </c>
      <c r="P313" t="s">
        <v>4404</v>
      </c>
      <c r="Q313" t="s">
        <v>1066</v>
      </c>
      <c r="R313" s="7">
        <v>30317</v>
      </c>
      <c r="S313" s="8">
        <f t="shared" si="40"/>
        <v>1983</v>
      </c>
      <c r="T313" s="8">
        <v>1983</v>
      </c>
      <c r="U313" s="8">
        <f t="shared" si="41"/>
        <v>39</v>
      </c>
      <c r="V313" s="7">
        <v>30560</v>
      </c>
      <c r="W313" t="s">
        <v>669</v>
      </c>
      <c r="X313" s="2">
        <v>1.137</v>
      </c>
      <c r="Y313" s="6">
        <f t="shared" si="38"/>
        <v>3.0351565628253384E-2</v>
      </c>
      <c r="AA313">
        <v>189251</v>
      </c>
      <c r="AB313">
        <v>17336</v>
      </c>
      <c r="AD313" t="s">
        <v>5</v>
      </c>
      <c r="AE313" t="s">
        <v>668</v>
      </c>
      <c r="AF313">
        <v>5</v>
      </c>
      <c r="AH313" t="s">
        <v>4403</v>
      </c>
      <c r="AI313" t="s">
        <v>4402</v>
      </c>
      <c r="AK313" t="s">
        <v>4401</v>
      </c>
      <c r="AL313">
        <v>6</v>
      </c>
      <c r="AM313" s="5">
        <f t="shared" si="42"/>
        <v>0.15384615384615385</v>
      </c>
      <c r="AN313" s="4">
        <f t="shared" si="39"/>
        <v>2.3301197099000962E-4</v>
      </c>
      <c r="AO313" s="3"/>
      <c r="AP313">
        <v>0</v>
      </c>
      <c r="AR313" t="s">
        <v>1</v>
      </c>
      <c r="AT313" s="2" t="s">
        <v>0</v>
      </c>
      <c r="AU313" s="1">
        <f t="shared" si="43"/>
        <v>2.131599953107437</v>
      </c>
      <c r="AV313" s="1">
        <f t="shared" si="44"/>
        <v>1.5292288799621696</v>
      </c>
      <c r="AW313" s="1">
        <f t="shared" si="45"/>
        <v>0.92685780681690222</v>
      </c>
    </row>
    <row r="314" spans="1:49" x14ac:dyDescent="0.2">
      <c r="A314">
        <v>312</v>
      </c>
      <c r="B314" t="s">
        <v>4400</v>
      </c>
      <c r="F314" t="s">
        <v>4399</v>
      </c>
      <c r="G314" t="s">
        <v>15</v>
      </c>
      <c r="H314" t="s">
        <v>14</v>
      </c>
      <c r="I314" t="s">
        <v>4398</v>
      </c>
      <c r="N314">
        <v>3</v>
      </c>
      <c r="O314" t="s">
        <v>4397</v>
      </c>
      <c r="P314" t="s">
        <v>4396</v>
      </c>
      <c r="Q314" t="s">
        <v>510</v>
      </c>
      <c r="R314" s="7">
        <v>30317</v>
      </c>
      <c r="S314" s="8">
        <f t="shared" si="40"/>
        <v>1983</v>
      </c>
      <c r="T314" s="8">
        <v>1983</v>
      </c>
      <c r="U314" s="8">
        <f t="shared" si="41"/>
        <v>39</v>
      </c>
      <c r="V314" s="7" t="s">
        <v>4197</v>
      </c>
      <c r="W314" t="s">
        <v>737</v>
      </c>
      <c r="X314" s="2">
        <v>0.125</v>
      </c>
      <c r="Y314" s="6">
        <f t="shared" si="38"/>
        <v>3.3368036090867838E-3</v>
      </c>
      <c r="AA314">
        <v>26557</v>
      </c>
      <c r="AB314">
        <v>40401</v>
      </c>
      <c r="AD314" t="s">
        <v>5</v>
      </c>
      <c r="AE314">
        <v>52</v>
      </c>
      <c r="AF314">
        <v>5</v>
      </c>
      <c r="AH314" t="s">
        <v>4395</v>
      </c>
      <c r="AI314" t="s">
        <v>4394</v>
      </c>
      <c r="AK314" t="s">
        <v>4393</v>
      </c>
      <c r="AL314">
        <v>0</v>
      </c>
      <c r="AM314" s="5">
        <f t="shared" si="42"/>
        <v>0</v>
      </c>
      <c r="AN314" s="4">
        <f t="shared" si="39"/>
        <v>0</v>
      </c>
      <c r="AO314" s="3"/>
      <c r="AP314">
        <v>0</v>
      </c>
      <c r="AR314" t="s">
        <v>1</v>
      </c>
      <c r="AT314" s="2" t="s">
        <v>0</v>
      </c>
      <c r="AU314" s="1">
        <f t="shared" si="43"/>
        <v>0.23357625263607484</v>
      </c>
      <c r="AV314" s="1">
        <f t="shared" si="44"/>
        <v>0.16684018045433918</v>
      </c>
      <c r="AW314" s="1">
        <f t="shared" si="45"/>
        <v>0.10010410827260351</v>
      </c>
    </row>
    <row r="315" spans="1:49" x14ac:dyDescent="0.2">
      <c r="A315">
        <v>313</v>
      </c>
      <c r="B315" t="s">
        <v>4392</v>
      </c>
      <c r="C315" t="s">
        <v>4391</v>
      </c>
      <c r="F315" t="s">
        <v>4390</v>
      </c>
      <c r="G315" t="s">
        <v>15</v>
      </c>
      <c r="H315" t="s">
        <v>14</v>
      </c>
      <c r="I315" t="s">
        <v>3190</v>
      </c>
      <c r="J315">
        <v>60003500</v>
      </c>
      <c r="K315" t="s">
        <v>1070</v>
      </c>
      <c r="L315" t="s">
        <v>1069</v>
      </c>
      <c r="M315" t="s">
        <v>10</v>
      </c>
      <c r="N315">
        <v>2</v>
      </c>
      <c r="O315" t="s">
        <v>3189</v>
      </c>
      <c r="P315" t="s">
        <v>3188</v>
      </c>
      <c r="Q315" t="s">
        <v>1066</v>
      </c>
      <c r="R315" s="7">
        <v>30317</v>
      </c>
      <c r="S315" s="8">
        <f t="shared" si="40"/>
        <v>1983</v>
      </c>
      <c r="T315" s="8">
        <v>1983</v>
      </c>
      <c r="U315" s="8">
        <f t="shared" si="41"/>
        <v>39</v>
      </c>
      <c r="V315" s="7">
        <v>30560</v>
      </c>
      <c r="W315" t="s">
        <v>618</v>
      </c>
      <c r="X315" s="2">
        <v>1.6519999999999999</v>
      </c>
      <c r="Y315" s="6">
        <f t="shared" si="38"/>
        <v>4.409919649769093E-2</v>
      </c>
      <c r="AA315" t="s">
        <v>617</v>
      </c>
      <c r="AB315">
        <v>17337</v>
      </c>
      <c r="AC315">
        <v>15582221</v>
      </c>
      <c r="AD315" t="s">
        <v>5</v>
      </c>
      <c r="AE315">
        <v>31</v>
      </c>
      <c r="AF315">
        <v>5</v>
      </c>
      <c r="AH315" t="s">
        <v>4389</v>
      </c>
      <c r="AI315" t="s">
        <v>4388</v>
      </c>
      <c r="AK315" t="s">
        <v>4387</v>
      </c>
      <c r="AL315">
        <v>624</v>
      </c>
      <c r="AM315" s="5">
        <f t="shared" si="42"/>
        <v>16</v>
      </c>
      <c r="AN315" s="4">
        <f t="shared" si="39"/>
        <v>2.4233244982960998E-2</v>
      </c>
      <c r="AO315" s="3"/>
      <c r="AP315">
        <v>0</v>
      </c>
      <c r="AR315" t="s">
        <v>1</v>
      </c>
      <c r="AT315" s="2" t="s">
        <v>0</v>
      </c>
      <c r="AU315" s="1">
        <f t="shared" si="43"/>
        <v>3.8139411043271956</v>
      </c>
      <c r="AV315" s="1">
        <f t="shared" si="44"/>
        <v>3.4166220740325963</v>
      </c>
      <c r="AW315" s="1">
        <f t="shared" si="45"/>
        <v>3.0193030437379975</v>
      </c>
    </row>
    <row r="316" spans="1:49" x14ac:dyDescent="0.2">
      <c r="A316">
        <v>314</v>
      </c>
      <c r="B316" t="s">
        <v>4386</v>
      </c>
      <c r="C316" t="s">
        <v>4385</v>
      </c>
      <c r="F316" t="s">
        <v>4384</v>
      </c>
      <c r="G316" t="s">
        <v>15</v>
      </c>
      <c r="H316" t="s">
        <v>14</v>
      </c>
      <c r="I316" t="s">
        <v>1787</v>
      </c>
      <c r="J316">
        <v>60014313</v>
      </c>
      <c r="K316" t="s">
        <v>1786</v>
      </c>
      <c r="L316" t="s">
        <v>1785</v>
      </c>
      <c r="M316" t="s">
        <v>10</v>
      </c>
      <c r="N316">
        <v>1</v>
      </c>
      <c r="O316" t="s">
        <v>1784</v>
      </c>
      <c r="P316">
        <v>7006061921</v>
      </c>
      <c r="Q316">
        <v>60014313</v>
      </c>
      <c r="R316" s="7">
        <v>30317</v>
      </c>
      <c r="S316" s="8">
        <f t="shared" si="40"/>
        <v>1983</v>
      </c>
      <c r="T316" s="8">
        <v>1983</v>
      </c>
      <c r="U316" s="8">
        <f t="shared" si="41"/>
        <v>39</v>
      </c>
      <c r="V316" s="7">
        <v>30560</v>
      </c>
      <c r="W316" t="s">
        <v>618</v>
      </c>
      <c r="X316" s="2">
        <v>1.6519999999999999</v>
      </c>
      <c r="Y316" s="6">
        <f t="shared" si="38"/>
        <v>4.409919649769093E-2</v>
      </c>
      <c r="AA316" t="s">
        <v>617</v>
      </c>
      <c r="AB316">
        <v>17337</v>
      </c>
      <c r="AC316">
        <v>15582221</v>
      </c>
      <c r="AD316" t="s">
        <v>5</v>
      </c>
      <c r="AE316">
        <v>31</v>
      </c>
      <c r="AF316">
        <v>5</v>
      </c>
      <c r="AH316" t="s">
        <v>4383</v>
      </c>
      <c r="AI316" t="s">
        <v>4382</v>
      </c>
      <c r="AK316" t="s">
        <v>4381</v>
      </c>
      <c r="AL316">
        <v>350</v>
      </c>
      <c r="AM316" s="5">
        <f t="shared" si="42"/>
        <v>8.9743589743589745</v>
      </c>
      <c r="AN316" s="4">
        <f t="shared" si="39"/>
        <v>1.3592364974417228E-2</v>
      </c>
      <c r="AO316" s="3"/>
      <c r="AP316">
        <v>0</v>
      </c>
      <c r="AR316" t="s">
        <v>1</v>
      </c>
      <c r="AT316" s="2" t="s">
        <v>0</v>
      </c>
      <c r="AU316" s="1">
        <f t="shared" si="43"/>
        <v>3.4947147040708817</v>
      </c>
      <c r="AV316" s="1">
        <f t="shared" si="44"/>
        <v>2.8845780736054079</v>
      </c>
      <c r="AW316" s="1">
        <f t="shared" si="45"/>
        <v>2.2744414431399336</v>
      </c>
    </row>
    <row r="317" spans="1:49" x14ac:dyDescent="0.2">
      <c r="A317">
        <v>315</v>
      </c>
      <c r="B317" t="s">
        <v>4380</v>
      </c>
      <c r="F317" t="s">
        <v>4379</v>
      </c>
      <c r="G317" t="s">
        <v>15</v>
      </c>
      <c r="H317" t="s">
        <v>14</v>
      </c>
      <c r="I317" t="s">
        <v>4378</v>
      </c>
      <c r="N317">
        <v>1</v>
      </c>
      <c r="O317" t="s">
        <v>4377</v>
      </c>
      <c r="P317">
        <v>57212977567</v>
      </c>
      <c r="R317" s="7">
        <v>30317</v>
      </c>
      <c r="S317" s="8">
        <f t="shared" si="40"/>
        <v>1983</v>
      </c>
      <c r="T317" s="8">
        <v>1983</v>
      </c>
      <c r="U317" s="8">
        <f t="shared" si="41"/>
        <v>39</v>
      </c>
      <c r="V317" s="7" t="s">
        <v>4186</v>
      </c>
      <c r="W317" t="s">
        <v>4376</v>
      </c>
      <c r="X317" s="2" t="s">
        <v>0</v>
      </c>
      <c r="Y317" s="6" t="e">
        <f t="shared" si="38"/>
        <v>#VALUE!</v>
      </c>
      <c r="AA317">
        <v>336831</v>
      </c>
      <c r="AB317">
        <v>33098</v>
      </c>
      <c r="AD317" t="s">
        <v>5</v>
      </c>
      <c r="AE317">
        <v>44</v>
      </c>
      <c r="AF317">
        <v>3</v>
      </c>
      <c r="AH317" t="s">
        <v>4375</v>
      </c>
      <c r="AI317" t="s">
        <v>4374</v>
      </c>
      <c r="AK317" t="s">
        <v>4373</v>
      </c>
      <c r="AL317">
        <v>0</v>
      </c>
      <c r="AM317" s="5">
        <f t="shared" si="42"/>
        <v>0</v>
      </c>
      <c r="AN317" s="4">
        <f t="shared" si="39"/>
        <v>0</v>
      </c>
      <c r="AO317" s="3"/>
      <c r="AP317">
        <v>0</v>
      </c>
      <c r="AR317" t="s">
        <v>1</v>
      </c>
      <c r="AT317" s="2" t="s">
        <v>0</v>
      </c>
      <c r="AU317" s="1" t="e">
        <f t="shared" si="43"/>
        <v>#VALUE!</v>
      </c>
      <c r="AV317" s="1" t="e">
        <f t="shared" si="44"/>
        <v>#VALUE!</v>
      </c>
      <c r="AW317" s="1" t="e">
        <f t="shared" si="45"/>
        <v>#VALUE!</v>
      </c>
    </row>
    <row r="318" spans="1:49" x14ac:dyDescent="0.2">
      <c r="A318">
        <v>316</v>
      </c>
      <c r="B318" t="s">
        <v>4372</v>
      </c>
      <c r="C318" t="s">
        <v>4371</v>
      </c>
      <c r="F318" t="s">
        <v>4370</v>
      </c>
      <c r="G318" t="s">
        <v>15</v>
      </c>
      <c r="H318" t="s">
        <v>14</v>
      </c>
      <c r="I318" t="s">
        <v>4369</v>
      </c>
      <c r="N318">
        <v>1</v>
      </c>
      <c r="O318" t="s">
        <v>4368</v>
      </c>
      <c r="P318">
        <v>7005699797</v>
      </c>
      <c r="R318" s="7">
        <v>30317</v>
      </c>
      <c r="S318" s="8">
        <f t="shared" si="40"/>
        <v>1983</v>
      </c>
      <c r="T318" s="8">
        <v>1983</v>
      </c>
      <c r="U318" s="8">
        <f t="shared" si="41"/>
        <v>39</v>
      </c>
      <c r="V318" s="7">
        <v>30560</v>
      </c>
      <c r="W318" t="s">
        <v>618</v>
      </c>
      <c r="X318" s="2">
        <v>1.6519999999999999</v>
      </c>
      <c r="Y318" s="6">
        <f t="shared" si="38"/>
        <v>4.409919649769093E-2</v>
      </c>
      <c r="AA318" t="s">
        <v>617</v>
      </c>
      <c r="AB318">
        <v>17337</v>
      </c>
      <c r="AC318">
        <v>15582221</v>
      </c>
      <c r="AD318" t="s">
        <v>5</v>
      </c>
      <c r="AE318">
        <v>31</v>
      </c>
      <c r="AF318">
        <v>5</v>
      </c>
      <c r="AH318" t="s">
        <v>4367</v>
      </c>
      <c r="AI318" t="s">
        <v>4366</v>
      </c>
      <c r="AK318" t="s">
        <v>4365</v>
      </c>
      <c r="AL318">
        <v>17</v>
      </c>
      <c r="AM318" s="5">
        <f t="shared" si="42"/>
        <v>0.4358974358974359</v>
      </c>
      <c r="AN318" s="4">
        <f t="shared" si="39"/>
        <v>6.6020058447169392E-4</v>
      </c>
      <c r="AO318" s="3"/>
      <c r="AP318">
        <v>0</v>
      </c>
      <c r="AR318" t="s">
        <v>1</v>
      </c>
      <c r="AT318" s="2" t="s">
        <v>0</v>
      </c>
      <c r="AU318" s="1">
        <f t="shared" si="43"/>
        <v>3.1067497723725159</v>
      </c>
      <c r="AV318" s="1">
        <f t="shared" si="44"/>
        <v>2.237969854108131</v>
      </c>
      <c r="AW318" s="1">
        <f t="shared" si="45"/>
        <v>1.3691899358437465</v>
      </c>
    </row>
    <row r="319" spans="1:49" x14ac:dyDescent="0.2">
      <c r="A319">
        <v>317</v>
      </c>
      <c r="B319" t="s">
        <v>4364</v>
      </c>
      <c r="C319" t="s">
        <v>4363</v>
      </c>
      <c r="F319" t="s">
        <v>4362</v>
      </c>
      <c r="G319" t="s">
        <v>15</v>
      </c>
      <c r="H319" t="s">
        <v>14</v>
      </c>
      <c r="I319" t="s">
        <v>4361</v>
      </c>
      <c r="N319">
        <v>5</v>
      </c>
      <c r="O319" t="s">
        <v>4360</v>
      </c>
      <c r="P319" t="s">
        <v>4359</v>
      </c>
      <c r="Q319" t="s">
        <v>2349</v>
      </c>
      <c r="R319" s="7">
        <v>30317</v>
      </c>
      <c r="S319" s="8">
        <f t="shared" si="40"/>
        <v>1983</v>
      </c>
      <c r="T319" s="8">
        <v>1983</v>
      </c>
      <c r="U319" s="8">
        <f t="shared" si="41"/>
        <v>39</v>
      </c>
      <c r="V319" s="7">
        <v>37135</v>
      </c>
      <c r="W319" t="s">
        <v>1319</v>
      </c>
      <c r="X319" s="2">
        <v>1.67</v>
      </c>
      <c r="Y319" s="6">
        <f t="shared" si="38"/>
        <v>4.4579696217399427E-2</v>
      </c>
      <c r="AA319">
        <v>1480227</v>
      </c>
      <c r="AB319">
        <v>28428</v>
      </c>
      <c r="AD319" t="s">
        <v>5</v>
      </c>
      <c r="AE319">
        <v>88</v>
      </c>
      <c r="AF319" t="s">
        <v>4358</v>
      </c>
      <c r="AH319" t="s">
        <v>4357</v>
      </c>
      <c r="AI319" t="s">
        <v>4356</v>
      </c>
      <c r="AK319" t="s">
        <v>4355</v>
      </c>
      <c r="AL319">
        <v>13</v>
      </c>
      <c r="AM319" s="5">
        <f t="shared" si="42"/>
        <v>0.33333333333333331</v>
      </c>
      <c r="AN319" s="4">
        <f t="shared" si="39"/>
        <v>5.048592704783541E-4</v>
      </c>
      <c r="AO319" s="3"/>
      <c r="AP319">
        <v>0</v>
      </c>
      <c r="AR319" t="s">
        <v>1</v>
      </c>
      <c r="AT319" s="2" t="s">
        <v>0</v>
      </c>
      <c r="AU319" s="1">
        <f t="shared" si="43"/>
        <v>3.1357245133323102</v>
      </c>
      <c r="AV319" s="1">
        <f t="shared" si="44"/>
        <v>2.2542277743938888</v>
      </c>
      <c r="AW319" s="1">
        <f t="shared" si="45"/>
        <v>1.3727310354554676</v>
      </c>
    </row>
    <row r="320" spans="1:49" x14ac:dyDescent="0.2">
      <c r="A320">
        <v>318</v>
      </c>
      <c r="B320" t="s">
        <v>4354</v>
      </c>
      <c r="C320" t="s">
        <v>4353</v>
      </c>
      <c r="F320" t="s">
        <v>4352</v>
      </c>
      <c r="G320" t="s">
        <v>15</v>
      </c>
      <c r="H320" t="s">
        <v>14</v>
      </c>
      <c r="I320" t="s">
        <v>4351</v>
      </c>
      <c r="J320" t="s">
        <v>4350</v>
      </c>
      <c r="K320" t="s">
        <v>4349</v>
      </c>
      <c r="L320" t="s">
        <v>4348</v>
      </c>
      <c r="M320" t="s">
        <v>1535</v>
      </c>
      <c r="N320">
        <v>3</v>
      </c>
      <c r="O320" t="s">
        <v>4347</v>
      </c>
      <c r="P320" t="s">
        <v>4346</v>
      </c>
      <c r="Q320" t="s">
        <v>4345</v>
      </c>
      <c r="R320" s="7">
        <v>30317</v>
      </c>
      <c r="S320" s="8">
        <f t="shared" si="40"/>
        <v>1983</v>
      </c>
      <c r="T320" s="8">
        <v>1983</v>
      </c>
      <c r="U320" s="8">
        <f t="shared" si="41"/>
        <v>39</v>
      </c>
      <c r="V320" s="7">
        <v>30560</v>
      </c>
      <c r="W320" t="s">
        <v>618</v>
      </c>
      <c r="X320" s="2">
        <v>1.6519999999999999</v>
      </c>
      <c r="Y320" s="6">
        <f t="shared" si="38"/>
        <v>4.409919649769093E-2</v>
      </c>
      <c r="AA320" t="s">
        <v>617</v>
      </c>
      <c r="AB320">
        <v>17337</v>
      </c>
      <c r="AC320">
        <v>15582221</v>
      </c>
      <c r="AD320" t="s">
        <v>5</v>
      </c>
      <c r="AE320">
        <v>31</v>
      </c>
      <c r="AF320">
        <v>5</v>
      </c>
      <c r="AH320" t="s">
        <v>4344</v>
      </c>
      <c r="AI320" t="s">
        <v>4343</v>
      </c>
      <c r="AK320" t="s">
        <v>4342</v>
      </c>
      <c r="AL320">
        <v>6</v>
      </c>
      <c r="AM320" s="5">
        <f t="shared" si="42"/>
        <v>0.15384615384615385</v>
      </c>
      <c r="AN320" s="4">
        <f t="shared" si="39"/>
        <v>2.3301197099000962E-4</v>
      </c>
      <c r="AO320" s="3"/>
      <c r="AP320">
        <v>0</v>
      </c>
      <c r="AR320" t="s">
        <v>1</v>
      </c>
      <c r="AT320" s="2" t="s">
        <v>0</v>
      </c>
      <c r="AU320" s="1">
        <f t="shared" si="43"/>
        <v>3.0939341139680656</v>
      </c>
      <c r="AV320" s="1">
        <f t="shared" si="44"/>
        <v>2.2166104234340471</v>
      </c>
      <c r="AW320" s="1">
        <f t="shared" si="45"/>
        <v>1.3392867329000284</v>
      </c>
    </row>
    <row r="321" spans="1:49" x14ac:dyDescent="0.2">
      <c r="A321">
        <v>319</v>
      </c>
      <c r="B321" t="s">
        <v>4341</v>
      </c>
      <c r="C321" t="s">
        <v>4340</v>
      </c>
      <c r="F321" t="s">
        <v>4339</v>
      </c>
      <c r="G321" t="s">
        <v>15</v>
      </c>
      <c r="H321" t="s">
        <v>14</v>
      </c>
      <c r="I321" t="s">
        <v>4338</v>
      </c>
      <c r="J321">
        <v>60025209</v>
      </c>
      <c r="K321" t="s">
        <v>2422</v>
      </c>
      <c r="L321" t="s">
        <v>659</v>
      </c>
      <c r="M321" t="s">
        <v>10</v>
      </c>
      <c r="N321">
        <v>1</v>
      </c>
      <c r="O321" t="s">
        <v>4337</v>
      </c>
      <c r="P321">
        <v>7004263090</v>
      </c>
      <c r="Q321">
        <v>60025209</v>
      </c>
      <c r="R321" s="7">
        <v>30317</v>
      </c>
      <c r="S321" s="8">
        <f t="shared" si="40"/>
        <v>1983</v>
      </c>
      <c r="T321" s="8">
        <v>1983</v>
      </c>
      <c r="U321" s="8">
        <f t="shared" si="41"/>
        <v>39</v>
      </c>
      <c r="V321" s="7">
        <v>30560</v>
      </c>
      <c r="W321" t="s">
        <v>618</v>
      </c>
      <c r="X321" s="2">
        <v>1.6519999999999999</v>
      </c>
      <c r="Y321" s="6">
        <f t="shared" si="38"/>
        <v>4.409919649769093E-2</v>
      </c>
      <c r="AA321" t="s">
        <v>617</v>
      </c>
      <c r="AB321">
        <v>17337</v>
      </c>
      <c r="AC321">
        <v>15582221</v>
      </c>
      <c r="AD321" t="s">
        <v>5</v>
      </c>
      <c r="AE321">
        <v>31</v>
      </c>
      <c r="AF321">
        <v>5</v>
      </c>
      <c r="AH321" t="s">
        <v>1251</v>
      </c>
      <c r="AI321" t="s">
        <v>4336</v>
      </c>
      <c r="AK321" t="s">
        <v>4335</v>
      </c>
      <c r="AL321">
        <v>6</v>
      </c>
      <c r="AM321" s="5">
        <f t="shared" si="42"/>
        <v>0.15384615384615385</v>
      </c>
      <c r="AN321" s="4">
        <f t="shared" si="39"/>
        <v>2.3301197099000962E-4</v>
      </c>
      <c r="AO321" s="3"/>
      <c r="AP321">
        <v>0</v>
      </c>
      <c r="AR321" t="s">
        <v>1</v>
      </c>
      <c r="AT321" s="2" t="s">
        <v>0</v>
      </c>
      <c r="AU321" s="1">
        <f t="shared" si="43"/>
        <v>3.0939341139680656</v>
      </c>
      <c r="AV321" s="1">
        <f t="shared" si="44"/>
        <v>2.2166104234340471</v>
      </c>
      <c r="AW321" s="1">
        <f t="shared" si="45"/>
        <v>1.3392867329000284</v>
      </c>
    </row>
    <row r="322" spans="1:49" x14ac:dyDescent="0.2">
      <c r="A322">
        <v>320</v>
      </c>
      <c r="B322" t="s">
        <v>4334</v>
      </c>
      <c r="F322" t="s">
        <v>4333</v>
      </c>
      <c r="G322" t="s">
        <v>15</v>
      </c>
      <c r="H322" t="s">
        <v>14</v>
      </c>
      <c r="I322" t="s">
        <v>4332</v>
      </c>
      <c r="N322">
        <v>2</v>
      </c>
      <c r="O322" t="s">
        <v>4331</v>
      </c>
      <c r="P322" t="s">
        <v>4330</v>
      </c>
      <c r="Q322" t="s">
        <v>342</v>
      </c>
      <c r="R322" s="7">
        <v>30317</v>
      </c>
      <c r="S322" s="8">
        <f t="shared" si="40"/>
        <v>1983</v>
      </c>
      <c r="T322" s="8">
        <v>1983</v>
      </c>
      <c r="U322" s="8">
        <f t="shared" si="41"/>
        <v>39</v>
      </c>
      <c r="V322" s="7" t="s">
        <v>4186</v>
      </c>
      <c r="W322" t="s">
        <v>4329</v>
      </c>
      <c r="X322" s="2" t="s">
        <v>0</v>
      </c>
      <c r="Y322" s="6" t="e">
        <f t="shared" ref="Y322:Y385" si="46">(X322-$Z$4)/($Z$3-$Z$4)</f>
        <v>#VALUE!</v>
      </c>
      <c r="AA322" t="s">
        <v>4328</v>
      </c>
      <c r="AB322">
        <v>35968</v>
      </c>
      <c r="AD322" t="s">
        <v>5</v>
      </c>
      <c r="AE322">
        <v>50</v>
      </c>
      <c r="AF322">
        <v>9</v>
      </c>
      <c r="AH322" t="s">
        <v>4327</v>
      </c>
      <c r="AI322" t="s">
        <v>4326</v>
      </c>
      <c r="AK322" t="s">
        <v>4325</v>
      </c>
      <c r="AL322">
        <v>0</v>
      </c>
      <c r="AM322" s="5">
        <f t="shared" si="42"/>
        <v>0</v>
      </c>
      <c r="AN322" s="4">
        <f t="shared" ref="AN322:AN385" si="47">(AM322-$AO$4)/($AO$3-$AO$4)</f>
        <v>0</v>
      </c>
      <c r="AO322" s="3"/>
      <c r="AP322">
        <v>0</v>
      </c>
      <c r="AR322" t="s">
        <v>1</v>
      </c>
      <c r="AT322" s="2" t="s">
        <v>0</v>
      </c>
      <c r="AU322" s="1" t="e">
        <f t="shared" si="43"/>
        <v>#VALUE!</v>
      </c>
      <c r="AV322" s="1" t="e">
        <f t="shared" si="44"/>
        <v>#VALUE!</v>
      </c>
      <c r="AW322" s="1" t="e">
        <f t="shared" si="45"/>
        <v>#VALUE!</v>
      </c>
    </row>
    <row r="323" spans="1:49" x14ac:dyDescent="0.2">
      <c r="A323">
        <v>321</v>
      </c>
      <c r="B323" t="s">
        <v>4324</v>
      </c>
      <c r="F323" t="s">
        <v>4323</v>
      </c>
      <c r="G323" t="s">
        <v>15</v>
      </c>
      <c r="H323" t="s">
        <v>14</v>
      </c>
      <c r="I323" t="s">
        <v>4322</v>
      </c>
      <c r="N323">
        <v>3</v>
      </c>
      <c r="O323" t="s">
        <v>4321</v>
      </c>
      <c r="P323" t="s">
        <v>4320</v>
      </c>
      <c r="Q323" t="s">
        <v>510</v>
      </c>
      <c r="R323" s="7">
        <v>30317</v>
      </c>
      <c r="S323" s="8">
        <f t="shared" si="40"/>
        <v>1983</v>
      </c>
      <c r="T323" s="8">
        <v>1983</v>
      </c>
      <c r="U323" s="8">
        <f t="shared" si="41"/>
        <v>39</v>
      </c>
      <c r="V323" s="7" t="s">
        <v>4197</v>
      </c>
      <c r="W323" t="s">
        <v>4319</v>
      </c>
      <c r="X323" s="2" t="s">
        <v>0</v>
      </c>
      <c r="Y323" s="6" t="e">
        <f t="shared" si="46"/>
        <v>#VALUE!</v>
      </c>
      <c r="AA323">
        <v>12351</v>
      </c>
      <c r="AB323">
        <v>15776</v>
      </c>
      <c r="AD323" t="s">
        <v>5</v>
      </c>
      <c r="AE323">
        <v>26</v>
      </c>
      <c r="AF323">
        <v>5</v>
      </c>
      <c r="AH323" t="s">
        <v>4318</v>
      </c>
      <c r="AI323" t="s">
        <v>4317</v>
      </c>
      <c r="AK323" t="s">
        <v>4316</v>
      </c>
      <c r="AL323">
        <v>4</v>
      </c>
      <c r="AM323" s="5">
        <f t="shared" si="42"/>
        <v>0.10256410256410256</v>
      </c>
      <c r="AN323" s="4">
        <f t="shared" si="47"/>
        <v>1.5534131399333974E-4</v>
      </c>
      <c r="AO323" s="3"/>
      <c r="AP323">
        <v>0</v>
      </c>
      <c r="AR323" t="s">
        <v>1</v>
      </c>
      <c r="AT323" s="2" t="s">
        <v>0</v>
      </c>
      <c r="AU323" s="1" t="e">
        <f t="shared" si="43"/>
        <v>#VALUE!</v>
      </c>
      <c r="AV323" s="1" t="e">
        <f t="shared" si="44"/>
        <v>#VALUE!</v>
      </c>
      <c r="AW323" s="1" t="e">
        <f t="shared" si="45"/>
        <v>#VALUE!</v>
      </c>
    </row>
    <row r="324" spans="1:49" x14ac:dyDescent="0.2">
      <c r="A324">
        <v>322</v>
      </c>
      <c r="B324" t="s">
        <v>4315</v>
      </c>
      <c r="C324" t="s">
        <v>4314</v>
      </c>
      <c r="F324" t="s">
        <v>4313</v>
      </c>
      <c r="G324" t="s">
        <v>15</v>
      </c>
      <c r="H324" t="s">
        <v>14</v>
      </c>
      <c r="R324" s="7">
        <v>30317</v>
      </c>
      <c r="S324" s="8">
        <f t="shared" si="40"/>
        <v>1983</v>
      </c>
      <c r="T324" s="8">
        <v>1983</v>
      </c>
      <c r="U324" s="8">
        <f t="shared" si="41"/>
        <v>39</v>
      </c>
      <c r="V324" s="7">
        <v>30560</v>
      </c>
      <c r="W324" t="s">
        <v>669</v>
      </c>
      <c r="X324" s="2">
        <v>1.137</v>
      </c>
      <c r="Y324" s="6">
        <f t="shared" si="46"/>
        <v>3.0351565628253384E-2</v>
      </c>
      <c r="AA324">
        <v>189251</v>
      </c>
      <c r="AB324">
        <v>17336</v>
      </c>
      <c r="AD324" t="s">
        <v>5</v>
      </c>
      <c r="AE324" t="s">
        <v>668</v>
      </c>
      <c r="AF324">
        <v>5</v>
      </c>
      <c r="AH324" t="s">
        <v>4312</v>
      </c>
      <c r="AI324" t="s">
        <v>4311</v>
      </c>
      <c r="AK324" t="s">
        <v>4310</v>
      </c>
      <c r="AL324">
        <v>3</v>
      </c>
      <c r="AM324" s="5">
        <f t="shared" si="42"/>
        <v>7.6923076923076927E-2</v>
      </c>
      <c r="AN324" s="4">
        <f t="shared" si="47"/>
        <v>1.1650598549500481E-4</v>
      </c>
      <c r="AO324" s="3"/>
      <c r="AP324">
        <v>0</v>
      </c>
      <c r="AR324" t="s">
        <v>1</v>
      </c>
      <c r="AT324" s="2" t="s">
        <v>0</v>
      </c>
      <c r="AU324" s="1">
        <f t="shared" si="43"/>
        <v>2.1281047735425869</v>
      </c>
      <c r="AV324" s="1">
        <f t="shared" si="44"/>
        <v>1.5234035806874193</v>
      </c>
      <c r="AW324" s="1">
        <f t="shared" si="45"/>
        <v>0.918702387832252</v>
      </c>
    </row>
    <row r="325" spans="1:49" x14ac:dyDescent="0.2">
      <c r="A325">
        <v>323</v>
      </c>
      <c r="B325" t="s">
        <v>4309</v>
      </c>
      <c r="F325" t="s">
        <v>4308</v>
      </c>
      <c r="G325" t="s">
        <v>15</v>
      </c>
      <c r="H325" t="s">
        <v>14</v>
      </c>
      <c r="I325" t="s">
        <v>4307</v>
      </c>
      <c r="N325">
        <v>4</v>
      </c>
      <c r="O325" t="s">
        <v>4306</v>
      </c>
      <c r="P325" t="s">
        <v>4305</v>
      </c>
      <c r="Q325" t="s">
        <v>575</v>
      </c>
      <c r="R325" s="7">
        <v>30317</v>
      </c>
      <c r="S325" s="8">
        <f t="shared" si="40"/>
        <v>1983</v>
      </c>
      <c r="T325" s="8">
        <v>1983</v>
      </c>
      <c r="U325" s="8">
        <f t="shared" si="41"/>
        <v>39</v>
      </c>
      <c r="V325" s="7" t="s">
        <v>4186</v>
      </c>
      <c r="W325" t="s">
        <v>2341</v>
      </c>
      <c r="X325" s="2">
        <v>0.14099999999999999</v>
      </c>
      <c r="Y325" s="6">
        <f t="shared" si="46"/>
        <v>3.7639144710498915E-3</v>
      </c>
      <c r="AA325">
        <v>7252986</v>
      </c>
      <c r="AB325">
        <v>18037</v>
      </c>
      <c r="AD325" t="s">
        <v>5</v>
      </c>
      <c r="AE325">
        <v>3</v>
      </c>
      <c r="AF325">
        <v>3</v>
      </c>
      <c r="AH325" t="s">
        <v>4304</v>
      </c>
      <c r="AI325" t="s">
        <v>4303</v>
      </c>
      <c r="AK325" t="s">
        <v>4302</v>
      </c>
      <c r="AL325">
        <v>2</v>
      </c>
      <c r="AM325" s="5">
        <f t="shared" si="42"/>
        <v>5.128205128205128E-2</v>
      </c>
      <c r="AN325" s="4">
        <f t="shared" si="47"/>
        <v>7.767065699666987E-5</v>
      </c>
      <c r="AO325" s="3"/>
      <c r="AP325">
        <v>0</v>
      </c>
      <c r="AR325" t="s">
        <v>1</v>
      </c>
      <c r="AT325" s="2" t="s">
        <v>0</v>
      </c>
      <c r="AU325" s="1">
        <f t="shared" si="43"/>
        <v>0.26580413268339248</v>
      </c>
      <c r="AV325" s="1">
        <f t="shared" si="44"/>
        <v>0.19207925640232806</v>
      </c>
      <c r="AW325" s="1">
        <f t="shared" si="45"/>
        <v>0.11835438012126362</v>
      </c>
    </row>
    <row r="326" spans="1:49" x14ac:dyDescent="0.2">
      <c r="A326">
        <v>324</v>
      </c>
      <c r="B326" t="s">
        <v>4301</v>
      </c>
      <c r="F326" t="s">
        <v>4300</v>
      </c>
      <c r="G326" t="s">
        <v>15</v>
      </c>
      <c r="H326" t="s">
        <v>14</v>
      </c>
      <c r="I326" t="s">
        <v>3516</v>
      </c>
      <c r="N326">
        <v>1</v>
      </c>
      <c r="O326" t="s">
        <v>3515</v>
      </c>
      <c r="P326">
        <v>6603670249</v>
      </c>
      <c r="R326" s="7">
        <v>30317</v>
      </c>
      <c r="S326" s="8">
        <f t="shared" si="40"/>
        <v>1983</v>
      </c>
      <c r="T326" s="8">
        <v>1983</v>
      </c>
      <c r="U326" s="8">
        <f t="shared" si="41"/>
        <v>39</v>
      </c>
      <c r="V326" s="7" t="s">
        <v>4186</v>
      </c>
      <c r="W326" t="s">
        <v>2341</v>
      </c>
      <c r="X326" s="2">
        <v>0.14099999999999999</v>
      </c>
      <c r="Y326" s="6">
        <f t="shared" si="46"/>
        <v>3.7639144710498915E-3</v>
      </c>
      <c r="AA326">
        <v>7252986</v>
      </c>
      <c r="AB326">
        <v>18037</v>
      </c>
      <c r="AD326" t="s">
        <v>5</v>
      </c>
      <c r="AE326">
        <v>3</v>
      </c>
      <c r="AF326">
        <v>3</v>
      </c>
      <c r="AH326" t="s">
        <v>4299</v>
      </c>
      <c r="AI326" t="s">
        <v>4298</v>
      </c>
      <c r="AK326" t="s">
        <v>4297</v>
      </c>
      <c r="AL326">
        <v>0</v>
      </c>
      <c r="AM326" s="5">
        <f t="shared" si="42"/>
        <v>0</v>
      </c>
      <c r="AN326" s="4">
        <f t="shared" si="47"/>
        <v>0</v>
      </c>
      <c r="AO326" s="3"/>
      <c r="AP326">
        <v>0</v>
      </c>
      <c r="AR326" t="s">
        <v>1</v>
      </c>
      <c r="AT326" s="2" t="s">
        <v>0</v>
      </c>
      <c r="AU326" s="1">
        <f t="shared" si="43"/>
        <v>0.26347401297349238</v>
      </c>
      <c r="AV326" s="1">
        <f t="shared" si="44"/>
        <v>0.18819572355249459</v>
      </c>
      <c r="AW326" s="1">
        <f t="shared" si="45"/>
        <v>0.11291743413149673</v>
      </c>
    </row>
    <row r="327" spans="1:49" x14ac:dyDescent="0.2">
      <c r="A327">
        <v>325</v>
      </c>
      <c r="B327" t="s">
        <v>4296</v>
      </c>
      <c r="C327" t="s">
        <v>4295</v>
      </c>
      <c r="F327" t="s">
        <v>4294</v>
      </c>
      <c r="G327" t="s">
        <v>15</v>
      </c>
      <c r="H327" t="s">
        <v>14</v>
      </c>
      <c r="I327" t="s">
        <v>4293</v>
      </c>
      <c r="J327" t="s">
        <v>4292</v>
      </c>
      <c r="K327" t="s">
        <v>4291</v>
      </c>
      <c r="L327" t="s">
        <v>4290</v>
      </c>
      <c r="M327" t="s">
        <v>4289</v>
      </c>
      <c r="N327">
        <v>4</v>
      </c>
      <c r="O327" t="s">
        <v>4288</v>
      </c>
      <c r="P327" t="s">
        <v>4287</v>
      </c>
      <c r="Q327" t="s">
        <v>4286</v>
      </c>
      <c r="R327" s="7">
        <v>30317</v>
      </c>
      <c r="S327" s="8">
        <f t="shared" si="40"/>
        <v>1983</v>
      </c>
      <c r="T327" s="8">
        <v>1983</v>
      </c>
      <c r="U327" s="8">
        <f t="shared" si="41"/>
        <v>39</v>
      </c>
      <c r="V327" s="7">
        <v>30560</v>
      </c>
      <c r="W327" t="s">
        <v>4285</v>
      </c>
      <c r="X327" s="2">
        <v>0.75800000000000001</v>
      </c>
      <c r="Y327" s="6">
        <f t="shared" si="46"/>
        <v>2.0234377085502256E-2</v>
      </c>
      <c r="AA327">
        <v>224650</v>
      </c>
      <c r="AB327">
        <v>29589</v>
      </c>
      <c r="AD327" t="s">
        <v>5</v>
      </c>
      <c r="AE327">
        <v>20</v>
      </c>
      <c r="AF327">
        <v>5</v>
      </c>
      <c r="AH327" t="s">
        <v>4284</v>
      </c>
      <c r="AI327" t="s">
        <v>4283</v>
      </c>
      <c r="AK327" t="s">
        <v>4282</v>
      </c>
      <c r="AL327">
        <v>1</v>
      </c>
      <c r="AM327" s="5">
        <f t="shared" si="42"/>
        <v>2.564102564102564E-2</v>
      </c>
      <c r="AN327" s="4">
        <f t="shared" si="47"/>
        <v>3.8835328498334935E-5</v>
      </c>
      <c r="AO327" s="3"/>
      <c r="AP327">
        <v>0</v>
      </c>
      <c r="AR327" t="s">
        <v>1</v>
      </c>
      <c r="AT327" s="2">
        <v>1.282</v>
      </c>
      <c r="AU327" s="1">
        <f t="shared" si="43"/>
        <v>1.4175714558401078</v>
      </c>
      <c r="AV327" s="1">
        <f t="shared" si="44"/>
        <v>1.0136606207000294</v>
      </c>
      <c r="AW327" s="1">
        <f t="shared" si="45"/>
        <v>0.60974978555995107</v>
      </c>
    </row>
    <row r="328" spans="1:49" x14ac:dyDescent="0.2">
      <c r="A328">
        <v>326</v>
      </c>
      <c r="B328" t="s">
        <v>4281</v>
      </c>
      <c r="C328" t="s">
        <v>4280</v>
      </c>
      <c r="F328" t="s">
        <v>4279</v>
      </c>
      <c r="G328" t="s">
        <v>15</v>
      </c>
      <c r="H328" t="s">
        <v>14</v>
      </c>
      <c r="I328" t="s">
        <v>4278</v>
      </c>
      <c r="J328">
        <v>60084299</v>
      </c>
      <c r="K328" t="s">
        <v>4277</v>
      </c>
      <c r="L328" t="s">
        <v>4276</v>
      </c>
      <c r="M328" t="s">
        <v>4275</v>
      </c>
      <c r="N328">
        <v>2</v>
      </c>
      <c r="O328" t="s">
        <v>4274</v>
      </c>
      <c r="P328" t="s">
        <v>4273</v>
      </c>
      <c r="Q328" t="s">
        <v>4272</v>
      </c>
      <c r="R328" s="7">
        <v>30317</v>
      </c>
      <c r="S328" s="8">
        <f t="shared" si="40"/>
        <v>1983</v>
      </c>
      <c r="T328" s="8">
        <v>1983</v>
      </c>
      <c r="U328" s="8">
        <f t="shared" si="41"/>
        <v>39</v>
      </c>
      <c r="V328" s="7">
        <v>30560</v>
      </c>
      <c r="W328" t="s">
        <v>618</v>
      </c>
      <c r="X328" s="2">
        <v>1.6519999999999999</v>
      </c>
      <c r="Y328" s="6">
        <f t="shared" si="46"/>
        <v>4.409919649769093E-2</v>
      </c>
      <c r="AA328" t="s">
        <v>617</v>
      </c>
      <c r="AB328">
        <v>17337</v>
      </c>
      <c r="AC328">
        <v>15582221</v>
      </c>
      <c r="AD328" t="s">
        <v>5</v>
      </c>
      <c r="AE328">
        <v>31</v>
      </c>
      <c r="AF328">
        <v>5</v>
      </c>
      <c r="AH328" t="s">
        <v>4271</v>
      </c>
      <c r="AI328" t="s">
        <v>4270</v>
      </c>
      <c r="AK328" t="s">
        <v>4269</v>
      </c>
      <c r="AL328">
        <v>25</v>
      </c>
      <c r="AM328" s="5">
        <f t="shared" si="42"/>
        <v>0.64102564102564108</v>
      </c>
      <c r="AN328" s="4">
        <f t="shared" si="47"/>
        <v>9.7088321245837345E-4</v>
      </c>
      <c r="AO328" s="3"/>
      <c r="AP328">
        <v>0</v>
      </c>
      <c r="AR328" t="s">
        <v>1</v>
      </c>
      <c r="AT328" s="2" t="s">
        <v>0</v>
      </c>
      <c r="AU328" s="1">
        <f t="shared" si="43"/>
        <v>3.1160702512121166</v>
      </c>
      <c r="AV328" s="1">
        <f t="shared" si="44"/>
        <v>2.2535039855074652</v>
      </c>
      <c r="AW328" s="1">
        <f t="shared" si="45"/>
        <v>1.3909377198028139</v>
      </c>
    </row>
    <row r="329" spans="1:49" x14ac:dyDescent="0.2">
      <c r="A329">
        <v>327</v>
      </c>
      <c r="B329" t="s">
        <v>4268</v>
      </c>
      <c r="C329" t="s">
        <v>4267</v>
      </c>
      <c r="F329" t="s">
        <v>4266</v>
      </c>
      <c r="G329" t="s">
        <v>15</v>
      </c>
      <c r="H329" t="s">
        <v>14</v>
      </c>
      <c r="I329" t="s">
        <v>4265</v>
      </c>
      <c r="J329">
        <v>60008435</v>
      </c>
      <c r="K329" t="s">
        <v>4008</v>
      </c>
      <c r="L329" t="s">
        <v>4007</v>
      </c>
      <c r="M329" t="s">
        <v>55</v>
      </c>
      <c r="N329">
        <v>2</v>
      </c>
      <c r="O329" t="s">
        <v>4264</v>
      </c>
      <c r="P329" t="s">
        <v>4263</v>
      </c>
      <c r="Q329" t="s">
        <v>4262</v>
      </c>
      <c r="R329" s="7">
        <v>30317</v>
      </c>
      <c r="S329" s="8">
        <f t="shared" si="40"/>
        <v>1983</v>
      </c>
      <c r="T329" s="8">
        <v>1983</v>
      </c>
      <c r="U329" s="8">
        <f t="shared" si="41"/>
        <v>39</v>
      </c>
      <c r="V329" s="7">
        <v>30560</v>
      </c>
      <c r="W329" t="s">
        <v>618</v>
      </c>
      <c r="X329" s="2">
        <v>1.6519999999999999</v>
      </c>
      <c r="Y329" s="6">
        <f t="shared" si="46"/>
        <v>4.409919649769093E-2</v>
      </c>
      <c r="AA329" t="s">
        <v>617</v>
      </c>
      <c r="AB329">
        <v>17337</v>
      </c>
      <c r="AC329">
        <v>15582221</v>
      </c>
      <c r="AD329" t="s">
        <v>5</v>
      </c>
      <c r="AE329">
        <v>31</v>
      </c>
      <c r="AF329">
        <v>5</v>
      </c>
      <c r="AH329" t="s">
        <v>4261</v>
      </c>
      <c r="AI329" t="s">
        <v>4260</v>
      </c>
      <c r="AK329" t="s">
        <v>4259</v>
      </c>
      <c r="AL329">
        <v>3</v>
      </c>
      <c r="AM329" s="5">
        <f t="shared" si="42"/>
        <v>7.6923076923076927E-2</v>
      </c>
      <c r="AN329" s="4">
        <f t="shared" si="47"/>
        <v>1.1650598549500481E-4</v>
      </c>
      <c r="AO329" s="3"/>
      <c r="AP329">
        <v>0</v>
      </c>
      <c r="AR329" t="s">
        <v>1</v>
      </c>
      <c r="AT329" s="2" t="s">
        <v>0</v>
      </c>
      <c r="AU329" s="1">
        <f t="shared" si="43"/>
        <v>3.090438934403215</v>
      </c>
      <c r="AV329" s="1">
        <f t="shared" si="44"/>
        <v>2.2107851241592971</v>
      </c>
      <c r="AW329" s="1">
        <f t="shared" si="45"/>
        <v>1.3311313139153782</v>
      </c>
    </row>
    <row r="330" spans="1:49" x14ac:dyDescent="0.2">
      <c r="A330">
        <v>328</v>
      </c>
      <c r="B330" t="s">
        <v>4258</v>
      </c>
      <c r="C330" t="s">
        <v>4257</v>
      </c>
      <c r="F330" t="s">
        <v>4256</v>
      </c>
      <c r="G330" t="s">
        <v>15</v>
      </c>
      <c r="H330" t="s">
        <v>14</v>
      </c>
      <c r="I330" t="s">
        <v>4255</v>
      </c>
      <c r="J330" t="s">
        <v>4254</v>
      </c>
      <c r="K330" t="s">
        <v>4253</v>
      </c>
      <c r="L330" t="s">
        <v>4252</v>
      </c>
      <c r="M330" t="s">
        <v>4251</v>
      </c>
      <c r="N330">
        <v>3</v>
      </c>
      <c r="O330" t="s">
        <v>4250</v>
      </c>
      <c r="P330" t="s">
        <v>4249</v>
      </c>
      <c r="Q330" t="s">
        <v>4248</v>
      </c>
      <c r="R330" s="7">
        <v>30317</v>
      </c>
      <c r="S330" s="8">
        <f t="shared" si="40"/>
        <v>1983</v>
      </c>
      <c r="T330" s="8">
        <v>1983</v>
      </c>
      <c r="U330" s="8">
        <f t="shared" si="41"/>
        <v>39</v>
      </c>
      <c r="V330" s="7">
        <v>30560</v>
      </c>
      <c r="W330" t="s">
        <v>817</v>
      </c>
      <c r="X330" s="2">
        <v>2.9860000000000002</v>
      </c>
      <c r="Y330" s="6">
        <f t="shared" si="46"/>
        <v>7.9709564613865094E-2</v>
      </c>
      <c r="AA330">
        <v>7338716</v>
      </c>
      <c r="AB330">
        <v>18902</v>
      </c>
      <c r="AD330" t="s">
        <v>5</v>
      </c>
      <c r="AE330">
        <v>1</v>
      </c>
      <c r="AF330">
        <v>4</v>
      </c>
      <c r="AH330" t="s">
        <v>4247</v>
      </c>
      <c r="AI330" t="s">
        <v>4246</v>
      </c>
      <c r="AK330" t="s">
        <v>4245</v>
      </c>
      <c r="AL330">
        <v>1</v>
      </c>
      <c r="AM330" s="5">
        <f t="shared" si="42"/>
        <v>2.564102564102564E-2</v>
      </c>
      <c r="AN330" s="4">
        <f t="shared" si="47"/>
        <v>3.8835328498334935E-5</v>
      </c>
      <c r="AO330" s="3"/>
      <c r="AP330">
        <v>0</v>
      </c>
      <c r="AR330" t="s">
        <v>1</v>
      </c>
      <c r="AT330" s="2" t="s">
        <v>0</v>
      </c>
      <c r="AU330" s="1">
        <f t="shared" si="43"/>
        <v>5.5808345828255064</v>
      </c>
      <c r="AV330" s="1">
        <f t="shared" si="44"/>
        <v>3.9874199971181716</v>
      </c>
      <c r="AW330" s="1">
        <f t="shared" si="45"/>
        <v>2.394005411410836</v>
      </c>
    </row>
    <row r="331" spans="1:49" x14ac:dyDescent="0.2">
      <c r="A331">
        <v>329</v>
      </c>
      <c r="B331" t="s">
        <v>4244</v>
      </c>
      <c r="F331" t="s">
        <v>4243</v>
      </c>
      <c r="G331" t="s">
        <v>15</v>
      </c>
      <c r="H331" t="s">
        <v>14</v>
      </c>
      <c r="I331" t="s">
        <v>4242</v>
      </c>
      <c r="N331">
        <v>2</v>
      </c>
      <c r="O331" t="s">
        <v>4241</v>
      </c>
      <c r="P331" t="s">
        <v>4240</v>
      </c>
      <c r="Q331" t="s">
        <v>342</v>
      </c>
      <c r="R331" s="7">
        <v>30317</v>
      </c>
      <c r="S331" s="8">
        <f t="shared" si="40"/>
        <v>1983</v>
      </c>
      <c r="T331" s="8">
        <v>1983</v>
      </c>
      <c r="U331" s="8">
        <f t="shared" si="41"/>
        <v>39</v>
      </c>
      <c r="V331" s="7" t="s">
        <v>4197</v>
      </c>
      <c r="W331" t="s">
        <v>4239</v>
      </c>
      <c r="X331" s="2">
        <v>0.35699999999999998</v>
      </c>
      <c r="Y331" s="6">
        <f t="shared" si="46"/>
        <v>9.5299111075518531E-3</v>
      </c>
      <c r="AA331">
        <v>913286</v>
      </c>
      <c r="AB331">
        <v>12316</v>
      </c>
      <c r="AD331" t="s">
        <v>5</v>
      </c>
      <c r="AE331">
        <v>22</v>
      </c>
      <c r="AF331">
        <v>5</v>
      </c>
      <c r="AI331" t="s">
        <v>4238</v>
      </c>
      <c r="AK331" t="s">
        <v>4237</v>
      </c>
      <c r="AL331">
        <v>0</v>
      </c>
      <c r="AM331" s="5">
        <f t="shared" si="42"/>
        <v>0</v>
      </c>
      <c r="AN331" s="4">
        <f t="shared" si="47"/>
        <v>0</v>
      </c>
      <c r="AO331" s="3"/>
      <c r="AP331">
        <v>0</v>
      </c>
      <c r="AR331" t="s">
        <v>1</v>
      </c>
      <c r="AT331" s="2">
        <v>1.0840000000000001</v>
      </c>
      <c r="AU331" s="1">
        <f t="shared" si="43"/>
        <v>0.66709377752862975</v>
      </c>
      <c r="AV331" s="1">
        <f t="shared" si="44"/>
        <v>0.47649555537759264</v>
      </c>
      <c r="AW331" s="1">
        <f t="shared" si="45"/>
        <v>0.28589733322655558</v>
      </c>
    </row>
    <row r="332" spans="1:49" x14ac:dyDescent="0.2">
      <c r="A332">
        <v>330</v>
      </c>
      <c r="B332" t="s">
        <v>4236</v>
      </c>
      <c r="C332" t="s">
        <v>4235</v>
      </c>
      <c r="F332" t="s">
        <v>4234</v>
      </c>
      <c r="G332" t="s">
        <v>15</v>
      </c>
      <c r="H332" t="s">
        <v>14</v>
      </c>
      <c r="I332" t="s">
        <v>4233</v>
      </c>
      <c r="J332">
        <v>60022148</v>
      </c>
      <c r="K332" t="s">
        <v>1011</v>
      </c>
      <c r="L332" t="s">
        <v>1010</v>
      </c>
      <c r="M332" t="s">
        <v>271</v>
      </c>
      <c r="N332">
        <v>2</v>
      </c>
      <c r="O332" t="s">
        <v>4232</v>
      </c>
      <c r="P332" t="s">
        <v>4231</v>
      </c>
      <c r="Q332" t="s">
        <v>1007</v>
      </c>
      <c r="R332" s="7">
        <v>30317</v>
      </c>
      <c r="S332" s="8">
        <f t="shared" si="40"/>
        <v>1983</v>
      </c>
      <c r="T332" s="8">
        <v>1983</v>
      </c>
      <c r="U332" s="8">
        <f t="shared" si="41"/>
        <v>39</v>
      </c>
      <c r="V332" s="7">
        <v>30560</v>
      </c>
      <c r="W332" t="s">
        <v>1006</v>
      </c>
      <c r="X332" s="2" t="s">
        <v>0</v>
      </c>
      <c r="Y332" s="6" t="e">
        <f t="shared" si="46"/>
        <v>#VALUE!</v>
      </c>
      <c r="AA332">
        <v>337722</v>
      </c>
      <c r="AB332">
        <v>35312</v>
      </c>
      <c r="AD332" t="s">
        <v>5</v>
      </c>
      <c r="AE332">
        <v>53</v>
      </c>
      <c r="AF332">
        <v>9</v>
      </c>
      <c r="AH332" t="s">
        <v>4230</v>
      </c>
      <c r="AI332" t="s">
        <v>4229</v>
      </c>
      <c r="AK332" t="s">
        <v>4228</v>
      </c>
      <c r="AL332">
        <v>42</v>
      </c>
      <c r="AM332" s="5">
        <f t="shared" si="42"/>
        <v>1.0769230769230769</v>
      </c>
      <c r="AN332" s="4">
        <f t="shared" si="47"/>
        <v>1.6310837969300673E-3</v>
      </c>
      <c r="AO332" s="3"/>
      <c r="AP332">
        <v>0</v>
      </c>
      <c r="AR332" t="s">
        <v>1</v>
      </c>
      <c r="AT332" s="2" t="s">
        <v>0</v>
      </c>
      <c r="AU332" s="1" t="e">
        <f t="shared" si="43"/>
        <v>#VALUE!</v>
      </c>
      <c r="AV332" s="1" t="e">
        <f t="shared" si="44"/>
        <v>#VALUE!</v>
      </c>
      <c r="AW332" s="1" t="e">
        <f t="shared" si="45"/>
        <v>#VALUE!</v>
      </c>
    </row>
    <row r="333" spans="1:49" x14ac:dyDescent="0.2">
      <c r="A333">
        <v>331</v>
      </c>
      <c r="B333" t="s">
        <v>4227</v>
      </c>
      <c r="C333" t="s">
        <v>4226</v>
      </c>
      <c r="F333" t="s">
        <v>4225</v>
      </c>
      <c r="G333" t="s">
        <v>15</v>
      </c>
      <c r="H333" t="s">
        <v>14</v>
      </c>
      <c r="I333" t="s">
        <v>4224</v>
      </c>
      <c r="J333">
        <v>60015331</v>
      </c>
      <c r="K333" t="s">
        <v>4223</v>
      </c>
      <c r="L333" t="s">
        <v>4222</v>
      </c>
      <c r="M333" t="s">
        <v>4221</v>
      </c>
      <c r="N333">
        <v>2</v>
      </c>
      <c r="O333" t="s">
        <v>4220</v>
      </c>
      <c r="P333" t="s">
        <v>4219</v>
      </c>
      <c r="Q333" t="s">
        <v>4218</v>
      </c>
      <c r="R333" s="7">
        <v>30317</v>
      </c>
      <c r="S333" s="8">
        <f t="shared" si="40"/>
        <v>1983</v>
      </c>
      <c r="T333" s="8">
        <v>1983</v>
      </c>
      <c r="U333" s="8">
        <f t="shared" si="41"/>
        <v>39</v>
      </c>
      <c r="V333" s="7">
        <v>30560</v>
      </c>
      <c r="W333" t="s">
        <v>618</v>
      </c>
      <c r="X333" s="2">
        <v>1.6519999999999999</v>
      </c>
      <c r="Y333" s="6">
        <f t="shared" si="46"/>
        <v>4.409919649769093E-2</v>
      </c>
      <c r="AA333" t="s">
        <v>617</v>
      </c>
      <c r="AB333">
        <v>17337</v>
      </c>
      <c r="AC333">
        <v>15582221</v>
      </c>
      <c r="AD333" t="s">
        <v>5</v>
      </c>
      <c r="AE333">
        <v>31</v>
      </c>
      <c r="AF333">
        <v>5</v>
      </c>
      <c r="AH333" t="s">
        <v>4217</v>
      </c>
      <c r="AI333" t="s">
        <v>4216</v>
      </c>
      <c r="AK333" t="s">
        <v>4215</v>
      </c>
      <c r="AL333">
        <v>19</v>
      </c>
      <c r="AM333" s="5">
        <f t="shared" si="42"/>
        <v>0.48717948717948717</v>
      </c>
      <c r="AN333" s="4">
        <f t="shared" si="47"/>
        <v>7.3787124146836372E-4</v>
      </c>
      <c r="AO333" s="3"/>
      <c r="AP333">
        <v>0</v>
      </c>
      <c r="AR333" t="s">
        <v>1</v>
      </c>
      <c r="AT333" s="2" t="s">
        <v>0</v>
      </c>
      <c r="AU333" s="1">
        <f t="shared" si="43"/>
        <v>3.1090798920824159</v>
      </c>
      <c r="AV333" s="1">
        <f t="shared" si="44"/>
        <v>2.2418533869579651</v>
      </c>
      <c r="AW333" s="1">
        <f t="shared" si="45"/>
        <v>1.3746268818335132</v>
      </c>
    </row>
    <row r="334" spans="1:49" x14ac:dyDescent="0.2">
      <c r="A334">
        <v>332</v>
      </c>
      <c r="B334" t="s">
        <v>4214</v>
      </c>
      <c r="C334" t="s">
        <v>4213</v>
      </c>
      <c r="F334" t="s">
        <v>4212</v>
      </c>
      <c r="G334" t="s">
        <v>15</v>
      </c>
      <c r="H334" t="s">
        <v>14</v>
      </c>
      <c r="I334" t="s">
        <v>4211</v>
      </c>
      <c r="J334" t="s">
        <v>4206</v>
      </c>
      <c r="K334" t="s">
        <v>4210</v>
      </c>
      <c r="L334" t="s">
        <v>4209</v>
      </c>
      <c r="M334" t="s">
        <v>91</v>
      </c>
      <c r="N334">
        <v>2</v>
      </c>
      <c r="O334" t="s">
        <v>4208</v>
      </c>
      <c r="P334" t="s">
        <v>4207</v>
      </c>
      <c r="Q334" t="s">
        <v>4206</v>
      </c>
      <c r="R334" s="7">
        <v>30317</v>
      </c>
      <c r="S334" s="8">
        <f t="shared" si="40"/>
        <v>1983</v>
      </c>
      <c r="T334" s="8">
        <v>1983</v>
      </c>
      <c r="U334" s="8">
        <f t="shared" si="41"/>
        <v>39</v>
      </c>
      <c r="V334" s="7">
        <v>30560</v>
      </c>
      <c r="W334" t="s">
        <v>618</v>
      </c>
      <c r="X334" s="2">
        <v>1.6519999999999999</v>
      </c>
      <c r="Y334" s="6">
        <f t="shared" si="46"/>
        <v>4.409919649769093E-2</v>
      </c>
      <c r="AA334" t="s">
        <v>617</v>
      </c>
      <c r="AB334">
        <v>17337</v>
      </c>
      <c r="AC334">
        <v>15582221</v>
      </c>
      <c r="AD334" t="s">
        <v>5</v>
      </c>
      <c r="AE334">
        <v>31</v>
      </c>
      <c r="AF334">
        <v>5</v>
      </c>
      <c r="AH334" t="s">
        <v>4205</v>
      </c>
      <c r="AI334" t="s">
        <v>4204</v>
      </c>
      <c r="AK334" t="s">
        <v>4203</v>
      </c>
      <c r="AL334">
        <v>130</v>
      </c>
      <c r="AM334" s="5">
        <f t="shared" si="42"/>
        <v>3.3333333333333335</v>
      </c>
      <c r="AN334" s="4">
        <f t="shared" si="47"/>
        <v>5.0485927047835416E-3</v>
      </c>
      <c r="AO334" s="3"/>
      <c r="AP334">
        <v>0</v>
      </c>
      <c r="AR334" t="s">
        <v>1</v>
      </c>
      <c r="AT334" s="2" t="s">
        <v>0</v>
      </c>
      <c r="AU334" s="1">
        <f t="shared" si="43"/>
        <v>3.238401535981871</v>
      </c>
      <c r="AV334" s="1">
        <f t="shared" si="44"/>
        <v>2.4573894601237236</v>
      </c>
      <c r="AW334" s="1">
        <f t="shared" si="45"/>
        <v>1.6763773842655756</v>
      </c>
    </row>
    <row r="335" spans="1:49" x14ac:dyDescent="0.2">
      <c r="A335">
        <v>333</v>
      </c>
      <c r="B335" t="s">
        <v>4202</v>
      </c>
      <c r="F335" t="s">
        <v>4201</v>
      </c>
      <c r="G335" t="s">
        <v>15</v>
      </c>
      <c r="H335" t="s">
        <v>14</v>
      </c>
      <c r="I335" t="s">
        <v>4200</v>
      </c>
      <c r="N335">
        <v>5</v>
      </c>
      <c r="O335" t="s">
        <v>4199</v>
      </c>
      <c r="P335" t="s">
        <v>4198</v>
      </c>
      <c r="Q335" t="s">
        <v>2349</v>
      </c>
      <c r="R335" s="7">
        <v>30317</v>
      </c>
      <c r="S335" s="8">
        <f t="shared" si="40"/>
        <v>1983</v>
      </c>
      <c r="T335" s="8">
        <v>1983</v>
      </c>
      <c r="U335" s="8">
        <f t="shared" si="41"/>
        <v>39</v>
      </c>
      <c r="V335" s="7" t="s">
        <v>4197</v>
      </c>
      <c r="W335" t="s">
        <v>4196</v>
      </c>
      <c r="X335" s="2" t="s">
        <v>0</v>
      </c>
      <c r="Y335" s="6" t="e">
        <f t="shared" si="46"/>
        <v>#VALUE!</v>
      </c>
      <c r="AA335" t="s">
        <v>4195</v>
      </c>
      <c r="AB335">
        <v>31578</v>
      </c>
      <c r="AD335" t="s">
        <v>5</v>
      </c>
      <c r="AE335">
        <v>7</v>
      </c>
      <c r="AF335">
        <v>5</v>
      </c>
      <c r="AH335" t="s">
        <v>4194</v>
      </c>
      <c r="AI335" t="s">
        <v>4193</v>
      </c>
      <c r="AK335" t="s">
        <v>4192</v>
      </c>
      <c r="AL335">
        <v>18</v>
      </c>
      <c r="AM335" s="5">
        <f t="shared" si="42"/>
        <v>0.46153846153846156</v>
      </c>
      <c r="AN335" s="4">
        <f t="shared" si="47"/>
        <v>6.9903591297002887E-4</v>
      </c>
      <c r="AO335" s="3"/>
      <c r="AP335">
        <v>0</v>
      </c>
      <c r="AR335" t="s">
        <v>1</v>
      </c>
      <c r="AT335" s="2" t="s">
        <v>0</v>
      </c>
      <c r="AU335" s="1" t="e">
        <f t="shared" si="43"/>
        <v>#VALUE!</v>
      </c>
      <c r="AV335" s="1" t="e">
        <f t="shared" si="44"/>
        <v>#VALUE!</v>
      </c>
      <c r="AW335" s="1" t="e">
        <f t="shared" si="45"/>
        <v>#VALUE!</v>
      </c>
    </row>
    <row r="336" spans="1:49" x14ac:dyDescent="0.2">
      <c r="A336">
        <v>334</v>
      </c>
      <c r="B336" t="s">
        <v>4191</v>
      </c>
      <c r="F336" t="s">
        <v>4190</v>
      </c>
      <c r="G336" t="s">
        <v>15</v>
      </c>
      <c r="H336" t="s">
        <v>14</v>
      </c>
      <c r="I336" t="s">
        <v>4189</v>
      </c>
      <c r="N336">
        <v>3</v>
      </c>
      <c r="O336" t="s">
        <v>4188</v>
      </c>
      <c r="P336" t="s">
        <v>4187</v>
      </c>
      <c r="Q336" t="s">
        <v>510</v>
      </c>
      <c r="R336" s="7">
        <v>30317</v>
      </c>
      <c r="S336" s="8">
        <f t="shared" si="40"/>
        <v>1983</v>
      </c>
      <c r="T336" s="8">
        <v>1983</v>
      </c>
      <c r="U336" s="8">
        <f t="shared" si="41"/>
        <v>39</v>
      </c>
      <c r="V336" s="7" t="s">
        <v>4186</v>
      </c>
      <c r="W336" t="s">
        <v>932</v>
      </c>
      <c r="X336" s="2" t="s">
        <v>0</v>
      </c>
      <c r="Y336" s="6" t="e">
        <f t="shared" si="46"/>
        <v>#VALUE!</v>
      </c>
      <c r="AA336">
        <v>4186338</v>
      </c>
      <c r="AB336">
        <v>34729</v>
      </c>
      <c r="AD336" t="s">
        <v>5</v>
      </c>
      <c r="AE336">
        <v>31</v>
      </c>
      <c r="AF336">
        <v>5</v>
      </c>
      <c r="AH336" t="s">
        <v>4185</v>
      </c>
      <c r="AI336" t="s">
        <v>4184</v>
      </c>
      <c r="AK336" t="s">
        <v>4183</v>
      </c>
      <c r="AL336">
        <v>1</v>
      </c>
      <c r="AM336" s="5">
        <f t="shared" si="42"/>
        <v>2.564102564102564E-2</v>
      </c>
      <c r="AN336" s="4">
        <f t="shared" si="47"/>
        <v>3.8835328498334935E-5</v>
      </c>
      <c r="AO336" s="3"/>
      <c r="AP336">
        <v>0</v>
      </c>
      <c r="AR336" t="s">
        <v>1</v>
      </c>
      <c r="AT336" s="2" t="s">
        <v>0</v>
      </c>
      <c r="AU336" s="1" t="e">
        <f t="shared" si="43"/>
        <v>#VALUE!</v>
      </c>
      <c r="AV336" s="1" t="e">
        <f t="shared" si="44"/>
        <v>#VALUE!</v>
      </c>
      <c r="AW336" s="1" t="e">
        <f t="shared" si="45"/>
        <v>#VALUE!</v>
      </c>
    </row>
    <row r="337" spans="1:49" x14ac:dyDescent="0.2">
      <c r="A337">
        <v>335</v>
      </c>
      <c r="B337" t="s">
        <v>4182</v>
      </c>
      <c r="C337" t="s">
        <v>4181</v>
      </c>
      <c r="F337" t="s">
        <v>4180</v>
      </c>
      <c r="G337" t="s">
        <v>15</v>
      </c>
      <c r="H337" t="s">
        <v>14</v>
      </c>
      <c r="I337" t="s">
        <v>4179</v>
      </c>
      <c r="N337">
        <v>1</v>
      </c>
      <c r="O337" t="s">
        <v>4178</v>
      </c>
      <c r="P337">
        <v>6603143573</v>
      </c>
      <c r="R337" s="7">
        <v>30317</v>
      </c>
      <c r="S337" s="8">
        <f t="shared" si="40"/>
        <v>1983</v>
      </c>
      <c r="T337" s="8">
        <v>1983</v>
      </c>
      <c r="U337" s="8">
        <f t="shared" si="41"/>
        <v>39</v>
      </c>
      <c r="V337" s="7">
        <v>30560</v>
      </c>
      <c r="W337" t="s">
        <v>4177</v>
      </c>
      <c r="X337" s="2">
        <v>0.14899999999999999</v>
      </c>
      <c r="Y337" s="6">
        <f t="shared" si="46"/>
        <v>3.977469902031446E-3</v>
      </c>
      <c r="AA337">
        <v>281425</v>
      </c>
      <c r="AB337">
        <v>21100416801</v>
      </c>
      <c r="AC337">
        <v>15593584</v>
      </c>
      <c r="AD337" t="s">
        <v>5</v>
      </c>
      <c r="AE337">
        <v>95</v>
      </c>
      <c r="AF337">
        <v>5</v>
      </c>
      <c r="AH337" t="s">
        <v>4176</v>
      </c>
      <c r="AI337" t="s">
        <v>4175</v>
      </c>
      <c r="AK337" t="s">
        <v>4174</v>
      </c>
      <c r="AL337">
        <v>0</v>
      </c>
      <c r="AM337" s="5">
        <f t="shared" si="42"/>
        <v>0</v>
      </c>
      <c r="AN337" s="4">
        <f t="shared" si="47"/>
        <v>0</v>
      </c>
      <c r="AO337" s="3"/>
      <c r="AP337">
        <v>0</v>
      </c>
      <c r="AR337" t="s">
        <v>1</v>
      </c>
      <c r="AT337" s="2">
        <v>0.24299999999999999</v>
      </c>
      <c r="AU337" s="1">
        <f t="shared" si="43"/>
        <v>0.2784228931422012</v>
      </c>
      <c r="AV337" s="1">
        <f t="shared" si="44"/>
        <v>0.19887349510157229</v>
      </c>
      <c r="AW337" s="1">
        <f t="shared" si="45"/>
        <v>0.11932409706094337</v>
      </c>
    </row>
    <row r="338" spans="1:49" x14ac:dyDescent="0.2">
      <c r="A338">
        <v>336</v>
      </c>
      <c r="B338" t="s">
        <v>4173</v>
      </c>
      <c r="C338" t="s">
        <v>4172</v>
      </c>
      <c r="F338" t="s">
        <v>4171</v>
      </c>
      <c r="G338" t="s">
        <v>15</v>
      </c>
      <c r="H338" t="s">
        <v>14</v>
      </c>
      <c r="I338" t="s">
        <v>4155</v>
      </c>
      <c r="N338">
        <v>2</v>
      </c>
      <c r="O338" t="s">
        <v>4154</v>
      </c>
      <c r="P338" t="s">
        <v>4153</v>
      </c>
      <c r="Q338" t="s">
        <v>342</v>
      </c>
      <c r="R338" s="7">
        <v>30317</v>
      </c>
      <c r="S338" s="8">
        <f t="shared" si="40"/>
        <v>1983</v>
      </c>
      <c r="T338" s="8">
        <v>1983</v>
      </c>
      <c r="U338" s="8">
        <f t="shared" si="41"/>
        <v>39</v>
      </c>
      <c r="V338" s="7" t="s">
        <v>3973</v>
      </c>
      <c r="W338" s="11" t="s">
        <v>1587</v>
      </c>
      <c r="X338" s="2">
        <v>2.383</v>
      </c>
      <c r="Y338" s="6">
        <f t="shared" si="46"/>
        <v>6.3612824003630442E-2</v>
      </c>
      <c r="AA338">
        <v>1437097</v>
      </c>
      <c r="AB338">
        <v>101236</v>
      </c>
      <c r="AD338" t="s">
        <v>5</v>
      </c>
      <c r="AE338">
        <v>130</v>
      </c>
      <c r="AF338">
        <v>5</v>
      </c>
      <c r="AH338" t="s">
        <v>4170</v>
      </c>
      <c r="AI338" t="s">
        <v>4169</v>
      </c>
      <c r="AK338" t="s">
        <v>4168</v>
      </c>
      <c r="AL338">
        <v>6</v>
      </c>
      <c r="AM338" s="5">
        <f t="shared" si="42"/>
        <v>0.15384615384615385</v>
      </c>
      <c r="AN338" s="4">
        <f t="shared" si="47"/>
        <v>2.3301197099000962E-4</v>
      </c>
      <c r="AO338" s="3"/>
      <c r="AP338">
        <v>0</v>
      </c>
      <c r="AR338" t="s">
        <v>1</v>
      </c>
      <c r="AT338" s="2" t="s">
        <v>0</v>
      </c>
      <c r="AU338" s="1">
        <f t="shared" si="43"/>
        <v>4.4598880393838307</v>
      </c>
      <c r="AV338" s="1">
        <f t="shared" si="44"/>
        <v>3.1922917987310226</v>
      </c>
      <c r="AW338" s="1">
        <f t="shared" si="45"/>
        <v>1.9246955580782141</v>
      </c>
    </row>
    <row r="339" spans="1:49" x14ac:dyDescent="0.2">
      <c r="A339">
        <v>337</v>
      </c>
      <c r="B339" t="s">
        <v>4167</v>
      </c>
      <c r="C339" t="s">
        <v>4166</v>
      </c>
      <c r="F339" t="s">
        <v>4165</v>
      </c>
      <c r="G339" t="s">
        <v>15</v>
      </c>
      <c r="H339" t="s">
        <v>14</v>
      </c>
      <c r="I339" t="s">
        <v>4164</v>
      </c>
      <c r="N339">
        <v>2</v>
      </c>
      <c r="O339" t="s">
        <v>4163</v>
      </c>
      <c r="P339" t="s">
        <v>4162</v>
      </c>
      <c r="Q339" t="s">
        <v>342</v>
      </c>
      <c r="R339" s="7">
        <v>30317</v>
      </c>
      <c r="S339" s="8">
        <f t="shared" si="40"/>
        <v>1983</v>
      </c>
      <c r="T339" s="8">
        <v>1983</v>
      </c>
      <c r="U339" s="8">
        <f t="shared" si="41"/>
        <v>39</v>
      </c>
      <c r="V339" s="7" t="s">
        <v>3973</v>
      </c>
      <c r="W339" s="11" t="s">
        <v>1587</v>
      </c>
      <c r="X339" s="2">
        <v>2.383</v>
      </c>
      <c r="Y339" s="6">
        <f t="shared" si="46"/>
        <v>6.3612824003630442E-2</v>
      </c>
      <c r="AA339">
        <v>1437097</v>
      </c>
      <c r="AB339">
        <v>101236</v>
      </c>
      <c r="AD339" t="s">
        <v>5</v>
      </c>
      <c r="AE339">
        <v>130</v>
      </c>
      <c r="AF339">
        <v>5</v>
      </c>
      <c r="AH339" t="s">
        <v>4161</v>
      </c>
      <c r="AI339" t="s">
        <v>4160</v>
      </c>
      <c r="AK339" t="s">
        <v>4159</v>
      </c>
      <c r="AL339">
        <v>1</v>
      </c>
      <c r="AM339" s="5">
        <f t="shared" si="42"/>
        <v>2.564102564102564E-2</v>
      </c>
      <c r="AN339" s="4">
        <f t="shared" si="47"/>
        <v>3.8835328498334935E-5</v>
      </c>
      <c r="AO339" s="3"/>
      <c r="AP339">
        <v>0</v>
      </c>
      <c r="AR339" t="s">
        <v>1</v>
      </c>
      <c r="AT339" s="2" t="s">
        <v>0</v>
      </c>
      <c r="AU339" s="1">
        <f t="shared" si="43"/>
        <v>4.4540627401090811</v>
      </c>
      <c r="AV339" s="1">
        <f t="shared" si="44"/>
        <v>3.1825829666064389</v>
      </c>
      <c r="AW339" s="1">
        <f t="shared" si="45"/>
        <v>1.9111031931037965</v>
      </c>
    </row>
    <row r="340" spans="1:49" x14ac:dyDescent="0.2">
      <c r="A340">
        <v>338</v>
      </c>
      <c r="B340" t="s">
        <v>4158</v>
      </c>
      <c r="C340" t="s">
        <v>4157</v>
      </c>
      <c r="F340" t="s">
        <v>4156</v>
      </c>
      <c r="G340" t="s">
        <v>15</v>
      </c>
      <c r="H340" t="s">
        <v>14</v>
      </c>
      <c r="I340" t="s">
        <v>4155</v>
      </c>
      <c r="N340">
        <v>2</v>
      </c>
      <c r="O340" t="s">
        <v>4154</v>
      </c>
      <c r="P340" t="s">
        <v>4153</v>
      </c>
      <c r="Q340" t="s">
        <v>342</v>
      </c>
      <c r="R340" s="7">
        <v>30317</v>
      </c>
      <c r="S340" s="8">
        <f t="shared" si="40"/>
        <v>1983</v>
      </c>
      <c r="T340" s="8">
        <v>1983</v>
      </c>
      <c r="U340" s="8">
        <f t="shared" si="41"/>
        <v>39</v>
      </c>
      <c r="V340" s="7" t="s">
        <v>3973</v>
      </c>
      <c r="W340" s="11" t="s">
        <v>1587</v>
      </c>
      <c r="X340" s="2">
        <v>2.383</v>
      </c>
      <c r="Y340" s="6">
        <f t="shared" si="46"/>
        <v>6.3612824003630442E-2</v>
      </c>
      <c r="AA340">
        <v>1437097</v>
      </c>
      <c r="AB340">
        <v>101236</v>
      </c>
      <c r="AD340" t="s">
        <v>5</v>
      </c>
      <c r="AE340">
        <v>130</v>
      </c>
      <c r="AF340">
        <v>5</v>
      </c>
      <c r="AH340" t="s">
        <v>4152</v>
      </c>
      <c r="AI340" t="s">
        <v>4151</v>
      </c>
      <c r="AK340" t="s">
        <v>4150</v>
      </c>
      <c r="AL340">
        <v>4</v>
      </c>
      <c r="AM340" s="5">
        <f t="shared" si="42"/>
        <v>0.10256410256410256</v>
      </c>
      <c r="AN340" s="4">
        <f t="shared" si="47"/>
        <v>1.5534131399333974E-4</v>
      </c>
      <c r="AO340" s="3"/>
      <c r="AP340">
        <v>0</v>
      </c>
      <c r="AR340" t="s">
        <v>1</v>
      </c>
      <c r="AT340" s="2" t="s">
        <v>0</v>
      </c>
      <c r="AU340" s="1">
        <f t="shared" si="43"/>
        <v>4.4575579196739312</v>
      </c>
      <c r="AV340" s="1">
        <f t="shared" si="44"/>
        <v>3.188408265881189</v>
      </c>
      <c r="AW340" s="1">
        <f t="shared" si="45"/>
        <v>1.9192586120884469</v>
      </c>
    </row>
    <row r="341" spans="1:49" x14ac:dyDescent="0.2">
      <c r="A341">
        <v>339</v>
      </c>
      <c r="B341" t="s">
        <v>4149</v>
      </c>
      <c r="F341" t="s">
        <v>4148</v>
      </c>
      <c r="G341" t="s">
        <v>15</v>
      </c>
      <c r="H341" t="s">
        <v>14</v>
      </c>
      <c r="I341" t="s">
        <v>4147</v>
      </c>
      <c r="N341">
        <v>1</v>
      </c>
      <c r="O341" t="s">
        <v>4146</v>
      </c>
      <c r="P341">
        <v>7005521573</v>
      </c>
      <c r="R341" s="7">
        <v>30317</v>
      </c>
      <c r="S341" s="8">
        <f t="shared" si="40"/>
        <v>1983</v>
      </c>
      <c r="T341" s="8">
        <v>1983</v>
      </c>
      <c r="U341" s="8">
        <f t="shared" si="41"/>
        <v>39</v>
      </c>
      <c r="V341" s="7" t="s">
        <v>3973</v>
      </c>
      <c r="W341" t="s">
        <v>536</v>
      </c>
      <c r="X341" s="2">
        <v>0.14099999999999999</v>
      </c>
      <c r="Y341" s="6">
        <f t="shared" si="46"/>
        <v>3.7639144710498915E-3</v>
      </c>
      <c r="AA341">
        <v>402508</v>
      </c>
      <c r="AB341">
        <v>20868</v>
      </c>
      <c r="AD341" t="s">
        <v>5</v>
      </c>
      <c r="AE341" t="s">
        <v>535</v>
      </c>
      <c r="AF341">
        <v>8</v>
      </c>
      <c r="AH341" s="10">
        <v>41548</v>
      </c>
      <c r="AI341" t="s">
        <v>4145</v>
      </c>
      <c r="AK341" t="s">
        <v>4144</v>
      </c>
      <c r="AL341">
        <v>0</v>
      </c>
      <c r="AM341" s="5">
        <f t="shared" si="42"/>
        <v>0</v>
      </c>
      <c r="AN341" s="4">
        <f t="shared" si="47"/>
        <v>0</v>
      </c>
      <c r="AO341" s="3"/>
      <c r="AP341">
        <v>0</v>
      </c>
      <c r="AR341" t="s">
        <v>1</v>
      </c>
      <c r="AT341" s="2" t="s">
        <v>0</v>
      </c>
      <c r="AU341" s="1">
        <f t="shared" si="43"/>
        <v>0.26347401297349238</v>
      </c>
      <c r="AV341" s="1">
        <f t="shared" si="44"/>
        <v>0.18819572355249459</v>
      </c>
      <c r="AW341" s="1">
        <f t="shared" si="45"/>
        <v>0.11291743413149673</v>
      </c>
    </row>
    <row r="342" spans="1:49" x14ac:dyDescent="0.2">
      <c r="A342">
        <v>340</v>
      </c>
      <c r="B342" t="s">
        <v>4143</v>
      </c>
      <c r="F342" t="s">
        <v>4142</v>
      </c>
      <c r="G342" t="s">
        <v>15</v>
      </c>
      <c r="H342" t="s">
        <v>14</v>
      </c>
      <c r="I342" t="s">
        <v>4141</v>
      </c>
      <c r="N342">
        <v>2</v>
      </c>
      <c r="O342" t="s">
        <v>4140</v>
      </c>
      <c r="P342" t="s">
        <v>4139</v>
      </c>
      <c r="Q342" t="s">
        <v>342</v>
      </c>
      <c r="R342" s="7">
        <v>30317</v>
      </c>
      <c r="S342" s="8">
        <f t="shared" si="40"/>
        <v>1983</v>
      </c>
      <c r="T342" s="8">
        <v>1983</v>
      </c>
      <c r="U342" s="8">
        <f t="shared" si="41"/>
        <v>39</v>
      </c>
      <c r="V342" s="7" t="s">
        <v>3973</v>
      </c>
      <c r="W342" t="s">
        <v>536</v>
      </c>
      <c r="X342" s="2">
        <v>0.14099999999999999</v>
      </c>
      <c r="Y342" s="6">
        <f t="shared" si="46"/>
        <v>3.7639144710498915E-3</v>
      </c>
      <c r="AA342">
        <v>402508</v>
      </c>
      <c r="AB342">
        <v>20868</v>
      </c>
      <c r="AD342" t="s">
        <v>5</v>
      </c>
      <c r="AE342" t="s">
        <v>535</v>
      </c>
      <c r="AF342">
        <v>8</v>
      </c>
      <c r="AH342" t="s">
        <v>4138</v>
      </c>
      <c r="AI342" t="s">
        <v>4137</v>
      </c>
      <c r="AK342" t="s">
        <v>4136</v>
      </c>
      <c r="AL342">
        <v>0</v>
      </c>
      <c r="AM342" s="5">
        <f t="shared" si="42"/>
        <v>0</v>
      </c>
      <c r="AN342" s="4">
        <f t="shared" si="47"/>
        <v>0</v>
      </c>
      <c r="AO342" s="3"/>
      <c r="AP342">
        <v>0</v>
      </c>
      <c r="AR342" t="s">
        <v>1</v>
      </c>
      <c r="AT342" s="2" t="s">
        <v>0</v>
      </c>
      <c r="AU342" s="1">
        <f t="shared" si="43"/>
        <v>0.26347401297349238</v>
      </c>
      <c r="AV342" s="1">
        <f t="shared" si="44"/>
        <v>0.18819572355249459</v>
      </c>
      <c r="AW342" s="1">
        <f t="shared" si="45"/>
        <v>0.11291743413149673</v>
      </c>
    </row>
    <row r="343" spans="1:49" x14ac:dyDescent="0.2">
      <c r="A343">
        <v>341</v>
      </c>
      <c r="B343" t="s">
        <v>4135</v>
      </c>
      <c r="F343" t="s">
        <v>4134</v>
      </c>
      <c r="G343" t="s">
        <v>15</v>
      </c>
      <c r="H343" t="s">
        <v>14</v>
      </c>
      <c r="I343" t="s">
        <v>4133</v>
      </c>
      <c r="N343">
        <v>3</v>
      </c>
      <c r="O343" t="s">
        <v>4132</v>
      </c>
      <c r="P343" t="s">
        <v>4131</v>
      </c>
      <c r="Q343" t="s">
        <v>510</v>
      </c>
      <c r="R343" s="7">
        <v>30317</v>
      </c>
      <c r="S343" s="8">
        <f t="shared" si="40"/>
        <v>1983</v>
      </c>
      <c r="T343" s="8">
        <v>1983</v>
      </c>
      <c r="U343" s="8">
        <f t="shared" si="41"/>
        <v>39</v>
      </c>
      <c r="V343" s="7" t="s">
        <v>3973</v>
      </c>
      <c r="W343" t="s">
        <v>536</v>
      </c>
      <c r="X343" s="2">
        <v>0.14099999999999999</v>
      </c>
      <c r="Y343" s="6">
        <f t="shared" si="46"/>
        <v>3.7639144710498915E-3</v>
      </c>
      <c r="AA343">
        <v>402508</v>
      </c>
      <c r="AB343">
        <v>20868</v>
      </c>
      <c r="AD343" t="s">
        <v>5</v>
      </c>
      <c r="AE343" t="s">
        <v>535</v>
      </c>
      <c r="AF343">
        <v>8</v>
      </c>
      <c r="AH343" t="s">
        <v>4130</v>
      </c>
      <c r="AI343" t="s">
        <v>4129</v>
      </c>
      <c r="AK343" t="s">
        <v>4128</v>
      </c>
      <c r="AL343">
        <v>0</v>
      </c>
      <c r="AM343" s="5">
        <f t="shared" si="42"/>
        <v>0</v>
      </c>
      <c r="AN343" s="4">
        <f t="shared" si="47"/>
        <v>0</v>
      </c>
      <c r="AO343" s="3"/>
      <c r="AP343">
        <v>0</v>
      </c>
      <c r="AR343" t="s">
        <v>1</v>
      </c>
      <c r="AT343" s="2" t="s">
        <v>0</v>
      </c>
      <c r="AU343" s="1">
        <f t="shared" si="43"/>
        <v>0.26347401297349238</v>
      </c>
      <c r="AV343" s="1">
        <f t="shared" si="44"/>
        <v>0.18819572355249459</v>
      </c>
      <c r="AW343" s="1">
        <f t="shared" si="45"/>
        <v>0.11291743413149673</v>
      </c>
    </row>
    <row r="344" spans="1:49" x14ac:dyDescent="0.2">
      <c r="A344">
        <v>342</v>
      </c>
      <c r="B344" t="s">
        <v>4127</v>
      </c>
      <c r="C344" t="s">
        <v>4126</v>
      </c>
      <c r="F344" t="s">
        <v>4125</v>
      </c>
      <c r="G344" t="s">
        <v>15</v>
      </c>
      <c r="H344" t="s">
        <v>14</v>
      </c>
      <c r="I344" t="s">
        <v>4124</v>
      </c>
      <c r="J344">
        <v>60005248</v>
      </c>
      <c r="K344" t="s">
        <v>4123</v>
      </c>
      <c r="L344" t="s">
        <v>1025</v>
      </c>
      <c r="M344" t="s">
        <v>10</v>
      </c>
      <c r="N344">
        <v>1</v>
      </c>
      <c r="O344" t="s">
        <v>4122</v>
      </c>
      <c r="P344">
        <v>7003942539</v>
      </c>
      <c r="Q344">
        <v>60005248</v>
      </c>
      <c r="R344" s="7">
        <v>30317</v>
      </c>
      <c r="S344" s="8">
        <f t="shared" si="40"/>
        <v>1983</v>
      </c>
      <c r="T344" s="8">
        <v>1983</v>
      </c>
      <c r="U344" s="8">
        <f t="shared" si="41"/>
        <v>39</v>
      </c>
      <c r="V344" s="7">
        <v>30529</v>
      </c>
      <c r="W344" s="11" t="s">
        <v>1577</v>
      </c>
      <c r="X344" s="2">
        <v>2.383</v>
      </c>
      <c r="Y344" s="6">
        <f t="shared" si="46"/>
        <v>6.3612824003630442E-2</v>
      </c>
      <c r="AA344">
        <v>1437070</v>
      </c>
      <c r="AB344">
        <v>39742</v>
      </c>
      <c r="AD344" t="s">
        <v>5</v>
      </c>
      <c r="AE344">
        <v>130</v>
      </c>
      <c r="AF344">
        <v>5</v>
      </c>
      <c r="AH344" t="s">
        <v>4121</v>
      </c>
      <c r="AI344" t="s">
        <v>4120</v>
      </c>
      <c r="AJ344" t="s">
        <v>4119</v>
      </c>
      <c r="AK344" t="s">
        <v>4118</v>
      </c>
      <c r="AL344">
        <v>4</v>
      </c>
      <c r="AM344" s="5">
        <f t="shared" si="42"/>
        <v>0.10256410256410256</v>
      </c>
      <c r="AN344" s="4">
        <f t="shared" si="47"/>
        <v>1.5534131399333974E-4</v>
      </c>
      <c r="AO344" s="3"/>
      <c r="AP344">
        <v>0</v>
      </c>
      <c r="AR344" t="s">
        <v>1</v>
      </c>
      <c r="AT344" s="2" t="s">
        <v>0</v>
      </c>
      <c r="AU344" s="1">
        <f t="shared" si="43"/>
        <v>4.4575579196739312</v>
      </c>
      <c r="AV344" s="1">
        <f t="shared" si="44"/>
        <v>3.188408265881189</v>
      </c>
      <c r="AW344" s="1">
        <f t="shared" si="45"/>
        <v>1.9192586120884469</v>
      </c>
    </row>
    <row r="345" spans="1:49" x14ac:dyDescent="0.2">
      <c r="A345">
        <v>343</v>
      </c>
      <c r="B345" t="s">
        <v>4117</v>
      </c>
      <c r="C345" t="s">
        <v>4116</v>
      </c>
      <c r="F345" t="s">
        <v>4115</v>
      </c>
      <c r="G345" t="s">
        <v>15</v>
      </c>
      <c r="H345" t="s">
        <v>14</v>
      </c>
      <c r="I345" t="s">
        <v>4114</v>
      </c>
      <c r="J345" t="s">
        <v>4113</v>
      </c>
      <c r="K345" t="s">
        <v>4112</v>
      </c>
      <c r="L345" t="s">
        <v>4111</v>
      </c>
      <c r="M345" t="s">
        <v>4110</v>
      </c>
      <c r="N345">
        <v>12</v>
      </c>
      <c r="O345" t="s">
        <v>4109</v>
      </c>
      <c r="P345" t="s">
        <v>4108</v>
      </c>
      <c r="Q345" t="s">
        <v>4107</v>
      </c>
      <c r="R345" s="7">
        <v>30317</v>
      </c>
      <c r="S345" s="8">
        <f t="shared" si="40"/>
        <v>1983</v>
      </c>
      <c r="T345" s="8">
        <v>1983</v>
      </c>
      <c r="U345" s="8">
        <f t="shared" si="41"/>
        <v>39</v>
      </c>
      <c r="V345" s="7">
        <v>30529</v>
      </c>
      <c r="W345" t="s">
        <v>4106</v>
      </c>
      <c r="X345" s="2">
        <v>0.53700000000000003</v>
      </c>
      <c r="Y345" s="6">
        <f t="shared" si="46"/>
        <v>1.4334908304636823E-2</v>
      </c>
      <c r="AA345">
        <v>189499</v>
      </c>
      <c r="AB345">
        <v>17368</v>
      </c>
      <c r="AC345">
        <v>15581578</v>
      </c>
      <c r="AD345" t="s">
        <v>5</v>
      </c>
      <c r="AE345">
        <v>30</v>
      </c>
      <c r="AF345">
        <v>4</v>
      </c>
      <c r="AH345" t="s">
        <v>4105</v>
      </c>
      <c r="AI345" t="s">
        <v>4104</v>
      </c>
      <c r="AK345" t="s">
        <v>4103</v>
      </c>
      <c r="AL345">
        <v>0</v>
      </c>
      <c r="AM345" s="5">
        <f t="shared" si="42"/>
        <v>0</v>
      </c>
      <c r="AN345" s="4">
        <f t="shared" si="47"/>
        <v>0</v>
      </c>
      <c r="AO345" s="3"/>
      <c r="AP345">
        <v>0</v>
      </c>
      <c r="AR345" t="s">
        <v>1</v>
      </c>
      <c r="AT345" s="2">
        <v>1.679</v>
      </c>
      <c r="AU345" s="1">
        <f t="shared" si="43"/>
        <v>1.0034435813245777</v>
      </c>
      <c r="AV345" s="1">
        <f t="shared" si="44"/>
        <v>0.7167454152318411</v>
      </c>
      <c r="AW345" s="1">
        <f t="shared" si="45"/>
        <v>0.43004724913910464</v>
      </c>
    </row>
    <row r="346" spans="1:49" x14ac:dyDescent="0.2">
      <c r="A346">
        <v>344</v>
      </c>
      <c r="B346" t="s">
        <v>4102</v>
      </c>
      <c r="F346" t="s">
        <v>4101</v>
      </c>
      <c r="G346" t="s">
        <v>15</v>
      </c>
      <c r="H346" t="s">
        <v>14</v>
      </c>
      <c r="I346" t="s">
        <v>4100</v>
      </c>
      <c r="N346">
        <v>1</v>
      </c>
      <c r="O346" t="s">
        <v>4099</v>
      </c>
      <c r="P346">
        <v>6602329206</v>
      </c>
      <c r="R346" s="7">
        <v>30317</v>
      </c>
      <c r="S346" s="8">
        <f t="shared" si="40"/>
        <v>1983</v>
      </c>
      <c r="T346" s="8">
        <v>1983</v>
      </c>
      <c r="U346" s="8">
        <f t="shared" si="41"/>
        <v>39</v>
      </c>
      <c r="V346" s="7" t="s">
        <v>3973</v>
      </c>
      <c r="W346" t="s">
        <v>560</v>
      </c>
      <c r="X346" s="2" t="s">
        <v>0</v>
      </c>
      <c r="Y346" s="6" t="e">
        <f t="shared" si="46"/>
        <v>#VALUE!</v>
      </c>
      <c r="AA346">
        <v>337889</v>
      </c>
      <c r="AB346">
        <v>40920</v>
      </c>
      <c r="AD346" t="s">
        <v>5</v>
      </c>
      <c r="AE346">
        <v>27</v>
      </c>
      <c r="AF346">
        <v>8</v>
      </c>
      <c r="AH346" t="s">
        <v>4098</v>
      </c>
      <c r="AI346" t="s">
        <v>4097</v>
      </c>
      <c r="AK346" t="s">
        <v>4096</v>
      </c>
      <c r="AL346">
        <v>0</v>
      </c>
      <c r="AM346" s="5">
        <f t="shared" si="42"/>
        <v>0</v>
      </c>
      <c r="AN346" s="4">
        <f t="shared" si="47"/>
        <v>0</v>
      </c>
      <c r="AO346" s="3"/>
      <c r="AP346">
        <v>0</v>
      </c>
      <c r="AR346" t="s">
        <v>1</v>
      </c>
      <c r="AT346" s="2" t="s">
        <v>0</v>
      </c>
      <c r="AU346" s="1" t="e">
        <f t="shared" si="43"/>
        <v>#VALUE!</v>
      </c>
      <c r="AV346" s="1" t="e">
        <f t="shared" si="44"/>
        <v>#VALUE!</v>
      </c>
      <c r="AW346" s="1" t="e">
        <f t="shared" si="45"/>
        <v>#VALUE!</v>
      </c>
    </row>
    <row r="347" spans="1:49" x14ac:dyDescent="0.2">
      <c r="A347">
        <v>345</v>
      </c>
      <c r="B347" t="s">
        <v>4095</v>
      </c>
      <c r="F347" t="s">
        <v>4094</v>
      </c>
      <c r="G347" t="s">
        <v>15</v>
      </c>
      <c r="H347" t="s">
        <v>14</v>
      </c>
      <c r="I347" t="s">
        <v>4093</v>
      </c>
      <c r="N347">
        <v>2</v>
      </c>
      <c r="O347" t="s">
        <v>4092</v>
      </c>
      <c r="P347" t="s">
        <v>4091</v>
      </c>
      <c r="Q347" t="s">
        <v>342</v>
      </c>
      <c r="R347" s="7">
        <v>30317</v>
      </c>
      <c r="S347" s="8">
        <f t="shared" si="40"/>
        <v>1983</v>
      </c>
      <c r="T347" s="8">
        <v>1983</v>
      </c>
      <c r="U347" s="8">
        <f t="shared" si="41"/>
        <v>39</v>
      </c>
      <c r="V347" s="7" t="s">
        <v>3973</v>
      </c>
      <c r="W347" t="s">
        <v>560</v>
      </c>
      <c r="X347" s="2" t="s">
        <v>0</v>
      </c>
      <c r="Y347" s="6" t="e">
        <f t="shared" si="46"/>
        <v>#VALUE!</v>
      </c>
      <c r="AA347">
        <v>337889</v>
      </c>
      <c r="AB347">
        <v>40920</v>
      </c>
      <c r="AD347" t="s">
        <v>5</v>
      </c>
      <c r="AE347">
        <v>27</v>
      </c>
      <c r="AF347">
        <v>8</v>
      </c>
      <c r="AH347" t="s">
        <v>116</v>
      </c>
      <c r="AI347" t="s">
        <v>4090</v>
      </c>
      <c r="AK347" t="s">
        <v>4089</v>
      </c>
      <c r="AL347">
        <v>0</v>
      </c>
      <c r="AM347" s="5">
        <f t="shared" si="42"/>
        <v>0</v>
      </c>
      <c r="AN347" s="4">
        <f t="shared" si="47"/>
        <v>0</v>
      </c>
      <c r="AO347" s="3"/>
      <c r="AP347">
        <v>0</v>
      </c>
      <c r="AR347" t="s">
        <v>1</v>
      </c>
      <c r="AT347" s="2" t="s">
        <v>0</v>
      </c>
      <c r="AU347" s="1" t="e">
        <f t="shared" si="43"/>
        <v>#VALUE!</v>
      </c>
      <c r="AV347" s="1" t="e">
        <f t="shared" si="44"/>
        <v>#VALUE!</v>
      </c>
      <c r="AW347" s="1" t="e">
        <f t="shared" si="45"/>
        <v>#VALUE!</v>
      </c>
    </row>
    <row r="348" spans="1:49" x14ac:dyDescent="0.2">
      <c r="A348">
        <v>346</v>
      </c>
      <c r="B348" t="s">
        <v>4088</v>
      </c>
      <c r="F348" t="s">
        <v>4087</v>
      </c>
      <c r="G348" t="s">
        <v>15</v>
      </c>
      <c r="H348" t="s">
        <v>14</v>
      </c>
      <c r="I348" t="s">
        <v>4086</v>
      </c>
      <c r="N348">
        <v>5</v>
      </c>
      <c r="O348" t="s">
        <v>4085</v>
      </c>
      <c r="P348" t="s">
        <v>4084</v>
      </c>
      <c r="Q348" t="s">
        <v>2349</v>
      </c>
      <c r="R348" s="7">
        <v>30317</v>
      </c>
      <c r="S348" s="8">
        <f t="shared" si="40"/>
        <v>1983</v>
      </c>
      <c r="T348" s="8">
        <v>1983</v>
      </c>
      <c r="U348" s="8">
        <f t="shared" si="41"/>
        <v>39</v>
      </c>
      <c r="V348" s="7" t="s">
        <v>3973</v>
      </c>
      <c r="W348" t="s">
        <v>560</v>
      </c>
      <c r="X348" s="2" t="s">
        <v>0</v>
      </c>
      <c r="Y348" s="6" t="e">
        <f t="shared" si="46"/>
        <v>#VALUE!</v>
      </c>
      <c r="AA348">
        <v>337889</v>
      </c>
      <c r="AB348">
        <v>40920</v>
      </c>
      <c r="AD348" t="s">
        <v>5</v>
      </c>
      <c r="AE348">
        <v>27</v>
      </c>
      <c r="AF348">
        <v>8</v>
      </c>
      <c r="AH348" t="s">
        <v>4083</v>
      </c>
      <c r="AI348" t="s">
        <v>4082</v>
      </c>
      <c r="AK348" t="s">
        <v>4081</v>
      </c>
      <c r="AL348">
        <v>0</v>
      </c>
      <c r="AM348" s="5">
        <f t="shared" si="42"/>
        <v>0</v>
      </c>
      <c r="AN348" s="4">
        <f t="shared" si="47"/>
        <v>0</v>
      </c>
      <c r="AO348" s="3"/>
      <c r="AP348">
        <v>0</v>
      </c>
      <c r="AR348" t="s">
        <v>1</v>
      </c>
      <c r="AT348" s="2" t="s">
        <v>0</v>
      </c>
      <c r="AU348" s="1" t="e">
        <f t="shared" si="43"/>
        <v>#VALUE!</v>
      </c>
      <c r="AV348" s="1" t="e">
        <f t="shared" si="44"/>
        <v>#VALUE!</v>
      </c>
      <c r="AW348" s="1" t="e">
        <f t="shared" si="45"/>
        <v>#VALUE!</v>
      </c>
    </row>
    <row r="349" spans="1:49" x14ac:dyDescent="0.2">
      <c r="A349">
        <v>347</v>
      </c>
      <c r="B349" t="s">
        <v>4080</v>
      </c>
      <c r="C349" t="s">
        <v>4079</v>
      </c>
      <c r="F349" t="s">
        <v>4078</v>
      </c>
      <c r="G349" t="s">
        <v>15</v>
      </c>
      <c r="H349" t="s">
        <v>14</v>
      </c>
      <c r="I349" t="s">
        <v>4077</v>
      </c>
      <c r="J349">
        <v>60010571</v>
      </c>
      <c r="K349" t="s">
        <v>2101</v>
      </c>
      <c r="L349" t="s">
        <v>2100</v>
      </c>
      <c r="M349" t="s">
        <v>821</v>
      </c>
      <c r="N349">
        <v>2</v>
      </c>
      <c r="O349" t="s">
        <v>4076</v>
      </c>
      <c r="P349" t="s">
        <v>4075</v>
      </c>
      <c r="Q349" t="s">
        <v>2097</v>
      </c>
      <c r="R349" s="7">
        <v>30317</v>
      </c>
      <c r="S349" s="8">
        <f t="shared" si="40"/>
        <v>1983</v>
      </c>
      <c r="T349" s="8">
        <v>1983</v>
      </c>
      <c r="U349" s="8">
        <f t="shared" si="41"/>
        <v>39</v>
      </c>
      <c r="V349" s="7">
        <v>30529</v>
      </c>
      <c r="W349" s="11" t="s">
        <v>1577</v>
      </c>
      <c r="X349" s="2">
        <v>2.383</v>
      </c>
      <c r="Y349" s="6">
        <f t="shared" si="46"/>
        <v>6.3612824003630442E-2</v>
      </c>
      <c r="AA349">
        <v>1437070</v>
      </c>
      <c r="AB349">
        <v>39742</v>
      </c>
      <c r="AD349" t="s">
        <v>5</v>
      </c>
      <c r="AE349">
        <v>130</v>
      </c>
      <c r="AF349">
        <v>5</v>
      </c>
      <c r="AH349" t="s">
        <v>4074</v>
      </c>
      <c r="AI349" t="s">
        <v>4073</v>
      </c>
      <c r="AJ349" t="s">
        <v>1622</v>
      </c>
      <c r="AK349" t="s">
        <v>4072</v>
      </c>
      <c r="AL349">
        <v>13</v>
      </c>
      <c r="AM349" s="5">
        <f t="shared" si="42"/>
        <v>0.33333333333333331</v>
      </c>
      <c r="AN349" s="4">
        <f t="shared" si="47"/>
        <v>5.048592704783541E-4</v>
      </c>
      <c r="AO349" s="3"/>
      <c r="AP349">
        <v>0</v>
      </c>
      <c r="AR349" t="s">
        <v>1</v>
      </c>
      <c r="AT349" s="2" t="s">
        <v>0</v>
      </c>
      <c r="AU349" s="1">
        <f t="shared" si="43"/>
        <v>4.4680434583684816</v>
      </c>
      <c r="AV349" s="1">
        <f t="shared" si="44"/>
        <v>3.20588416370544</v>
      </c>
      <c r="AW349" s="1">
        <f t="shared" si="45"/>
        <v>1.9437248690423978</v>
      </c>
    </row>
    <row r="350" spans="1:49" x14ac:dyDescent="0.2">
      <c r="A350">
        <v>348</v>
      </c>
      <c r="B350" t="s">
        <v>4071</v>
      </c>
      <c r="C350" t="s">
        <v>4070</v>
      </c>
      <c r="F350" t="s">
        <v>4069</v>
      </c>
      <c r="G350" t="s">
        <v>15</v>
      </c>
      <c r="H350" t="s">
        <v>14</v>
      </c>
      <c r="I350" t="s">
        <v>4068</v>
      </c>
      <c r="J350">
        <v>60012564</v>
      </c>
      <c r="K350" t="s">
        <v>4067</v>
      </c>
      <c r="L350" t="s">
        <v>4066</v>
      </c>
      <c r="M350" t="s">
        <v>10</v>
      </c>
      <c r="N350">
        <v>1</v>
      </c>
      <c r="O350" t="s">
        <v>4065</v>
      </c>
      <c r="P350">
        <v>55215816300</v>
      </c>
      <c r="Q350">
        <v>60012564</v>
      </c>
      <c r="R350" s="7">
        <v>30317</v>
      </c>
      <c r="S350" s="8">
        <f t="shared" si="40"/>
        <v>1983</v>
      </c>
      <c r="T350" s="8">
        <v>1983</v>
      </c>
      <c r="U350" s="8">
        <f t="shared" si="41"/>
        <v>39</v>
      </c>
      <c r="V350" s="7">
        <v>30529</v>
      </c>
      <c r="W350" s="11" t="s">
        <v>1577</v>
      </c>
      <c r="X350" s="2">
        <v>2.383</v>
      </c>
      <c r="Y350" s="6">
        <f t="shared" si="46"/>
        <v>6.3612824003630442E-2</v>
      </c>
      <c r="AA350">
        <v>1437070</v>
      </c>
      <c r="AB350">
        <v>39742</v>
      </c>
      <c r="AD350" t="s">
        <v>5</v>
      </c>
      <c r="AE350">
        <v>130</v>
      </c>
      <c r="AF350">
        <v>5</v>
      </c>
      <c r="AH350" t="s">
        <v>4064</v>
      </c>
      <c r="AI350" t="s">
        <v>4063</v>
      </c>
      <c r="AJ350" t="s">
        <v>4062</v>
      </c>
      <c r="AK350" t="s">
        <v>4061</v>
      </c>
      <c r="AL350">
        <v>0</v>
      </c>
      <c r="AM350" s="5">
        <f t="shared" si="42"/>
        <v>0</v>
      </c>
      <c r="AN350" s="4">
        <f t="shared" si="47"/>
        <v>0</v>
      </c>
      <c r="AO350" s="3"/>
      <c r="AP350">
        <v>0</v>
      </c>
      <c r="AR350" t="s">
        <v>1</v>
      </c>
      <c r="AT350" s="2" t="s">
        <v>0</v>
      </c>
      <c r="AU350" s="1">
        <f t="shared" si="43"/>
        <v>4.4528976802541305</v>
      </c>
      <c r="AV350" s="1">
        <f t="shared" si="44"/>
        <v>3.1806412001815221</v>
      </c>
      <c r="AW350" s="1">
        <f t="shared" si="45"/>
        <v>1.9083847201089132</v>
      </c>
    </row>
    <row r="351" spans="1:49" x14ac:dyDescent="0.2">
      <c r="A351">
        <v>349</v>
      </c>
      <c r="B351" t="s">
        <v>4060</v>
      </c>
      <c r="C351" t="s">
        <v>4059</v>
      </c>
      <c r="F351" t="s">
        <v>4058</v>
      </c>
      <c r="G351" t="s">
        <v>15</v>
      </c>
      <c r="H351" t="s">
        <v>14</v>
      </c>
      <c r="I351" t="s">
        <v>4057</v>
      </c>
      <c r="J351">
        <v>60008435</v>
      </c>
      <c r="K351" t="s">
        <v>4008</v>
      </c>
      <c r="L351" t="s">
        <v>4007</v>
      </c>
      <c r="M351" t="s">
        <v>55</v>
      </c>
      <c r="N351">
        <v>3</v>
      </c>
      <c r="O351" t="s">
        <v>4056</v>
      </c>
      <c r="P351" t="s">
        <v>4055</v>
      </c>
      <c r="Q351" t="s">
        <v>4054</v>
      </c>
      <c r="R351" s="7">
        <v>30317</v>
      </c>
      <c r="S351" s="8">
        <f t="shared" ref="S351:S414" si="48">YEAR(R351)</f>
        <v>1983</v>
      </c>
      <c r="T351" s="8">
        <v>1983</v>
      </c>
      <c r="U351" s="8">
        <f t="shared" ref="U351:U414" si="49">2022-T351</f>
        <v>39</v>
      </c>
      <c r="V351" s="7">
        <v>1983</v>
      </c>
      <c r="W351" t="s">
        <v>227</v>
      </c>
      <c r="X351" s="2">
        <v>0.111</v>
      </c>
      <c r="Y351" s="6">
        <f t="shared" si="46"/>
        <v>2.9630816048690639E-3</v>
      </c>
      <c r="AA351">
        <v>87566621</v>
      </c>
      <c r="AB351">
        <v>24890</v>
      </c>
      <c r="AC351">
        <v>15206424</v>
      </c>
      <c r="AD351" t="s">
        <v>5</v>
      </c>
      <c r="AE351">
        <v>66</v>
      </c>
      <c r="AF351">
        <v>8</v>
      </c>
      <c r="AH351" t="s">
        <v>4053</v>
      </c>
      <c r="AI351" t="s">
        <v>4052</v>
      </c>
      <c r="AK351" t="s">
        <v>4051</v>
      </c>
      <c r="AL351">
        <v>0</v>
      </c>
      <c r="AM351" s="5">
        <f t="shared" ref="AM351:AM414" si="50">AL351/U351</f>
        <v>0</v>
      </c>
      <c r="AN351" s="4">
        <f t="shared" si="47"/>
        <v>0</v>
      </c>
      <c r="AO351" s="3"/>
      <c r="AP351">
        <v>0</v>
      </c>
      <c r="AR351" t="s">
        <v>1</v>
      </c>
      <c r="AT351" s="2" t="s">
        <v>0</v>
      </c>
      <c r="AU351" s="1">
        <f t="shared" ref="AU351:AU414" si="51">(Y351*0.7+AN351*0.3)*100</f>
        <v>0.20741571234083445</v>
      </c>
      <c r="AV351" s="1">
        <f t="shared" ref="AV351:AV414" si="52">(Y351*0.5+AN351*0.5)*100</f>
        <v>0.1481540802434532</v>
      </c>
      <c r="AW351" s="1">
        <f t="shared" ref="AW351:AW414" si="53">(Y351*0.3+AN351*0.7)*100</f>
        <v>8.8892448146071903E-2</v>
      </c>
    </row>
    <row r="352" spans="1:49" x14ac:dyDescent="0.2">
      <c r="A352">
        <v>350</v>
      </c>
      <c r="B352" t="s">
        <v>4050</v>
      </c>
      <c r="F352" t="s">
        <v>4049</v>
      </c>
      <c r="G352" t="s">
        <v>15</v>
      </c>
      <c r="H352" t="s">
        <v>14</v>
      </c>
      <c r="I352" t="s">
        <v>2814</v>
      </c>
      <c r="N352">
        <v>3</v>
      </c>
      <c r="O352" t="s">
        <v>4048</v>
      </c>
      <c r="P352" t="s">
        <v>4047</v>
      </c>
      <c r="Q352" t="s">
        <v>510</v>
      </c>
      <c r="R352" s="7">
        <v>30317</v>
      </c>
      <c r="S352" s="8">
        <f t="shared" si="48"/>
        <v>1983</v>
      </c>
      <c r="T352" s="8">
        <v>1983</v>
      </c>
      <c r="U352" s="8">
        <f t="shared" si="49"/>
        <v>39</v>
      </c>
      <c r="V352" s="7" t="s">
        <v>3973</v>
      </c>
      <c r="W352" t="s">
        <v>560</v>
      </c>
      <c r="X352" s="2" t="s">
        <v>0</v>
      </c>
      <c r="Y352" s="6" t="e">
        <f t="shared" si="46"/>
        <v>#VALUE!</v>
      </c>
      <c r="AA352">
        <v>337889</v>
      </c>
      <c r="AB352">
        <v>40920</v>
      </c>
      <c r="AD352" t="s">
        <v>5</v>
      </c>
      <c r="AE352">
        <v>28</v>
      </c>
      <c r="AF352">
        <v>8</v>
      </c>
      <c r="AH352" t="s">
        <v>4046</v>
      </c>
      <c r="AI352" t="s">
        <v>4045</v>
      </c>
      <c r="AK352" t="s">
        <v>4044</v>
      </c>
      <c r="AL352">
        <v>0</v>
      </c>
      <c r="AM352" s="5">
        <f t="shared" si="50"/>
        <v>0</v>
      </c>
      <c r="AN352" s="4">
        <f t="shared" si="47"/>
        <v>0</v>
      </c>
      <c r="AO352" s="3"/>
      <c r="AP352">
        <v>0</v>
      </c>
      <c r="AR352" t="s">
        <v>1</v>
      </c>
      <c r="AT352" s="2" t="s">
        <v>0</v>
      </c>
      <c r="AU352" s="1" t="e">
        <f t="shared" si="51"/>
        <v>#VALUE!</v>
      </c>
      <c r="AV352" s="1" t="e">
        <f t="shared" si="52"/>
        <v>#VALUE!</v>
      </c>
      <c r="AW352" s="1" t="e">
        <f t="shared" si="53"/>
        <v>#VALUE!</v>
      </c>
    </row>
    <row r="353" spans="1:49" x14ac:dyDescent="0.2">
      <c r="A353">
        <v>351</v>
      </c>
      <c r="B353" t="s">
        <v>4043</v>
      </c>
      <c r="C353" t="s">
        <v>4042</v>
      </c>
      <c r="F353" t="s">
        <v>4041</v>
      </c>
      <c r="G353" t="s">
        <v>15</v>
      </c>
      <c r="H353" t="s">
        <v>14</v>
      </c>
      <c r="I353" t="s">
        <v>4040</v>
      </c>
      <c r="J353">
        <v>60032730</v>
      </c>
      <c r="K353" t="s">
        <v>3004</v>
      </c>
      <c r="L353" t="s">
        <v>3003</v>
      </c>
      <c r="M353" t="s">
        <v>175</v>
      </c>
      <c r="N353">
        <v>2</v>
      </c>
      <c r="O353" t="s">
        <v>4039</v>
      </c>
      <c r="P353" t="s">
        <v>4038</v>
      </c>
      <c r="Q353" t="s">
        <v>3000</v>
      </c>
      <c r="R353" s="7">
        <v>30317</v>
      </c>
      <c r="S353" s="8">
        <f t="shared" si="48"/>
        <v>1983</v>
      </c>
      <c r="T353" s="8">
        <v>1983</v>
      </c>
      <c r="U353" s="8">
        <f t="shared" si="49"/>
        <v>39</v>
      </c>
      <c r="V353" s="7">
        <v>30529</v>
      </c>
      <c r="W353" t="s">
        <v>2613</v>
      </c>
      <c r="X353" s="2">
        <v>1.6379999999999999</v>
      </c>
      <c r="Y353" s="6">
        <f t="shared" si="46"/>
        <v>4.3725474493473214E-2</v>
      </c>
      <c r="AA353">
        <v>963518</v>
      </c>
      <c r="AB353">
        <v>31560</v>
      </c>
      <c r="AD353" t="s">
        <v>5</v>
      </c>
      <c r="AE353">
        <v>31</v>
      </c>
      <c r="AF353">
        <v>4</v>
      </c>
      <c r="AH353" t="s">
        <v>4037</v>
      </c>
      <c r="AI353" t="s">
        <v>4036</v>
      </c>
      <c r="AK353" t="s">
        <v>4035</v>
      </c>
      <c r="AL353">
        <v>16</v>
      </c>
      <c r="AM353" s="5">
        <f t="shared" si="50"/>
        <v>0.41025641025641024</v>
      </c>
      <c r="AN353" s="4">
        <f t="shared" si="47"/>
        <v>6.2136525597335896E-4</v>
      </c>
      <c r="AO353" s="3"/>
      <c r="AP353">
        <v>0</v>
      </c>
      <c r="AR353" t="s">
        <v>1</v>
      </c>
      <c r="AT353" s="2" t="s">
        <v>0</v>
      </c>
      <c r="AU353" s="1">
        <f t="shared" si="51"/>
        <v>3.0794241722223257</v>
      </c>
      <c r="AV353" s="1">
        <f t="shared" si="52"/>
        <v>2.2173419874723286</v>
      </c>
      <c r="AW353" s="1">
        <f t="shared" si="53"/>
        <v>1.3552598027223315</v>
      </c>
    </row>
    <row r="354" spans="1:49" x14ac:dyDescent="0.2">
      <c r="A354">
        <v>352</v>
      </c>
      <c r="B354" t="s">
        <v>4034</v>
      </c>
      <c r="C354" t="s">
        <v>4033</v>
      </c>
      <c r="F354" t="s">
        <v>4032</v>
      </c>
      <c r="G354" t="s">
        <v>15</v>
      </c>
      <c r="H354" t="s">
        <v>14</v>
      </c>
      <c r="I354" t="s">
        <v>4031</v>
      </c>
      <c r="J354" t="s">
        <v>4030</v>
      </c>
      <c r="K354" t="s">
        <v>4029</v>
      </c>
      <c r="L354" t="s">
        <v>4028</v>
      </c>
      <c r="M354" t="s">
        <v>3243</v>
      </c>
      <c r="N354">
        <v>4</v>
      </c>
      <c r="O354" t="s">
        <v>4027</v>
      </c>
      <c r="P354" t="s">
        <v>4026</v>
      </c>
      <c r="Q354" t="s">
        <v>4025</v>
      </c>
      <c r="R354" s="7">
        <v>30317</v>
      </c>
      <c r="S354" s="8">
        <f t="shared" si="48"/>
        <v>1983</v>
      </c>
      <c r="T354" s="8">
        <v>1983</v>
      </c>
      <c r="U354" s="8">
        <f t="shared" si="49"/>
        <v>39</v>
      </c>
      <c r="V354" s="7">
        <v>1983</v>
      </c>
      <c r="W354" t="s">
        <v>227</v>
      </c>
      <c r="X354" s="2">
        <v>0.111</v>
      </c>
      <c r="Y354" s="6">
        <f t="shared" si="46"/>
        <v>2.9630816048690639E-3</v>
      </c>
      <c r="AA354">
        <v>87566621</v>
      </c>
      <c r="AB354">
        <v>24890</v>
      </c>
      <c r="AC354">
        <v>15206424</v>
      </c>
      <c r="AD354" t="s">
        <v>5</v>
      </c>
      <c r="AE354">
        <v>66</v>
      </c>
      <c r="AF354">
        <v>8</v>
      </c>
      <c r="AH354" t="s">
        <v>4024</v>
      </c>
      <c r="AI354" t="s">
        <v>4023</v>
      </c>
      <c r="AK354" t="s">
        <v>4022</v>
      </c>
      <c r="AL354">
        <v>2</v>
      </c>
      <c r="AM354" s="5">
        <f t="shared" si="50"/>
        <v>5.128205128205128E-2</v>
      </c>
      <c r="AN354" s="4">
        <f t="shared" si="47"/>
        <v>7.767065699666987E-5</v>
      </c>
      <c r="AO354" s="3"/>
      <c r="AP354">
        <v>0</v>
      </c>
      <c r="AR354" t="s">
        <v>1</v>
      </c>
      <c r="AT354" s="2" t="s">
        <v>0</v>
      </c>
      <c r="AU354" s="1">
        <f t="shared" si="51"/>
        <v>0.20974583205073455</v>
      </c>
      <c r="AV354" s="1">
        <f t="shared" si="52"/>
        <v>0.1520376130932867</v>
      </c>
      <c r="AW354" s="1">
        <f t="shared" si="53"/>
        <v>9.4329394135838796E-2</v>
      </c>
    </row>
    <row r="355" spans="1:49" x14ac:dyDescent="0.2">
      <c r="A355">
        <v>353</v>
      </c>
      <c r="B355" t="s">
        <v>4021</v>
      </c>
      <c r="C355" t="s">
        <v>4020</v>
      </c>
      <c r="F355" t="s">
        <v>4019</v>
      </c>
      <c r="G355" t="s">
        <v>15</v>
      </c>
      <c r="H355" t="s">
        <v>14</v>
      </c>
      <c r="I355" t="s">
        <v>4018</v>
      </c>
      <c r="N355">
        <v>5</v>
      </c>
      <c r="O355" t="s">
        <v>4017</v>
      </c>
      <c r="P355" t="s">
        <v>4016</v>
      </c>
      <c r="Q355" t="s">
        <v>2349</v>
      </c>
      <c r="R355" s="7">
        <v>30317</v>
      </c>
      <c r="S355" s="8">
        <f t="shared" si="48"/>
        <v>1983</v>
      </c>
      <c r="T355" s="8">
        <v>1983</v>
      </c>
      <c r="U355" s="8">
        <f t="shared" si="49"/>
        <v>39</v>
      </c>
      <c r="V355" s="7" t="s">
        <v>3973</v>
      </c>
      <c r="W355" t="s">
        <v>2802</v>
      </c>
      <c r="X355" s="2" t="s">
        <v>0</v>
      </c>
      <c r="Y355" s="6" t="e">
        <f t="shared" si="46"/>
        <v>#VALUE!</v>
      </c>
      <c r="AA355">
        <v>491748</v>
      </c>
      <c r="AB355">
        <v>40456</v>
      </c>
      <c r="AD355" t="s">
        <v>5</v>
      </c>
      <c r="AE355">
        <v>13</v>
      </c>
      <c r="AF355">
        <v>8</v>
      </c>
      <c r="AH355" t="s">
        <v>4015</v>
      </c>
      <c r="AI355" t="s">
        <v>4014</v>
      </c>
      <c r="AK355" t="s">
        <v>4013</v>
      </c>
      <c r="AL355">
        <v>0</v>
      </c>
      <c r="AM355" s="5">
        <f t="shared" si="50"/>
        <v>0</v>
      </c>
      <c r="AN355" s="4">
        <f t="shared" si="47"/>
        <v>0</v>
      </c>
      <c r="AO355" s="3"/>
      <c r="AP355">
        <v>0</v>
      </c>
      <c r="AR355" t="s">
        <v>1</v>
      </c>
      <c r="AT355" s="2" t="s">
        <v>0</v>
      </c>
      <c r="AU355" s="1" t="e">
        <f t="shared" si="51"/>
        <v>#VALUE!</v>
      </c>
      <c r="AV355" s="1" t="e">
        <f t="shared" si="52"/>
        <v>#VALUE!</v>
      </c>
      <c r="AW355" s="1" t="e">
        <f t="shared" si="53"/>
        <v>#VALUE!</v>
      </c>
    </row>
    <row r="356" spans="1:49" x14ac:dyDescent="0.2">
      <c r="A356">
        <v>354</v>
      </c>
      <c r="B356" t="s">
        <v>4012</v>
      </c>
      <c r="C356" t="s">
        <v>4011</v>
      </c>
      <c r="F356" t="s">
        <v>4010</v>
      </c>
      <c r="G356" t="s">
        <v>15</v>
      </c>
      <c r="H356" t="s">
        <v>14</v>
      </c>
      <c r="I356" t="s">
        <v>4009</v>
      </c>
      <c r="J356">
        <v>60008435</v>
      </c>
      <c r="K356" t="s">
        <v>4008</v>
      </c>
      <c r="L356" t="s">
        <v>4007</v>
      </c>
      <c r="M356" t="s">
        <v>55</v>
      </c>
      <c r="N356">
        <v>2</v>
      </c>
      <c r="O356" t="s">
        <v>4006</v>
      </c>
      <c r="P356" t="s">
        <v>4005</v>
      </c>
      <c r="Q356" t="s">
        <v>4004</v>
      </c>
      <c r="R356" s="7">
        <v>30317</v>
      </c>
      <c r="S356" s="8">
        <f t="shared" si="48"/>
        <v>1983</v>
      </c>
      <c r="T356" s="8">
        <v>1983</v>
      </c>
      <c r="U356" s="8">
        <f t="shared" si="49"/>
        <v>39</v>
      </c>
      <c r="V356" s="7">
        <v>1983</v>
      </c>
      <c r="W356" t="s">
        <v>227</v>
      </c>
      <c r="X356" s="2">
        <v>0.111</v>
      </c>
      <c r="Y356" s="6">
        <f t="shared" si="46"/>
        <v>2.9630816048690639E-3</v>
      </c>
      <c r="AA356">
        <v>87566621</v>
      </c>
      <c r="AB356">
        <v>24890</v>
      </c>
      <c r="AC356">
        <v>15206424</v>
      </c>
      <c r="AD356" t="s">
        <v>5</v>
      </c>
      <c r="AE356">
        <v>66</v>
      </c>
      <c r="AF356">
        <v>8</v>
      </c>
      <c r="AH356" t="s">
        <v>4003</v>
      </c>
      <c r="AI356" t="s">
        <v>4002</v>
      </c>
      <c r="AK356" t="s">
        <v>4001</v>
      </c>
      <c r="AL356">
        <v>1</v>
      </c>
      <c r="AM356" s="5">
        <f t="shared" si="50"/>
        <v>2.564102564102564E-2</v>
      </c>
      <c r="AN356" s="4">
        <f t="shared" si="47"/>
        <v>3.8835328498334935E-5</v>
      </c>
      <c r="AO356" s="3"/>
      <c r="AP356">
        <v>0</v>
      </c>
      <c r="AR356" t="s">
        <v>1</v>
      </c>
      <c r="AT356" s="2" t="s">
        <v>0</v>
      </c>
      <c r="AU356" s="1">
        <f t="shared" si="51"/>
        <v>0.2085807721957845</v>
      </c>
      <c r="AV356" s="1">
        <f t="shared" si="52"/>
        <v>0.15009584666836995</v>
      </c>
      <c r="AW356" s="1">
        <f t="shared" si="53"/>
        <v>9.1610921140955356E-2</v>
      </c>
    </row>
    <row r="357" spans="1:49" x14ac:dyDescent="0.2">
      <c r="A357">
        <v>355</v>
      </c>
      <c r="B357" t="s">
        <v>4000</v>
      </c>
      <c r="C357" t="s">
        <v>3999</v>
      </c>
      <c r="F357" t="s">
        <v>3998</v>
      </c>
      <c r="G357" t="s">
        <v>15</v>
      </c>
      <c r="H357" t="s">
        <v>14</v>
      </c>
      <c r="I357" t="s">
        <v>3997</v>
      </c>
      <c r="J357" t="s">
        <v>3996</v>
      </c>
      <c r="K357" t="s">
        <v>3995</v>
      </c>
      <c r="L357" t="s">
        <v>3994</v>
      </c>
      <c r="M357" t="s">
        <v>380</v>
      </c>
      <c r="N357">
        <v>4</v>
      </c>
      <c r="O357" t="s">
        <v>3993</v>
      </c>
      <c r="P357" t="s">
        <v>3992</v>
      </c>
      <c r="Q357" t="s">
        <v>3991</v>
      </c>
      <c r="R357" s="7">
        <v>30317</v>
      </c>
      <c r="S357" s="8">
        <f t="shared" si="48"/>
        <v>1983</v>
      </c>
      <c r="T357" s="8">
        <v>1983</v>
      </c>
      <c r="U357" s="8">
        <f t="shared" si="49"/>
        <v>39</v>
      </c>
      <c r="V357" s="7">
        <v>30529</v>
      </c>
      <c r="W357" t="s">
        <v>644</v>
      </c>
      <c r="X357" s="2">
        <v>1.774</v>
      </c>
      <c r="Y357" s="6">
        <f t="shared" si="46"/>
        <v>4.7355916820159633E-2</v>
      </c>
      <c r="AA357">
        <v>295515</v>
      </c>
      <c r="AB357">
        <v>29066</v>
      </c>
      <c r="AC357">
        <v>17414326</v>
      </c>
      <c r="AD357" t="s">
        <v>5</v>
      </c>
      <c r="AE357">
        <v>23</v>
      </c>
      <c r="AF357">
        <v>8</v>
      </c>
      <c r="AH357" t="s">
        <v>3990</v>
      </c>
      <c r="AI357" t="s">
        <v>3989</v>
      </c>
      <c r="AK357" t="s">
        <v>3988</v>
      </c>
      <c r="AL357">
        <v>69</v>
      </c>
      <c r="AM357" s="5">
        <f t="shared" si="50"/>
        <v>1.7692307692307692</v>
      </c>
      <c r="AN357" s="4">
        <f t="shared" si="47"/>
        <v>2.6796376663851106E-3</v>
      </c>
      <c r="AO357" s="3"/>
      <c r="AP357">
        <v>0</v>
      </c>
      <c r="AR357" t="s">
        <v>1</v>
      </c>
      <c r="AT357" s="2">
        <v>3.1789999999999998</v>
      </c>
      <c r="AU357" s="1">
        <f t="shared" si="51"/>
        <v>3.395303307402727</v>
      </c>
      <c r="AV357" s="1">
        <f t="shared" si="52"/>
        <v>2.5017777243272374</v>
      </c>
      <c r="AW357" s="1">
        <f t="shared" si="53"/>
        <v>1.6082521412517468</v>
      </c>
    </row>
    <row r="358" spans="1:49" x14ac:dyDescent="0.2">
      <c r="A358">
        <v>356</v>
      </c>
      <c r="B358" t="s">
        <v>3987</v>
      </c>
      <c r="C358" t="s">
        <v>3986</v>
      </c>
      <c r="F358" t="s">
        <v>3985</v>
      </c>
      <c r="G358" t="s">
        <v>15</v>
      </c>
      <c r="H358" t="s">
        <v>14</v>
      </c>
      <c r="I358" t="s">
        <v>1538</v>
      </c>
      <c r="J358">
        <v>60020444</v>
      </c>
      <c r="K358" t="s">
        <v>3984</v>
      </c>
      <c r="L358" t="s">
        <v>978</v>
      </c>
      <c r="M358" t="s">
        <v>10</v>
      </c>
      <c r="N358">
        <v>1</v>
      </c>
      <c r="O358" t="s">
        <v>3983</v>
      </c>
      <c r="P358">
        <v>7005064847</v>
      </c>
      <c r="Q358">
        <v>60020444</v>
      </c>
      <c r="R358" s="7">
        <v>30317</v>
      </c>
      <c r="S358" s="8">
        <f t="shared" si="48"/>
        <v>1983</v>
      </c>
      <c r="T358" s="8">
        <v>1983</v>
      </c>
      <c r="U358" s="8">
        <f t="shared" si="49"/>
        <v>39</v>
      </c>
      <c r="V358" s="7">
        <v>30529</v>
      </c>
      <c r="W358" t="s">
        <v>1531</v>
      </c>
      <c r="X358" s="2">
        <v>0.65500000000000003</v>
      </c>
      <c r="Y358" s="6">
        <f t="shared" si="46"/>
        <v>1.7484850911614749E-2</v>
      </c>
      <c r="AA358">
        <v>189375</v>
      </c>
      <c r="AB358">
        <v>26051</v>
      </c>
      <c r="AC358" t="s">
        <v>1530</v>
      </c>
      <c r="AD358" t="s">
        <v>5</v>
      </c>
      <c r="AE358" t="s">
        <v>1529</v>
      </c>
      <c r="AF358">
        <v>3</v>
      </c>
      <c r="AH358" t="s">
        <v>3982</v>
      </c>
      <c r="AI358" t="s">
        <v>3981</v>
      </c>
      <c r="AJ358" t="s">
        <v>3980</v>
      </c>
      <c r="AK358" t="s">
        <v>3979</v>
      </c>
      <c r="AL358">
        <v>17</v>
      </c>
      <c r="AM358" s="5">
        <f t="shared" si="50"/>
        <v>0.4358974358974359</v>
      </c>
      <c r="AN358" s="4">
        <f t="shared" si="47"/>
        <v>6.6020058447169392E-4</v>
      </c>
      <c r="AO358" s="3"/>
      <c r="AP358">
        <v>0</v>
      </c>
      <c r="AR358" t="s">
        <v>1</v>
      </c>
      <c r="AT358" s="2" t="s">
        <v>0</v>
      </c>
      <c r="AU358" s="1">
        <f t="shared" si="51"/>
        <v>1.2437455813471832</v>
      </c>
      <c r="AV358" s="1">
        <f t="shared" si="52"/>
        <v>0.90725257480432209</v>
      </c>
      <c r="AW358" s="1">
        <f t="shared" si="53"/>
        <v>0.57075956826146113</v>
      </c>
    </row>
    <row r="359" spans="1:49" x14ac:dyDescent="0.2">
      <c r="A359">
        <v>357</v>
      </c>
      <c r="B359" t="s">
        <v>3978</v>
      </c>
      <c r="F359" t="s">
        <v>3977</v>
      </c>
      <c r="G359" t="s">
        <v>15</v>
      </c>
      <c r="H359" t="s">
        <v>14</v>
      </c>
      <c r="I359" t="s">
        <v>3976</v>
      </c>
      <c r="N359">
        <v>2</v>
      </c>
      <c r="O359" t="s">
        <v>3975</v>
      </c>
      <c r="P359" t="s">
        <v>3974</v>
      </c>
      <c r="Q359" t="s">
        <v>342</v>
      </c>
      <c r="R359" s="7">
        <v>30317</v>
      </c>
      <c r="S359" s="8">
        <f t="shared" si="48"/>
        <v>1983</v>
      </c>
      <c r="T359" s="8">
        <v>1983</v>
      </c>
      <c r="U359" s="8">
        <f t="shared" si="49"/>
        <v>39</v>
      </c>
      <c r="V359" s="7" t="s">
        <v>3973</v>
      </c>
      <c r="W359" t="s">
        <v>2576</v>
      </c>
      <c r="X359" s="2" t="s">
        <v>0</v>
      </c>
      <c r="Y359" s="6" t="e">
        <f t="shared" si="46"/>
        <v>#VALUE!</v>
      </c>
      <c r="AA359">
        <v>2511096</v>
      </c>
      <c r="AB359">
        <v>26110</v>
      </c>
      <c r="AD359" t="s">
        <v>5</v>
      </c>
      <c r="AE359">
        <v>64</v>
      </c>
      <c r="AH359" s="9">
        <v>44477</v>
      </c>
      <c r="AI359" t="s">
        <v>3972</v>
      </c>
      <c r="AK359" t="s">
        <v>3971</v>
      </c>
      <c r="AL359">
        <v>0</v>
      </c>
      <c r="AM359" s="5">
        <f t="shared" si="50"/>
        <v>0</v>
      </c>
      <c r="AN359" s="4">
        <f t="shared" si="47"/>
        <v>0</v>
      </c>
      <c r="AO359" s="3"/>
      <c r="AP359">
        <v>0</v>
      </c>
      <c r="AR359" t="s">
        <v>1</v>
      </c>
      <c r="AT359" s="2" t="s">
        <v>0</v>
      </c>
      <c r="AU359" s="1" t="e">
        <f t="shared" si="51"/>
        <v>#VALUE!</v>
      </c>
      <c r="AV359" s="1" t="e">
        <f t="shared" si="52"/>
        <v>#VALUE!</v>
      </c>
      <c r="AW359" s="1" t="e">
        <f t="shared" si="53"/>
        <v>#VALUE!</v>
      </c>
    </row>
    <row r="360" spans="1:49" x14ac:dyDescent="0.2">
      <c r="A360">
        <v>358</v>
      </c>
      <c r="B360" t="s">
        <v>3970</v>
      </c>
      <c r="C360" t="s">
        <v>3969</v>
      </c>
      <c r="F360" t="s">
        <v>3968</v>
      </c>
      <c r="G360" t="s">
        <v>15</v>
      </c>
      <c r="H360" t="s">
        <v>14</v>
      </c>
      <c r="I360" t="s">
        <v>3265</v>
      </c>
      <c r="J360">
        <v>60021378</v>
      </c>
      <c r="K360" t="s">
        <v>1635</v>
      </c>
      <c r="L360" t="s">
        <v>1634</v>
      </c>
      <c r="M360" t="s">
        <v>10</v>
      </c>
      <c r="N360">
        <v>1</v>
      </c>
      <c r="O360" t="s">
        <v>3264</v>
      </c>
      <c r="P360">
        <v>7403241218</v>
      </c>
      <c r="Q360">
        <v>60021378</v>
      </c>
      <c r="R360" s="7">
        <v>30317</v>
      </c>
      <c r="S360" s="8">
        <f t="shared" si="48"/>
        <v>1983</v>
      </c>
      <c r="T360" s="8">
        <v>1983</v>
      </c>
      <c r="U360" s="8">
        <f t="shared" si="49"/>
        <v>39</v>
      </c>
      <c r="V360" s="7">
        <v>30529</v>
      </c>
      <c r="W360" t="s">
        <v>1632</v>
      </c>
      <c r="X360" s="2">
        <v>1.365</v>
      </c>
      <c r="Y360" s="6">
        <f t="shared" si="46"/>
        <v>3.6437895411227675E-2</v>
      </c>
      <c r="AA360">
        <v>189545</v>
      </c>
      <c r="AB360">
        <v>17393</v>
      </c>
      <c r="AC360">
        <v>19399359</v>
      </c>
      <c r="AD360" t="s">
        <v>5</v>
      </c>
      <c r="AE360">
        <v>32</v>
      </c>
      <c r="AF360">
        <v>3</v>
      </c>
      <c r="AH360" t="s">
        <v>3967</v>
      </c>
      <c r="AI360" t="s">
        <v>3966</v>
      </c>
      <c r="AK360" t="s">
        <v>3965</v>
      </c>
      <c r="AL360">
        <v>8</v>
      </c>
      <c r="AM360" s="5">
        <f t="shared" si="50"/>
        <v>0.20512820512820512</v>
      </c>
      <c r="AN360" s="4">
        <f t="shared" si="47"/>
        <v>3.1068262798667948E-4</v>
      </c>
      <c r="AO360" s="3"/>
      <c r="AP360">
        <v>0</v>
      </c>
      <c r="AR360" t="s">
        <v>1</v>
      </c>
      <c r="AT360" s="2" t="s">
        <v>0</v>
      </c>
      <c r="AU360" s="1">
        <f t="shared" si="51"/>
        <v>2.5599731576255373</v>
      </c>
      <c r="AV360" s="1">
        <f t="shared" si="52"/>
        <v>1.8374289019607175</v>
      </c>
      <c r="AW360" s="1">
        <f t="shared" si="53"/>
        <v>1.1148846462958977</v>
      </c>
    </row>
    <row r="361" spans="1:49" x14ac:dyDescent="0.2">
      <c r="A361">
        <v>359</v>
      </c>
      <c r="B361" t="s">
        <v>3964</v>
      </c>
      <c r="C361" t="s">
        <v>3963</v>
      </c>
      <c r="F361" t="s">
        <v>3962</v>
      </c>
      <c r="G361" t="s">
        <v>15</v>
      </c>
      <c r="H361" t="s">
        <v>14</v>
      </c>
      <c r="I361" t="s">
        <v>3961</v>
      </c>
      <c r="J361">
        <v>60029575</v>
      </c>
      <c r="K361" t="s">
        <v>623</v>
      </c>
      <c r="L361" t="s">
        <v>622</v>
      </c>
      <c r="M361" t="s">
        <v>10</v>
      </c>
      <c r="N361">
        <v>1</v>
      </c>
      <c r="O361" t="s">
        <v>3960</v>
      </c>
      <c r="P361">
        <v>6602396607</v>
      </c>
      <c r="Q361">
        <v>60029575</v>
      </c>
      <c r="R361" s="7">
        <v>30317</v>
      </c>
      <c r="S361" s="8">
        <f t="shared" si="48"/>
        <v>1983</v>
      </c>
      <c r="T361" s="8">
        <v>1983</v>
      </c>
      <c r="U361" s="8">
        <f t="shared" si="49"/>
        <v>39</v>
      </c>
      <c r="V361" s="7">
        <v>30529</v>
      </c>
      <c r="W361" t="s">
        <v>1531</v>
      </c>
      <c r="X361" s="2">
        <v>0.65500000000000003</v>
      </c>
      <c r="Y361" s="6">
        <f t="shared" si="46"/>
        <v>1.7484850911614749E-2</v>
      </c>
      <c r="AA361">
        <v>189375</v>
      </c>
      <c r="AB361">
        <v>26051</v>
      </c>
      <c r="AC361" t="s">
        <v>1530</v>
      </c>
      <c r="AD361" t="s">
        <v>5</v>
      </c>
      <c r="AE361" t="s">
        <v>1529</v>
      </c>
      <c r="AF361">
        <v>3</v>
      </c>
      <c r="AH361" t="s">
        <v>3959</v>
      </c>
      <c r="AI361" t="s">
        <v>3958</v>
      </c>
      <c r="AJ361" t="s">
        <v>3957</v>
      </c>
      <c r="AK361" t="s">
        <v>3956</v>
      </c>
      <c r="AL361">
        <v>2</v>
      </c>
      <c r="AM361" s="5">
        <f t="shared" si="50"/>
        <v>5.128205128205128E-2</v>
      </c>
      <c r="AN361" s="4">
        <f t="shared" si="47"/>
        <v>7.767065699666987E-5</v>
      </c>
      <c r="AO361" s="3"/>
      <c r="AP361">
        <v>0</v>
      </c>
      <c r="AR361" t="s">
        <v>1</v>
      </c>
      <c r="AT361" s="2" t="s">
        <v>0</v>
      </c>
      <c r="AU361" s="1">
        <f t="shared" si="51"/>
        <v>1.2262696835229323</v>
      </c>
      <c r="AV361" s="1">
        <f t="shared" si="52"/>
        <v>0.878126078430571</v>
      </c>
      <c r="AW361" s="1">
        <f t="shared" si="53"/>
        <v>0.52998247333820936</v>
      </c>
    </row>
    <row r="362" spans="1:49" x14ac:dyDescent="0.2">
      <c r="A362">
        <v>360</v>
      </c>
      <c r="B362" t="s">
        <v>3955</v>
      </c>
      <c r="C362" t="s">
        <v>3954</v>
      </c>
      <c r="F362" t="s">
        <v>3953</v>
      </c>
      <c r="G362" t="s">
        <v>15</v>
      </c>
      <c r="H362" t="s">
        <v>14</v>
      </c>
      <c r="I362" t="s">
        <v>3952</v>
      </c>
      <c r="J362" t="s">
        <v>3951</v>
      </c>
      <c r="K362" t="s">
        <v>3950</v>
      </c>
      <c r="L362" t="s">
        <v>3949</v>
      </c>
      <c r="M362" t="s">
        <v>216</v>
      </c>
      <c r="N362">
        <v>3</v>
      </c>
      <c r="O362" t="s">
        <v>3948</v>
      </c>
      <c r="P362" t="s">
        <v>3947</v>
      </c>
      <c r="Q362" t="s">
        <v>3946</v>
      </c>
      <c r="R362" s="7">
        <v>30317</v>
      </c>
      <c r="S362" s="8">
        <f t="shared" si="48"/>
        <v>1983</v>
      </c>
      <c r="T362" s="8">
        <v>1983</v>
      </c>
      <c r="U362" s="8">
        <f t="shared" si="49"/>
        <v>39</v>
      </c>
      <c r="V362" s="7">
        <v>30529</v>
      </c>
      <c r="W362" t="s">
        <v>1531</v>
      </c>
      <c r="X362" s="2">
        <v>0.65500000000000003</v>
      </c>
      <c r="Y362" s="6">
        <f t="shared" si="46"/>
        <v>1.7484850911614749E-2</v>
      </c>
      <c r="AA362">
        <v>189375</v>
      </c>
      <c r="AB362">
        <v>26051</v>
      </c>
      <c r="AC362" t="s">
        <v>1530</v>
      </c>
      <c r="AD362" t="s">
        <v>5</v>
      </c>
      <c r="AE362" t="s">
        <v>1529</v>
      </c>
      <c r="AF362">
        <v>3</v>
      </c>
      <c r="AH362" t="s">
        <v>3945</v>
      </c>
      <c r="AI362" t="s">
        <v>3944</v>
      </c>
      <c r="AJ362" t="s">
        <v>3943</v>
      </c>
      <c r="AK362" t="s">
        <v>3942</v>
      </c>
      <c r="AL362">
        <v>16</v>
      </c>
      <c r="AM362" s="5">
        <f t="shared" si="50"/>
        <v>0.41025641025641024</v>
      </c>
      <c r="AN362" s="4">
        <f t="shared" si="47"/>
        <v>6.2136525597335896E-4</v>
      </c>
      <c r="AO362" s="3"/>
      <c r="AP362">
        <v>0</v>
      </c>
      <c r="AR362" t="s">
        <v>1</v>
      </c>
      <c r="AT362" s="2" t="s">
        <v>0</v>
      </c>
      <c r="AU362" s="1">
        <f t="shared" si="51"/>
        <v>1.2425805214922332</v>
      </c>
      <c r="AV362" s="1">
        <f t="shared" si="52"/>
        <v>0.90531080837940536</v>
      </c>
      <c r="AW362" s="1">
        <f t="shared" si="53"/>
        <v>0.56804109526657764</v>
      </c>
    </row>
    <row r="363" spans="1:49" x14ac:dyDescent="0.2">
      <c r="A363">
        <v>361</v>
      </c>
      <c r="B363" t="s">
        <v>3941</v>
      </c>
      <c r="F363" t="s">
        <v>3940</v>
      </c>
      <c r="G363" t="s">
        <v>15</v>
      </c>
      <c r="H363" t="s">
        <v>14</v>
      </c>
      <c r="I363" t="s">
        <v>3939</v>
      </c>
      <c r="N363">
        <v>1</v>
      </c>
      <c r="O363" t="s">
        <v>3938</v>
      </c>
      <c r="P363">
        <v>7004792965</v>
      </c>
      <c r="R363" s="7">
        <v>30317</v>
      </c>
      <c r="S363" s="8">
        <f t="shared" si="48"/>
        <v>1983</v>
      </c>
      <c r="T363" s="8">
        <v>1983</v>
      </c>
      <c r="U363" s="8">
        <f t="shared" si="49"/>
        <v>39</v>
      </c>
      <c r="V363" s="7" t="s">
        <v>3597</v>
      </c>
      <c r="W363" t="s">
        <v>1519</v>
      </c>
      <c r="X363" s="2" t="s">
        <v>0</v>
      </c>
      <c r="Y363" s="6" t="e">
        <f t="shared" si="46"/>
        <v>#VALUE!</v>
      </c>
      <c r="AA363" t="s">
        <v>1518</v>
      </c>
      <c r="AB363">
        <v>30906</v>
      </c>
      <c r="AD363" t="s">
        <v>5</v>
      </c>
      <c r="AE363" t="s">
        <v>1517</v>
      </c>
      <c r="AF363">
        <v>7</v>
      </c>
      <c r="AH363" t="s">
        <v>3937</v>
      </c>
      <c r="AI363" t="s">
        <v>3936</v>
      </c>
      <c r="AK363" t="s">
        <v>3935</v>
      </c>
      <c r="AL363">
        <v>0</v>
      </c>
      <c r="AM363" s="5">
        <f t="shared" si="50"/>
        <v>0</v>
      </c>
      <c r="AN363" s="4">
        <f t="shared" si="47"/>
        <v>0</v>
      </c>
      <c r="AO363" s="3"/>
      <c r="AP363">
        <v>0</v>
      </c>
      <c r="AR363" t="s">
        <v>1</v>
      </c>
      <c r="AT363" s="2" t="s">
        <v>0</v>
      </c>
      <c r="AU363" s="1" t="e">
        <f t="shared" si="51"/>
        <v>#VALUE!</v>
      </c>
      <c r="AV363" s="1" t="e">
        <f t="shared" si="52"/>
        <v>#VALUE!</v>
      </c>
      <c r="AW363" s="1" t="e">
        <f t="shared" si="53"/>
        <v>#VALUE!</v>
      </c>
    </row>
    <row r="364" spans="1:49" x14ac:dyDescent="0.2">
      <c r="A364">
        <v>362</v>
      </c>
      <c r="B364" t="s">
        <v>3934</v>
      </c>
      <c r="C364" t="s">
        <v>3933</v>
      </c>
      <c r="F364" t="s">
        <v>3932</v>
      </c>
      <c r="G364" t="s">
        <v>15</v>
      </c>
      <c r="H364" t="s">
        <v>14</v>
      </c>
      <c r="I364" t="s">
        <v>3931</v>
      </c>
      <c r="N364">
        <v>3</v>
      </c>
      <c r="O364" t="s">
        <v>3930</v>
      </c>
      <c r="P364" t="s">
        <v>3929</v>
      </c>
      <c r="Q364" t="s">
        <v>510</v>
      </c>
      <c r="R364" s="7">
        <v>30317</v>
      </c>
      <c r="S364" s="8">
        <f t="shared" si="48"/>
        <v>1983</v>
      </c>
      <c r="T364" s="8">
        <v>1983</v>
      </c>
      <c r="U364" s="8">
        <f t="shared" si="49"/>
        <v>39</v>
      </c>
      <c r="V364" s="7" t="s">
        <v>3597</v>
      </c>
      <c r="W364" t="s">
        <v>3928</v>
      </c>
      <c r="X364" s="2">
        <v>1.276</v>
      </c>
      <c r="Y364" s="6">
        <f t="shared" si="46"/>
        <v>3.4062091241557887E-2</v>
      </c>
      <c r="AB364">
        <v>75087</v>
      </c>
      <c r="AD364" t="s">
        <v>5</v>
      </c>
      <c r="AE364">
        <v>22</v>
      </c>
      <c r="AF364">
        <v>7</v>
      </c>
      <c r="AH364" t="s">
        <v>3927</v>
      </c>
      <c r="AI364" t="s">
        <v>3926</v>
      </c>
      <c r="AK364" t="s">
        <v>3925</v>
      </c>
      <c r="AL364">
        <v>4</v>
      </c>
      <c r="AM364" s="5">
        <f t="shared" si="50"/>
        <v>0.10256410256410256</v>
      </c>
      <c r="AN364" s="4">
        <f t="shared" si="47"/>
        <v>1.5534131399333974E-4</v>
      </c>
      <c r="AO364" s="3"/>
      <c r="AP364">
        <v>0</v>
      </c>
      <c r="AR364" t="s">
        <v>1</v>
      </c>
      <c r="AT364" s="2" t="s">
        <v>0</v>
      </c>
      <c r="AU364" s="1">
        <f t="shared" si="51"/>
        <v>2.3890066263288521</v>
      </c>
      <c r="AV364" s="1">
        <f t="shared" si="52"/>
        <v>1.7108716277775615</v>
      </c>
      <c r="AW364" s="1">
        <f t="shared" si="53"/>
        <v>1.0327366292262703</v>
      </c>
    </row>
    <row r="365" spans="1:49" x14ac:dyDescent="0.2">
      <c r="A365">
        <v>363</v>
      </c>
      <c r="B365" t="s">
        <v>3924</v>
      </c>
      <c r="F365" t="s">
        <v>3923</v>
      </c>
      <c r="G365" t="s">
        <v>15</v>
      </c>
      <c r="H365" t="s">
        <v>14</v>
      </c>
      <c r="I365" t="s">
        <v>3922</v>
      </c>
      <c r="N365">
        <v>2</v>
      </c>
      <c r="O365" t="s">
        <v>3921</v>
      </c>
      <c r="P365" t="s">
        <v>3920</v>
      </c>
      <c r="Q365" t="s">
        <v>342</v>
      </c>
      <c r="R365" s="7">
        <v>30317</v>
      </c>
      <c r="S365" s="8">
        <f t="shared" si="48"/>
        <v>1983</v>
      </c>
      <c r="T365" s="8">
        <v>1983</v>
      </c>
      <c r="U365" s="8">
        <f t="shared" si="49"/>
        <v>39</v>
      </c>
      <c r="V365" s="7" t="s">
        <v>3919</v>
      </c>
      <c r="W365" t="s">
        <v>1766</v>
      </c>
      <c r="X365" s="2" t="s">
        <v>0</v>
      </c>
      <c r="Y365" s="6" t="e">
        <f t="shared" si="46"/>
        <v>#VALUE!</v>
      </c>
      <c r="AA365">
        <v>46213</v>
      </c>
      <c r="AB365">
        <v>31818</v>
      </c>
      <c r="AD365" t="s">
        <v>5</v>
      </c>
      <c r="AE365">
        <v>21</v>
      </c>
      <c r="AF365" s="9">
        <v>44415</v>
      </c>
      <c r="AH365" t="s">
        <v>3918</v>
      </c>
      <c r="AI365" t="s">
        <v>3917</v>
      </c>
      <c r="AK365" t="s">
        <v>3916</v>
      </c>
      <c r="AL365">
        <v>0</v>
      </c>
      <c r="AM365" s="5">
        <f t="shared" si="50"/>
        <v>0</v>
      </c>
      <c r="AN365" s="4">
        <f t="shared" si="47"/>
        <v>0</v>
      </c>
      <c r="AO365" s="3"/>
      <c r="AP365">
        <v>0</v>
      </c>
      <c r="AR365" t="s">
        <v>1</v>
      </c>
      <c r="AT365" s="2" t="s">
        <v>0</v>
      </c>
      <c r="AU365" s="1" t="e">
        <f t="shared" si="51"/>
        <v>#VALUE!</v>
      </c>
      <c r="AV365" s="1" t="e">
        <f t="shared" si="52"/>
        <v>#VALUE!</v>
      </c>
      <c r="AW365" s="1" t="e">
        <f t="shared" si="53"/>
        <v>#VALUE!</v>
      </c>
    </row>
    <row r="366" spans="1:49" x14ac:dyDescent="0.2">
      <c r="A366">
        <v>364</v>
      </c>
      <c r="B366" t="s">
        <v>3915</v>
      </c>
      <c r="C366" t="s">
        <v>3914</v>
      </c>
      <c r="D366" t="s">
        <v>3913</v>
      </c>
      <c r="E366">
        <v>6357026</v>
      </c>
      <c r="F366" t="s">
        <v>3912</v>
      </c>
      <c r="G366" t="s">
        <v>15</v>
      </c>
      <c r="H366" t="s">
        <v>14</v>
      </c>
      <c r="I366" t="s">
        <v>3911</v>
      </c>
      <c r="J366">
        <v>60025641</v>
      </c>
      <c r="K366" t="s">
        <v>82</v>
      </c>
      <c r="L366" t="s">
        <v>81</v>
      </c>
      <c r="M366" t="s">
        <v>80</v>
      </c>
      <c r="N366">
        <v>3</v>
      </c>
      <c r="O366" t="s">
        <v>3910</v>
      </c>
      <c r="P366" t="s">
        <v>3909</v>
      </c>
      <c r="Q366" t="s">
        <v>77</v>
      </c>
      <c r="R366" s="7">
        <v>30317</v>
      </c>
      <c r="S366" s="8">
        <f t="shared" si="48"/>
        <v>1983</v>
      </c>
      <c r="T366" s="8">
        <v>1983</v>
      </c>
      <c r="U366" s="8">
        <f t="shared" si="49"/>
        <v>39</v>
      </c>
      <c r="V366" s="7">
        <v>1983</v>
      </c>
      <c r="W366" t="s">
        <v>3908</v>
      </c>
      <c r="X366" s="2" t="s">
        <v>0</v>
      </c>
      <c r="Y366" s="6" t="e">
        <f t="shared" si="46"/>
        <v>#VALUE!</v>
      </c>
      <c r="AA366">
        <v>7692609</v>
      </c>
      <c r="AB366">
        <v>38007</v>
      </c>
      <c r="AD366" t="s">
        <v>5</v>
      </c>
      <c r="AE366">
        <v>134</v>
      </c>
      <c r="AF366">
        <v>1</v>
      </c>
      <c r="AH366" t="s">
        <v>3907</v>
      </c>
      <c r="AI366" t="s">
        <v>3906</v>
      </c>
      <c r="AJ366" t="s">
        <v>3905</v>
      </c>
      <c r="AK366" t="s">
        <v>3904</v>
      </c>
      <c r="AL366">
        <v>5</v>
      </c>
      <c r="AM366" s="5">
        <f t="shared" si="50"/>
        <v>0.12820512820512819</v>
      </c>
      <c r="AN366" s="4">
        <f t="shared" si="47"/>
        <v>1.9417664249167467E-4</v>
      </c>
      <c r="AO366" s="3"/>
      <c r="AP366">
        <v>0</v>
      </c>
      <c r="AR366" t="s">
        <v>1</v>
      </c>
      <c r="AT366" s="2" t="s">
        <v>0</v>
      </c>
      <c r="AU366" s="1" t="e">
        <f t="shared" si="51"/>
        <v>#VALUE!</v>
      </c>
      <c r="AV366" s="1" t="e">
        <f t="shared" si="52"/>
        <v>#VALUE!</v>
      </c>
      <c r="AW366" s="1" t="e">
        <f t="shared" si="53"/>
        <v>#VALUE!</v>
      </c>
    </row>
    <row r="367" spans="1:49" x14ac:dyDescent="0.2">
      <c r="A367">
        <v>365</v>
      </c>
      <c r="B367" t="s">
        <v>3903</v>
      </c>
      <c r="C367" t="s">
        <v>3902</v>
      </c>
      <c r="E367">
        <v>10263339</v>
      </c>
      <c r="F367" t="s">
        <v>3901</v>
      </c>
      <c r="G367" t="s">
        <v>15</v>
      </c>
      <c r="H367" t="s">
        <v>14</v>
      </c>
      <c r="I367" t="s">
        <v>3900</v>
      </c>
      <c r="N367">
        <v>1</v>
      </c>
      <c r="O367" t="s">
        <v>3899</v>
      </c>
      <c r="P367">
        <v>6603239477</v>
      </c>
      <c r="R367" s="7">
        <v>30317</v>
      </c>
      <c r="S367" s="8">
        <f t="shared" si="48"/>
        <v>1983</v>
      </c>
      <c r="T367" s="8">
        <v>1983</v>
      </c>
      <c r="U367" s="8">
        <f t="shared" si="49"/>
        <v>39</v>
      </c>
      <c r="V367" s="7" t="s">
        <v>3898</v>
      </c>
      <c r="W367" t="s">
        <v>3897</v>
      </c>
      <c r="X367" s="2" t="s">
        <v>0</v>
      </c>
      <c r="Y367" s="6" t="e">
        <f t="shared" si="46"/>
        <v>#VALUE!</v>
      </c>
      <c r="AA367">
        <v>3638855</v>
      </c>
      <c r="AB367">
        <v>16338</v>
      </c>
      <c r="AC367">
        <v>15503275</v>
      </c>
      <c r="AD367" t="s">
        <v>5</v>
      </c>
      <c r="AE367">
        <v>8</v>
      </c>
      <c r="AF367">
        <v>3</v>
      </c>
      <c r="AH367" t="s">
        <v>3896</v>
      </c>
      <c r="AI367" t="s">
        <v>3895</v>
      </c>
      <c r="AJ367" t="s">
        <v>3894</v>
      </c>
      <c r="AK367" t="s">
        <v>3893</v>
      </c>
      <c r="AL367">
        <v>2</v>
      </c>
      <c r="AM367" s="5">
        <f t="shared" si="50"/>
        <v>5.128205128205128E-2</v>
      </c>
      <c r="AN367" s="4">
        <f t="shared" si="47"/>
        <v>7.767065699666987E-5</v>
      </c>
      <c r="AO367" s="3"/>
      <c r="AP367">
        <v>0</v>
      </c>
      <c r="AR367" t="s">
        <v>1</v>
      </c>
      <c r="AT367" s="2" t="s">
        <v>0</v>
      </c>
      <c r="AU367" s="1" t="e">
        <f t="shared" si="51"/>
        <v>#VALUE!</v>
      </c>
      <c r="AV367" s="1" t="e">
        <f t="shared" si="52"/>
        <v>#VALUE!</v>
      </c>
      <c r="AW367" s="1" t="e">
        <f t="shared" si="53"/>
        <v>#VALUE!</v>
      </c>
    </row>
    <row r="368" spans="1:49" x14ac:dyDescent="0.2">
      <c r="A368">
        <v>366</v>
      </c>
      <c r="B368" t="s">
        <v>3892</v>
      </c>
      <c r="F368" t="s">
        <v>3891</v>
      </c>
      <c r="G368" t="s">
        <v>15</v>
      </c>
      <c r="H368" t="s">
        <v>14</v>
      </c>
      <c r="I368" t="s">
        <v>3890</v>
      </c>
      <c r="N368">
        <v>2</v>
      </c>
      <c r="O368" t="s">
        <v>3889</v>
      </c>
      <c r="P368" t="s">
        <v>3888</v>
      </c>
      <c r="Q368" t="s">
        <v>342</v>
      </c>
      <c r="R368" s="7">
        <v>30317</v>
      </c>
      <c r="S368" s="8">
        <f t="shared" si="48"/>
        <v>1983</v>
      </c>
      <c r="T368" s="8">
        <v>1983</v>
      </c>
      <c r="U368" s="8">
        <f t="shared" si="49"/>
        <v>39</v>
      </c>
      <c r="V368" s="7" t="s">
        <v>3597</v>
      </c>
      <c r="W368" t="s">
        <v>3506</v>
      </c>
      <c r="X368" s="2" t="s">
        <v>0</v>
      </c>
      <c r="Y368" s="6" t="e">
        <f t="shared" si="46"/>
        <v>#VALUE!</v>
      </c>
      <c r="AA368">
        <v>262897</v>
      </c>
      <c r="AB368">
        <v>18580</v>
      </c>
      <c r="AD368" t="s">
        <v>5</v>
      </c>
      <c r="AE368">
        <v>26</v>
      </c>
      <c r="AF368">
        <v>7</v>
      </c>
      <c r="AI368" t="s">
        <v>3887</v>
      </c>
      <c r="AK368" t="s">
        <v>3886</v>
      </c>
      <c r="AL368">
        <v>7</v>
      </c>
      <c r="AM368" s="5">
        <f t="shared" si="50"/>
        <v>0.17948717948717949</v>
      </c>
      <c r="AN368" s="4">
        <f t="shared" si="47"/>
        <v>2.7184729948834453E-4</v>
      </c>
      <c r="AO368" s="3"/>
      <c r="AP368">
        <v>0</v>
      </c>
      <c r="AR368" t="s">
        <v>1</v>
      </c>
      <c r="AT368" s="2">
        <v>0.30599999999999999</v>
      </c>
      <c r="AU368" s="1" t="e">
        <f t="shared" si="51"/>
        <v>#VALUE!</v>
      </c>
      <c r="AV368" s="1" t="e">
        <f t="shared" si="52"/>
        <v>#VALUE!</v>
      </c>
      <c r="AW368" s="1" t="e">
        <f t="shared" si="53"/>
        <v>#VALUE!</v>
      </c>
    </row>
    <row r="369" spans="1:49" x14ac:dyDescent="0.2">
      <c r="A369">
        <v>367</v>
      </c>
      <c r="B369" t="s">
        <v>3885</v>
      </c>
      <c r="C369" t="s">
        <v>3884</v>
      </c>
      <c r="F369" t="s">
        <v>3883</v>
      </c>
      <c r="G369" t="s">
        <v>15</v>
      </c>
      <c r="H369" t="s">
        <v>14</v>
      </c>
      <c r="I369" t="s">
        <v>3882</v>
      </c>
      <c r="N369">
        <v>2</v>
      </c>
      <c r="O369" t="s">
        <v>3881</v>
      </c>
      <c r="P369" t="s">
        <v>3880</v>
      </c>
      <c r="Q369" t="s">
        <v>342</v>
      </c>
      <c r="R369" s="7">
        <v>30317</v>
      </c>
      <c r="S369" s="8">
        <f t="shared" si="48"/>
        <v>1983</v>
      </c>
      <c r="T369" s="8">
        <v>1983</v>
      </c>
      <c r="U369" s="8">
        <f t="shared" si="49"/>
        <v>39</v>
      </c>
      <c r="V369" s="7" t="s">
        <v>3831</v>
      </c>
      <c r="W369" t="s">
        <v>508</v>
      </c>
      <c r="X369" s="2">
        <v>0.371</v>
      </c>
      <c r="Y369" s="6">
        <f t="shared" si="46"/>
        <v>9.9036331117695747E-3</v>
      </c>
      <c r="AA369">
        <v>486604</v>
      </c>
      <c r="AB369">
        <v>28580</v>
      </c>
      <c r="AC369" t="s">
        <v>507</v>
      </c>
      <c r="AD369" t="s">
        <v>5</v>
      </c>
      <c r="AE369">
        <v>18</v>
      </c>
      <c r="AF369">
        <v>4</v>
      </c>
      <c r="AH369" t="s">
        <v>3879</v>
      </c>
      <c r="AI369" t="s">
        <v>3878</v>
      </c>
      <c r="AK369" t="s">
        <v>3877</v>
      </c>
      <c r="AL369">
        <v>10</v>
      </c>
      <c r="AM369" s="5">
        <f t="shared" si="50"/>
        <v>0.25641025641025639</v>
      </c>
      <c r="AN369" s="4">
        <f t="shared" si="47"/>
        <v>3.8835328498334934E-4</v>
      </c>
      <c r="AO369" s="3"/>
      <c r="AP369">
        <v>0</v>
      </c>
      <c r="AR369" t="s">
        <v>1</v>
      </c>
      <c r="AT369" s="2">
        <v>1.431</v>
      </c>
      <c r="AU369" s="1">
        <f t="shared" si="51"/>
        <v>0.7049049163733706</v>
      </c>
      <c r="AV369" s="1">
        <f t="shared" si="52"/>
        <v>0.51459931983764617</v>
      </c>
      <c r="AW369" s="1">
        <f t="shared" si="53"/>
        <v>0.32429372330192174</v>
      </c>
    </row>
    <row r="370" spans="1:49" x14ac:dyDescent="0.2">
      <c r="A370">
        <v>368</v>
      </c>
      <c r="B370" t="s">
        <v>3876</v>
      </c>
      <c r="C370" t="s">
        <v>3875</v>
      </c>
      <c r="F370" t="s">
        <v>3874</v>
      </c>
      <c r="G370" t="s">
        <v>15</v>
      </c>
      <c r="H370" t="s">
        <v>14</v>
      </c>
      <c r="I370" t="s">
        <v>3873</v>
      </c>
      <c r="J370" t="s">
        <v>2888</v>
      </c>
      <c r="K370" t="s">
        <v>2887</v>
      </c>
      <c r="L370" t="s">
        <v>2886</v>
      </c>
      <c r="M370" t="s">
        <v>91</v>
      </c>
      <c r="N370">
        <v>3</v>
      </c>
      <c r="O370" t="s">
        <v>3872</v>
      </c>
      <c r="P370" t="s">
        <v>3871</v>
      </c>
      <c r="Q370" t="s">
        <v>3870</v>
      </c>
      <c r="R370" s="7">
        <v>30317</v>
      </c>
      <c r="S370" s="8">
        <f t="shared" si="48"/>
        <v>1983</v>
      </c>
      <c r="T370" s="8">
        <v>1983</v>
      </c>
      <c r="U370" s="8">
        <f t="shared" si="49"/>
        <v>39</v>
      </c>
      <c r="V370" s="7">
        <v>30498</v>
      </c>
      <c r="W370" t="s">
        <v>1687</v>
      </c>
      <c r="X370" s="2">
        <v>1.3720000000000001</v>
      </c>
      <c r="Y370" s="6">
        <f t="shared" si="46"/>
        <v>3.662475641333654E-2</v>
      </c>
      <c r="AA370">
        <v>189480</v>
      </c>
      <c r="AB370">
        <v>17366</v>
      </c>
      <c r="AC370">
        <v>15579670</v>
      </c>
      <c r="AD370" t="s">
        <v>5</v>
      </c>
      <c r="AE370">
        <v>31</v>
      </c>
      <c r="AF370">
        <v>7</v>
      </c>
      <c r="AH370" t="s">
        <v>3869</v>
      </c>
      <c r="AI370" t="s">
        <v>3868</v>
      </c>
      <c r="AK370" t="s">
        <v>3867</v>
      </c>
      <c r="AL370">
        <v>177</v>
      </c>
      <c r="AM370" s="5">
        <f t="shared" si="50"/>
        <v>4.5384615384615383</v>
      </c>
      <c r="AN370" s="4">
        <f t="shared" si="47"/>
        <v>6.8738531442052832E-3</v>
      </c>
      <c r="AO370" s="3"/>
      <c r="AP370">
        <v>0</v>
      </c>
      <c r="AR370" t="s">
        <v>1</v>
      </c>
      <c r="AT370" s="2" t="s">
        <v>0</v>
      </c>
      <c r="AU370" s="1">
        <f t="shared" si="51"/>
        <v>2.7699485432597162</v>
      </c>
      <c r="AV370" s="1">
        <f t="shared" si="52"/>
        <v>2.1749304778770915</v>
      </c>
      <c r="AW370" s="1">
        <f t="shared" si="53"/>
        <v>1.5799124124944659</v>
      </c>
    </row>
    <row r="371" spans="1:49" x14ac:dyDescent="0.2">
      <c r="A371">
        <v>369</v>
      </c>
      <c r="B371" t="s">
        <v>3866</v>
      </c>
      <c r="F371" t="s">
        <v>3865</v>
      </c>
      <c r="G371" t="s">
        <v>15</v>
      </c>
      <c r="H371" t="s">
        <v>14</v>
      </c>
      <c r="I371" t="s">
        <v>3864</v>
      </c>
      <c r="N371">
        <v>2</v>
      </c>
      <c r="O371" t="s">
        <v>3863</v>
      </c>
      <c r="P371" t="s">
        <v>3862</v>
      </c>
      <c r="Q371" t="s">
        <v>342</v>
      </c>
      <c r="R371" s="7">
        <v>30317</v>
      </c>
      <c r="S371" s="8">
        <f t="shared" si="48"/>
        <v>1983</v>
      </c>
      <c r="T371" s="8">
        <v>1983</v>
      </c>
      <c r="U371" s="8">
        <f t="shared" si="49"/>
        <v>39</v>
      </c>
      <c r="V371" s="7" t="s">
        <v>3597</v>
      </c>
      <c r="W371" t="s">
        <v>584</v>
      </c>
      <c r="X371" s="2" t="s">
        <v>0</v>
      </c>
      <c r="Y371" s="6" t="e">
        <f t="shared" si="46"/>
        <v>#VALUE!</v>
      </c>
      <c r="AA371">
        <v>4248368</v>
      </c>
      <c r="AB371">
        <v>31213</v>
      </c>
      <c r="AD371" t="s">
        <v>5</v>
      </c>
      <c r="AE371">
        <v>65</v>
      </c>
      <c r="AF371">
        <v>7</v>
      </c>
      <c r="AH371" t="s">
        <v>3861</v>
      </c>
      <c r="AI371" t="s">
        <v>3860</v>
      </c>
      <c r="AK371" t="s">
        <v>3859</v>
      </c>
      <c r="AL371">
        <v>0</v>
      </c>
      <c r="AM371" s="5">
        <f t="shared" si="50"/>
        <v>0</v>
      </c>
      <c r="AN371" s="4">
        <f t="shared" si="47"/>
        <v>0</v>
      </c>
      <c r="AO371" s="3"/>
      <c r="AP371">
        <v>0</v>
      </c>
      <c r="AR371" t="s">
        <v>1</v>
      </c>
      <c r="AT371" s="2" t="s">
        <v>0</v>
      </c>
      <c r="AU371" s="1" t="e">
        <f t="shared" si="51"/>
        <v>#VALUE!</v>
      </c>
      <c r="AV371" s="1" t="e">
        <f t="shared" si="52"/>
        <v>#VALUE!</v>
      </c>
      <c r="AW371" s="1" t="e">
        <f t="shared" si="53"/>
        <v>#VALUE!</v>
      </c>
    </row>
    <row r="372" spans="1:49" x14ac:dyDescent="0.2">
      <c r="A372">
        <v>370</v>
      </c>
      <c r="B372" t="s">
        <v>3858</v>
      </c>
      <c r="C372" t="s">
        <v>3857</v>
      </c>
      <c r="F372" t="s">
        <v>3856</v>
      </c>
      <c r="G372" t="s">
        <v>15</v>
      </c>
      <c r="H372" t="s">
        <v>14</v>
      </c>
      <c r="I372" t="s">
        <v>3855</v>
      </c>
      <c r="N372">
        <v>2</v>
      </c>
      <c r="O372" t="s">
        <v>3854</v>
      </c>
      <c r="P372" t="s">
        <v>3853</v>
      </c>
      <c r="Q372" t="s">
        <v>342</v>
      </c>
      <c r="R372" s="7">
        <v>30317</v>
      </c>
      <c r="S372" s="8">
        <f t="shared" si="48"/>
        <v>1983</v>
      </c>
      <c r="T372" s="8">
        <v>1983</v>
      </c>
      <c r="U372" s="8">
        <f t="shared" si="49"/>
        <v>39</v>
      </c>
      <c r="V372" s="7" t="s">
        <v>3831</v>
      </c>
      <c r="W372" t="s">
        <v>508</v>
      </c>
      <c r="X372" s="2">
        <v>0.371</v>
      </c>
      <c r="Y372" s="6">
        <f t="shared" si="46"/>
        <v>9.9036331117695747E-3</v>
      </c>
      <c r="AA372">
        <v>486604</v>
      </c>
      <c r="AB372">
        <v>28580</v>
      </c>
      <c r="AC372" t="s">
        <v>507</v>
      </c>
      <c r="AD372" t="s">
        <v>5</v>
      </c>
      <c r="AE372">
        <v>18</v>
      </c>
      <c r="AF372">
        <v>4</v>
      </c>
      <c r="AH372" t="s">
        <v>3852</v>
      </c>
      <c r="AI372" t="s">
        <v>3851</v>
      </c>
      <c r="AK372" t="s">
        <v>3850</v>
      </c>
      <c r="AL372">
        <v>12</v>
      </c>
      <c r="AM372" s="5">
        <f t="shared" si="50"/>
        <v>0.30769230769230771</v>
      </c>
      <c r="AN372" s="4">
        <f t="shared" si="47"/>
        <v>4.6602394198001925E-4</v>
      </c>
      <c r="AO372" s="3"/>
      <c r="AP372">
        <v>0</v>
      </c>
      <c r="AR372" t="s">
        <v>1</v>
      </c>
      <c r="AT372" s="2">
        <v>1.431</v>
      </c>
      <c r="AU372" s="1">
        <f t="shared" si="51"/>
        <v>0.70723503608327076</v>
      </c>
      <c r="AV372" s="1">
        <f t="shared" si="52"/>
        <v>0.51848285268747973</v>
      </c>
      <c r="AW372" s="1">
        <f t="shared" si="53"/>
        <v>0.32973066929168859</v>
      </c>
    </row>
    <row r="373" spans="1:49" x14ac:dyDescent="0.2">
      <c r="A373">
        <v>371</v>
      </c>
      <c r="B373" t="s">
        <v>3849</v>
      </c>
      <c r="C373" t="s">
        <v>3848</v>
      </c>
      <c r="F373" t="s">
        <v>3847</v>
      </c>
      <c r="G373" t="s">
        <v>15</v>
      </c>
      <c r="H373" t="s">
        <v>14</v>
      </c>
      <c r="I373" t="s">
        <v>1776</v>
      </c>
      <c r="J373" t="s">
        <v>3846</v>
      </c>
      <c r="K373" t="s">
        <v>3845</v>
      </c>
      <c r="L373" t="s">
        <v>3844</v>
      </c>
      <c r="M373" t="s">
        <v>91</v>
      </c>
      <c r="N373">
        <v>3</v>
      </c>
      <c r="O373" t="s">
        <v>3843</v>
      </c>
      <c r="P373" t="s">
        <v>3842</v>
      </c>
      <c r="Q373" t="s">
        <v>3841</v>
      </c>
      <c r="R373" s="7">
        <v>30317</v>
      </c>
      <c r="S373" s="8">
        <f t="shared" si="48"/>
        <v>1983</v>
      </c>
      <c r="T373" s="8">
        <v>1983</v>
      </c>
      <c r="U373" s="8">
        <f t="shared" si="49"/>
        <v>39</v>
      </c>
      <c r="V373" s="7">
        <v>30498</v>
      </c>
      <c r="W373" t="s">
        <v>1687</v>
      </c>
      <c r="X373" s="2">
        <v>1.3720000000000001</v>
      </c>
      <c r="Y373" s="6">
        <f t="shared" si="46"/>
        <v>3.662475641333654E-2</v>
      </c>
      <c r="AA373">
        <v>189480</v>
      </c>
      <c r="AB373">
        <v>17366</v>
      </c>
      <c r="AC373">
        <v>15579670</v>
      </c>
      <c r="AD373" t="s">
        <v>5</v>
      </c>
      <c r="AE373">
        <v>31</v>
      </c>
      <c r="AF373">
        <v>7</v>
      </c>
      <c r="AH373" t="s">
        <v>3840</v>
      </c>
      <c r="AI373" t="s">
        <v>3839</v>
      </c>
      <c r="AK373" t="s">
        <v>3838</v>
      </c>
      <c r="AL373">
        <v>158</v>
      </c>
      <c r="AM373" s="5">
        <f t="shared" si="50"/>
        <v>4.0512820512820511</v>
      </c>
      <c r="AN373" s="4">
        <f t="shared" si="47"/>
        <v>6.1359819027369195E-3</v>
      </c>
      <c r="AO373" s="3"/>
      <c r="AP373">
        <v>0</v>
      </c>
      <c r="AR373" t="s">
        <v>1</v>
      </c>
      <c r="AT373" s="2" t="s">
        <v>0</v>
      </c>
      <c r="AU373" s="1">
        <f t="shared" si="51"/>
        <v>2.7478124060156652</v>
      </c>
      <c r="AV373" s="1">
        <f t="shared" si="52"/>
        <v>2.1380369158036729</v>
      </c>
      <c r="AW373" s="1">
        <f t="shared" si="53"/>
        <v>1.5282614255916804</v>
      </c>
    </row>
    <row r="374" spans="1:49" x14ac:dyDescent="0.2">
      <c r="A374">
        <v>372</v>
      </c>
      <c r="B374" t="s">
        <v>3837</v>
      </c>
      <c r="C374" t="s">
        <v>3836</v>
      </c>
      <c r="F374" t="s">
        <v>3835</v>
      </c>
      <c r="G374" t="s">
        <v>15</v>
      </c>
      <c r="H374" t="s">
        <v>14</v>
      </c>
      <c r="I374" t="s">
        <v>3834</v>
      </c>
      <c r="N374">
        <v>3</v>
      </c>
      <c r="O374" t="s">
        <v>3833</v>
      </c>
      <c r="P374" t="s">
        <v>3832</v>
      </c>
      <c r="Q374" t="s">
        <v>510</v>
      </c>
      <c r="R374" s="7">
        <v>30317</v>
      </c>
      <c r="S374" s="8">
        <f t="shared" si="48"/>
        <v>1983</v>
      </c>
      <c r="T374" s="8">
        <v>1983</v>
      </c>
      <c r="U374" s="8">
        <f t="shared" si="49"/>
        <v>39</v>
      </c>
      <c r="V374" s="7" t="s">
        <v>3831</v>
      </c>
      <c r="W374" t="s">
        <v>508</v>
      </c>
      <c r="X374" s="2">
        <v>0.371</v>
      </c>
      <c r="Y374" s="6">
        <f t="shared" si="46"/>
        <v>9.9036331117695747E-3</v>
      </c>
      <c r="AA374">
        <v>486604</v>
      </c>
      <c r="AB374">
        <v>28580</v>
      </c>
      <c r="AC374" t="s">
        <v>507</v>
      </c>
      <c r="AD374" t="s">
        <v>5</v>
      </c>
      <c r="AE374">
        <v>18</v>
      </c>
      <c r="AF374">
        <v>4</v>
      </c>
      <c r="AH374" t="s">
        <v>3830</v>
      </c>
      <c r="AI374" t="s">
        <v>3829</v>
      </c>
      <c r="AK374" t="s">
        <v>3828</v>
      </c>
      <c r="AL374">
        <v>8</v>
      </c>
      <c r="AM374" s="5">
        <f t="shared" si="50"/>
        <v>0.20512820512820512</v>
      </c>
      <c r="AN374" s="4">
        <f t="shared" si="47"/>
        <v>3.1068262798667948E-4</v>
      </c>
      <c r="AO374" s="3"/>
      <c r="AP374">
        <v>0</v>
      </c>
      <c r="AR374" t="s">
        <v>1</v>
      </c>
      <c r="AT374" s="2">
        <v>1.431</v>
      </c>
      <c r="AU374" s="1">
        <f t="shared" si="51"/>
        <v>0.70257479666347056</v>
      </c>
      <c r="AV374" s="1">
        <f t="shared" si="52"/>
        <v>0.51071578698781273</v>
      </c>
      <c r="AW374" s="1">
        <f t="shared" si="53"/>
        <v>0.31885677731215484</v>
      </c>
    </row>
    <row r="375" spans="1:49" x14ac:dyDescent="0.2">
      <c r="A375">
        <v>373</v>
      </c>
      <c r="B375" t="s">
        <v>3827</v>
      </c>
      <c r="F375" t="s">
        <v>3826</v>
      </c>
      <c r="G375" t="s">
        <v>15</v>
      </c>
      <c r="H375" t="s">
        <v>14</v>
      </c>
      <c r="I375" t="s">
        <v>3825</v>
      </c>
      <c r="N375">
        <v>4</v>
      </c>
      <c r="O375" t="s">
        <v>3824</v>
      </c>
      <c r="P375" t="s">
        <v>3823</v>
      </c>
      <c r="Q375" t="s">
        <v>575</v>
      </c>
      <c r="R375" s="7">
        <v>30317</v>
      </c>
      <c r="S375" s="8">
        <f t="shared" si="48"/>
        <v>1983</v>
      </c>
      <c r="T375" s="8">
        <v>1983</v>
      </c>
      <c r="U375" s="8">
        <f t="shared" si="49"/>
        <v>39</v>
      </c>
      <c r="V375" s="7" t="s">
        <v>3597</v>
      </c>
      <c r="W375" t="s">
        <v>3822</v>
      </c>
      <c r="X375" s="2">
        <v>0.10100000000000001</v>
      </c>
      <c r="Y375" s="6">
        <f t="shared" si="46"/>
        <v>2.6961373161421215E-3</v>
      </c>
      <c r="AA375">
        <v>7452883</v>
      </c>
      <c r="AB375">
        <v>18563</v>
      </c>
      <c r="AD375" t="s">
        <v>5</v>
      </c>
      <c r="AE375">
        <v>22</v>
      </c>
      <c r="AF375">
        <v>7</v>
      </c>
      <c r="AH375" t="s">
        <v>3821</v>
      </c>
      <c r="AI375" t="s">
        <v>3820</v>
      </c>
      <c r="AK375" t="s">
        <v>3819</v>
      </c>
      <c r="AL375">
        <v>0</v>
      </c>
      <c r="AM375" s="5">
        <f t="shared" si="50"/>
        <v>0</v>
      </c>
      <c r="AN375" s="4">
        <f t="shared" si="47"/>
        <v>0</v>
      </c>
      <c r="AO375" s="3"/>
      <c r="AP375">
        <v>0</v>
      </c>
      <c r="AR375" t="s">
        <v>1</v>
      </c>
      <c r="AT375" s="2" t="s">
        <v>0</v>
      </c>
      <c r="AU375" s="1">
        <f t="shared" si="51"/>
        <v>0.18872961212994849</v>
      </c>
      <c r="AV375" s="1">
        <f t="shared" si="52"/>
        <v>0.13480686580710607</v>
      </c>
      <c r="AW375" s="1">
        <f t="shared" si="53"/>
        <v>8.0884119484263647E-2</v>
      </c>
    </row>
    <row r="376" spans="1:49" x14ac:dyDescent="0.2">
      <c r="A376">
        <v>374</v>
      </c>
      <c r="B376" t="s">
        <v>3818</v>
      </c>
      <c r="F376" t="s">
        <v>3817</v>
      </c>
      <c r="G376" t="s">
        <v>15</v>
      </c>
      <c r="H376" t="s">
        <v>14</v>
      </c>
      <c r="I376" t="s">
        <v>3816</v>
      </c>
      <c r="N376">
        <v>1</v>
      </c>
      <c r="O376" t="s">
        <v>3815</v>
      </c>
      <c r="P376">
        <v>7201590218</v>
      </c>
      <c r="R376" s="7">
        <v>30317</v>
      </c>
      <c r="S376" s="8">
        <f t="shared" si="48"/>
        <v>1983</v>
      </c>
      <c r="T376" s="8">
        <v>1983</v>
      </c>
      <c r="U376" s="8">
        <f t="shared" si="49"/>
        <v>39</v>
      </c>
      <c r="V376" s="7">
        <v>46935</v>
      </c>
      <c r="W376" t="s">
        <v>3814</v>
      </c>
      <c r="X376" s="2">
        <v>0.128</v>
      </c>
      <c r="Y376" s="6">
        <f t="shared" si="46"/>
        <v>3.4168868957048667E-3</v>
      </c>
      <c r="AA376">
        <v>135070</v>
      </c>
      <c r="AB376">
        <v>24889</v>
      </c>
      <c r="AD376" t="s">
        <v>5</v>
      </c>
      <c r="AE376">
        <v>56</v>
      </c>
      <c r="AF376">
        <v>15</v>
      </c>
      <c r="AH376" t="s">
        <v>3813</v>
      </c>
      <c r="AI376" t="s">
        <v>3812</v>
      </c>
      <c r="AK376" t="s">
        <v>3811</v>
      </c>
      <c r="AL376">
        <v>0</v>
      </c>
      <c r="AM376" s="5">
        <f t="shared" si="50"/>
        <v>0</v>
      </c>
      <c r="AN376" s="4">
        <f t="shared" si="47"/>
        <v>0</v>
      </c>
      <c r="AO376" s="3"/>
      <c r="AP376">
        <v>0</v>
      </c>
      <c r="AR376" t="s">
        <v>1</v>
      </c>
      <c r="AT376" s="2">
        <v>2.3969999999999998</v>
      </c>
      <c r="AU376" s="1">
        <f t="shared" si="51"/>
        <v>0.23918208269934066</v>
      </c>
      <c r="AV376" s="1">
        <f t="shared" si="52"/>
        <v>0.17084434478524332</v>
      </c>
      <c r="AW376" s="1">
        <f t="shared" si="53"/>
        <v>0.10250660687114599</v>
      </c>
    </row>
    <row r="377" spans="1:49" x14ac:dyDescent="0.2">
      <c r="A377">
        <v>375</v>
      </c>
      <c r="B377" t="s">
        <v>3810</v>
      </c>
      <c r="C377" t="s">
        <v>3809</v>
      </c>
      <c r="F377" t="s">
        <v>3808</v>
      </c>
      <c r="G377" t="s">
        <v>15</v>
      </c>
      <c r="H377" t="s">
        <v>14</v>
      </c>
      <c r="I377" t="s">
        <v>2468</v>
      </c>
      <c r="N377">
        <v>1</v>
      </c>
      <c r="O377" t="s">
        <v>2467</v>
      </c>
      <c r="P377">
        <v>6701399240</v>
      </c>
      <c r="R377" s="7">
        <v>30317</v>
      </c>
      <c r="S377" s="8">
        <f t="shared" si="48"/>
        <v>1983</v>
      </c>
      <c r="T377" s="8">
        <v>1983</v>
      </c>
      <c r="U377" s="8">
        <f t="shared" si="49"/>
        <v>39</v>
      </c>
      <c r="V377" s="7">
        <v>30498</v>
      </c>
      <c r="W377" t="s">
        <v>2466</v>
      </c>
      <c r="X377" s="2">
        <v>0.61899999999999999</v>
      </c>
      <c r="Y377" s="6">
        <f t="shared" si="46"/>
        <v>1.6523851472197752E-2</v>
      </c>
      <c r="AA377">
        <v>14966</v>
      </c>
      <c r="AB377">
        <v>12936</v>
      </c>
      <c r="AD377" t="s">
        <v>5</v>
      </c>
      <c r="AE377">
        <v>74</v>
      </c>
      <c r="AF377">
        <v>1</v>
      </c>
      <c r="AH377" t="s">
        <v>3807</v>
      </c>
      <c r="AI377" t="s">
        <v>3806</v>
      </c>
      <c r="AK377" t="s">
        <v>3805</v>
      </c>
      <c r="AL377">
        <v>67</v>
      </c>
      <c r="AM377" s="5">
        <f t="shared" si="50"/>
        <v>1.7179487179487178</v>
      </c>
      <c r="AN377" s="4">
        <f t="shared" si="47"/>
        <v>2.6019670093884407E-3</v>
      </c>
      <c r="AO377" s="3"/>
      <c r="AP377">
        <v>0</v>
      </c>
      <c r="AR377" t="s">
        <v>1</v>
      </c>
      <c r="AT377" s="2" t="s">
        <v>0</v>
      </c>
      <c r="AU377" s="1">
        <f t="shared" si="51"/>
        <v>1.2347286133354958</v>
      </c>
      <c r="AV377" s="1">
        <f t="shared" si="52"/>
        <v>0.95629092407930971</v>
      </c>
      <c r="AW377" s="1">
        <f t="shared" si="53"/>
        <v>0.67785323482312343</v>
      </c>
    </row>
    <row r="378" spans="1:49" x14ac:dyDescent="0.2">
      <c r="A378">
        <v>376</v>
      </c>
      <c r="B378" t="s">
        <v>3804</v>
      </c>
      <c r="C378" t="s">
        <v>3803</v>
      </c>
      <c r="F378" t="s">
        <v>3802</v>
      </c>
      <c r="G378" t="s">
        <v>15</v>
      </c>
      <c r="H378" t="s">
        <v>14</v>
      </c>
      <c r="I378" t="s">
        <v>1787</v>
      </c>
      <c r="J378">
        <v>60014313</v>
      </c>
      <c r="K378" t="s">
        <v>1786</v>
      </c>
      <c r="L378" t="s">
        <v>1785</v>
      </c>
      <c r="M378" t="s">
        <v>10</v>
      </c>
      <c r="N378">
        <v>3</v>
      </c>
      <c r="O378" t="s">
        <v>3801</v>
      </c>
      <c r="P378" t="s">
        <v>3800</v>
      </c>
      <c r="Q378" t="s">
        <v>3799</v>
      </c>
      <c r="R378" s="7">
        <v>30317</v>
      </c>
      <c r="S378" s="8">
        <f t="shared" si="48"/>
        <v>1983</v>
      </c>
      <c r="T378" s="8">
        <v>1983</v>
      </c>
      <c r="U378" s="8">
        <f t="shared" si="49"/>
        <v>39</v>
      </c>
      <c r="V378" s="7">
        <v>30498</v>
      </c>
      <c r="W378" t="s">
        <v>618</v>
      </c>
      <c r="X378" s="2">
        <v>1.6519999999999999</v>
      </c>
      <c r="Y378" s="6">
        <f t="shared" si="46"/>
        <v>4.409919649769093E-2</v>
      </c>
      <c r="AA378" t="s">
        <v>617</v>
      </c>
      <c r="AB378">
        <v>17337</v>
      </c>
      <c r="AC378">
        <v>15582221</v>
      </c>
      <c r="AD378" t="s">
        <v>5</v>
      </c>
      <c r="AE378">
        <v>31</v>
      </c>
      <c r="AF378">
        <v>4</v>
      </c>
      <c r="AH378" t="s">
        <v>3798</v>
      </c>
      <c r="AI378" t="s">
        <v>3797</v>
      </c>
      <c r="AK378" t="s">
        <v>3796</v>
      </c>
      <c r="AL378">
        <v>34</v>
      </c>
      <c r="AM378" s="5">
        <f t="shared" si="50"/>
        <v>0.87179487179487181</v>
      </c>
      <c r="AN378" s="4">
        <f t="shared" si="47"/>
        <v>1.3204011689433878E-3</v>
      </c>
      <c r="AO378" s="3"/>
      <c r="AP378">
        <v>0</v>
      </c>
      <c r="AR378" t="s">
        <v>1</v>
      </c>
      <c r="AT378" s="2" t="s">
        <v>0</v>
      </c>
      <c r="AU378" s="1">
        <f t="shared" si="51"/>
        <v>3.1265557899066669</v>
      </c>
      <c r="AV378" s="1">
        <f t="shared" si="52"/>
        <v>2.2709798833317159</v>
      </c>
      <c r="AW378" s="1">
        <f t="shared" si="53"/>
        <v>1.415403976756765</v>
      </c>
    </row>
    <row r="379" spans="1:49" x14ac:dyDescent="0.2">
      <c r="A379">
        <v>377</v>
      </c>
      <c r="B379" t="s">
        <v>3795</v>
      </c>
      <c r="C379" t="s">
        <v>3794</v>
      </c>
      <c r="F379" t="s">
        <v>3793</v>
      </c>
      <c r="G379" t="s">
        <v>15</v>
      </c>
      <c r="H379" t="s">
        <v>14</v>
      </c>
      <c r="I379" t="s">
        <v>3792</v>
      </c>
      <c r="J379">
        <v>60016074</v>
      </c>
      <c r="K379" t="s">
        <v>3791</v>
      </c>
      <c r="L379" t="s">
        <v>3790</v>
      </c>
      <c r="M379" t="s">
        <v>55</v>
      </c>
      <c r="N379">
        <v>3</v>
      </c>
      <c r="O379" t="s">
        <v>3789</v>
      </c>
      <c r="P379" t="s">
        <v>3788</v>
      </c>
      <c r="Q379" t="s">
        <v>3787</v>
      </c>
      <c r="R379" s="7">
        <v>30317</v>
      </c>
      <c r="S379" s="8">
        <f t="shared" si="48"/>
        <v>1983</v>
      </c>
      <c r="T379" s="8">
        <v>1983</v>
      </c>
      <c r="U379" s="8">
        <f t="shared" si="49"/>
        <v>39</v>
      </c>
      <c r="V379" s="7">
        <v>1983</v>
      </c>
      <c r="W379" t="s">
        <v>227</v>
      </c>
      <c r="X379" s="2">
        <v>0.111</v>
      </c>
      <c r="Y379" s="6">
        <f t="shared" si="46"/>
        <v>2.9630816048690639E-3</v>
      </c>
      <c r="AA379">
        <v>87566621</v>
      </c>
      <c r="AB379">
        <v>24890</v>
      </c>
      <c r="AC379">
        <v>15206424</v>
      </c>
      <c r="AD379" t="s">
        <v>5</v>
      </c>
      <c r="AE379">
        <v>66</v>
      </c>
      <c r="AF379">
        <v>7</v>
      </c>
      <c r="AH379" t="s">
        <v>3786</v>
      </c>
      <c r="AI379" t="s">
        <v>3785</v>
      </c>
      <c r="AK379" t="s">
        <v>3784</v>
      </c>
      <c r="AL379">
        <v>2</v>
      </c>
      <c r="AM379" s="5">
        <f t="shared" si="50"/>
        <v>5.128205128205128E-2</v>
      </c>
      <c r="AN379" s="4">
        <f t="shared" si="47"/>
        <v>7.767065699666987E-5</v>
      </c>
      <c r="AO379" s="3"/>
      <c r="AP379">
        <v>0</v>
      </c>
      <c r="AR379" t="s">
        <v>1</v>
      </c>
      <c r="AT379" s="2" t="s">
        <v>0</v>
      </c>
      <c r="AU379" s="1">
        <f t="shared" si="51"/>
        <v>0.20974583205073455</v>
      </c>
      <c r="AV379" s="1">
        <f t="shared" si="52"/>
        <v>0.1520376130932867</v>
      </c>
      <c r="AW379" s="1">
        <f t="shared" si="53"/>
        <v>9.4329394135838796E-2</v>
      </c>
    </row>
    <row r="380" spans="1:49" x14ac:dyDescent="0.2">
      <c r="A380">
        <v>378</v>
      </c>
      <c r="B380" t="s">
        <v>3783</v>
      </c>
      <c r="F380" t="s">
        <v>3782</v>
      </c>
      <c r="G380" t="s">
        <v>15</v>
      </c>
      <c r="H380" t="s">
        <v>14</v>
      </c>
      <c r="I380" t="s">
        <v>3781</v>
      </c>
      <c r="N380">
        <v>3</v>
      </c>
      <c r="O380" t="s">
        <v>3780</v>
      </c>
      <c r="P380" t="s">
        <v>3779</v>
      </c>
      <c r="Q380" t="s">
        <v>510</v>
      </c>
      <c r="R380" s="7">
        <v>30317</v>
      </c>
      <c r="S380" s="8">
        <f t="shared" si="48"/>
        <v>1983</v>
      </c>
      <c r="T380" s="8">
        <v>1983</v>
      </c>
      <c r="U380" s="8">
        <f t="shared" si="49"/>
        <v>39</v>
      </c>
      <c r="V380" s="7" t="s">
        <v>3597</v>
      </c>
      <c r="W380" t="s">
        <v>536</v>
      </c>
      <c r="X380" s="2">
        <v>0.14099999999999999</v>
      </c>
      <c r="Y380" s="6">
        <f t="shared" si="46"/>
        <v>3.7639144710498915E-3</v>
      </c>
      <c r="AA380">
        <v>402508</v>
      </c>
      <c r="AB380">
        <v>20868</v>
      </c>
      <c r="AD380" t="s">
        <v>5</v>
      </c>
      <c r="AE380" t="s">
        <v>535</v>
      </c>
      <c r="AF380">
        <v>7</v>
      </c>
      <c r="AH380" t="s">
        <v>3778</v>
      </c>
      <c r="AI380" t="s">
        <v>3777</v>
      </c>
      <c r="AK380" t="s">
        <v>3776</v>
      </c>
      <c r="AL380">
        <v>0</v>
      </c>
      <c r="AM380" s="5">
        <f t="shared" si="50"/>
        <v>0</v>
      </c>
      <c r="AN380" s="4">
        <f t="shared" si="47"/>
        <v>0</v>
      </c>
      <c r="AO380" s="3"/>
      <c r="AP380">
        <v>0</v>
      </c>
      <c r="AR380" t="s">
        <v>1</v>
      </c>
      <c r="AT380" s="2" t="s">
        <v>0</v>
      </c>
      <c r="AU380" s="1">
        <f t="shared" si="51"/>
        <v>0.26347401297349238</v>
      </c>
      <c r="AV380" s="1">
        <f t="shared" si="52"/>
        <v>0.18819572355249459</v>
      </c>
      <c r="AW380" s="1">
        <f t="shared" si="53"/>
        <v>0.11291743413149673</v>
      </c>
    </row>
    <row r="381" spans="1:49" x14ac:dyDescent="0.2">
      <c r="A381">
        <v>379</v>
      </c>
      <c r="B381" t="s">
        <v>3775</v>
      </c>
      <c r="F381" t="s">
        <v>3774</v>
      </c>
      <c r="G381" t="s">
        <v>15</v>
      </c>
      <c r="H381" t="s">
        <v>14</v>
      </c>
      <c r="I381" t="s">
        <v>3773</v>
      </c>
      <c r="N381">
        <v>1</v>
      </c>
      <c r="O381" t="s">
        <v>3772</v>
      </c>
      <c r="P381">
        <v>7102117634</v>
      </c>
      <c r="R381" s="7">
        <v>30317</v>
      </c>
      <c r="S381" s="8">
        <f t="shared" si="48"/>
        <v>1983</v>
      </c>
      <c r="T381" s="8">
        <v>1983</v>
      </c>
      <c r="U381" s="8">
        <f t="shared" si="49"/>
        <v>39</v>
      </c>
      <c r="V381" s="7" t="s">
        <v>3597</v>
      </c>
      <c r="W381" t="s">
        <v>1658</v>
      </c>
      <c r="X381" s="2" t="s">
        <v>0</v>
      </c>
      <c r="Y381" s="6" t="e">
        <f t="shared" si="46"/>
        <v>#VALUE!</v>
      </c>
      <c r="AB381">
        <v>34646</v>
      </c>
      <c r="AD381" t="s">
        <v>5</v>
      </c>
      <c r="AE381">
        <v>8</v>
      </c>
      <c r="AF381">
        <v>3</v>
      </c>
      <c r="AH381" s="9">
        <v>44442</v>
      </c>
      <c r="AI381" t="s">
        <v>3771</v>
      </c>
      <c r="AK381" t="s">
        <v>3770</v>
      </c>
      <c r="AL381">
        <v>0</v>
      </c>
      <c r="AM381" s="5">
        <f t="shared" si="50"/>
        <v>0</v>
      </c>
      <c r="AN381" s="4">
        <f t="shared" si="47"/>
        <v>0</v>
      </c>
      <c r="AO381" s="3"/>
      <c r="AP381">
        <v>0</v>
      </c>
      <c r="AR381" t="s">
        <v>1</v>
      </c>
      <c r="AT381" s="2" t="s">
        <v>0</v>
      </c>
      <c r="AU381" s="1" t="e">
        <f t="shared" si="51"/>
        <v>#VALUE!</v>
      </c>
      <c r="AV381" s="1" t="e">
        <f t="shared" si="52"/>
        <v>#VALUE!</v>
      </c>
      <c r="AW381" s="1" t="e">
        <f t="shared" si="53"/>
        <v>#VALUE!</v>
      </c>
    </row>
    <row r="382" spans="1:49" x14ac:dyDescent="0.2">
      <c r="A382">
        <v>380</v>
      </c>
      <c r="B382" t="s">
        <v>3769</v>
      </c>
      <c r="F382" t="s">
        <v>3768</v>
      </c>
      <c r="G382" t="s">
        <v>15</v>
      </c>
      <c r="H382" t="s">
        <v>14</v>
      </c>
      <c r="I382" t="s">
        <v>3767</v>
      </c>
      <c r="N382">
        <v>1</v>
      </c>
      <c r="O382" t="s">
        <v>3766</v>
      </c>
      <c r="P382">
        <v>7402583836</v>
      </c>
      <c r="R382" s="7">
        <v>30317</v>
      </c>
      <c r="S382" s="8">
        <f t="shared" si="48"/>
        <v>1983</v>
      </c>
      <c r="T382" s="8">
        <v>1983</v>
      </c>
      <c r="U382" s="8">
        <f t="shared" si="49"/>
        <v>39</v>
      </c>
      <c r="V382" s="7" t="s">
        <v>3597</v>
      </c>
      <c r="W382" t="s">
        <v>3765</v>
      </c>
      <c r="X382" s="2" t="s">
        <v>0</v>
      </c>
      <c r="Y382" s="6" t="e">
        <f t="shared" si="46"/>
        <v>#VALUE!</v>
      </c>
      <c r="AA382">
        <v>214744</v>
      </c>
      <c r="AB382">
        <v>32584</v>
      </c>
      <c r="AD382" t="s">
        <v>5</v>
      </c>
      <c r="AE382">
        <v>25</v>
      </c>
      <c r="AF382">
        <v>3</v>
      </c>
      <c r="AH382" t="s">
        <v>3764</v>
      </c>
      <c r="AI382" t="s">
        <v>3763</v>
      </c>
      <c r="AK382" t="s">
        <v>3762</v>
      </c>
      <c r="AL382">
        <v>0</v>
      </c>
      <c r="AM382" s="5">
        <f t="shared" si="50"/>
        <v>0</v>
      </c>
      <c r="AN382" s="4">
        <f t="shared" si="47"/>
        <v>0</v>
      </c>
      <c r="AO382" s="3"/>
      <c r="AP382">
        <v>0</v>
      </c>
      <c r="AR382" t="s">
        <v>1</v>
      </c>
      <c r="AT382" s="2" t="s">
        <v>0</v>
      </c>
      <c r="AU382" s="1" t="e">
        <f t="shared" si="51"/>
        <v>#VALUE!</v>
      </c>
      <c r="AV382" s="1" t="e">
        <f t="shared" si="52"/>
        <v>#VALUE!</v>
      </c>
      <c r="AW382" s="1" t="e">
        <f t="shared" si="53"/>
        <v>#VALUE!</v>
      </c>
    </row>
    <row r="383" spans="1:49" x14ac:dyDescent="0.2">
      <c r="A383">
        <v>381</v>
      </c>
      <c r="B383" t="s">
        <v>3761</v>
      </c>
      <c r="F383" t="s">
        <v>3760</v>
      </c>
      <c r="G383" t="s">
        <v>15</v>
      </c>
      <c r="H383" t="s">
        <v>14</v>
      </c>
      <c r="I383" t="s">
        <v>3759</v>
      </c>
      <c r="N383">
        <v>6</v>
      </c>
      <c r="O383" t="s">
        <v>3758</v>
      </c>
      <c r="P383" t="s">
        <v>3757</v>
      </c>
      <c r="Q383" t="s">
        <v>332</v>
      </c>
      <c r="R383" s="7">
        <v>30317</v>
      </c>
      <c r="S383" s="8">
        <f t="shared" si="48"/>
        <v>1983</v>
      </c>
      <c r="T383" s="8">
        <v>1983</v>
      </c>
      <c r="U383" s="8">
        <f t="shared" si="49"/>
        <v>39</v>
      </c>
      <c r="V383" s="7" t="s">
        <v>3756</v>
      </c>
      <c r="W383" t="s">
        <v>3755</v>
      </c>
      <c r="X383" s="2">
        <v>0.69799999999999995</v>
      </c>
      <c r="Y383" s="6">
        <f t="shared" si="46"/>
        <v>1.86327113531406E-2</v>
      </c>
      <c r="AA383">
        <v>219142</v>
      </c>
      <c r="AB383">
        <v>29585</v>
      </c>
      <c r="AD383" t="s">
        <v>5</v>
      </c>
      <c r="AE383">
        <v>31</v>
      </c>
      <c r="AF383">
        <v>3</v>
      </c>
      <c r="AH383" t="s">
        <v>3754</v>
      </c>
      <c r="AI383" t="s">
        <v>3753</v>
      </c>
      <c r="AK383" t="s">
        <v>3752</v>
      </c>
      <c r="AL383">
        <v>7</v>
      </c>
      <c r="AM383" s="5">
        <f t="shared" si="50"/>
        <v>0.17948717948717949</v>
      </c>
      <c r="AN383" s="4">
        <f t="shared" si="47"/>
        <v>2.7184729948834453E-4</v>
      </c>
      <c r="AO383" s="3"/>
      <c r="AP383">
        <v>0</v>
      </c>
      <c r="AR383" t="s">
        <v>1</v>
      </c>
      <c r="AT383" s="2">
        <v>1.5309999999999999</v>
      </c>
      <c r="AU383" s="1">
        <f t="shared" si="51"/>
        <v>1.3124452137044924</v>
      </c>
      <c r="AV383" s="1">
        <f t="shared" si="52"/>
        <v>0.94522793263144733</v>
      </c>
      <c r="AW383" s="1">
        <f t="shared" si="53"/>
        <v>0.57801065155840214</v>
      </c>
    </row>
    <row r="384" spans="1:49" x14ac:dyDescent="0.2">
      <c r="A384">
        <v>382</v>
      </c>
      <c r="B384" t="s">
        <v>3751</v>
      </c>
      <c r="C384" t="s">
        <v>3750</v>
      </c>
      <c r="F384" t="s">
        <v>3749</v>
      </c>
      <c r="G384" t="s">
        <v>15</v>
      </c>
      <c r="H384" t="s">
        <v>14</v>
      </c>
      <c r="I384" t="s">
        <v>3748</v>
      </c>
      <c r="J384">
        <v>60011688</v>
      </c>
      <c r="K384" t="s">
        <v>3747</v>
      </c>
      <c r="L384" t="s">
        <v>3719</v>
      </c>
      <c r="M384" t="s">
        <v>10</v>
      </c>
      <c r="N384">
        <v>3</v>
      </c>
      <c r="O384" t="s">
        <v>3746</v>
      </c>
      <c r="P384" t="s">
        <v>3745</v>
      </c>
      <c r="Q384" t="s">
        <v>3744</v>
      </c>
      <c r="R384" s="7">
        <v>30317</v>
      </c>
      <c r="S384" s="8">
        <f t="shared" si="48"/>
        <v>1983</v>
      </c>
      <c r="T384" s="8">
        <v>1983</v>
      </c>
      <c r="U384" s="8">
        <f t="shared" si="49"/>
        <v>39</v>
      </c>
      <c r="V384" s="7">
        <v>30498</v>
      </c>
      <c r="W384" t="s">
        <v>618</v>
      </c>
      <c r="X384" s="2">
        <v>1.6519999999999999</v>
      </c>
      <c r="Y384" s="6">
        <f t="shared" si="46"/>
        <v>4.409919649769093E-2</v>
      </c>
      <c r="AA384" t="s">
        <v>617</v>
      </c>
      <c r="AB384">
        <v>17337</v>
      </c>
      <c r="AC384">
        <v>15582221</v>
      </c>
      <c r="AD384" t="s">
        <v>5</v>
      </c>
      <c r="AE384">
        <v>31</v>
      </c>
      <c r="AF384">
        <v>4</v>
      </c>
      <c r="AH384" t="s">
        <v>3743</v>
      </c>
      <c r="AI384" t="s">
        <v>3742</v>
      </c>
      <c r="AK384" t="s">
        <v>3741</v>
      </c>
      <c r="AL384">
        <v>4</v>
      </c>
      <c r="AM384" s="5">
        <f t="shared" si="50"/>
        <v>0.10256410256410256</v>
      </c>
      <c r="AN384" s="4">
        <f t="shared" si="47"/>
        <v>1.5534131399333974E-4</v>
      </c>
      <c r="AO384" s="3"/>
      <c r="AP384">
        <v>0</v>
      </c>
      <c r="AR384" t="s">
        <v>1</v>
      </c>
      <c r="AT384" s="2" t="s">
        <v>0</v>
      </c>
      <c r="AU384" s="1">
        <f t="shared" si="51"/>
        <v>3.0916039942581652</v>
      </c>
      <c r="AV384" s="1">
        <f t="shared" si="52"/>
        <v>2.2127268905842135</v>
      </c>
      <c r="AW384" s="1">
        <f t="shared" si="53"/>
        <v>1.3338497869102617</v>
      </c>
    </row>
    <row r="385" spans="1:49" x14ac:dyDescent="0.2">
      <c r="A385">
        <v>383</v>
      </c>
      <c r="B385" t="s">
        <v>3740</v>
      </c>
      <c r="C385" t="s">
        <v>3739</v>
      </c>
      <c r="F385" t="s">
        <v>3738</v>
      </c>
      <c r="G385" t="s">
        <v>15</v>
      </c>
      <c r="H385" t="s">
        <v>14</v>
      </c>
      <c r="I385" t="s">
        <v>2090</v>
      </c>
      <c r="J385">
        <v>60009037</v>
      </c>
      <c r="K385" t="s">
        <v>720</v>
      </c>
      <c r="L385" t="s">
        <v>719</v>
      </c>
      <c r="M385" t="s">
        <v>10</v>
      </c>
      <c r="N385">
        <v>1</v>
      </c>
      <c r="O385" t="s">
        <v>3737</v>
      </c>
      <c r="P385">
        <v>7408102852</v>
      </c>
      <c r="Q385">
        <v>60009037</v>
      </c>
      <c r="R385" s="7">
        <v>30317</v>
      </c>
      <c r="S385" s="8">
        <f t="shared" si="48"/>
        <v>1983</v>
      </c>
      <c r="T385" s="8">
        <v>1983</v>
      </c>
      <c r="U385" s="8">
        <f t="shared" si="49"/>
        <v>39</v>
      </c>
      <c r="V385" s="7">
        <v>30498</v>
      </c>
      <c r="W385" t="s">
        <v>618</v>
      </c>
      <c r="X385" s="2">
        <v>1.6519999999999999</v>
      </c>
      <c r="Y385" s="6">
        <f t="shared" si="46"/>
        <v>4.409919649769093E-2</v>
      </c>
      <c r="AA385" t="s">
        <v>617</v>
      </c>
      <c r="AB385">
        <v>17337</v>
      </c>
      <c r="AC385">
        <v>15582221</v>
      </c>
      <c r="AD385" t="s">
        <v>5</v>
      </c>
      <c r="AE385">
        <v>31</v>
      </c>
      <c r="AF385">
        <v>4</v>
      </c>
      <c r="AH385" t="s">
        <v>3736</v>
      </c>
      <c r="AI385" t="s">
        <v>3735</v>
      </c>
      <c r="AK385" t="s">
        <v>3734</v>
      </c>
      <c r="AL385">
        <v>221</v>
      </c>
      <c r="AM385" s="5">
        <f t="shared" si="50"/>
        <v>5.666666666666667</v>
      </c>
      <c r="AN385" s="4">
        <f t="shared" si="47"/>
        <v>8.5826075981320204E-3</v>
      </c>
      <c r="AO385" s="3"/>
      <c r="AP385">
        <v>0</v>
      </c>
      <c r="AR385" t="s">
        <v>1</v>
      </c>
      <c r="AT385" s="2" t="s">
        <v>0</v>
      </c>
      <c r="AU385" s="1">
        <f t="shared" si="51"/>
        <v>3.3444219827823258</v>
      </c>
      <c r="AV385" s="1">
        <f t="shared" si="52"/>
        <v>2.6340902047911476</v>
      </c>
      <c r="AW385" s="1">
        <f t="shared" si="53"/>
        <v>1.9237584267999694</v>
      </c>
    </row>
    <row r="386" spans="1:49" x14ac:dyDescent="0.2">
      <c r="A386">
        <v>384</v>
      </c>
      <c r="B386" t="s">
        <v>3733</v>
      </c>
      <c r="C386" t="s">
        <v>3732</v>
      </c>
      <c r="F386" t="s">
        <v>3731</v>
      </c>
      <c r="G386" t="s">
        <v>15</v>
      </c>
      <c r="H386" t="s">
        <v>14</v>
      </c>
      <c r="I386" t="s">
        <v>3730</v>
      </c>
      <c r="J386">
        <v>60027550</v>
      </c>
      <c r="K386" t="s">
        <v>660</v>
      </c>
      <c r="L386" t="s">
        <v>659</v>
      </c>
      <c r="M386" t="s">
        <v>10</v>
      </c>
      <c r="N386">
        <v>2</v>
      </c>
      <c r="O386" t="s">
        <v>3729</v>
      </c>
      <c r="P386" t="s">
        <v>3728</v>
      </c>
      <c r="Q386" t="s">
        <v>696</v>
      </c>
      <c r="R386" s="7">
        <v>30317</v>
      </c>
      <c r="S386" s="8">
        <f t="shared" si="48"/>
        <v>1983</v>
      </c>
      <c r="T386" s="8">
        <v>1983</v>
      </c>
      <c r="U386" s="8">
        <f t="shared" si="49"/>
        <v>39</v>
      </c>
      <c r="V386" s="7">
        <v>30498</v>
      </c>
      <c r="W386" t="s">
        <v>618</v>
      </c>
      <c r="X386" s="2">
        <v>1.6519999999999999</v>
      </c>
      <c r="Y386" s="6">
        <f t="shared" ref="Y386:Y449" si="54">(X386-$Z$4)/($Z$3-$Z$4)</f>
        <v>4.409919649769093E-2</v>
      </c>
      <c r="AA386" t="s">
        <v>617</v>
      </c>
      <c r="AB386">
        <v>17337</v>
      </c>
      <c r="AC386">
        <v>15582221</v>
      </c>
      <c r="AD386" t="s">
        <v>5</v>
      </c>
      <c r="AE386">
        <v>31</v>
      </c>
      <c r="AF386">
        <v>4</v>
      </c>
      <c r="AH386" t="s">
        <v>3727</v>
      </c>
      <c r="AI386" t="s">
        <v>3726</v>
      </c>
      <c r="AK386" t="s">
        <v>3725</v>
      </c>
      <c r="AL386">
        <v>23</v>
      </c>
      <c r="AM386" s="5">
        <f t="shared" si="50"/>
        <v>0.58974358974358976</v>
      </c>
      <c r="AN386" s="4">
        <f t="shared" ref="AN386:AN449" si="55">(AM386-$AO$4)/($AO$3-$AO$4)</f>
        <v>8.9321255546170354E-4</v>
      </c>
      <c r="AO386" s="3"/>
      <c r="AP386">
        <v>0</v>
      </c>
      <c r="AR386" t="s">
        <v>1</v>
      </c>
      <c r="AT386" s="2" t="s">
        <v>0</v>
      </c>
      <c r="AU386" s="1">
        <f t="shared" si="51"/>
        <v>3.1137401315022162</v>
      </c>
      <c r="AV386" s="1">
        <f t="shared" si="52"/>
        <v>2.2496204526576316</v>
      </c>
      <c r="AW386" s="1">
        <f t="shared" si="53"/>
        <v>1.3855007738130471</v>
      </c>
    </row>
    <row r="387" spans="1:49" x14ac:dyDescent="0.2">
      <c r="A387">
        <v>385</v>
      </c>
      <c r="B387" t="s">
        <v>3724</v>
      </c>
      <c r="C387" t="s">
        <v>3723</v>
      </c>
      <c r="F387" t="s">
        <v>3722</v>
      </c>
      <c r="G387" t="s">
        <v>15</v>
      </c>
      <c r="H387" t="s">
        <v>14</v>
      </c>
      <c r="I387" t="s">
        <v>3721</v>
      </c>
      <c r="J387">
        <v>60012708</v>
      </c>
      <c r="K387" t="s">
        <v>3720</v>
      </c>
      <c r="L387" t="s">
        <v>3719</v>
      </c>
      <c r="M387" t="s">
        <v>10</v>
      </c>
      <c r="N387">
        <v>1</v>
      </c>
      <c r="O387" t="s">
        <v>3718</v>
      </c>
      <c r="P387">
        <v>7404457208</v>
      </c>
      <c r="Q387">
        <v>60012708</v>
      </c>
      <c r="R387" s="7">
        <v>30317</v>
      </c>
      <c r="S387" s="8">
        <f t="shared" si="48"/>
        <v>1983</v>
      </c>
      <c r="T387" s="8">
        <v>1983</v>
      </c>
      <c r="U387" s="8">
        <f t="shared" si="49"/>
        <v>39</v>
      </c>
      <c r="V387" s="7">
        <v>30498</v>
      </c>
      <c r="W387" t="s">
        <v>618</v>
      </c>
      <c r="X387" s="2">
        <v>1.6519999999999999</v>
      </c>
      <c r="Y387" s="6">
        <f t="shared" si="54"/>
        <v>4.409919649769093E-2</v>
      </c>
      <c r="AA387" t="s">
        <v>617</v>
      </c>
      <c r="AB387">
        <v>17337</v>
      </c>
      <c r="AC387">
        <v>15582221</v>
      </c>
      <c r="AD387" t="s">
        <v>5</v>
      </c>
      <c r="AE387">
        <v>31</v>
      </c>
      <c r="AF387">
        <v>4</v>
      </c>
      <c r="AH387" t="s">
        <v>3717</v>
      </c>
      <c r="AI387" t="s">
        <v>3716</v>
      </c>
      <c r="AK387" t="s">
        <v>3715</v>
      </c>
      <c r="AL387">
        <v>3</v>
      </c>
      <c r="AM387" s="5">
        <f t="shared" si="50"/>
        <v>7.6923076923076927E-2</v>
      </c>
      <c r="AN387" s="4">
        <f t="shared" si="55"/>
        <v>1.1650598549500481E-4</v>
      </c>
      <c r="AO387" s="3"/>
      <c r="AP387">
        <v>0</v>
      </c>
      <c r="AR387" t="s">
        <v>1</v>
      </c>
      <c r="AT387" s="2" t="s">
        <v>0</v>
      </c>
      <c r="AU387" s="1">
        <f t="shared" si="51"/>
        <v>3.090438934403215</v>
      </c>
      <c r="AV387" s="1">
        <f t="shared" si="52"/>
        <v>2.2107851241592971</v>
      </c>
      <c r="AW387" s="1">
        <f t="shared" si="53"/>
        <v>1.3311313139153782</v>
      </c>
    </row>
    <row r="388" spans="1:49" x14ac:dyDescent="0.2">
      <c r="A388">
        <v>386</v>
      </c>
      <c r="B388" t="s">
        <v>3714</v>
      </c>
      <c r="F388" t="s">
        <v>3713</v>
      </c>
      <c r="G388" t="s">
        <v>15</v>
      </c>
      <c r="H388" t="s">
        <v>14</v>
      </c>
      <c r="I388" t="s">
        <v>3712</v>
      </c>
      <c r="N388">
        <v>1</v>
      </c>
      <c r="O388" t="s">
        <v>3711</v>
      </c>
      <c r="P388">
        <v>7004753376</v>
      </c>
      <c r="R388" s="7">
        <v>30317</v>
      </c>
      <c r="S388" s="8">
        <f t="shared" si="48"/>
        <v>1983</v>
      </c>
      <c r="T388" s="8">
        <v>1983</v>
      </c>
      <c r="U388" s="8">
        <f t="shared" si="49"/>
        <v>39</v>
      </c>
      <c r="V388" s="7" t="s">
        <v>3597</v>
      </c>
      <c r="W388" t="s">
        <v>536</v>
      </c>
      <c r="X388" s="2">
        <v>0.14099999999999999</v>
      </c>
      <c r="Y388" s="6">
        <f t="shared" si="54"/>
        <v>3.7639144710498915E-3</v>
      </c>
      <c r="AA388">
        <v>402508</v>
      </c>
      <c r="AB388">
        <v>20868</v>
      </c>
      <c r="AD388" t="s">
        <v>5</v>
      </c>
      <c r="AE388" t="s">
        <v>535</v>
      </c>
      <c r="AF388">
        <v>7</v>
      </c>
      <c r="AH388" t="s">
        <v>3710</v>
      </c>
      <c r="AI388" t="s">
        <v>3709</v>
      </c>
      <c r="AK388" t="s">
        <v>3708</v>
      </c>
      <c r="AL388">
        <v>0</v>
      </c>
      <c r="AM388" s="5">
        <f t="shared" si="50"/>
        <v>0</v>
      </c>
      <c r="AN388" s="4">
        <f t="shared" si="55"/>
        <v>0</v>
      </c>
      <c r="AO388" s="3"/>
      <c r="AP388">
        <v>0</v>
      </c>
      <c r="AR388" t="s">
        <v>1</v>
      </c>
      <c r="AT388" s="2" t="s">
        <v>0</v>
      </c>
      <c r="AU388" s="1">
        <f t="shared" si="51"/>
        <v>0.26347401297349238</v>
      </c>
      <c r="AV388" s="1">
        <f t="shared" si="52"/>
        <v>0.18819572355249459</v>
      </c>
      <c r="AW388" s="1">
        <f t="shared" si="53"/>
        <v>0.11291743413149673</v>
      </c>
    </row>
    <row r="389" spans="1:49" x14ac:dyDescent="0.2">
      <c r="A389">
        <v>387</v>
      </c>
      <c r="B389" t="s">
        <v>3707</v>
      </c>
      <c r="F389" t="s">
        <v>3706</v>
      </c>
      <c r="G389" t="s">
        <v>15</v>
      </c>
      <c r="H389" t="s">
        <v>14</v>
      </c>
      <c r="I389" t="s">
        <v>3705</v>
      </c>
      <c r="N389">
        <v>3</v>
      </c>
      <c r="O389" t="s">
        <v>3704</v>
      </c>
      <c r="P389" t="s">
        <v>3703</v>
      </c>
      <c r="Q389" t="s">
        <v>510</v>
      </c>
      <c r="R389" s="7">
        <v>30317</v>
      </c>
      <c r="S389" s="8">
        <f t="shared" si="48"/>
        <v>1983</v>
      </c>
      <c r="T389" s="8">
        <v>1983</v>
      </c>
      <c r="U389" s="8">
        <f t="shared" si="49"/>
        <v>39</v>
      </c>
      <c r="V389" s="7" t="s">
        <v>3597</v>
      </c>
      <c r="W389" t="s">
        <v>3702</v>
      </c>
      <c r="X389" s="2" t="s">
        <v>0</v>
      </c>
      <c r="Y389" s="6" t="e">
        <f t="shared" si="54"/>
        <v>#VALUE!</v>
      </c>
      <c r="AA389">
        <v>2547821</v>
      </c>
      <c r="AB389">
        <v>13084</v>
      </c>
      <c r="AD389" t="s">
        <v>5</v>
      </c>
      <c r="AE389">
        <v>2</v>
      </c>
      <c r="AF389">
        <v>3</v>
      </c>
      <c r="AH389" t="s">
        <v>3701</v>
      </c>
      <c r="AI389" t="s">
        <v>3700</v>
      </c>
      <c r="AK389" t="s">
        <v>3699</v>
      </c>
      <c r="AL389">
        <v>0</v>
      </c>
      <c r="AM389" s="5">
        <f t="shared" si="50"/>
        <v>0</v>
      </c>
      <c r="AN389" s="4">
        <f t="shared" si="55"/>
        <v>0</v>
      </c>
      <c r="AO389" s="3"/>
      <c r="AP389">
        <v>0</v>
      </c>
      <c r="AR389" t="s">
        <v>1</v>
      </c>
      <c r="AT389" s="2" t="s">
        <v>0</v>
      </c>
      <c r="AU389" s="1" t="e">
        <f t="shared" si="51"/>
        <v>#VALUE!</v>
      </c>
      <c r="AV389" s="1" t="e">
        <f t="shared" si="52"/>
        <v>#VALUE!</v>
      </c>
      <c r="AW389" s="1" t="e">
        <f t="shared" si="53"/>
        <v>#VALUE!</v>
      </c>
    </row>
    <row r="390" spans="1:49" x14ac:dyDescent="0.2">
      <c r="A390">
        <v>388</v>
      </c>
      <c r="B390" t="s">
        <v>3698</v>
      </c>
      <c r="C390" t="s">
        <v>3697</v>
      </c>
      <c r="F390" t="s">
        <v>3696</v>
      </c>
      <c r="G390" t="s">
        <v>15</v>
      </c>
      <c r="H390" t="s">
        <v>14</v>
      </c>
      <c r="I390" t="s">
        <v>3695</v>
      </c>
      <c r="J390" t="s">
        <v>3690</v>
      </c>
      <c r="K390" t="s">
        <v>3694</v>
      </c>
      <c r="L390" t="s">
        <v>3693</v>
      </c>
      <c r="M390" t="s">
        <v>3243</v>
      </c>
      <c r="N390">
        <v>2</v>
      </c>
      <c r="O390" t="s">
        <v>3692</v>
      </c>
      <c r="P390" t="s">
        <v>3691</v>
      </c>
      <c r="Q390" t="s">
        <v>3690</v>
      </c>
      <c r="R390" s="7">
        <v>30317</v>
      </c>
      <c r="S390" s="8">
        <f t="shared" si="48"/>
        <v>1983</v>
      </c>
      <c r="T390" s="8">
        <v>1983</v>
      </c>
      <c r="U390" s="8">
        <f t="shared" si="49"/>
        <v>39</v>
      </c>
      <c r="V390" s="7">
        <v>1983</v>
      </c>
      <c r="W390" t="s">
        <v>227</v>
      </c>
      <c r="X390" s="2">
        <v>0.111</v>
      </c>
      <c r="Y390" s="6">
        <f t="shared" si="54"/>
        <v>2.9630816048690639E-3</v>
      </c>
      <c r="AA390">
        <v>87566621</v>
      </c>
      <c r="AB390">
        <v>24890</v>
      </c>
      <c r="AC390">
        <v>15206424</v>
      </c>
      <c r="AD390" t="s">
        <v>5</v>
      </c>
      <c r="AE390">
        <v>66</v>
      </c>
      <c r="AF390">
        <v>7</v>
      </c>
      <c r="AH390" t="s">
        <v>3689</v>
      </c>
      <c r="AI390" t="s">
        <v>3688</v>
      </c>
      <c r="AK390" t="s">
        <v>3687</v>
      </c>
      <c r="AL390">
        <v>0</v>
      </c>
      <c r="AM390" s="5">
        <f t="shared" si="50"/>
        <v>0</v>
      </c>
      <c r="AN390" s="4">
        <f t="shared" si="55"/>
        <v>0</v>
      </c>
      <c r="AO390" s="3"/>
      <c r="AP390">
        <v>0</v>
      </c>
      <c r="AR390" t="s">
        <v>1</v>
      </c>
      <c r="AT390" s="2" t="s">
        <v>0</v>
      </c>
      <c r="AU390" s="1">
        <f t="shared" si="51"/>
        <v>0.20741571234083445</v>
      </c>
      <c r="AV390" s="1">
        <f t="shared" si="52"/>
        <v>0.1481540802434532</v>
      </c>
      <c r="AW390" s="1">
        <f t="shared" si="53"/>
        <v>8.8892448146071903E-2</v>
      </c>
    </row>
    <row r="391" spans="1:49" x14ac:dyDescent="0.2">
      <c r="A391">
        <v>389</v>
      </c>
      <c r="B391" t="s">
        <v>3686</v>
      </c>
      <c r="C391" t="s">
        <v>3685</v>
      </c>
      <c r="F391" t="s">
        <v>3684</v>
      </c>
      <c r="G391" t="s">
        <v>15</v>
      </c>
      <c r="H391" t="s">
        <v>14</v>
      </c>
      <c r="I391" t="s">
        <v>3683</v>
      </c>
      <c r="J391">
        <v>60001247</v>
      </c>
      <c r="K391" t="s">
        <v>759</v>
      </c>
      <c r="M391" t="s">
        <v>10</v>
      </c>
      <c r="N391">
        <v>3</v>
      </c>
      <c r="O391" t="s">
        <v>3682</v>
      </c>
      <c r="P391" t="s">
        <v>3681</v>
      </c>
      <c r="Q391" t="s">
        <v>3680</v>
      </c>
      <c r="R391" s="7">
        <v>30317</v>
      </c>
      <c r="S391" s="8">
        <f t="shared" si="48"/>
        <v>1983</v>
      </c>
      <c r="T391" s="8">
        <v>1983</v>
      </c>
      <c r="U391" s="8">
        <f t="shared" si="49"/>
        <v>39</v>
      </c>
      <c r="V391" s="7">
        <v>30498</v>
      </c>
      <c r="W391" t="s">
        <v>669</v>
      </c>
      <c r="X391" s="2">
        <v>1.137</v>
      </c>
      <c r="Y391" s="6">
        <f t="shared" si="54"/>
        <v>3.0351565628253384E-2</v>
      </c>
      <c r="AA391">
        <v>189251</v>
      </c>
      <c r="AB391">
        <v>17336</v>
      </c>
      <c r="AD391" t="s">
        <v>5</v>
      </c>
      <c r="AE391" t="s">
        <v>668</v>
      </c>
      <c r="AF391">
        <v>4</v>
      </c>
      <c r="AH391" t="s">
        <v>3679</v>
      </c>
      <c r="AI391" t="s">
        <v>3678</v>
      </c>
      <c r="AK391" t="s">
        <v>3677</v>
      </c>
      <c r="AL391">
        <v>4</v>
      </c>
      <c r="AM391" s="5">
        <f t="shared" si="50"/>
        <v>0.10256410256410256</v>
      </c>
      <c r="AN391" s="4">
        <f t="shared" si="55"/>
        <v>1.5534131399333974E-4</v>
      </c>
      <c r="AO391" s="3"/>
      <c r="AP391">
        <v>0</v>
      </c>
      <c r="AR391" t="s">
        <v>1</v>
      </c>
      <c r="AT391" s="2" t="s">
        <v>0</v>
      </c>
      <c r="AU391" s="1">
        <f t="shared" si="51"/>
        <v>2.1292698333975366</v>
      </c>
      <c r="AV391" s="1">
        <f t="shared" si="52"/>
        <v>1.5253453471123362</v>
      </c>
      <c r="AW391" s="1">
        <f t="shared" si="53"/>
        <v>0.92142086082713537</v>
      </c>
    </row>
    <row r="392" spans="1:49" x14ac:dyDescent="0.2">
      <c r="A392">
        <v>390</v>
      </c>
      <c r="B392" t="s">
        <v>3676</v>
      </c>
      <c r="C392" t="s">
        <v>3675</v>
      </c>
      <c r="F392" t="s">
        <v>3674</v>
      </c>
      <c r="G392" t="s">
        <v>15</v>
      </c>
      <c r="H392" t="s">
        <v>14</v>
      </c>
      <c r="I392" t="s">
        <v>3257</v>
      </c>
      <c r="J392">
        <v>60021378</v>
      </c>
      <c r="K392" t="s">
        <v>1635</v>
      </c>
      <c r="L392" t="s">
        <v>1634</v>
      </c>
      <c r="M392" t="s">
        <v>10</v>
      </c>
      <c r="N392">
        <v>1</v>
      </c>
      <c r="O392" t="s">
        <v>3673</v>
      </c>
      <c r="P392">
        <v>7401775859</v>
      </c>
      <c r="Q392">
        <v>60021378</v>
      </c>
      <c r="R392" s="7">
        <v>30317</v>
      </c>
      <c r="S392" s="8">
        <f t="shared" si="48"/>
        <v>1983</v>
      </c>
      <c r="T392" s="8">
        <v>1983</v>
      </c>
      <c r="U392" s="8">
        <f t="shared" si="49"/>
        <v>39</v>
      </c>
      <c r="V392" s="7">
        <v>30498</v>
      </c>
      <c r="W392" t="s">
        <v>618</v>
      </c>
      <c r="X392" s="2">
        <v>1.6519999999999999</v>
      </c>
      <c r="Y392" s="6">
        <f t="shared" si="54"/>
        <v>4.409919649769093E-2</v>
      </c>
      <c r="AA392" t="s">
        <v>617</v>
      </c>
      <c r="AB392">
        <v>17337</v>
      </c>
      <c r="AC392">
        <v>15582221</v>
      </c>
      <c r="AD392" t="s">
        <v>5</v>
      </c>
      <c r="AE392">
        <v>31</v>
      </c>
      <c r="AF392">
        <v>4</v>
      </c>
      <c r="AH392" t="s">
        <v>3672</v>
      </c>
      <c r="AI392" t="s">
        <v>3671</v>
      </c>
      <c r="AK392" t="s">
        <v>3670</v>
      </c>
      <c r="AL392">
        <v>59</v>
      </c>
      <c r="AM392" s="5">
        <f t="shared" si="50"/>
        <v>1.5128205128205128</v>
      </c>
      <c r="AN392" s="4">
        <f t="shared" si="55"/>
        <v>2.2912843814017611E-3</v>
      </c>
      <c r="AO392" s="3"/>
      <c r="AP392">
        <v>0</v>
      </c>
      <c r="AR392" t="s">
        <v>1</v>
      </c>
      <c r="AT392" s="2" t="s">
        <v>0</v>
      </c>
      <c r="AU392" s="1">
        <f t="shared" si="51"/>
        <v>3.1556822862804181</v>
      </c>
      <c r="AV392" s="1">
        <f t="shared" si="52"/>
        <v>2.3195240439546345</v>
      </c>
      <c r="AW392" s="1">
        <f t="shared" si="53"/>
        <v>1.4833658016288509</v>
      </c>
    </row>
    <row r="393" spans="1:49" x14ac:dyDescent="0.2">
      <c r="A393">
        <v>391</v>
      </c>
      <c r="B393" t="s">
        <v>3669</v>
      </c>
      <c r="C393" t="s">
        <v>3668</v>
      </c>
      <c r="F393" t="s">
        <v>3667</v>
      </c>
      <c r="G393" t="s">
        <v>15</v>
      </c>
      <c r="H393" t="s">
        <v>14</v>
      </c>
      <c r="I393" t="s">
        <v>3666</v>
      </c>
      <c r="J393">
        <v>60021200</v>
      </c>
      <c r="K393" t="s">
        <v>3665</v>
      </c>
      <c r="L393" t="s">
        <v>3664</v>
      </c>
      <c r="M393" t="s">
        <v>1668</v>
      </c>
      <c r="N393">
        <v>3</v>
      </c>
      <c r="O393" t="s">
        <v>3663</v>
      </c>
      <c r="P393" t="s">
        <v>3662</v>
      </c>
      <c r="Q393" t="s">
        <v>3661</v>
      </c>
      <c r="R393" s="7">
        <v>30317</v>
      </c>
      <c r="S393" s="8">
        <f t="shared" si="48"/>
        <v>1983</v>
      </c>
      <c r="T393" s="8">
        <v>1983</v>
      </c>
      <c r="U393" s="8">
        <f t="shared" si="49"/>
        <v>39</v>
      </c>
      <c r="V393" s="7">
        <v>30498</v>
      </c>
      <c r="W393" t="s">
        <v>618</v>
      </c>
      <c r="X393" s="2">
        <v>1.6519999999999999</v>
      </c>
      <c r="Y393" s="6">
        <f t="shared" si="54"/>
        <v>4.409919649769093E-2</v>
      </c>
      <c r="AA393" t="s">
        <v>617</v>
      </c>
      <c r="AB393">
        <v>17337</v>
      </c>
      <c r="AC393">
        <v>15582221</v>
      </c>
      <c r="AD393" t="s">
        <v>5</v>
      </c>
      <c r="AE393">
        <v>31</v>
      </c>
      <c r="AF393">
        <v>4</v>
      </c>
      <c r="AH393" t="s">
        <v>3660</v>
      </c>
      <c r="AI393" t="s">
        <v>3659</v>
      </c>
      <c r="AK393" t="s">
        <v>3658</v>
      </c>
      <c r="AL393">
        <v>0</v>
      </c>
      <c r="AM393" s="5">
        <f t="shared" si="50"/>
        <v>0</v>
      </c>
      <c r="AN393" s="4">
        <f t="shared" si="55"/>
        <v>0</v>
      </c>
      <c r="AO393" s="3"/>
      <c r="AP393">
        <v>0</v>
      </c>
      <c r="AR393" t="s">
        <v>1</v>
      </c>
      <c r="AT393" s="2" t="s">
        <v>0</v>
      </c>
      <c r="AU393" s="1">
        <f t="shared" si="51"/>
        <v>3.0869437548383649</v>
      </c>
      <c r="AV393" s="1">
        <f t="shared" si="52"/>
        <v>2.2049598248845466</v>
      </c>
      <c r="AW393" s="1">
        <f t="shared" si="53"/>
        <v>1.3229758949307278</v>
      </c>
    </row>
    <row r="394" spans="1:49" x14ac:dyDescent="0.2">
      <c r="A394">
        <v>392</v>
      </c>
      <c r="B394" t="s">
        <v>3657</v>
      </c>
      <c r="C394" t="s">
        <v>3656</v>
      </c>
      <c r="F394" t="s">
        <v>3655</v>
      </c>
      <c r="G394" t="s">
        <v>15</v>
      </c>
      <c r="H394" t="s">
        <v>14</v>
      </c>
      <c r="I394" t="s">
        <v>3654</v>
      </c>
      <c r="J394">
        <v>60071723</v>
      </c>
      <c r="K394" t="s">
        <v>3653</v>
      </c>
      <c r="L394" t="s">
        <v>3652</v>
      </c>
      <c r="M394" t="s">
        <v>3651</v>
      </c>
      <c r="N394">
        <v>2</v>
      </c>
      <c r="O394" t="s">
        <v>3650</v>
      </c>
      <c r="P394" t="s">
        <v>3649</v>
      </c>
      <c r="Q394" t="s">
        <v>3648</v>
      </c>
      <c r="R394" s="7">
        <v>30317</v>
      </c>
      <c r="S394" s="8">
        <f t="shared" si="48"/>
        <v>1983</v>
      </c>
      <c r="T394" s="8">
        <v>1983</v>
      </c>
      <c r="U394" s="8">
        <f t="shared" si="49"/>
        <v>39</v>
      </c>
      <c r="V394" s="7">
        <v>30498</v>
      </c>
      <c r="W394" t="s">
        <v>618</v>
      </c>
      <c r="X394" s="2">
        <v>1.6519999999999999</v>
      </c>
      <c r="Y394" s="6">
        <f t="shared" si="54"/>
        <v>4.409919649769093E-2</v>
      </c>
      <c r="AA394" t="s">
        <v>617</v>
      </c>
      <c r="AB394">
        <v>17337</v>
      </c>
      <c r="AC394">
        <v>15582221</v>
      </c>
      <c r="AD394" t="s">
        <v>5</v>
      </c>
      <c r="AE394">
        <v>31</v>
      </c>
      <c r="AF394">
        <v>4</v>
      </c>
      <c r="AH394" t="s">
        <v>3647</v>
      </c>
      <c r="AI394" t="s">
        <v>3646</v>
      </c>
      <c r="AK394" t="s">
        <v>3645</v>
      </c>
      <c r="AL394">
        <v>2</v>
      </c>
      <c r="AM394" s="5">
        <f t="shared" si="50"/>
        <v>5.128205128205128E-2</v>
      </c>
      <c r="AN394" s="4">
        <f t="shared" si="55"/>
        <v>7.767065699666987E-5</v>
      </c>
      <c r="AO394" s="3"/>
      <c r="AP394">
        <v>0</v>
      </c>
      <c r="AR394" t="s">
        <v>1</v>
      </c>
      <c r="AT394" s="2" t="s">
        <v>0</v>
      </c>
      <c r="AU394" s="1">
        <f t="shared" si="51"/>
        <v>3.0892738745482653</v>
      </c>
      <c r="AV394" s="1">
        <f t="shared" si="52"/>
        <v>2.2088433577343798</v>
      </c>
      <c r="AW394" s="1">
        <f t="shared" si="53"/>
        <v>1.3284128409204947</v>
      </c>
    </row>
    <row r="395" spans="1:49" x14ac:dyDescent="0.2">
      <c r="A395">
        <v>393</v>
      </c>
      <c r="B395" t="s">
        <v>3644</v>
      </c>
      <c r="C395" t="s">
        <v>3643</v>
      </c>
      <c r="F395" t="s">
        <v>3642</v>
      </c>
      <c r="G395" t="s">
        <v>15</v>
      </c>
      <c r="H395" t="s">
        <v>14</v>
      </c>
      <c r="I395" t="s">
        <v>1083</v>
      </c>
      <c r="J395">
        <v>60092258</v>
      </c>
      <c r="K395" t="s">
        <v>1082</v>
      </c>
      <c r="L395" t="s">
        <v>1081</v>
      </c>
      <c r="M395" t="s">
        <v>55</v>
      </c>
      <c r="N395">
        <v>4</v>
      </c>
      <c r="O395" t="s">
        <v>3641</v>
      </c>
      <c r="P395" t="s">
        <v>3640</v>
      </c>
      <c r="Q395" t="s">
        <v>3639</v>
      </c>
      <c r="R395" s="7">
        <v>30317</v>
      </c>
      <c r="S395" s="8">
        <f t="shared" si="48"/>
        <v>1983</v>
      </c>
      <c r="T395" s="8">
        <v>1983</v>
      </c>
      <c r="U395" s="8">
        <f t="shared" si="49"/>
        <v>39</v>
      </c>
      <c r="V395" s="7">
        <v>30498</v>
      </c>
      <c r="W395" t="s">
        <v>618</v>
      </c>
      <c r="X395" s="2">
        <v>1.6519999999999999</v>
      </c>
      <c r="Y395" s="6">
        <f t="shared" si="54"/>
        <v>4.409919649769093E-2</v>
      </c>
      <c r="AA395" t="s">
        <v>617</v>
      </c>
      <c r="AB395">
        <v>17337</v>
      </c>
      <c r="AC395">
        <v>15582221</v>
      </c>
      <c r="AD395" t="s">
        <v>5</v>
      </c>
      <c r="AE395">
        <v>31</v>
      </c>
      <c r="AF395">
        <v>4</v>
      </c>
      <c r="AH395" t="s">
        <v>3638</v>
      </c>
      <c r="AI395" t="s">
        <v>3637</v>
      </c>
      <c r="AK395" t="s">
        <v>3636</v>
      </c>
      <c r="AL395">
        <v>42</v>
      </c>
      <c r="AM395" s="5">
        <f t="shared" si="50"/>
        <v>1.0769230769230769</v>
      </c>
      <c r="AN395" s="4">
        <f t="shared" si="55"/>
        <v>1.6310837969300673E-3</v>
      </c>
      <c r="AO395" s="3"/>
      <c r="AP395">
        <v>0</v>
      </c>
      <c r="AR395" t="s">
        <v>1</v>
      </c>
      <c r="AT395" s="2" t="s">
        <v>0</v>
      </c>
      <c r="AU395" s="1">
        <f t="shared" si="51"/>
        <v>3.1358762687462667</v>
      </c>
      <c r="AV395" s="1">
        <f t="shared" si="52"/>
        <v>2.2865140147310501</v>
      </c>
      <c r="AW395" s="1">
        <f t="shared" si="53"/>
        <v>1.4371517607158326</v>
      </c>
    </row>
    <row r="396" spans="1:49" x14ac:dyDescent="0.2">
      <c r="A396">
        <v>394</v>
      </c>
      <c r="B396" t="s">
        <v>3635</v>
      </c>
      <c r="C396" t="s">
        <v>3634</v>
      </c>
      <c r="F396" t="s">
        <v>3633</v>
      </c>
      <c r="G396" t="s">
        <v>15</v>
      </c>
      <c r="H396" t="s">
        <v>14</v>
      </c>
      <c r="I396" t="s">
        <v>3632</v>
      </c>
      <c r="J396">
        <v>60009037</v>
      </c>
      <c r="K396" t="s">
        <v>720</v>
      </c>
      <c r="L396" t="s">
        <v>719</v>
      </c>
      <c r="M396" t="s">
        <v>10</v>
      </c>
      <c r="N396">
        <v>1</v>
      </c>
      <c r="O396" t="s">
        <v>3631</v>
      </c>
      <c r="P396">
        <v>7003537615</v>
      </c>
      <c r="Q396">
        <v>60009037</v>
      </c>
      <c r="R396" s="7">
        <v>30317</v>
      </c>
      <c r="S396" s="8">
        <f t="shared" si="48"/>
        <v>1983</v>
      </c>
      <c r="T396" s="8">
        <v>1983</v>
      </c>
      <c r="U396" s="8">
        <f t="shared" si="49"/>
        <v>39</v>
      </c>
      <c r="V396" s="7">
        <v>30498</v>
      </c>
      <c r="W396" t="s">
        <v>669</v>
      </c>
      <c r="X396" s="2">
        <v>1.137</v>
      </c>
      <c r="Y396" s="6">
        <f t="shared" si="54"/>
        <v>3.0351565628253384E-2</v>
      </c>
      <c r="AA396">
        <v>189251</v>
      </c>
      <c r="AB396">
        <v>17336</v>
      </c>
      <c r="AD396" t="s">
        <v>5</v>
      </c>
      <c r="AE396" t="s">
        <v>668</v>
      </c>
      <c r="AF396">
        <v>4</v>
      </c>
      <c r="AH396" t="s">
        <v>3630</v>
      </c>
      <c r="AI396" t="s">
        <v>3629</v>
      </c>
      <c r="AK396" t="s">
        <v>3628</v>
      </c>
      <c r="AL396">
        <v>1</v>
      </c>
      <c r="AM396" s="5">
        <f t="shared" si="50"/>
        <v>2.564102564102564E-2</v>
      </c>
      <c r="AN396" s="4">
        <f t="shared" si="55"/>
        <v>3.8835328498334935E-5</v>
      </c>
      <c r="AO396" s="3"/>
      <c r="AP396">
        <v>0</v>
      </c>
      <c r="AR396" t="s">
        <v>1</v>
      </c>
      <c r="AT396" s="2" t="s">
        <v>0</v>
      </c>
      <c r="AU396" s="1">
        <f t="shared" si="51"/>
        <v>2.1257746538326865</v>
      </c>
      <c r="AV396" s="1">
        <f t="shared" si="52"/>
        <v>1.5195200478375859</v>
      </c>
      <c r="AW396" s="1">
        <f t="shared" si="53"/>
        <v>0.91326544184248504</v>
      </c>
    </row>
    <row r="397" spans="1:49" x14ac:dyDescent="0.2">
      <c r="A397">
        <v>395</v>
      </c>
      <c r="B397" t="s">
        <v>3627</v>
      </c>
      <c r="C397" t="s">
        <v>3626</v>
      </c>
      <c r="F397" t="s">
        <v>3625</v>
      </c>
      <c r="G397" t="s">
        <v>15</v>
      </c>
      <c r="H397" t="s">
        <v>14</v>
      </c>
      <c r="I397" t="s">
        <v>3624</v>
      </c>
      <c r="N397">
        <v>1</v>
      </c>
      <c r="O397" t="s">
        <v>3623</v>
      </c>
      <c r="P397">
        <v>7101918667</v>
      </c>
      <c r="R397" s="7">
        <v>30317</v>
      </c>
      <c r="S397" s="8">
        <f t="shared" si="48"/>
        <v>1983</v>
      </c>
      <c r="T397" s="8">
        <v>1983</v>
      </c>
      <c r="U397" s="8">
        <f t="shared" si="49"/>
        <v>39</v>
      </c>
      <c r="V397" s="7" t="s">
        <v>3597</v>
      </c>
      <c r="W397" t="s">
        <v>798</v>
      </c>
      <c r="X397" s="2">
        <v>0.218</v>
      </c>
      <c r="Y397" s="6">
        <f t="shared" si="54"/>
        <v>5.8193854942473512E-3</v>
      </c>
      <c r="AA397">
        <v>3772063</v>
      </c>
      <c r="AB397">
        <v>130012</v>
      </c>
      <c r="AD397" t="s">
        <v>5</v>
      </c>
      <c r="AE397">
        <v>29</v>
      </c>
      <c r="AF397">
        <v>7</v>
      </c>
      <c r="AH397" t="s">
        <v>3622</v>
      </c>
      <c r="AI397" t="s">
        <v>3621</v>
      </c>
      <c r="AK397" t="s">
        <v>3620</v>
      </c>
      <c r="AL397">
        <v>0</v>
      </c>
      <c r="AM397" s="5">
        <f t="shared" si="50"/>
        <v>0</v>
      </c>
      <c r="AN397" s="4">
        <f t="shared" si="55"/>
        <v>0</v>
      </c>
      <c r="AO397" s="3"/>
      <c r="AP397">
        <v>0</v>
      </c>
      <c r="AR397" t="s">
        <v>1</v>
      </c>
      <c r="AT397" s="2">
        <v>2.3330000000000002</v>
      </c>
      <c r="AU397" s="1">
        <f t="shared" si="51"/>
        <v>0.40735698459731456</v>
      </c>
      <c r="AV397" s="1">
        <f t="shared" si="52"/>
        <v>0.29096927471236755</v>
      </c>
      <c r="AW397" s="1">
        <f t="shared" si="53"/>
        <v>0.17458156482742054</v>
      </c>
    </row>
    <row r="398" spans="1:49" x14ac:dyDescent="0.2">
      <c r="A398">
        <v>396</v>
      </c>
      <c r="B398" t="s">
        <v>3619</v>
      </c>
      <c r="C398" t="s">
        <v>3618</v>
      </c>
      <c r="F398" t="s">
        <v>3617</v>
      </c>
      <c r="G398" t="s">
        <v>15</v>
      </c>
      <c r="H398" t="s">
        <v>14</v>
      </c>
      <c r="I398" t="s">
        <v>2221</v>
      </c>
      <c r="J398">
        <v>60013141</v>
      </c>
      <c r="K398" t="s">
        <v>750</v>
      </c>
      <c r="L398" t="s">
        <v>749</v>
      </c>
      <c r="M398" t="s">
        <v>748</v>
      </c>
      <c r="N398">
        <v>2</v>
      </c>
      <c r="O398" t="s">
        <v>3616</v>
      </c>
      <c r="P398" t="s">
        <v>3615</v>
      </c>
      <c r="Q398" t="s">
        <v>3614</v>
      </c>
      <c r="R398" s="7">
        <v>30317</v>
      </c>
      <c r="S398" s="8">
        <f t="shared" si="48"/>
        <v>1983</v>
      </c>
      <c r="T398" s="8">
        <v>1983</v>
      </c>
      <c r="U398" s="8">
        <f t="shared" si="49"/>
        <v>39</v>
      </c>
      <c r="V398" s="7">
        <v>30498</v>
      </c>
      <c r="W398" t="s">
        <v>618</v>
      </c>
      <c r="X398" s="2">
        <v>1.6519999999999999</v>
      </c>
      <c r="Y398" s="6">
        <f t="shared" si="54"/>
        <v>4.409919649769093E-2</v>
      </c>
      <c r="AA398" t="s">
        <v>617</v>
      </c>
      <c r="AB398">
        <v>17337</v>
      </c>
      <c r="AC398">
        <v>15582221</v>
      </c>
      <c r="AD398" t="s">
        <v>5</v>
      </c>
      <c r="AE398">
        <v>31</v>
      </c>
      <c r="AF398">
        <v>4</v>
      </c>
      <c r="AH398" t="s">
        <v>3613</v>
      </c>
      <c r="AI398" t="s">
        <v>3612</v>
      </c>
      <c r="AK398" t="s">
        <v>3611</v>
      </c>
      <c r="AL398">
        <v>1</v>
      </c>
      <c r="AM398" s="5">
        <f t="shared" si="50"/>
        <v>2.564102564102564E-2</v>
      </c>
      <c r="AN398" s="4">
        <f t="shared" si="55"/>
        <v>3.8835328498334935E-5</v>
      </c>
      <c r="AO398" s="3"/>
      <c r="AP398">
        <v>0</v>
      </c>
      <c r="AR398" t="s">
        <v>1</v>
      </c>
      <c r="AT398" s="2" t="s">
        <v>0</v>
      </c>
      <c r="AU398" s="1">
        <f t="shared" si="51"/>
        <v>3.0881088146933151</v>
      </c>
      <c r="AV398" s="1">
        <f t="shared" si="52"/>
        <v>2.2069015913094634</v>
      </c>
      <c r="AW398" s="1">
        <f t="shared" si="53"/>
        <v>1.3256943679256112</v>
      </c>
    </row>
    <row r="399" spans="1:49" x14ac:dyDescent="0.2">
      <c r="A399">
        <v>397</v>
      </c>
      <c r="B399" t="s">
        <v>3610</v>
      </c>
      <c r="C399" t="s">
        <v>3609</v>
      </c>
      <c r="F399" t="s">
        <v>3608</v>
      </c>
      <c r="G399" t="s">
        <v>15</v>
      </c>
      <c r="H399" t="s">
        <v>14</v>
      </c>
      <c r="I399" t="s">
        <v>3607</v>
      </c>
      <c r="J399">
        <v>60003500</v>
      </c>
      <c r="K399" t="s">
        <v>1070</v>
      </c>
      <c r="L399" t="s">
        <v>1069</v>
      </c>
      <c r="M399" t="s">
        <v>10</v>
      </c>
      <c r="N399">
        <v>1</v>
      </c>
      <c r="O399" t="s">
        <v>3606</v>
      </c>
      <c r="P399">
        <v>35611381200</v>
      </c>
      <c r="Q399">
        <v>60003500</v>
      </c>
      <c r="R399" s="7">
        <v>30317</v>
      </c>
      <c r="S399" s="8">
        <f t="shared" si="48"/>
        <v>1983</v>
      </c>
      <c r="T399" s="8">
        <v>1983</v>
      </c>
      <c r="U399" s="8">
        <f t="shared" si="49"/>
        <v>39</v>
      </c>
      <c r="V399" s="7">
        <v>30498</v>
      </c>
      <c r="W399" t="s">
        <v>618</v>
      </c>
      <c r="X399" s="2">
        <v>1.6519999999999999</v>
      </c>
      <c r="Y399" s="6">
        <f t="shared" si="54"/>
        <v>4.409919649769093E-2</v>
      </c>
      <c r="AA399" t="s">
        <v>617</v>
      </c>
      <c r="AB399">
        <v>17337</v>
      </c>
      <c r="AC399">
        <v>15582221</v>
      </c>
      <c r="AD399" t="s">
        <v>5</v>
      </c>
      <c r="AE399">
        <v>31</v>
      </c>
      <c r="AF399">
        <v>4</v>
      </c>
      <c r="AH399" t="s">
        <v>3605</v>
      </c>
      <c r="AI399" t="s">
        <v>3604</v>
      </c>
      <c r="AK399" t="s">
        <v>3603</v>
      </c>
      <c r="AL399">
        <v>22</v>
      </c>
      <c r="AM399" s="5">
        <f t="shared" si="50"/>
        <v>0.5641025641025641</v>
      </c>
      <c r="AN399" s="4">
        <f t="shared" si="55"/>
        <v>8.5437722696336859E-4</v>
      </c>
      <c r="AO399" s="3"/>
      <c r="AP399">
        <v>0</v>
      </c>
      <c r="AR399" t="s">
        <v>1</v>
      </c>
      <c r="AT399" s="2" t="s">
        <v>0</v>
      </c>
      <c r="AU399" s="1">
        <f t="shared" si="51"/>
        <v>3.112575071647266</v>
      </c>
      <c r="AV399" s="1">
        <f t="shared" si="52"/>
        <v>2.2476786862327147</v>
      </c>
      <c r="AW399" s="1">
        <f t="shared" si="53"/>
        <v>1.3827823008181634</v>
      </c>
    </row>
    <row r="400" spans="1:49" x14ac:dyDescent="0.2">
      <c r="A400">
        <v>398</v>
      </c>
      <c r="B400" t="s">
        <v>3602</v>
      </c>
      <c r="F400" t="s">
        <v>3601</v>
      </c>
      <c r="G400" t="s">
        <v>15</v>
      </c>
      <c r="H400" t="s">
        <v>14</v>
      </c>
      <c r="I400" t="s">
        <v>3600</v>
      </c>
      <c r="N400">
        <v>3</v>
      </c>
      <c r="O400" t="s">
        <v>3599</v>
      </c>
      <c r="P400" t="s">
        <v>3598</v>
      </c>
      <c r="Q400" t="s">
        <v>510</v>
      </c>
      <c r="R400" s="7">
        <v>30317</v>
      </c>
      <c r="S400" s="8">
        <f t="shared" si="48"/>
        <v>1983</v>
      </c>
      <c r="T400" s="8">
        <v>1983</v>
      </c>
      <c r="U400" s="8">
        <f t="shared" si="49"/>
        <v>39</v>
      </c>
      <c r="V400" s="7" t="s">
        <v>3597</v>
      </c>
      <c r="W400" t="s">
        <v>536</v>
      </c>
      <c r="X400" s="2">
        <v>0.14099999999999999</v>
      </c>
      <c r="Y400" s="6">
        <f t="shared" si="54"/>
        <v>3.7639144710498915E-3</v>
      </c>
      <c r="AA400">
        <v>402508</v>
      </c>
      <c r="AB400">
        <v>20868</v>
      </c>
      <c r="AD400" t="s">
        <v>5</v>
      </c>
      <c r="AE400" t="s">
        <v>535</v>
      </c>
      <c r="AF400">
        <v>7</v>
      </c>
      <c r="AH400" t="s">
        <v>3596</v>
      </c>
      <c r="AI400" t="s">
        <v>3595</v>
      </c>
      <c r="AK400" t="s">
        <v>3594</v>
      </c>
      <c r="AL400">
        <v>0</v>
      </c>
      <c r="AM400" s="5">
        <f t="shared" si="50"/>
        <v>0</v>
      </c>
      <c r="AN400" s="4">
        <f t="shared" si="55"/>
        <v>0</v>
      </c>
      <c r="AO400" s="3"/>
      <c r="AP400">
        <v>0</v>
      </c>
      <c r="AR400" t="s">
        <v>1</v>
      </c>
      <c r="AT400" s="2" t="s">
        <v>0</v>
      </c>
      <c r="AU400" s="1">
        <f t="shared" si="51"/>
        <v>0.26347401297349238</v>
      </c>
      <c r="AV400" s="1">
        <f t="shared" si="52"/>
        <v>0.18819572355249459</v>
      </c>
      <c r="AW400" s="1">
        <f t="shared" si="53"/>
        <v>0.11291743413149673</v>
      </c>
    </row>
    <row r="401" spans="1:49" x14ac:dyDescent="0.2">
      <c r="A401">
        <v>399</v>
      </c>
      <c r="B401" t="s">
        <v>3593</v>
      </c>
      <c r="C401" t="s">
        <v>3592</v>
      </c>
      <c r="F401" t="s">
        <v>3591</v>
      </c>
      <c r="G401" t="s">
        <v>15</v>
      </c>
      <c r="H401" t="s">
        <v>14</v>
      </c>
      <c r="I401" t="s">
        <v>3590</v>
      </c>
      <c r="J401">
        <v>60007716</v>
      </c>
      <c r="K401" t="s">
        <v>3589</v>
      </c>
      <c r="L401" t="s">
        <v>3588</v>
      </c>
      <c r="M401" t="s">
        <v>431</v>
      </c>
      <c r="N401">
        <v>1</v>
      </c>
      <c r="O401" t="s">
        <v>3587</v>
      </c>
      <c r="P401">
        <v>7201511019</v>
      </c>
      <c r="Q401">
        <v>60007716</v>
      </c>
      <c r="R401" s="7">
        <v>30317</v>
      </c>
      <c r="S401" s="8">
        <f t="shared" si="48"/>
        <v>1983</v>
      </c>
      <c r="T401" s="8">
        <v>1983</v>
      </c>
      <c r="U401" s="8">
        <f t="shared" si="49"/>
        <v>39</v>
      </c>
      <c r="V401" s="7">
        <v>30498</v>
      </c>
      <c r="W401" t="s">
        <v>618</v>
      </c>
      <c r="X401" s="2">
        <v>1.6519999999999999</v>
      </c>
      <c r="Y401" s="6">
        <f t="shared" si="54"/>
        <v>4.409919649769093E-2</v>
      </c>
      <c r="AA401" t="s">
        <v>617</v>
      </c>
      <c r="AB401">
        <v>17337</v>
      </c>
      <c r="AC401">
        <v>15582221</v>
      </c>
      <c r="AD401" t="s">
        <v>5</v>
      </c>
      <c r="AE401">
        <v>31</v>
      </c>
      <c r="AF401">
        <v>4</v>
      </c>
      <c r="AH401" t="s">
        <v>3586</v>
      </c>
      <c r="AI401" t="s">
        <v>3585</v>
      </c>
      <c r="AK401" t="s">
        <v>3584</v>
      </c>
      <c r="AL401">
        <v>35</v>
      </c>
      <c r="AM401" s="5">
        <f t="shared" si="50"/>
        <v>0.89743589743589747</v>
      </c>
      <c r="AN401" s="4">
        <f t="shared" si="55"/>
        <v>1.3592364974417228E-3</v>
      </c>
      <c r="AO401" s="3"/>
      <c r="AP401">
        <v>0</v>
      </c>
      <c r="AR401" t="s">
        <v>1</v>
      </c>
      <c r="AT401" s="2" t="s">
        <v>0</v>
      </c>
      <c r="AU401" s="1">
        <f t="shared" si="51"/>
        <v>3.1277208497616162</v>
      </c>
      <c r="AV401" s="1">
        <f t="shared" si="52"/>
        <v>2.2729216497566327</v>
      </c>
      <c r="AW401" s="1">
        <f t="shared" si="53"/>
        <v>1.4181224497516485</v>
      </c>
    </row>
    <row r="402" spans="1:49" x14ac:dyDescent="0.2">
      <c r="A402">
        <v>400</v>
      </c>
      <c r="B402" t="s">
        <v>3583</v>
      </c>
      <c r="C402" t="s">
        <v>3582</v>
      </c>
      <c r="F402" t="s">
        <v>3581</v>
      </c>
      <c r="G402" t="s">
        <v>15</v>
      </c>
      <c r="H402" t="s">
        <v>14</v>
      </c>
      <c r="I402" t="s">
        <v>3580</v>
      </c>
      <c r="J402">
        <v>60011019</v>
      </c>
      <c r="K402" t="s">
        <v>3579</v>
      </c>
      <c r="L402" t="s">
        <v>3578</v>
      </c>
      <c r="M402" t="s">
        <v>821</v>
      </c>
      <c r="N402">
        <v>1</v>
      </c>
      <c r="O402" t="s">
        <v>3577</v>
      </c>
      <c r="P402">
        <v>7102854847</v>
      </c>
      <c r="Q402">
        <v>60011019</v>
      </c>
      <c r="R402" s="7">
        <v>30317</v>
      </c>
      <c r="S402" s="8">
        <f t="shared" si="48"/>
        <v>1983</v>
      </c>
      <c r="T402" s="8">
        <v>1983</v>
      </c>
      <c r="U402" s="8">
        <f t="shared" si="49"/>
        <v>39</v>
      </c>
      <c r="V402" s="7">
        <v>30498</v>
      </c>
      <c r="W402" t="s">
        <v>618</v>
      </c>
      <c r="X402" s="2">
        <v>1.6519999999999999</v>
      </c>
      <c r="Y402" s="6">
        <f t="shared" si="54"/>
        <v>4.409919649769093E-2</v>
      </c>
      <c r="AA402" t="s">
        <v>617</v>
      </c>
      <c r="AB402">
        <v>17337</v>
      </c>
      <c r="AC402">
        <v>15582221</v>
      </c>
      <c r="AD402" t="s">
        <v>5</v>
      </c>
      <c r="AE402">
        <v>31</v>
      </c>
      <c r="AF402">
        <v>4</v>
      </c>
      <c r="AH402" t="s">
        <v>3576</v>
      </c>
      <c r="AI402" t="s">
        <v>3575</v>
      </c>
      <c r="AK402" t="s">
        <v>3574</v>
      </c>
      <c r="AL402">
        <v>7</v>
      </c>
      <c r="AM402" s="5">
        <f t="shared" si="50"/>
        <v>0.17948717948717949</v>
      </c>
      <c r="AN402" s="4">
        <f t="shared" si="55"/>
        <v>2.7184729948834453E-4</v>
      </c>
      <c r="AO402" s="3"/>
      <c r="AP402">
        <v>0</v>
      </c>
      <c r="AR402" t="s">
        <v>1</v>
      </c>
      <c r="AT402" s="2" t="s">
        <v>0</v>
      </c>
      <c r="AU402" s="1">
        <f t="shared" si="51"/>
        <v>3.0950991738230154</v>
      </c>
      <c r="AV402" s="1">
        <f t="shared" si="52"/>
        <v>2.2185521898589635</v>
      </c>
      <c r="AW402" s="1">
        <f t="shared" si="53"/>
        <v>1.3420052058949119</v>
      </c>
    </row>
    <row r="403" spans="1:49" x14ac:dyDescent="0.2">
      <c r="A403">
        <v>401</v>
      </c>
      <c r="B403" t="s">
        <v>3573</v>
      </c>
      <c r="C403" t="s">
        <v>3572</v>
      </c>
      <c r="F403" t="s">
        <v>3571</v>
      </c>
      <c r="G403" t="s">
        <v>15</v>
      </c>
      <c r="H403" t="s">
        <v>14</v>
      </c>
      <c r="I403" t="s">
        <v>3570</v>
      </c>
      <c r="J403">
        <v>60010065</v>
      </c>
      <c r="K403" t="s">
        <v>3569</v>
      </c>
      <c r="L403" t="s">
        <v>3568</v>
      </c>
      <c r="M403" t="s">
        <v>10</v>
      </c>
      <c r="N403">
        <v>1</v>
      </c>
      <c r="O403" t="s">
        <v>3567</v>
      </c>
      <c r="P403">
        <v>7103195054</v>
      </c>
      <c r="Q403">
        <v>60010065</v>
      </c>
      <c r="R403" s="7">
        <v>30317</v>
      </c>
      <c r="S403" s="8">
        <f t="shared" si="48"/>
        <v>1983</v>
      </c>
      <c r="T403" s="8">
        <v>1983</v>
      </c>
      <c r="U403" s="8">
        <f t="shared" si="49"/>
        <v>39</v>
      </c>
      <c r="V403" s="7">
        <v>30498</v>
      </c>
      <c r="W403" t="s">
        <v>618</v>
      </c>
      <c r="X403" s="2">
        <v>1.6519999999999999</v>
      </c>
      <c r="Y403" s="6">
        <f t="shared" si="54"/>
        <v>4.409919649769093E-2</v>
      </c>
      <c r="AA403" t="s">
        <v>617</v>
      </c>
      <c r="AB403">
        <v>17337</v>
      </c>
      <c r="AC403">
        <v>15582221</v>
      </c>
      <c r="AD403" t="s">
        <v>5</v>
      </c>
      <c r="AE403">
        <v>31</v>
      </c>
      <c r="AF403">
        <v>4</v>
      </c>
      <c r="AH403" t="s">
        <v>3566</v>
      </c>
      <c r="AI403" t="s">
        <v>3565</v>
      </c>
      <c r="AK403" t="s">
        <v>3564</v>
      </c>
      <c r="AL403">
        <v>9</v>
      </c>
      <c r="AM403" s="5">
        <f t="shared" si="50"/>
        <v>0.23076923076923078</v>
      </c>
      <c r="AN403" s="4">
        <f t="shared" si="55"/>
        <v>3.4951795648501444E-4</v>
      </c>
      <c r="AO403" s="3"/>
      <c r="AP403">
        <v>0</v>
      </c>
      <c r="AR403" t="s">
        <v>1</v>
      </c>
      <c r="AT403" s="2" t="s">
        <v>0</v>
      </c>
      <c r="AU403" s="1">
        <f t="shared" si="51"/>
        <v>3.0974292935329153</v>
      </c>
      <c r="AV403" s="1">
        <f t="shared" si="52"/>
        <v>2.2224357227087972</v>
      </c>
      <c r="AW403" s="1">
        <f t="shared" si="53"/>
        <v>1.3474421518846789</v>
      </c>
    </row>
    <row r="404" spans="1:49" x14ac:dyDescent="0.2">
      <c r="A404">
        <v>402</v>
      </c>
      <c r="B404" t="s">
        <v>3563</v>
      </c>
      <c r="C404" t="s">
        <v>3562</v>
      </c>
      <c r="F404" t="s">
        <v>3561</v>
      </c>
      <c r="G404" t="s">
        <v>15</v>
      </c>
      <c r="H404" t="s">
        <v>14</v>
      </c>
      <c r="I404" t="s">
        <v>3560</v>
      </c>
      <c r="J404">
        <v>60001247</v>
      </c>
      <c r="K404" t="s">
        <v>759</v>
      </c>
      <c r="M404" t="s">
        <v>10</v>
      </c>
      <c r="N404">
        <v>1</v>
      </c>
      <c r="O404" t="s">
        <v>3559</v>
      </c>
      <c r="P404">
        <v>55951888900</v>
      </c>
      <c r="Q404">
        <v>60001247</v>
      </c>
      <c r="R404" s="7">
        <v>30317</v>
      </c>
      <c r="S404" s="8">
        <f t="shared" si="48"/>
        <v>1983</v>
      </c>
      <c r="T404" s="8">
        <v>1983</v>
      </c>
      <c r="U404" s="8">
        <f t="shared" si="49"/>
        <v>39</v>
      </c>
      <c r="V404" s="7">
        <v>30498</v>
      </c>
      <c r="W404" t="s">
        <v>618</v>
      </c>
      <c r="X404" s="2">
        <v>1.6519999999999999</v>
      </c>
      <c r="Y404" s="6">
        <f t="shared" si="54"/>
        <v>4.409919649769093E-2</v>
      </c>
      <c r="AA404" t="s">
        <v>617</v>
      </c>
      <c r="AB404">
        <v>17337</v>
      </c>
      <c r="AC404">
        <v>15582221</v>
      </c>
      <c r="AD404" t="s">
        <v>5</v>
      </c>
      <c r="AE404">
        <v>31</v>
      </c>
      <c r="AF404">
        <v>4</v>
      </c>
      <c r="AH404" t="s">
        <v>3558</v>
      </c>
      <c r="AI404" t="s">
        <v>3557</v>
      </c>
      <c r="AK404" t="s">
        <v>3556</v>
      </c>
      <c r="AL404">
        <v>2</v>
      </c>
      <c r="AM404" s="5">
        <f t="shared" si="50"/>
        <v>5.128205128205128E-2</v>
      </c>
      <c r="AN404" s="4">
        <f t="shared" si="55"/>
        <v>7.767065699666987E-5</v>
      </c>
      <c r="AO404" s="3"/>
      <c r="AP404">
        <v>0</v>
      </c>
      <c r="AR404" t="s">
        <v>1</v>
      </c>
      <c r="AT404" s="2" t="s">
        <v>0</v>
      </c>
      <c r="AU404" s="1">
        <f t="shared" si="51"/>
        <v>3.0892738745482653</v>
      </c>
      <c r="AV404" s="1">
        <f t="shared" si="52"/>
        <v>2.2088433577343798</v>
      </c>
      <c r="AW404" s="1">
        <f t="shared" si="53"/>
        <v>1.3284128409204947</v>
      </c>
    </row>
    <row r="405" spans="1:49" x14ac:dyDescent="0.2">
      <c r="A405">
        <v>403</v>
      </c>
      <c r="B405" t="s">
        <v>3555</v>
      </c>
      <c r="C405" t="s">
        <v>3554</v>
      </c>
      <c r="F405" t="s">
        <v>3553</v>
      </c>
      <c r="G405" t="s">
        <v>15</v>
      </c>
      <c r="H405" t="s">
        <v>14</v>
      </c>
      <c r="I405" t="s">
        <v>3552</v>
      </c>
      <c r="J405">
        <v>105638034</v>
      </c>
      <c r="K405" t="s">
        <v>3551</v>
      </c>
      <c r="L405" t="s">
        <v>3550</v>
      </c>
      <c r="M405" t="s">
        <v>10</v>
      </c>
      <c r="N405">
        <v>2</v>
      </c>
      <c r="O405" t="s">
        <v>3549</v>
      </c>
      <c r="P405" t="s">
        <v>3548</v>
      </c>
      <c r="Q405" t="s">
        <v>3547</v>
      </c>
      <c r="R405" s="7">
        <v>30317</v>
      </c>
      <c r="S405" s="8">
        <f t="shared" si="48"/>
        <v>1983</v>
      </c>
      <c r="T405" s="8">
        <v>1983</v>
      </c>
      <c r="U405" s="8">
        <f t="shared" si="49"/>
        <v>39</v>
      </c>
      <c r="V405" s="7">
        <v>30498</v>
      </c>
      <c r="W405" t="s">
        <v>669</v>
      </c>
      <c r="X405" s="2">
        <v>1.137</v>
      </c>
      <c r="Y405" s="6">
        <f t="shared" si="54"/>
        <v>3.0351565628253384E-2</v>
      </c>
      <c r="AA405">
        <v>189251</v>
      </c>
      <c r="AB405">
        <v>17336</v>
      </c>
      <c r="AD405" t="s">
        <v>5</v>
      </c>
      <c r="AE405" t="s">
        <v>668</v>
      </c>
      <c r="AF405">
        <v>4</v>
      </c>
      <c r="AH405" t="s">
        <v>3546</v>
      </c>
      <c r="AI405" t="s">
        <v>3545</v>
      </c>
      <c r="AK405" t="s">
        <v>3544</v>
      </c>
      <c r="AL405">
        <v>100</v>
      </c>
      <c r="AM405" s="5">
        <f t="shared" si="50"/>
        <v>2.5641025641025643</v>
      </c>
      <c r="AN405" s="4">
        <f t="shared" si="55"/>
        <v>3.8835328498334938E-3</v>
      </c>
      <c r="AO405" s="3"/>
      <c r="AP405">
        <v>0</v>
      </c>
      <c r="AR405" t="s">
        <v>1</v>
      </c>
      <c r="AT405" s="2" t="s">
        <v>0</v>
      </c>
      <c r="AU405" s="1">
        <f t="shared" si="51"/>
        <v>2.2411155794727415</v>
      </c>
      <c r="AV405" s="1">
        <f t="shared" si="52"/>
        <v>1.7117549239043441</v>
      </c>
      <c r="AW405" s="1">
        <f t="shared" si="53"/>
        <v>1.1823942683359461</v>
      </c>
    </row>
    <row r="406" spans="1:49" x14ac:dyDescent="0.2">
      <c r="A406">
        <v>404</v>
      </c>
      <c r="B406" t="s">
        <v>3543</v>
      </c>
      <c r="C406" t="s">
        <v>3542</v>
      </c>
      <c r="F406" t="s">
        <v>3541</v>
      </c>
      <c r="G406" t="s">
        <v>15</v>
      </c>
      <c r="H406" t="s">
        <v>14</v>
      </c>
      <c r="I406" t="s">
        <v>3540</v>
      </c>
      <c r="J406">
        <v>60009037</v>
      </c>
      <c r="K406" t="s">
        <v>720</v>
      </c>
      <c r="L406" t="s">
        <v>719</v>
      </c>
      <c r="M406" t="s">
        <v>10</v>
      </c>
      <c r="N406">
        <v>1</v>
      </c>
      <c r="O406" t="s">
        <v>3539</v>
      </c>
      <c r="P406">
        <v>7004460410</v>
      </c>
      <c r="Q406">
        <v>60009037</v>
      </c>
      <c r="R406" s="7">
        <v>30317</v>
      </c>
      <c r="S406" s="8">
        <f t="shared" si="48"/>
        <v>1983</v>
      </c>
      <c r="T406" s="8">
        <v>1983</v>
      </c>
      <c r="U406" s="8">
        <f t="shared" si="49"/>
        <v>39</v>
      </c>
      <c r="V406" s="7">
        <v>30498</v>
      </c>
      <c r="W406" t="s">
        <v>618</v>
      </c>
      <c r="X406" s="2">
        <v>1.6519999999999999</v>
      </c>
      <c r="Y406" s="6">
        <f t="shared" si="54"/>
        <v>4.409919649769093E-2</v>
      </c>
      <c r="AA406" t="s">
        <v>617</v>
      </c>
      <c r="AB406">
        <v>17337</v>
      </c>
      <c r="AC406">
        <v>15582221</v>
      </c>
      <c r="AD406" t="s">
        <v>5</v>
      </c>
      <c r="AE406">
        <v>31</v>
      </c>
      <c r="AF406">
        <v>4</v>
      </c>
      <c r="AH406" t="s">
        <v>3538</v>
      </c>
      <c r="AI406" t="s">
        <v>3537</v>
      </c>
      <c r="AK406" t="s">
        <v>3536</v>
      </c>
      <c r="AL406">
        <v>6</v>
      </c>
      <c r="AM406" s="5">
        <f t="shared" si="50"/>
        <v>0.15384615384615385</v>
      </c>
      <c r="AN406" s="4">
        <f t="shared" si="55"/>
        <v>2.3301197099000962E-4</v>
      </c>
      <c r="AO406" s="3"/>
      <c r="AP406">
        <v>0</v>
      </c>
      <c r="AR406" t="s">
        <v>1</v>
      </c>
      <c r="AT406" s="2" t="s">
        <v>0</v>
      </c>
      <c r="AU406" s="1">
        <f t="shared" si="51"/>
        <v>3.0939341139680656</v>
      </c>
      <c r="AV406" s="1">
        <f t="shared" si="52"/>
        <v>2.2166104234340471</v>
      </c>
      <c r="AW406" s="1">
        <f t="shared" si="53"/>
        <v>1.3392867329000284</v>
      </c>
    </row>
    <row r="407" spans="1:49" x14ac:dyDescent="0.2">
      <c r="A407">
        <v>405</v>
      </c>
      <c r="B407" t="s">
        <v>3535</v>
      </c>
      <c r="F407" t="s">
        <v>3534</v>
      </c>
      <c r="G407" t="s">
        <v>15</v>
      </c>
      <c r="H407" t="s">
        <v>14</v>
      </c>
      <c r="I407" t="s">
        <v>3533</v>
      </c>
      <c r="N407">
        <v>1</v>
      </c>
      <c r="O407" t="s">
        <v>3532</v>
      </c>
      <c r="P407">
        <v>6603537739</v>
      </c>
      <c r="R407" s="7">
        <v>30317</v>
      </c>
      <c r="S407" s="8">
        <f t="shared" si="48"/>
        <v>1983</v>
      </c>
      <c r="T407" s="8">
        <v>1983</v>
      </c>
      <c r="U407" s="8">
        <f t="shared" si="49"/>
        <v>39</v>
      </c>
      <c r="V407" s="7" t="s">
        <v>3347</v>
      </c>
      <c r="W407" t="s">
        <v>2341</v>
      </c>
      <c r="X407" s="2">
        <v>0.14099999999999999</v>
      </c>
      <c r="Y407" s="6">
        <f t="shared" si="54"/>
        <v>3.7639144710498915E-3</v>
      </c>
      <c r="AA407">
        <v>7252986</v>
      </c>
      <c r="AB407">
        <v>18037</v>
      </c>
      <c r="AD407" t="s">
        <v>5</v>
      </c>
      <c r="AE407">
        <v>3</v>
      </c>
      <c r="AF407">
        <v>2</v>
      </c>
      <c r="AH407" t="s">
        <v>3531</v>
      </c>
      <c r="AI407" t="s">
        <v>3530</v>
      </c>
      <c r="AK407" t="s">
        <v>3529</v>
      </c>
      <c r="AL407">
        <v>4</v>
      </c>
      <c r="AM407" s="5">
        <f t="shared" si="50"/>
        <v>0.10256410256410256</v>
      </c>
      <c r="AN407" s="4">
        <f t="shared" si="55"/>
        <v>1.5534131399333974E-4</v>
      </c>
      <c r="AO407" s="3"/>
      <c r="AP407">
        <v>0</v>
      </c>
      <c r="AR407" t="s">
        <v>1</v>
      </c>
      <c r="AT407" s="2" t="s">
        <v>0</v>
      </c>
      <c r="AU407" s="1">
        <f t="shared" si="51"/>
        <v>0.26813425239329258</v>
      </c>
      <c r="AV407" s="1">
        <f t="shared" si="52"/>
        <v>0.19596278925216154</v>
      </c>
      <c r="AW407" s="1">
        <f t="shared" si="53"/>
        <v>0.1237913261110305</v>
      </c>
    </row>
    <row r="408" spans="1:49" x14ac:dyDescent="0.2">
      <c r="A408">
        <v>406</v>
      </c>
      <c r="B408" t="s">
        <v>3528</v>
      </c>
      <c r="C408" t="s">
        <v>3527</v>
      </c>
      <c r="E408">
        <v>6872507</v>
      </c>
      <c r="F408" t="s">
        <v>3526</v>
      </c>
      <c r="G408" t="s">
        <v>15</v>
      </c>
      <c r="H408" t="s">
        <v>14</v>
      </c>
      <c r="I408" t="s">
        <v>3525</v>
      </c>
      <c r="N408">
        <v>4</v>
      </c>
      <c r="O408" t="s">
        <v>3524</v>
      </c>
      <c r="P408" t="s">
        <v>3523</v>
      </c>
      <c r="Q408" t="s">
        <v>575</v>
      </c>
      <c r="R408" s="7">
        <v>30317</v>
      </c>
      <c r="S408" s="8">
        <f t="shared" si="48"/>
        <v>1983</v>
      </c>
      <c r="T408" s="8">
        <v>1983</v>
      </c>
      <c r="U408" s="8">
        <f t="shared" si="49"/>
        <v>39</v>
      </c>
      <c r="V408" s="7">
        <v>30468</v>
      </c>
      <c r="W408" t="s">
        <v>3522</v>
      </c>
      <c r="X408" s="2">
        <v>0.871</v>
      </c>
      <c r="Y408" s="6">
        <f t="shared" si="54"/>
        <v>2.325084754811671E-2</v>
      </c>
      <c r="AA408">
        <v>7357036</v>
      </c>
      <c r="AB408">
        <v>15431</v>
      </c>
      <c r="AD408" t="s">
        <v>5</v>
      </c>
      <c r="AE408">
        <v>97</v>
      </c>
      <c r="AF408">
        <v>2</v>
      </c>
      <c r="AH408" t="s">
        <v>3521</v>
      </c>
      <c r="AI408" t="s">
        <v>3520</v>
      </c>
      <c r="AK408" t="s">
        <v>3519</v>
      </c>
      <c r="AL408">
        <v>800</v>
      </c>
      <c r="AM408" s="5">
        <f t="shared" si="50"/>
        <v>20.512820512820515</v>
      </c>
      <c r="AN408" s="4">
        <f t="shared" si="55"/>
        <v>3.106826279866795E-2</v>
      </c>
      <c r="AO408" s="3"/>
      <c r="AP408">
        <v>0</v>
      </c>
      <c r="AR408" t="s">
        <v>1</v>
      </c>
      <c r="AT408" s="2" t="s">
        <v>0</v>
      </c>
      <c r="AU408" s="1">
        <f t="shared" si="51"/>
        <v>2.5596072123282085</v>
      </c>
      <c r="AV408" s="1">
        <f t="shared" si="52"/>
        <v>2.7159555173392329</v>
      </c>
      <c r="AW408" s="1">
        <f t="shared" si="53"/>
        <v>2.8723038223502577</v>
      </c>
    </row>
    <row r="409" spans="1:49" x14ac:dyDescent="0.2">
      <c r="A409">
        <v>407</v>
      </c>
      <c r="B409" t="s">
        <v>3518</v>
      </c>
      <c r="F409" t="s">
        <v>3517</v>
      </c>
      <c r="G409" t="s">
        <v>15</v>
      </c>
      <c r="H409" t="s">
        <v>14</v>
      </c>
      <c r="I409" t="s">
        <v>3516</v>
      </c>
      <c r="N409">
        <v>1</v>
      </c>
      <c r="O409" t="s">
        <v>3515</v>
      </c>
      <c r="P409">
        <v>6603670249</v>
      </c>
      <c r="R409" s="7">
        <v>30317</v>
      </c>
      <c r="S409" s="8">
        <f t="shared" si="48"/>
        <v>1983</v>
      </c>
      <c r="T409" s="8">
        <v>1983</v>
      </c>
      <c r="U409" s="8">
        <f t="shared" si="49"/>
        <v>39</v>
      </c>
      <c r="V409" s="7" t="s">
        <v>3347</v>
      </c>
      <c r="W409" t="s">
        <v>2341</v>
      </c>
      <c r="X409" s="2">
        <v>0.14099999999999999</v>
      </c>
      <c r="Y409" s="6">
        <f t="shared" si="54"/>
        <v>3.7639144710498915E-3</v>
      </c>
      <c r="AA409">
        <v>7252986</v>
      </c>
      <c r="AB409">
        <v>18037</v>
      </c>
      <c r="AD409" t="s">
        <v>5</v>
      </c>
      <c r="AE409">
        <v>3</v>
      </c>
      <c r="AF409">
        <v>2</v>
      </c>
      <c r="AH409" t="s">
        <v>3514</v>
      </c>
      <c r="AI409" t="s">
        <v>3513</v>
      </c>
      <c r="AK409" t="s">
        <v>3512</v>
      </c>
      <c r="AL409">
        <v>1</v>
      </c>
      <c r="AM409" s="5">
        <f t="shared" si="50"/>
        <v>2.564102564102564E-2</v>
      </c>
      <c r="AN409" s="4">
        <f t="shared" si="55"/>
        <v>3.8835328498334935E-5</v>
      </c>
      <c r="AO409" s="3"/>
      <c r="AP409">
        <v>0</v>
      </c>
      <c r="AR409" t="s">
        <v>1</v>
      </c>
      <c r="AT409" s="2" t="s">
        <v>0</v>
      </c>
      <c r="AU409" s="1">
        <f t="shared" si="51"/>
        <v>0.26463907282844246</v>
      </c>
      <c r="AV409" s="1">
        <f t="shared" si="52"/>
        <v>0.19013748997741131</v>
      </c>
      <c r="AW409" s="1">
        <f t="shared" si="53"/>
        <v>0.11563590712638018</v>
      </c>
    </row>
    <row r="410" spans="1:49" x14ac:dyDescent="0.2">
      <c r="A410">
        <v>408</v>
      </c>
      <c r="B410" t="s">
        <v>3511</v>
      </c>
      <c r="F410" t="s">
        <v>3510</v>
      </c>
      <c r="G410" t="s">
        <v>15</v>
      </c>
      <c r="H410" t="s">
        <v>14</v>
      </c>
      <c r="I410" t="s">
        <v>3509</v>
      </c>
      <c r="N410">
        <v>3</v>
      </c>
      <c r="O410" t="s">
        <v>3508</v>
      </c>
      <c r="P410" t="s">
        <v>3507</v>
      </c>
      <c r="Q410" t="s">
        <v>510</v>
      </c>
      <c r="R410" s="7">
        <v>30317</v>
      </c>
      <c r="S410" s="8">
        <f t="shared" si="48"/>
        <v>1983</v>
      </c>
      <c r="T410" s="8">
        <v>1983</v>
      </c>
      <c r="U410" s="8">
        <f t="shared" si="49"/>
        <v>39</v>
      </c>
      <c r="V410" s="7" t="s">
        <v>3347</v>
      </c>
      <c r="W410" t="s">
        <v>3506</v>
      </c>
      <c r="X410" s="2" t="s">
        <v>0</v>
      </c>
      <c r="Y410" s="6" t="e">
        <f t="shared" si="54"/>
        <v>#VALUE!</v>
      </c>
      <c r="AA410">
        <v>262897</v>
      </c>
      <c r="AB410">
        <v>18580</v>
      </c>
      <c r="AD410" t="s">
        <v>5</v>
      </c>
      <c r="AE410">
        <v>26</v>
      </c>
      <c r="AF410">
        <v>6</v>
      </c>
      <c r="AI410" t="s">
        <v>3505</v>
      </c>
      <c r="AK410" t="s">
        <v>3504</v>
      </c>
      <c r="AL410">
        <v>1</v>
      </c>
      <c r="AM410" s="5">
        <f t="shared" si="50"/>
        <v>2.564102564102564E-2</v>
      </c>
      <c r="AN410" s="4">
        <f t="shared" si="55"/>
        <v>3.8835328498334935E-5</v>
      </c>
      <c r="AO410" s="3"/>
      <c r="AP410">
        <v>0</v>
      </c>
      <c r="AR410" t="s">
        <v>1</v>
      </c>
      <c r="AT410" s="2">
        <v>0.30599999999999999</v>
      </c>
      <c r="AU410" s="1" t="e">
        <f t="shared" si="51"/>
        <v>#VALUE!</v>
      </c>
      <c r="AV410" s="1" t="e">
        <f t="shared" si="52"/>
        <v>#VALUE!</v>
      </c>
      <c r="AW410" s="1" t="e">
        <f t="shared" si="53"/>
        <v>#VALUE!</v>
      </c>
    </row>
    <row r="411" spans="1:49" x14ac:dyDescent="0.2">
      <c r="A411">
        <v>409</v>
      </c>
      <c r="B411" t="s">
        <v>3503</v>
      </c>
      <c r="F411" t="s">
        <v>3502</v>
      </c>
      <c r="G411" t="s">
        <v>15</v>
      </c>
      <c r="H411" t="s">
        <v>14</v>
      </c>
      <c r="I411" t="s">
        <v>3501</v>
      </c>
      <c r="N411">
        <v>1</v>
      </c>
      <c r="O411" t="s">
        <v>3500</v>
      </c>
      <c r="P411">
        <v>6701748433</v>
      </c>
      <c r="R411" s="7">
        <v>30317</v>
      </c>
      <c r="S411" s="8">
        <f t="shared" si="48"/>
        <v>1983</v>
      </c>
      <c r="T411" s="8">
        <v>1983</v>
      </c>
      <c r="U411" s="8">
        <f t="shared" si="49"/>
        <v>39</v>
      </c>
      <c r="V411" s="7" t="s">
        <v>3347</v>
      </c>
      <c r="W411" t="s">
        <v>3499</v>
      </c>
      <c r="X411" s="2" t="s">
        <v>0</v>
      </c>
      <c r="Y411" s="6" t="e">
        <f t="shared" si="54"/>
        <v>#VALUE!</v>
      </c>
      <c r="AA411">
        <v>320145</v>
      </c>
      <c r="AB411">
        <v>37846</v>
      </c>
      <c r="AD411" t="s">
        <v>5</v>
      </c>
      <c r="AE411">
        <v>58</v>
      </c>
      <c r="AF411">
        <v>6</v>
      </c>
      <c r="AI411" t="s">
        <v>3498</v>
      </c>
      <c r="AK411" t="s">
        <v>3497</v>
      </c>
      <c r="AL411">
        <v>0</v>
      </c>
      <c r="AM411" s="5">
        <f t="shared" si="50"/>
        <v>0</v>
      </c>
      <c r="AN411" s="4">
        <f t="shared" si="55"/>
        <v>0</v>
      </c>
      <c r="AO411" s="3"/>
      <c r="AP411">
        <v>0</v>
      </c>
      <c r="AR411" t="s">
        <v>1</v>
      </c>
      <c r="AT411" s="2" t="s">
        <v>0</v>
      </c>
      <c r="AU411" s="1" t="e">
        <f t="shared" si="51"/>
        <v>#VALUE!</v>
      </c>
      <c r="AV411" s="1" t="e">
        <f t="shared" si="52"/>
        <v>#VALUE!</v>
      </c>
      <c r="AW411" s="1" t="e">
        <f t="shared" si="53"/>
        <v>#VALUE!</v>
      </c>
    </row>
    <row r="412" spans="1:49" x14ac:dyDescent="0.2">
      <c r="A412">
        <v>410</v>
      </c>
      <c r="B412" t="s">
        <v>3496</v>
      </c>
      <c r="C412" t="s">
        <v>3495</v>
      </c>
      <c r="F412" t="s">
        <v>3494</v>
      </c>
      <c r="G412" t="s">
        <v>15</v>
      </c>
      <c r="H412" t="s">
        <v>14</v>
      </c>
      <c r="I412" t="s">
        <v>3493</v>
      </c>
      <c r="N412">
        <v>2</v>
      </c>
      <c r="O412" t="s">
        <v>3492</v>
      </c>
      <c r="P412" t="s">
        <v>3491</v>
      </c>
      <c r="Q412" t="s">
        <v>342</v>
      </c>
      <c r="R412" s="7">
        <v>30317</v>
      </c>
      <c r="S412" s="8">
        <f t="shared" si="48"/>
        <v>1983</v>
      </c>
      <c r="T412" s="8">
        <v>1983</v>
      </c>
      <c r="U412" s="8">
        <f t="shared" si="49"/>
        <v>39</v>
      </c>
      <c r="V412" s="7">
        <v>30468</v>
      </c>
      <c r="W412" t="s">
        <v>1347</v>
      </c>
      <c r="X412" s="2">
        <v>1.468</v>
      </c>
      <c r="Y412" s="6">
        <f t="shared" si="54"/>
        <v>3.9187421585115186E-2</v>
      </c>
      <c r="AA412">
        <v>906778</v>
      </c>
      <c r="AB412">
        <v>18931</v>
      </c>
      <c r="AD412" t="s">
        <v>5</v>
      </c>
      <c r="AE412">
        <v>31</v>
      </c>
      <c r="AF412">
        <v>6</v>
      </c>
      <c r="AH412" t="s">
        <v>3490</v>
      </c>
      <c r="AI412" t="s">
        <v>3489</v>
      </c>
      <c r="AK412" t="s">
        <v>3488</v>
      </c>
      <c r="AL412">
        <v>13</v>
      </c>
      <c r="AM412" s="5">
        <f t="shared" si="50"/>
        <v>0.33333333333333331</v>
      </c>
      <c r="AN412" s="4">
        <f t="shared" si="55"/>
        <v>5.048592704783541E-4</v>
      </c>
      <c r="AO412" s="3"/>
      <c r="AP412">
        <v>0</v>
      </c>
      <c r="AR412" t="s">
        <v>1</v>
      </c>
      <c r="AT412" s="2">
        <v>5.0830000000000002</v>
      </c>
      <c r="AU412" s="1">
        <f t="shared" si="51"/>
        <v>2.7582652890724133</v>
      </c>
      <c r="AV412" s="1">
        <f t="shared" si="52"/>
        <v>1.9846140427796768</v>
      </c>
      <c r="AW412" s="1">
        <f t="shared" si="53"/>
        <v>1.2109627964869405</v>
      </c>
    </row>
    <row r="413" spans="1:49" x14ac:dyDescent="0.2">
      <c r="A413">
        <v>411</v>
      </c>
      <c r="B413" t="s">
        <v>3487</v>
      </c>
      <c r="C413" t="s">
        <v>3486</v>
      </c>
      <c r="F413" t="s">
        <v>3485</v>
      </c>
      <c r="G413" t="s">
        <v>15</v>
      </c>
      <c r="H413" t="s">
        <v>14</v>
      </c>
      <c r="I413" t="s">
        <v>3484</v>
      </c>
      <c r="N413">
        <v>3</v>
      </c>
      <c r="O413" t="s">
        <v>3483</v>
      </c>
      <c r="P413" t="s">
        <v>3482</v>
      </c>
      <c r="Q413" t="s">
        <v>510</v>
      </c>
      <c r="R413" s="7">
        <v>30317</v>
      </c>
      <c r="S413" s="8">
        <f t="shared" si="48"/>
        <v>1983</v>
      </c>
      <c r="T413" s="8">
        <v>1983</v>
      </c>
      <c r="U413" s="8">
        <f t="shared" si="49"/>
        <v>39</v>
      </c>
      <c r="V413" s="7" t="s">
        <v>3347</v>
      </c>
      <c r="W413" s="11" t="s">
        <v>1587</v>
      </c>
      <c r="X413" s="2">
        <v>2.383</v>
      </c>
      <c r="Y413" s="6">
        <f t="shared" si="54"/>
        <v>6.3612824003630442E-2</v>
      </c>
      <c r="AA413">
        <v>1437097</v>
      </c>
      <c r="AB413">
        <v>101236</v>
      </c>
      <c r="AD413" t="s">
        <v>5</v>
      </c>
      <c r="AE413">
        <v>130</v>
      </c>
      <c r="AF413">
        <v>4</v>
      </c>
      <c r="AH413" t="s">
        <v>3481</v>
      </c>
      <c r="AI413" t="s">
        <v>3480</v>
      </c>
      <c r="AK413" t="s">
        <v>3479</v>
      </c>
      <c r="AL413">
        <v>5</v>
      </c>
      <c r="AM413" s="5">
        <f t="shared" si="50"/>
        <v>0.12820512820512819</v>
      </c>
      <c r="AN413" s="4">
        <f t="shared" si="55"/>
        <v>1.9417664249167467E-4</v>
      </c>
      <c r="AO413" s="3"/>
      <c r="AP413">
        <v>0</v>
      </c>
      <c r="AR413" t="s">
        <v>1</v>
      </c>
      <c r="AT413" s="2" t="s">
        <v>0</v>
      </c>
      <c r="AU413" s="1">
        <f t="shared" si="51"/>
        <v>4.458722979528881</v>
      </c>
      <c r="AV413" s="1">
        <f t="shared" si="52"/>
        <v>3.1903500323061058</v>
      </c>
      <c r="AW413" s="1">
        <f t="shared" si="53"/>
        <v>1.9219770850833304</v>
      </c>
    </row>
    <row r="414" spans="1:49" x14ac:dyDescent="0.2">
      <c r="A414">
        <v>412</v>
      </c>
      <c r="B414" t="s">
        <v>3478</v>
      </c>
      <c r="C414" t="s">
        <v>3477</v>
      </c>
      <c r="F414" t="s">
        <v>3476</v>
      </c>
      <c r="G414" t="s">
        <v>15</v>
      </c>
      <c r="H414" t="s">
        <v>14</v>
      </c>
      <c r="I414" t="s">
        <v>3475</v>
      </c>
      <c r="J414">
        <v>60006448</v>
      </c>
      <c r="K414" t="s">
        <v>3474</v>
      </c>
      <c r="L414" t="s">
        <v>3473</v>
      </c>
      <c r="M414" t="s">
        <v>3472</v>
      </c>
      <c r="N414">
        <v>1</v>
      </c>
      <c r="O414" t="s">
        <v>3471</v>
      </c>
      <c r="P414">
        <v>6603932305</v>
      </c>
      <c r="Q414">
        <v>60006448</v>
      </c>
      <c r="R414" s="7">
        <v>30317</v>
      </c>
      <c r="S414" s="8">
        <f t="shared" si="48"/>
        <v>1983</v>
      </c>
      <c r="T414" s="8">
        <v>1983</v>
      </c>
      <c r="U414" s="8">
        <f t="shared" si="49"/>
        <v>39</v>
      </c>
      <c r="V414" s="7">
        <v>30468</v>
      </c>
      <c r="W414" t="s">
        <v>1566</v>
      </c>
      <c r="X414" s="2">
        <v>0.251</v>
      </c>
      <c r="Y414" s="6">
        <f t="shared" si="54"/>
        <v>6.7003016470462617E-3</v>
      </c>
      <c r="AA414">
        <v>207217</v>
      </c>
      <c r="AB414">
        <v>26145</v>
      </c>
      <c r="AC414">
        <v>13623060</v>
      </c>
      <c r="AD414" t="s">
        <v>5</v>
      </c>
      <c r="AE414">
        <v>54</v>
      </c>
      <c r="AF414">
        <v>6</v>
      </c>
      <c r="AH414" t="s">
        <v>3470</v>
      </c>
      <c r="AI414" t="s">
        <v>3469</v>
      </c>
      <c r="AK414" t="s">
        <v>3468</v>
      </c>
      <c r="AL414">
        <v>17</v>
      </c>
      <c r="AM414" s="5">
        <f t="shared" si="50"/>
        <v>0.4358974358974359</v>
      </c>
      <c r="AN414" s="4">
        <f t="shared" si="55"/>
        <v>6.6020058447169392E-4</v>
      </c>
      <c r="AO414" s="3"/>
      <c r="AP414">
        <v>0</v>
      </c>
      <c r="AR414" t="s">
        <v>1</v>
      </c>
      <c r="AT414" s="2">
        <v>1.3360000000000001</v>
      </c>
      <c r="AU414" s="1">
        <f t="shared" si="51"/>
        <v>0.4888271328273891</v>
      </c>
      <c r="AV414" s="1">
        <f t="shared" si="52"/>
        <v>0.36802511157589779</v>
      </c>
      <c r="AW414" s="1">
        <f t="shared" si="53"/>
        <v>0.2472230903244064</v>
      </c>
    </row>
    <row r="415" spans="1:49" x14ac:dyDescent="0.2">
      <c r="A415">
        <v>413</v>
      </c>
      <c r="B415" t="s">
        <v>3467</v>
      </c>
      <c r="C415" t="s">
        <v>3466</v>
      </c>
      <c r="F415" t="s">
        <v>3465</v>
      </c>
      <c r="G415" t="s">
        <v>15</v>
      </c>
      <c r="H415" t="s">
        <v>14</v>
      </c>
      <c r="I415" t="s">
        <v>3464</v>
      </c>
      <c r="J415">
        <v>60013372</v>
      </c>
      <c r="K415" t="s">
        <v>312</v>
      </c>
      <c r="L415" t="s">
        <v>311</v>
      </c>
      <c r="M415" t="s">
        <v>10</v>
      </c>
      <c r="N415">
        <v>3</v>
      </c>
      <c r="O415" t="s">
        <v>3463</v>
      </c>
      <c r="P415" t="s">
        <v>3462</v>
      </c>
      <c r="Q415" t="s">
        <v>1730</v>
      </c>
      <c r="R415" s="7">
        <v>30317</v>
      </c>
      <c r="S415" s="8">
        <f t="shared" ref="S415:S478" si="56">YEAR(R415)</f>
        <v>1983</v>
      </c>
      <c r="T415" s="8">
        <v>1983</v>
      </c>
      <c r="U415" s="8">
        <f t="shared" ref="U415:U478" si="57">2022-T415</f>
        <v>39</v>
      </c>
      <c r="V415" s="7">
        <v>30468</v>
      </c>
      <c r="W415" t="s">
        <v>2163</v>
      </c>
      <c r="X415" s="2">
        <v>0.46</v>
      </c>
      <c r="Y415" s="6">
        <f t="shared" si="54"/>
        <v>1.2279437281439364E-2</v>
      </c>
      <c r="AA415">
        <v>933813</v>
      </c>
      <c r="AB415">
        <v>28031</v>
      </c>
      <c r="AC415">
        <v>19399375</v>
      </c>
      <c r="AD415" t="s">
        <v>5</v>
      </c>
      <c r="AE415">
        <v>11</v>
      </c>
      <c r="AF415">
        <v>2</v>
      </c>
      <c r="AH415" t="s">
        <v>3461</v>
      </c>
      <c r="AI415" t="s">
        <v>3460</v>
      </c>
      <c r="AK415" t="s">
        <v>3459</v>
      </c>
      <c r="AL415">
        <v>1</v>
      </c>
      <c r="AM415" s="5">
        <f t="shared" ref="AM415:AM478" si="58">AL415/U415</f>
        <v>2.564102564102564E-2</v>
      </c>
      <c r="AN415" s="4">
        <f t="shared" si="55"/>
        <v>3.8835328498334935E-5</v>
      </c>
      <c r="AO415" s="3"/>
      <c r="AP415">
        <v>0</v>
      </c>
      <c r="AR415" t="s">
        <v>1</v>
      </c>
      <c r="AT415" s="2">
        <v>1.222</v>
      </c>
      <c r="AU415" s="1">
        <f t="shared" ref="AU415:AU478" si="59">(Y415*0.7+AN415*0.3)*100</f>
        <v>0.8607256695557054</v>
      </c>
      <c r="AV415" s="1">
        <f t="shared" ref="AV415:AV478" si="60">(Y415*0.5+AN415*0.5)*100</f>
        <v>0.61591363049688497</v>
      </c>
      <c r="AW415" s="1">
        <f t="shared" ref="AW415:AW478" si="61">(Y415*0.3+AN415*0.7)*100</f>
        <v>0.37110159143806437</v>
      </c>
    </row>
    <row r="416" spans="1:49" x14ac:dyDescent="0.2">
      <c r="A416">
        <v>414</v>
      </c>
      <c r="B416" t="s">
        <v>3458</v>
      </c>
      <c r="C416" t="s">
        <v>3457</v>
      </c>
      <c r="F416" t="s">
        <v>3456</v>
      </c>
      <c r="G416" t="s">
        <v>15</v>
      </c>
      <c r="H416" t="s">
        <v>14</v>
      </c>
      <c r="I416" t="s">
        <v>3455</v>
      </c>
      <c r="J416">
        <v>60020585</v>
      </c>
      <c r="K416" t="s">
        <v>3454</v>
      </c>
      <c r="L416" t="s">
        <v>3453</v>
      </c>
      <c r="M416" t="s">
        <v>3452</v>
      </c>
      <c r="N416">
        <v>1</v>
      </c>
      <c r="O416" t="s">
        <v>3451</v>
      </c>
      <c r="P416">
        <v>7005722470</v>
      </c>
      <c r="Q416">
        <v>60020585</v>
      </c>
      <c r="R416" s="7">
        <v>30317</v>
      </c>
      <c r="S416" s="8">
        <f t="shared" si="56"/>
        <v>1983</v>
      </c>
      <c r="T416" s="8">
        <v>1983</v>
      </c>
      <c r="U416" s="8">
        <f t="shared" si="57"/>
        <v>39</v>
      </c>
      <c r="V416" s="7">
        <v>30468</v>
      </c>
      <c r="W416" t="s">
        <v>2613</v>
      </c>
      <c r="X416" s="2">
        <v>1.6379999999999999</v>
      </c>
      <c r="Y416" s="6">
        <f t="shared" si="54"/>
        <v>4.3725474493473214E-2</v>
      </c>
      <c r="AA416">
        <v>963518</v>
      </c>
      <c r="AB416">
        <v>31560</v>
      </c>
      <c r="AD416" t="s">
        <v>5</v>
      </c>
      <c r="AE416">
        <v>31</v>
      </c>
      <c r="AF416">
        <v>3</v>
      </c>
      <c r="AH416" t="s">
        <v>3450</v>
      </c>
      <c r="AI416" t="s">
        <v>3449</v>
      </c>
      <c r="AK416" t="s">
        <v>3448</v>
      </c>
      <c r="AL416">
        <v>4</v>
      </c>
      <c r="AM416" s="5">
        <f t="shared" si="58"/>
        <v>0.10256410256410256</v>
      </c>
      <c r="AN416" s="4">
        <f t="shared" si="55"/>
        <v>1.5534131399333974E-4</v>
      </c>
      <c r="AO416" s="3"/>
      <c r="AP416">
        <v>0</v>
      </c>
      <c r="AR416" t="s">
        <v>1</v>
      </c>
      <c r="AT416" s="2" t="s">
        <v>0</v>
      </c>
      <c r="AU416" s="1">
        <f t="shared" si="59"/>
        <v>3.0654434539629247</v>
      </c>
      <c r="AV416" s="1">
        <f t="shared" si="60"/>
        <v>2.1940407903733279</v>
      </c>
      <c r="AW416" s="1">
        <f t="shared" si="61"/>
        <v>1.3226381267837302</v>
      </c>
    </row>
    <row r="417" spans="1:49" x14ac:dyDescent="0.2">
      <c r="A417">
        <v>415</v>
      </c>
      <c r="B417" t="s">
        <v>3447</v>
      </c>
      <c r="C417" t="s">
        <v>3446</v>
      </c>
      <c r="F417" t="s">
        <v>3445</v>
      </c>
      <c r="G417" t="s">
        <v>15</v>
      </c>
      <c r="H417" t="s">
        <v>14</v>
      </c>
      <c r="I417" t="s">
        <v>3444</v>
      </c>
      <c r="J417">
        <v>60194543</v>
      </c>
      <c r="K417" t="s">
        <v>3443</v>
      </c>
      <c r="L417" t="s">
        <v>3442</v>
      </c>
      <c r="M417" t="s">
        <v>55</v>
      </c>
      <c r="N417">
        <v>1</v>
      </c>
      <c r="O417" t="s">
        <v>3441</v>
      </c>
      <c r="P417">
        <v>7201750560</v>
      </c>
      <c r="Q417">
        <v>60194543</v>
      </c>
      <c r="R417" s="7">
        <v>30317</v>
      </c>
      <c r="S417" s="8">
        <f t="shared" si="56"/>
        <v>1983</v>
      </c>
      <c r="T417" s="8">
        <v>1983</v>
      </c>
      <c r="U417" s="8">
        <f t="shared" si="57"/>
        <v>39</v>
      </c>
      <c r="V417" s="7">
        <v>30468</v>
      </c>
      <c r="W417" t="s">
        <v>1566</v>
      </c>
      <c r="X417" s="2">
        <v>0.251</v>
      </c>
      <c r="Y417" s="6">
        <f t="shared" si="54"/>
        <v>6.7003016470462617E-3</v>
      </c>
      <c r="AA417">
        <v>207217</v>
      </c>
      <c r="AB417">
        <v>26145</v>
      </c>
      <c r="AC417">
        <v>13623060</v>
      </c>
      <c r="AD417" t="s">
        <v>5</v>
      </c>
      <c r="AE417">
        <v>54</v>
      </c>
      <c r="AF417">
        <v>6</v>
      </c>
      <c r="AH417" t="s">
        <v>3440</v>
      </c>
      <c r="AI417" t="s">
        <v>3439</v>
      </c>
      <c r="AK417" t="s">
        <v>3438</v>
      </c>
      <c r="AL417">
        <v>0</v>
      </c>
      <c r="AM417" s="5">
        <f t="shared" si="58"/>
        <v>0</v>
      </c>
      <c r="AN417" s="4">
        <f t="shared" si="55"/>
        <v>0</v>
      </c>
      <c r="AO417" s="3"/>
      <c r="AP417">
        <v>0</v>
      </c>
      <c r="AR417" t="s">
        <v>1</v>
      </c>
      <c r="AT417" s="2">
        <v>1.3360000000000001</v>
      </c>
      <c r="AU417" s="1">
        <f t="shared" si="59"/>
        <v>0.46902111529323826</v>
      </c>
      <c r="AV417" s="1">
        <f t="shared" si="60"/>
        <v>0.33501508235231309</v>
      </c>
      <c r="AW417" s="1">
        <f t="shared" si="61"/>
        <v>0.20100904941138784</v>
      </c>
    </row>
    <row r="418" spans="1:49" x14ac:dyDescent="0.2">
      <c r="A418">
        <v>416</v>
      </c>
      <c r="B418" t="s">
        <v>3437</v>
      </c>
      <c r="C418" t="s">
        <v>3436</v>
      </c>
      <c r="F418" t="s">
        <v>3435</v>
      </c>
      <c r="G418" t="s">
        <v>15</v>
      </c>
      <c r="H418" t="s">
        <v>14</v>
      </c>
      <c r="I418" t="s">
        <v>1831</v>
      </c>
      <c r="N418">
        <v>1</v>
      </c>
      <c r="O418" t="s">
        <v>3434</v>
      </c>
      <c r="P418">
        <v>7003406984</v>
      </c>
      <c r="R418" s="7">
        <v>30317</v>
      </c>
      <c r="S418" s="8">
        <f t="shared" si="56"/>
        <v>1983</v>
      </c>
      <c r="T418" s="8">
        <v>1983</v>
      </c>
      <c r="U418" s="8">
        <f t="shared" si="57"/>
        <v>39</v>
      </c>
      <c r="V418" s="7" t="s">
        <v>3347</v>
      </c>
      <c r="W418" s="11" t="s">
        <v>1587</v>
      </c>
      <c r="X418" s="2">
        <v>2.383</v>
      </c>
      <c r="Y418" s="6">
        <f t="shared" si="54"/>
        <v>6.3612824003630442E-2</v>
      </c>
      <c r="AA418">
        <v>1437097</v>
      </c>
      <c r="AB418">
        <v>101236</v>
      </c>
      <c r="AD418" t="s">
        <v>5</v>
      </c>
      <c r="AE418">
        <v>130</v>
      </c>
      <c r="AF418">
        <v>4</v>
      </c>
      <c r="AH418" t="s">
        <v>3393</v>
      </c>
      <c r="AI418" t="s">
        <v>3433</v>
      </c>
      <c r="AK418" t="s">
        <v>3432</v>
      </c>
      <c r="AL418">
        <v>15</v>
      </c>
      <c r="AM418" s="5">
        <f t="shared" si="58"/>
        <v>0.38461538461538464</v>
      </c>
      <c r="AN418" s="4">
        <f t="shared" si="55"/>
        <v>5.8252992747502411E-4</v>
      </c>
      <c r="AO418" s="3"/>
      <c r="AP418">
        <v>0</v>
      </c>
      <c r="AR418" t="s">
        <v>1</v>
      </c>
      <c r="AT418" s="2" t="s">
        <v>0</v>
      </c>
      <c r="AU418" s="1">
        <f t="shared" si="59"/>
        <v>4.4703735780783811</v>
      </c>
      <c r="AV418" s="1">
        <f t="shared" si="60"/>
        <v>3.2097676965552733</v>
      </c>
      <c r="AW418" s="1">
        <f t="shared" si="61"/>
        <v>1.949161815032165</v>
      </c>
    </row>
    <row r="419" spans="1:49" x14ac:dyDescent="0.2">
      <c r="A419">
        <v>417</v>
      </c>
      <c r="B419" t="s">
        <v>3431</v>
      </c>
      <c r="F419" t="s">
        <v>3430</v>
      </c>
      <c r="G419" t="s">
        <v>15</v>
      </c>
      <c r="H419" t="s">
        <v>14</v>
      </c>
      <c r="I419" t="s">
        <v>1569</v>
      </c>
      <c r="N419">
        <v>2</v>
      </c>
      <c r="O419" t="s">
        <v>3429</v>
      </c>
      <c r="P419" t="s">
        <v>3428</v>
      </c>
      <c r="Q419" t="s">
        <v>342</v>
      </c>
      <c r="R419" s="7">
        <v>30317</v>
      </c>
      <c r="S419" s="8">
        <f t="shared" si="56"/>
        <v>1983</v>
      </c>
      <c r="T419" s="8">
        <v>1983</v>
      </c>
      <c r="U419" s="8">
        <f t="shared" si="57"/>
        <v>39</v>
      </c>
      <c r="V419" s="7" t="s">
        <v>3347</v>
      </c>
      <c r="W419" t="s">
        <v>1519</v>
      </c>
      <c r="X419" s="2" t="s">
        <v>0</v>
      </c>
      <c r="Y419" s="6" t="e">
        <f t="shared" si="54"/>
        <v>#VALUE!</v>
      </c>
      <c r="AA419" t="s">
        <v>1518</v>
      </c>
      <c r="AB419">
        <v>30906</v>
      </c>
      <c r="AD419" t="s">
        <v>5</v>
      </c>
      <c r="AE419" t="s">
        <v>1517</v>
      </c>
      <c r="AF419">
        <v>6</v>
      </c>
      <c r="AH419" t="s">
        <v>3427</v>
      </c>
      <c r="AI419" t="s">
        <v>3426</v>
      </c>
      <c r="AK419" t="s">
        <v>3425</v>
      </c>
      <c r="AL419">
        <v>4</v>
      </c>
      <c r="AM419" s="5">
        <f t="shared" si="58"/>
        <v>0.10256410256410256</v>
      </c>
      <c r="AN419" s="4">
        <f t="shared" si="55"/>
        <v>1.5534131399333974E-4</v>
      </c>
      <c r="AO419" s="3"/>
      <c r="AP419">
        <v>0</v>
      </c>
      <c r="AR419" t="s">
        <v>1</v>
      </c>
      <c r="AT419" s="2" t="s">
        <v>0</v>
      </c>
      <c r="AU419" s="1" t="e">
        <f t="shared" si="59"/>
        <v>#VALUE!</v>
      </c>
      <c r="AV419" s="1" t="e">
        <f t="shared" si="60"/>
        <v>#VALUE!</v>
      </c>
      <c r="AW419" s="1" t="e">
        <f t="shared" si="61"/>
        <v>#VALUE!</v>
      </c>
    </row>
    <row r="420" spans="1:49" x14ac:dyDescent="0.2">
      <c r="A420">
        <v>418</v>
      </c>
      <c r="B420" t="s">
        <v>3424</v>
      </c>
      <c r="C420" t="s">
        <v>3423</v>
      </c>
      <c r="F420" t="s">
        <v>3422</v>
      </c>
      <c r="G420" t="s">
        <v>15</v>
      </c>
      <c r="H420" t="s">
        <v>14</v>
      </c>
      <c r="I420" t="s">
        <v>3421</v>
      </c>
      <c r="J420">
        <v>60006168</v>
      </c>
      <c r="K420" t="s">
        <v>3420</v>
      </c>
      <c r="L420" t="s">
        <v>3419</v>
      </c>
      <c r="M420" t="s">
        <v>10</v>
      </c>
      <c r="N420">
        <v>1</v>
      </c>
      <c r="O420" t="s">
        <v>3418</v>
      </c>
      <c r="P420">
        <v>7006423636</v>
      </c>
      <c r="Q420">
        <v>60006168</v>
      </c>
      <c r="R420" s="7">
        <v>30317</v>
      </c>
      <c r="S420" s="8">
        <f t="shared" si="56"/>
        <v>1983</v>
      </c>
      <c r="T420" s="8">
        <v>1983</v>
      </c>
      <c r="U420" s="8">
        <f t="shared" si="57"/>
        <v>39</v>
      </c>
      <c r="V420" s="7" t="s">
        <v>3417</v>
      </c>
      <c r="W420" t="s">
        <v>3416</v>
      </c>
      <c r="X420" s="2" t="s">
        <v>0</v>
      </c>
      <c r="Y420" s="6" t="e">
        <f t="shared" si="54"/>
        <v>#VALUE!</v>
      </c>
      <c r="AA420">
        <v>281522</v>
      </c>
      <c r="AB420">
        <v>12174</v>
      </c>
      <c r="AC420">
        <v>21614296</v>
      </c>
      <c r="AD420" t="s">
        <v>5</v>
      </c>
      <c r="AE420">
        <v>30</v>
      </c>
      <c r="AF420">
        <v>2</v>
      </c>
      <c r="AH420" t="s">
        <v>3415</v>
      </c>
      <c r="AI420" t="s">
        <v>3414</v>
      </c>
      <c r="AK420" t="s">
        <v>3413</v>
      </c>
      <c r="AL420">
        <v>0</v>
      </c>
      <c r="AM420" s="5">
        <f t="shared" si="58"/>
        <v>0</v>
      </c>
      <c r="AN420" s="4">
        <f t="shared" si="55"/>
        <v>0</v>
      </c>
      <c r="AO420" s="3"/>
      <c r="AP420">
        <v>0</v>
      </c>
      <c r="AR420" t="s">
        <v>1</v>
      </c>
      <c r="AT420" s="2" t="s">
        <v>0</v>
      </c>
      <c r="AU420" s="1" t="e">
        <f t="shared" si="59"/>
        <v>#VALUE!</v>
      </c>
      <c r="AV420" s="1" t="e">
        <f t="shared" si="60"/>
        <v>#VALUE!</v>
      </c>
      <c r="AW420" s="1" t="e">
        <f t="shared" si="61"/>
        <v>#VALUE!</v>
      </c>
    </row>
    <row r="421" spans="1:49" x14ac:dyDescent="0.2">
      <c r="A421">
        <v>419</v>
      </c>
      <c r="B421" t="s">
        <v>3412</v>
      </c>
      <c r="C421" t="s">
        <v>3411</v>
      </c>
      <c r="F421" t="s">
        <v>3410</v>
      </c>
      <c r="G421" t="s">
        <v>15</v>
      </c>
      <c r="H421" t="s">
        <v>14</v>
      </c>
      <c r="I421" t="s">
        <v>3409</v>
      </c>
      <c r="J421" t="s">
        <v>3408</v>
      </c>
      <c r="K421" t="s">
        <v>3407</v>
      </c>
      <c r="L421" t="s">
        <v>3406</v>
      </c>
      <c r="M421" t="s">
        <v>3243</v>
      </c>
      <c r="N421">
        <v>2</v>
      </c>
      <c r="O421" t="s">
        <v>3405</v>
      </c>
      <c r="P421" t="s">
        <v>3404</v>
      </c>
      <c r="Q421" t="s">
        <v>3403</v>
      </c>
      <c r="R421" s="7">
        <v>30317</v>
      </c>
      <c r="S421" s="8">
        <f t="shared" si="56"/>
        <v>1983</v>
      </c>
      <c r="T421" s="8">
        <v>1983</v>
      </c>
      <c r="U421" s="8">
        <f t="shared" si="57"/>
        <v>39</v>
      </c>
      <c r="V421" s="7">
        <v>1983</v>
      </c>
      <c r="W421" t="s">
        <v>227</v>
      </c>
      <c r="X421" s="2">
        <v>0.111</v>
      </c>
      <c r="Y421" s="6">
        <f t="shared" si="54"/>
        <v>2.9630816048690639E-3</v>
      </c>
      <c r="AA421">
        <v>87566621</v>
      </c>
      <c r="AB421">
        <v>24890</v>
      </c>
      <c r="AC421">
        <v>15206424</v>
      </c>
      <c r="AD421" t="s">
        <v>5</v>
      </c>
      <c r="AE421">
        <v>66</v>
      </c>
      <c r="AF421">
        <v>6</v>
      </c>
      <c r="AH421" t="s">
        <v>3402</v>
      </c>
      <c r="AI421" t="s">
        <v>3401</v>
      </c>
      <c r="AK421" t="s">
        <v>3400</v>
      </c>
      <c r="AL421">
        <v>1</v>
      </c>
      <c r="AM421" s="5">
        <f t="shared" si="58"/>
        <v>2.564102564102564E-2</v>
      </c>
      <c r="AN421" s="4">
        <f t="shared" si="55"/>
        <v>3.8835328498334935E-5</v>
      </c>
      <c r="AO421" s="3"/>
      <c r="AP421">
        <v>0</v>
      </c>
      <c r="AR421" t="s">
        <v>1</v>
      </c>
      <c r="AT421" s="2" t="s">
        <v>0</v>
      </c>
      <c r="AU421" s="1">
        <f t="shared" si="59"/>
        <v>0.2085807721957845</v>
      </c>
      <c r="AV421" s="1">
        <f t="shared" si="60"/>
        <v>0.15009584666836995</v>
      </c>
      <c r="AW421" s="1">
        <f t="shared" si="61"/>
        <v>9.1610921140955356E-2</v>
      </c>
    </row>
    <row r="422" spans="1:49" x14ac:dyDescent="0.2">
      <c r="A422">
        <v>420</v>
      </c>
      <c r="B422" t="s">
        <v>3399</v>
      </c>
      <c r="C422" t="s">
        <v>3398</v>
      </c>
      <c r="F422" t="s">
        <v>3397</v>
      </c>
      <c r="G422" t="s">
        <v>15</v>
      </c>
      <c r="H422" t="s">
        <v>14</v>
      </c>
      <c r="I422" t="s">
        <v>3396</v>
      </c>
      <c r="N422">
        <v>2</v>
      </c>
      <c r="O422" t="s">
        <v>3395</v>
      </c>
      <c r="P422" t="s">
        <v>3394</v>
      </c>
      <c r="Q422" t="s">
        <v>342</v>
      </c>
      <c r="R422" s="7">
        <v>30317</v>
      </c>
      <c r="S422" s="8">
        <f t="shared" si="56"/>
        <v>1983</v>
      </c>
      <c r="T422" s="8">
        <v>1983</v>
      </c>
      <c r="U422" s="8">
        <f t="shared" si="57"/>
        <v>39</v>
      </c>
      <c r="V422" s="7" t="s">
        <v>3347</v>
      </c>
      <c r="W422" t="s">
        <v>798</v>
      </c>
      <c r="X422" s="2">
        <v>0.218</v>
      </c>
      <c r="Y422" s="6">
        <f t="shared" si="54"/>
        <v>5.8193854942473512E-3</v>
      </c>
      <c r="AA422">
        <v>3772063</v>
      </c>
      <c r="AB422">
        <v>130012</v>
      </c>
      <c r="AD422" t="s">
        <v>5</v>
      </c>
      <c r="AE422">
        <v>29</v>
      </c>
      <c r="AF422">
        <v>6</v>
      </c>
      <c r="AH422" t="s">
        <v>3393</v>
      </c>
      <c r="AI422" t="s">
        <v>3392</v>
      </c>
      <c r="AK422" t="s">
        <v>3391</v>
      </c>
      <c r="AL422">
        <v>0</v>
      </c>
      <c r="AM422" s="5">
        <f t="shared" si="58"/>
        <v>0</v>
      </c>
      <c r="AN422" s="4">
        <f t="shared" si="55"/>
        <v>0</v>
      </c>
      <c r="AO422" s="3"/>
      <c r="AP422">
        <v>0</v>
      </c>
      <c r="AR422" t="s">
        <v>1</v>
      </c>
      <c r="AT422" s="2">
        <v>2.3330000000000002</v>
      </c>
      <c r="AU422" s="1">
        <f t="shared" si="59"/>
        <v>0.40735698459731456</v>
      </c>
      <c r="AV422" s="1">
        <f t="shared" si="60"/>
        <v>0.29096927471236755</v>
      </c>
      <c r="AW422" s="1">
        <f t="shared" si="61"/>
        <v>0.17458156482742054</v>
      </c>
    </row>
    <row r="423" spans="1:49" x14ac:dyDescent="0.2">
      <c r="A423">
        <v>421</v>
      </c>
      <c r="B423" t="s">
        <v>3390</v>
      </c>
      <c r="F423" t="s">
        <v>3389</v>
      </c>
      <c r="G423" t="s">
        <v>15</v>
      </c>
      <c r="H423" t="s">
        <v>14</v>
      </c>
      <c r="I423" t="s">
        <v>3388</v>
      </c>
      <c r="N423">
        <v>2</v>
      </c>
      <c r="O423" t="s">
        <v>3387</v>
      </c>
      <c r="P423" t="s">
        <v>3386</v>
      </c>
      <c r="Q423" t="s">
        <v>342</v>
      </c>
      <c r="R423" s="7">
        <v>30317</v>
      </c>
      <c r="S423" s="8">
        <f t="shared" si="56"/>
        <v>1983</v>
      </c>
      <c r="T423" s="8">
        <v>1983</v>
      </c>
      <c r="U423" s="8">
        <f t="shared" si="57"/>
        <v>39</v>
      </c>
      <c r="V423" s="7" t="s">
        <v>3347</v>
      </c>
      <c r="W423" t="s">
        <v>536</v>
      </c>
      <c r="X423" s="2">
        <v>0.14099999999999999</v>
      </c>
      <c r="Y423" s="6">
        <f t="shared" si="54"/>
        <v>3.7639144710498915E-3</v>
      </c>
      <c r="AA423">
        <v>402508</v>
      </c>
      <c r="AB423">
        <v>20868</v>
      </c>
      <c r="AD423" t="s">
        <v>5</v>
      </c>
      <c r="AE423" t="s">
        <v>535</v>
      </c>
      <c r="AF423">
        <v>6</v>
      </c>
      <c r="AH423" t="s">
        <v>3385</v>
      </c>
      <c r="AI423" t="s">
        <v>3384</v>
      </c>
      <c r="AK423" t="s">
        <v>3383</v>
      </c>
      <c r="AL423">
        <v>0</v>
      </c>
      <c r="AM423" s="5">
        <f t="shared" si="58"/>
        <v>0</v>
      </c>
      <c r="AN423" s="4">
        <f t="shared" si="55"/>
        <v>0</v>
      </c>
      <c r="AO423" s="3"/>
      <c r="AP423">
        <v>0</v>
      </c>
      <c r="AR423" t="s">
        <v>1</v>
      </c>
      <c r="AT423" s="2" t="s">
        <v>0</v>
      </c>
      <c r="AU423" s="1">
        <f t="shared" si="59"/>
        <v>0.26347401297349238</v>
      </c>
      <c r="AV423" s="1">
        <f t="shared" si="60"/>
        <v>0.18819572355249459</v>
      </c>
      <c r="AW423" s="1">
        <f t="shared" si="61"/>
        <v>0.11291743413149673</v>
      </c>
    </row>
    <row r="424" spans="1:49" x14ac:dyDescent="0.2">
      <c r="A424">
        <v>422</v>
      </c>
      <c r="B424" t="s">
        <v>3382</v>
      </c>
      <c r="F424" t="s">
        <v>3381</v>
      </c>
      <c r="G424" t="s">
        <v>15</v>
      </c>
      <c r="H424" t="s">
        <v>14</v>
      </c>
      <c r="I424" t="s">
        <v>3380</v>
      </c>
      <c r="N424">
        <v>3</v>
      </c>
      <c r="O424" t="s">
        <v>3379</v>
      </c>
      <c r="P424" t="s">
        <v>3378</v>
      </c>
      <c r="Q424" t="s">
        <v>510</v>
      </c>
      <c r="R424" s="7">
        <v>30317</v>
      </c>
      <c r="S424" s="8">
        <f t="shared" si="56"/>
        <v>1983</v>
      </c>
      <c r="T424" s="8">
        <v>1983</v>
      </c>
      <c r="U424" s="8">
        <f t="shared" si="57"/>
        <v>39</v>
      </c>
      <c r="V424" s="7" t="s">
        <v>3347</v>
      </c>
      <c r="W424" t="s">
        <v>560</v>
      </c>
      <c r="X424" s="2" t="s">
        <v>0</v>
      </c>
      <c r="Y424" s="6" t="e">
        <f t="shared" si="54"/>
        <v>#VALUE!</v>
      </c>
      <c r="AA424">
        <v>337889</v>
      </c>
      <c r="AB424">
        <v>40920</v>
      </c>
      <c r="AD424" t="s">
        <v>5</v>
      </c>
      <c r="AE424">
        <v>28</v>
      </c>
      <c r="AF424">
        <v>6</v>
      </c>
      <c r="AH424" t="s">
        <v>3377</v>
      </c>
      <c r="AI424" t="s">
        <v>3376</v>
      </c>
      <c r="AK424" t="s">
        <v>3375</v>
      </c>
      <c r="AL424">
        <v>0</v>
      </c>
      <c r="AM424" s="5">
        <f t="shared" si="58"/>
        <v>0</v>
      </c>
      <c r="AN424" s="4">
        <f t="shared" si="55"/>
        <v>0</v>
      </c>
      <c r="AO424" s="3"/>
      <c r="AP424">
        <v>0</v>
      </c>
      <c r="AR424" t="s">
        <v>1</v>
      </c>
      <c r="AT424" s="2" t="s">
        <v>0</v>
      </c>
      <c r="AU424" s="1" t="e">
        <f t="shared" si="59"/>
        <v>#VALUE!</v>
      </c>
      <c r="AV424" s="1" t="e">
        <f t="shared" si="60"/>
        <v>#VALUE!</v>
      </c>
      <c r="AW424" s="1" t="e">
        <f t="shared" si="61"/>
        <v>#VALUE!</v>
      </c>
    </row>
    <row r="425" spans="1:49" x14ac:dyDescent="0.2">
      <c r="A425">
        <v>423</v>
      </c>
      <c r="B425" t="s">
        <v>3374</v>
      </c>
      <c r="F425" t="s">
        <v>3373</v>
      </c>
      <c r="G425" t="s">
        <v>15</v>
      </c>
      <c r="H425" t="s">
        <v>14</v>
      </c>
      <c r="I425" t="s">
        <v>3372</v>
      </c>
      <c r="N425">
        <v>1</v>
      </c>
      <c r="O425" t="s">
        <v>3371</v>
      </c>
      <c r="P425">
        <v>7402520557</v>
      </c>
      <c r="R425" s="7">
        <v>30317</v>
      </c>
      <c r="S425" s="8">
        <f t="shared" si="56"/>
        <v>1983</v>
      </c>
      <c r="T425" s="8">
        <v>1983</v>
      </c>
      <c r="U425" s="8">
        <f t="shared" si="57"/>
        <v>39</v>
      </c>
      <c r="V425" s="7" t="s">
        <v>3370</v>
      </c>
      <c r="W425" t="s">
        <v>3369</v>
      </c>
      <c r="X425" s="2" t="s">
        <v>0</v>
      </c>
      <c r="Y425" s="6" t="e">
        <f t="shared" si="54"/>
        <v>#VALUE!</v>
      </c>
      <c r="AA425">
        <v>2760037</v>
      </c>
      <c r="AB425">
        <v>37141</v>
      </c>
      <c r="AD425" t="s">
        <v>5</v>
      </c>
      <c r="AE425">
        <v>2</v>
      </c>
      <c r="AF425">
        <v>2</v>
      </c>
      <c r="AH425" t="s">
        <v>3368</v>
      </c>
      <c r="AI425" t="s">
        <v>3367</v>
      </c>
      <c r="AK425" t="s">
        <v>3366</v>
      </c>
      <c r="AL425">
        <v>3</v>
      </c>
      <c r="AM425" s="5">
        <f t="shared" si="58"/>
        <v>7.6923076923076927E-2</v>
      </c>
      <c r="AN425" s="4">
        <f t="shared" si="55"/>
        <v>1.1650598549500481E-4</v>
      </c>
      <c r="AO425" s="3"/>
      <c r="AP425">
        <v>0</v>
      </c>
      <c r="AR425" t="s">
        <v>1</v>
      </c>
      <c r="AT425" s="2" t="s">
        <v>0</v>
      </c>
      <c r="AU425" s="1" t="e">
        <f t="shared" si="59"/>
        <v>#VALUE!</v>
      </c>
      <c r="AV425" s="1" t="e">
        <f t="shared" si="60"/>
        <v>#VALUE!</v>
      </c>
      <c r="AW425" s="1" t="e">
        <f t="shared" si="61"/>
        <v>#VALUE!</v>
      </c>
    </row>
    <row r="426" spans="1:49" x14ac:dyDescent="0.2">
      <c r="A426">
        <v>424</v>
      </c>
      <c r="B426" t="s">
        <v>3365</v>
      </c>
      <c r="F426" t="s">
        <v>3364</v>
      </c>
      <c r="G426" t="s">
        <v>15</v>
      </c>
      <c r="H426" t="s">
        <v>14</v>
      </c>
      <c r="I426" t="s">
        <v>3363</v>
      </c>
      <c r="N426">
        <v>1</v>
      </c>
      <c r="O426" t="s">
        <v>3362</v>
      </c>
      <c r="P426">
        <v>7006461984</v>
      </c>
      <c r="R426" s="7">
        <v>30317</v>
      </c>
      <c r="S426" s="8">
        <f t="shared" si="56"/>
        <v>1983</v>
      </c>
      <c r="T426" s="8">
        <v>1983</v>
      </c>
      <c r="U426" s="8">
        <f t="shared" si="57"/>
        <v>39</v>
      </c>
      <c r="V426" s="7" t="s">
        <v>3347</v>
      </c>
      <c r="W426" t="s">
        <v>560</v>
      </c>
      <c r="X426" s="2" t="s">
        <v>0</v>
      </c>
      <c r="Y426" s="6" t="e">
        <f t="shared" si="54"/>
        <v>#VALUE!</v>
      </c>
      <c r="AA426">
        <v>337889</v>
      </c>
      <c r="AB426">
        <v>40920</v>
      </c>
      <c r="AD426" t="s">
        <v>5</v>
      </c>
      <c r="AE426">
        <v>28</v>
      </c>
      <c r="AF426">
        <v>6</v>
      </c>
      <c r="AH426" s="9">
        <v>44317</v>
      </c>
      <c r="AI426" t="s">
        <v>3361</v>
      </c>
      <c r="AK426" t="s">
        <v>3360</v>
      </c>
      <c r="AL426">
        <v>1</v>
      </c>
      <c r="AM426" s="5">
        <f t="shared" si="58"/>
        <v>2.564102564102564E-2</v>
      </c>
      <c r="AN426" s="4">
        <f t="shared" si="55"/>
        <v>3.8835328498334935E-5</v>
      </c>
      <c r="AO426" s="3"/>
      <c r="AP426">
        <v>0</v>
      </c>
      <c r="AR426" t="s">
        <v>1</v>
      </c>
      <c r="AT426" s="2" t="s">
        <v>0</v>
      </c>
      <c r="AU426" s="1" t="e">
        <f t="shared" si="59"/>
        <v>#VALUE!</v>
      </c>
      <c r="AV426" s="1" t="e">
        <f t="shared" si="60"/>
        <v>#VALUE!</v>
      </c>
      <c r="AW426" s="1" t="e">
        <f t="shared" si="61"/>
        <v>#VALUE!</v>
      </c>
    </row>
    <row r="427" spans="1:49" x14ac:dyDescent="0.2">
      <c r="A427">
        <v>425</v>
      </c>
      <c r="B427" t="s">
        <v>3359</v>
      </c>
      <c r="F427" t="s">
        <v>3358</v>
      </c>
      <c r="G427" t="s">
        <v>15</v>
      </c>
      <c r="H427" t="s">
        <v>14</v>
      </c>
      <c r="I427" t="s">
        <v>3357</v>
      </c>
      <c r="N427">
        <v>1</v>
      </c>
      <c r="O427" t="s">
        <v>3356</v>
      </c>
      <c r="P427">
        <v>6602321243</v>
      </c>
      <c r="R427" s="7">
        <v>30317</v>
      </c>
      <c r="S427" s="8">
        <f t="shared" si="56"/>
        <v>1983</v>
      </c>
      <c r="T427" s="8">
        <v>1983</v>
      </c>
      <c r="U427" s="8">
        <f t="shared" si="57"/>
        <v>39</v>
      </c>
      <c r="V427" s="7" t="s">
        <v>3347</v>
      </c>
      <c r="W427" t="s">
        <v>536</v>
      </c>
      <c r="X427" s="2">
        <v>0.14099999999999999</v>
      </c>
      <c r="Y427" s="6">
        <f t="shared" si="54"/>
        <v>3.7639144710498915E-3</v>
      </c>
      <c r="AA427">
        <v>402508</v>
      </c>
      <c r="AB427">
        <v>20868</v>
      </c>
      <c r="AD427" t="s">
        <v>5</v>
      </c>
      <c r="AE427" t="s">
        <v>535</v>
      </c>
      <c r="AF427">
        <v>6</v>
      </c>
      <c r="AH427" t="s">
        <v>3355</v>
      </c>
      <c r="AI427" t="s">
        <v>3354</v>
      </c>
      <c r="AK427" t="s">
        <v>3353</v>
      </c>
      <c r="AL427">
        <v>0</v>
      </c>
      <c r="AM427" s="5">
        <f t="shared" si="58"/>
        <v>0</v>
      </c>
      <c r="AN427" s="4">
        <f t="shared" si="55"/>
        <v>0</v>
      </c>
      <c r="AO427" s="3"/>
      <c r="AP427">
        <v>0</v>
      </c>
      <c r="AR427" t="s">
        <v>1</v>
      </c>
      <c r="AT427" s="2" t="s">
        <v>0</v>
      </c>
      <c r="AU427" s="1">
        <f t="shared" si="59"/>
        <v>0.26347401297349238</v>
      </c>
      <c r="AV427" s="1">
        <f t="shared" si="60"/>
        <v>0.18819572355249459</v>
      </c>
      <c r="AW427" s="1">
        <f t="shared" si="61"/>
        <v>0.11291743413149673</v>
      </c>
    </row>
    <row r="428" spans="1:49" x14ac:dyDescent="0.2">
      <c r="A428">
        <v>426</v>
      </c>
      <c r="B428" t="s">
        <v>3352</v>
      </c>
      <c r="F428" t="s">
        <v>3351</v>
      </c>
      <c r="G428" t="s">
        <v>15</v>
      </c>
      <c r="H428" t="s">
        <v>14</v>
      </c>
      <c r="I428" t="s">
        <v>3350</v>
      </c>
      <c r="N428">
        <v>3</v>
      </c>
      <c r="O428" t="s">
        <v>3349</v>
      </c>
      <c r="P428" t="s">
        <v>3348</v>
      </c>
      <c r="Q428" t="s">
        <v>510</v>
      </c>
      <c r="R428" s="7">
        <v>30317</v>
      </c>
      <c r="S428" s="8">
        <f t="shared" si="56"/>
        <v>1983</v>
      </c>
      <c r="T428" s="8">
        <v>1983</v>
      </c>
      <c r="U428" s="8">
        <f t="shared" si="57"/>
        <v>39</v>
      </c>
      <c r="V428" s="7" t="s">
        <v>3347</v>
      </c>
      <c r="W428" t="s">
        <v>560</v>
      </c>
      <c r="X428" s="2" t="s">
        <v>0</v>
      </c>
      <c r="Y428" s="6" t="e">
        <f t="shared" si="54"/>
        <v>#VALUE!</v>
      </c>
      <c r="AA428">
        <v>337889</v>
      </c>
      <c r="AB428">
        <v>40920</v>
      </c>
      <c r="AD428" t="s">
        <v>5</v>
      </c>
      <c r="AE428">
        <v>28</v>
      </c>
      <c r="AF428">
        <v>6</v>
      </c>
      <c r="AH428" t="s">
        <v>915</v>
      </c>
      <c r="AI428" t="s">
        <v>3346</v>
      </c>
      <c r="AK428" t="s">
        <v>3345</v>
      </c>
      <c r="AL428">
        <v>0</v>
      </c>
      <c r="AM428" s="5">
        <f t="shared" si="58"/>
        <v>0</v>
      </c>
      <c r="AN428" s="4">
        <f t="shared" si="55"/>
        <v>0</v>
      </c>
      <c r="AO428" s="3"/>
      <c r="AP428">
        <v>0</v>
      </c>
      <c r="AR428" t="s">
        <v>1</v>
      </c>
      <c r="AT428" s="2" t="s">
        <v>0</v>
      </c>
      <c r="AU428" s="1" t="e">
        <f t="shared" si="59"/>
        <v>#VALUE!</v>
      </c>
      <c r="AV428" s="1" t="e">
        <f t="shared" si="60"/>
        <v>#VALUE!</v>
      </c>
      <c r="AW428" s="1" t="e">
        <f t="shared" si="61"/>
        <v>#VALUE!</v>
      </c>
    </row>
    <row r="429" spans="1:49" x14ac:dyDescent="0.2">
      <c r="A429">
        <v>427</v>
      </c>
      <c r="B429" t="s">
        <v>3344</v>
      </c>
      <c r="F429" t="s">
        <v>3343</v>
      </c>
      <c r="G429" t="s">
        <v>15</v>
      </c>
      <c r="H429" t="s">
        <v>14</v>
      </c>
      <c r="I429" t="s">
        <v>3342</v>
      </c>
      <c r="N429">
        <v>1</v>
      </c>
      <c r="O429" t="s">
        <v>3341</v>
      </c>
      <c r="P429">
        <v>7006890410</v>
      </c>
      <c r="R429" s="7">
        <v>30317</v>
      </c>
      <c r="S429" s="8">
        <f t="shared" si="56"/>
        <v>1983</v>
      </c>
      <c r="T429" s="8">
        <v>1983</v>
      </c>
      <c r="U429" s="8">
        <f t="shared" si="57"/>
        <v>39</v>
      </c>
      <c r="V429" s="7" t="s">
        <v>3198</v>
      </c>
      <c r="W429" t="s">
        <v>3317</v>
      </c>
      <c r="X429" s="2" t="s">
        <v>0</v>
      </c>
      <c r="Y429" s="6" t="e">
        <f t="shared" si="54"/>
        <v>#VALUE!</v>
      </c>
      <c r="AA429">
        <v>72486</v>
      </c>
      <c r="AB429">
        <v>31037</v>
      </c>
      <c r="AD429" t="s">
        <v>5</v>
      </c>
      <c r="AE429">
        <v>70</v>
      </c>
      <c r="AF429" s="9">
        <v>44352</v>
      </c>
      <c r="AH429" t="s">
        <v>3340</v>
      </c>
      <c r="AI429" t="s">
        <v>3339</v>
      </c>
      <c r="AK429" t="s">
        <v>3338</v>
      </c>
      <c r="AL429">
        <v>0</v>
      </c>
      <c r="AM429" s="5">
        <f t="shared" si="58"/>
        <v>0</v>
      </c>
      <c r="AN429" s="4">
        <f t="shared" si="55"/>
        <v>0</v>
      </c>
      <c r="AO429" s="3"/>
      <c r="AP429">
        <v>0</v>
      </c>
      <c r="AR429" t="s">
        <v>1</v>
      </c>
      <c r="AT429" s="2" t="s">
        <v>0</v>
      </c>
      <c r="AU429" s="1" t="e">
        <f t="shared" si="59"/>
        <v>#VALUE!</v>
      </c>
      <c r="AV429" s="1" t="e">
        <f t="shared" si="60"/>
        <v>#VALUE!</v>
      </c>
      <c r="AW429" s="1" t="e">
        <f t="shared" si="61"/>
        <v>#VALUE!</v>
      </c>
    </row>
    <row r="430" spans="1:49" x14ac:dyDescent="0.2">
      <c r="A430">
        <v>428</v>
      </c>
      <c r="B430" t="s">
        <v>3337</v>
      </c>
      <c r="C430" t="s">
        <v>3336</v>
      </c>
      <c r="D430">
        <v>12160683900593</v>
      </c>
      <c r="E430">
        <v>6404674</v>
      </c>
      <c r="F430" t="s">
        <v>3335</v>
      </c>
      <c r="G430" t="s">
        <v>15</v>
      </c>
      <c r="H430" t="s">
        <v>14</v>
      </c>
      <c r="I430" t="s">
        <v>3334</v>
      </c>
      <c r="J430">
        <v>60007278</v>
      </c>
      <c r="K430" t="s">
        <v>3333</v>
      </c>
      <c r="L430" t="s">
        <v>3332</v>
      </c>
      <c r="M430" t="s">
        <v>10</v>
      </c>
      <c r="N430">
        <v>3</v>
      </c>
      <c r="O430" t="s">
        <v>3331</v>
      </c>
      <c r="P430" t="s">
        <v>3330</v>
      </c>
      <c r="Q430" t="s">
        <v>3329</v>
      </c>
      <c r="R430" s="7">
        <v>30317</v>
      </c>
      <c r="S430" s="8">
        <f t="shared" si="56"/>
        <v>1983</v>
      </c>
      <c r="T430" s="8">
        <v>1983</v>
      </c>
      <c r="U430" s="8">
        <f t="shared" si="57"/>
        <v>39</v>
      </c>
      <c r="V430" s="7">
        <v>30437</v>
      </c>
      <c r="W430" t="s">
        <v>3328</v>
      </c>
      <c r="X430" s="2">
        <v>1.77</v>
      </c>
      <c r="Y430" s="6">
        <f t="shared" si="54"/>
        <v>4.7249139104668859E-2</v>
      </c>
      <c r="AA430">
        <v>121606</v>
      </c>
      <c r="AB430">
        <v>14536</v>
      </c>
      <c r="AD430" t="s">
        <v>5</v>
      </c>
      <c r="AE430">
        <v>97</v>
      </c>
      <c r="AF430">
        <v>1</v>
      </c>
      <c r="AH430" t="s">
        <v>3327</v>
      </c>
      <c r="AI430" t="s">
        <v>3326</v>
      </c>
      <c r="AK430" t="s">
        <v>3325</v>
      </c>
      <c r="AL430">
        <v>4</v>
      </c>
      <c r="AM430" s="5">
        <f t="shared" si="58"/>
        <v>0.10256410256410256</v>
      </c>
      <c r="AN430" s="4">
        <f t="shared" si="55"/>
        <v>1.5534131399333974E-4</v>
      </c>
      <c r="AO430" s="3"/>
      <c r="AP430">
        <v>0</v>
      </c>
      <c r="AQ430" t="s">
        <v>3324</v>
      </c>
      <c r="AR430" t="s">
        <v>3323</v>
      </c>
      <c r="AS430" t="s">
        <v>3322</v>
      </c>
      <c r="AT430" s="2">
        <v>3.5819999999999999</v>
      </c>
      <c r="AU430" s="1">
        <f t="shared" si="59"/>
        <v>3.3120999767466199</v>
      </c>
      <c r="AV430" s="1">
        <f t="shared" si="60"/>
        <v>2.3702240209331102</v>
      </c>
      <c r="AW430" s="1">
        <f t="shared" si="61"/>
        <v>1.4283480651195994</v>
      </c>
    </row>
    <row r="431" spans="1:49" x14ac:dyDescent="0.2">
      <c r="A431">
        <v>429</v>
      </c>
      <c r="B431" t="s">
        <v>3321</v>
      </c>
      <c r="F431" t="s">
        <v>3320</v>
      </c>
      <c r="G431" t="s">
        <v>15</v>
      </c>
      <c r="H431" t="s">
        <v>14</v>
      </c>
      <c r="I431" t="s">
        <v>3319</v>
      </c>
      <c r="N431">
        <v>1</v>
      </c>
      <c r="O431" t="s">
        <v>3318</v>
      </c>
      <c r="P431">
        <v>6507965504</v>
      </c>
      <c r="R431" s="7">
        <v>30317</v>
      </c>
      <c r="S431" s="8">
        <f t="shared" si="56"/>
        <v>1983</v>
      </c>
      <c r="T431" s="8">
        <v>1983</v>
      </c>
      <c r="U431" s="8">
        <f t="shared" si="57"/>
        <v>39</v>
      </c>
      <c r="V431" s="7" t="s">
        <v>3198</v>
      </c>
      <c r="W431" t="s">
        <v>3317</v>
      </c>
      <c r="X431" s="2" t="s">
        <v>0</v>
      </c>
      <c r="Y431" s="6" t="e">
        <f t="shared" si="54"/>
        <v>#VALUE!</v>
      </c>
      <c r="AA431">
        <v>72486</v>
      </c>
      <c r="AB431">
        <v>31037</v>
      </c>
      <c r="AD431" t="s">
        <v>5</v>
      </c>
      <c r="AE431">
        <v>70</v>
      </c>
      <c r="AF431" s="9">
        <v>44352</v>
      </c>
      <c r="AH431" t="s">
        <v>3316</v>
      </c>
      <c r="AI431" t="s">
        <v>3315</v>
      </c>
      <c r="AK431" t="s">
        <v>3314</v>
      </c>
      <c r="AL431">
        <v>0</v>
      </c>
      <c r="AM431" s="5">
        <f t="shared" si="58"/>
        <v>0</v>
      </c>
      <c r="AN431" s="4">
        <f t="shared" si="55"/>
        <v>0</v>
      </c>
      <c r="AO431" s="3"/>
      <c r="AP431">
        <v>0</v>
      </c>
      <c r="AR431" t="s">
        <v>1</v>
      </c>
      <c r="AT431" s="2" t="s">
        <v>0</v>
      </c>
      <c r="AU431" s="1" t="e">
        <f t="shared" si="59"/>
        <v>#VALUE!</v>
      </c>
      <c r="AV431" s="1" t="e">
        <f t="shared" si="60"/>
        <v>#VALUE!</v>
      </c>
      <c r="AW431" s="1" t="e">
        <f t="shared" si="61"/>
        <v>#VALUE!</v>
      </c>
    </row>
    <row r="432" spans="1:49" x14ac:dyDescent="0.2">
      <c r="A432">
        <v>430</v>
      </c>
      <c r="B432" t="s">
        <v>3313</v>
      </c>
      <c r="C432" t="s">
        <v>3312</v>
      </c>
      <c r="F432" t="s">
        <v>3311</v>
      </c>
      <c r="G432" t="s">
        <v>15</v>
      </c>
      <c r="H432" t="s">
        <v>14</v>
      </c>
      <c r="I432" t="s">
        <v>3310</v>
      </c>
      <c r="J432" t="s">
        <v>3309</v>
      </c>
      <c r="K432" t="s">
        <v>3308</v>
      </c>
      <c r="L432" t="s">
        <v>3307</v>
      </c>
      <c r="M432" t="s">
        <v>3306</v>
      </c>
      <c r="N432">
        <v>2</v>
      </c>
      <c r="O432" t="s">
        <v>3305</v>
      </c>
      <c r="P432" t="s">
        <v>3304</v>
      </c>
      <c r="Q432" t="s">
        <v>3303</v>
      </c>
      <c r="R432" s="7">
        <v>30317</v>
      </c>
      <c r="S432" s="8">
        <f t="shared" si="56"/>
        <v>1983</v>
      </c>
      <c r="T432" s="8">
        <v>1983</v>
      </c>
      <c r="U432" s="8">
        <f t="shared" si="57"/>
        <v>39</v>
      </c>
      <c r="V432" s="7">
        <v>30437</v>
      </c>
      <c r="W432" t="s">
        <v>618</v>
      </c>
      <c r="X432" s="2">
        <v>1.6519999999999999</v>
      </c>
      <c r="Y432" s="6">
        <f t="shared" si="54"/>
        <v>4.409919649769093E-2</v>
      </c>
      <c r="AA432" t="s">
        <v>617</v>
      </c>
      <c r="AB432">
        <v>17337</v>
      </c>
      <c r="AC432">
        <v>15582221</v>
      </c>
      <c r="AD432" t="s">
        <v>5</v>
      </c>
      <c r="AE432">
        <v>31</v>
      </c>
      <c r="AF432">
        <v>3</v>
      </c>
      <c r="AH432" t="s">
        <v>3302</v>
      </c>
      <c r="AI432" t="s">
        <v>3301</v>
      </c>
      <c r="AK432" t="s">
        <v>3300</v>
      </c>
      <c r="AL432">
        <v>5</v>
      </c>
      <c r="AM432" s="5">
        <f t="shared" si="58"/>
        <v>0.12820512820512819</v>
      </c>
      <c r="AN432" s="4">
        <f t="shared" si="55"/>
        <v>1.9417664249167467E-4</v>
      </c>
      <c r="AO432" s="3"/>
      <c r="AP432">
        <v>0</v>
      </c>
      <c r="AR432" t="s">
        <v>1</v>
      </c>
      <c r="AT432" s="2" t="s">
        <v>0</v>
      </c>
      <c r="AU432" s="1">
        <f t="shared" si="59"/>
        <v>3.0927690541131154</v>
      </c>
      <c r="AV432" s="1">
        <f t="shared" si="60"/>
        <v>2.2146686570091303</v>
      </c>
      <c r="AW432" s="1">
        <f t="shared" si="61"/>
        <v>1.3365682599051452</v>
      </c>
    </row>
    <row r="433" spans="1:49" x14ac:dyDescent="0.2">
      <c r="A433">
        <v>431</v>
      </c>
      <c r="B433" t="s">
        <v>3299</v>
      </c>
      <c r="C433" t="s">
        <v>3298</v>
      </c>
      <c r="F433" t="s">
        <v>3297</v>
      </c>
      <c r="G433" t="s">
        <v>15</v>
      </c>
      <c r="H433" t="s">
        <v>14</v>
      </c>
      <c r="I433" t="s">
        <v>3296</v>
      </c>
      <c r="J433">
        <v>60014826</v>
      </c>
      <c r="K433" t="s">
        <v>3295</v>
      </c>
      <c r="L433" t="s">
        <v>3294</v>
      </c>
      <c r="M433" t="s">
        <v>10</v>
      </c>
      <c r="N433">
        <v>1</v>
      </c>
      <c r="O433" t="s">
        <v>3293</v>
      </c>
      <c r="P433">
        <v>55950232900</v>
      </c>
      <c r="Q433">
        <v>60014826</v>
      </c>
      <c r="R433" s="7">
        <v>30317</v>
      </c>
      <c r="S433" s="8">
        <f t="shared" si="56"/>
        <v>1983</v>
      </c>
      <c r="T433" s="8">
        <v>1983</v>
      </c>
      <c r="U433" s="8">
        <f t="shared" si="57"/>
        <v>39</v>
      </c>
      <c r="V433" s="7">
        <v>30437</v>
      </c>
      <c r="W433" t="s">
        <v>618</v>
      </c>
      <c r="X433" s="2">
        <v>1.6519999999999999</v>
      </c>
      <c r="Y433" s="6">
        <f t="shared" si="54"/>
        <v>4.409919649769093E-2</v>
      </c>
      <c r="AA433" t="s">
        <v>617</v>
      </c>
      <c r="AB433">
        <v>17337</v>
      </c>
      <c r="AC433">
        <v>15582221</v>
      </c>
      <c r="AD433" t="s">
        <v>5</v>
      </c>
      <c r="AE433">
        <v>31</v>
      </c>
      <c r="AF433">
        <v>3</v>
      </c>
      <c r="AH433" t="s">
        <v>3292</v>
      </c>
      <c r="AI433" t="s">
        <v>3291</v>
      </c>
      <c r="AK433" t="s">
        <v>3290</v>
      </c>
      <c r="AL433">
        <v>14</v>
      </c>
      <c r="AM433" s="5">
        <f t="shared" si="58"/>
        <v>0.35897435897435898</v>
      </c>
      <c r="AN433" s="4">
        <f t="shared" si="55"/>
        <v>5.4369459897668905E-4</v>
      </c>
      <c r="AO433" s="3"/>
      <c r="AP433">
        <v>0</v>
      </c>
      <c r="AR433" t="s">
        <v>1</v>
      </c>
      <c r="AT433" s="2" t="s">
        <v>0</v>
      </c>
      <c r="AU433" s="1">
        <f t="shared" si="59"/>
        <v>3.1032545928076658</v>
      </c>
      <c r="AV433" s="1">
        <f t="shared" si="60"/>
        <v>2.2321445548333809</v>
      </c>
      <c r="AW433" s="1">
        <f t="shared" si="61"/>
        <v>1.361034516859096</v>
      </c>
    </row>
    <row r="434" spans="1:49" x14ac:dyDescent="0.2">
      <c r="A434">
        <v>432</v>
      </c>
      <c r="B434" t="s">
        <v>3289</v>
      </c>
      <c r="C434" t="s">
        <v>3288</v>
      </c>
      <c r="F434" t="s">
        <v>3287</v>
      </c>
      <c r="G434" t="s">
        <v>15</v>
      </c>
      <c r="H434" t="s">
        <v>14</v>
      </c>
      <c r="I434" t="s">
        <v>3286</v>
      </c>
      <c r="N434">
        <v>3</v>
      </c>
      <c r="O434" t="s">
        <v>3285</v>
      </c>
      <c r="P434" t="s">
        <v>3284</v>
      </c>
      <c r="Q434" t="s">
        <v>510</v>
      </c>
      <c r="R434" s="7">
        <v>30317</v>
      </c>
      <c r="S434" s="8">
        <f t="shared" si="56"/>
        <v>1983</v>
      </c>
      <c r="T434" s="8">
        <v>1983</v>
      </c>
      <c r="U434" s="8">
        <f t="shared" si="57"/>
        <v>39</v>
      </c>
      <c r="V434" s="7" t="s">
        <v>2933</v>
      </c>
      <c r="W434" t="s">
        <v>508</v>
      </c>
      <c r="X434" s="2">
        <v>0.371</v>
      </c>
      <c r="Y434" s="6">
        <f t="shared" si="54"/>
        <v>9.9036331117695747E-3</v>
      </c>
      <c r="AA434">
        <v>486604</v>
      </c>
      <c r="AB434">
        <v>28580</v>
      </c>
      <c r="AC434" t="s">
        <v>507</v>
      </c>
      <c r="AD434" t="s">
        <v>5</v>
      </c>
      <c r="AE434">
        <v>18</v>
      </c>
      <c r="AF434">
        <v>3</v>
      </c>
      <c r="AH434" t="s">
        <v>3283</v>
      </c>
      <c r="AI434" t="s">
        <v>3282</v>
      </c>
      <c r="AK434" t="s">
        <v>3281</v>
      </c>
      <c r="AL434">
        <v>24</v>
      </c>
      <c r="AM434" s="5">
        <f t="shared" si="58"/>
        <v>0.61538461538461542</v>
      </c>
      <c r="AN434" s="4">
        <f t="shared" si="55"/>
        <v>9.320478839600385E-4</v>
      </c>
      <c r="AO434" s="3"/>
      <c r="AP434">
        <v>0</v>
      </c>
      <c r="AR434" t="s">
        <v>1</v>
      </c>
      <c r="AT434" s="2">
        <v>1.431</v>
      </c>
      <c r="AU434" s="1">
        <f t="shared" si="59"/>
        <v>0.72121575434267138</v>
      </c>
      <c r="AV434" s="1">
        <f t="shared" si="60"/>
        <v>0.54178404978648065</v>
      </c>
      <c r="AW434" s="1">
        <f t="shared" si="61"/>
        <v>0.36235234523028992</v>
      </c>
    </row>
    <row r="435" spans="1:49" x14ac:dyDescent="0.2">
      <c r="A435">
        <v>433</v>
      </c>
      <c r="B435" t="s">
        <v>3280</v>
      </c>
      <c r="C435" t="s">
        <v>3279</v>
      </c>
      <c r="F435" t="s">
        <v>3278</v>
      </c>
      <c r="G435" t="s">
        <v>15</v>
      </c>
      <c r="H435" t="s">
        <v>14</v>
      </c>
      <c r="I435" t="s">
        <v>3277</v>
      </c>
      <c r="J435">
        <v>60032995</v>
      </c>
      <c r="K435" t="s">
        <v>3276</v>
      </c>
      <c r="L435" t="s">
        <v>3275</v>
      </c>
      <c r="M435" t="s">
        <v>10</v>
      </c>
      <c r="N435">
        <v>2</v>
      </c>
      <c r="O435" t="s">
        <v>3274</v>
      </c>
      <c r="P435" t="s">
        <v>3273</v>
      </c>
      <c r="Q435" t="s">
        <v>3272</v>
      </c>
      <c r="R435" s="7">
        <v>30317</v>
      </c>
      <c r="S435" s="8">
        <f t="shared" si="56"/>
        <v>1983</v>
      </c>
      <c r="T435" s="8">
        <v>1983</v>
      </c>
      <c r="U435" s="8">
        <f t="shared" si="57"/>
        <v>39</v>
      </c>
      <c r="V435" s="7">
        <v>30437</v>
      </c>
      <c r="W435" t="s">
        <v>618</v>
      </c>
      <c r="X435" s="2">
        <v>1.6519999999999999</v>
      </c>
      <c r="Y435" s="6">
        <f t="shared" si="54"/>
        <v>4.409919649769093E-2</v>
      </c>
      <c r="AA435" t="s">
        <v>617</v>
      </c>
      <c r="AB435">
        <v>17337</v>
      </c>
      <c r="AC435">
        <v>15582221</v>
      </c>
      <c r="AD435" t="s">
        <v>5</v>
      </c>
      <c r="AE435">
        <v>31</v>
      </c>
      <c r="AF435">
        <v>3</v>
      </c>
      <c r="AH435" t="s">
        <v>3271</v>
      </c>
      <c r="AI435" t="s">
        <v>3270</v>
      </c>
      <c r="AK435" t="s">
        <v>3269</v>
      </c>
      <c r="AL435">
        <v>5</v>
      </c>
      <c r="AM435" s="5">
        <f t="shared" si="58"/>
        <v>0.12820512820512819</v>
      </c>
      <c r="AN435" s="4">
        <f t="shared" si="55"/>
        <v>1.9417664249167467E-4</v>
      </c>
      <c r="AO435" s="3"/>
      <c r="AP435">
        <v>0</v>
      </c>
      <c r="AR435" t="s">
        <v>1</v>
      </c>
      <c r="AT435" s="2" t="s">
        <v>0</v>
      </c>
      <c r="AU435" s="1">
        <f t="shared" si="59"/>
        <v>3.0927690541131154</v>
      </c>
      <c r="AV435" s="1">
        <f t="shared" si="60"/>
        <v>2.2146686570091303</v>
      </c>
      <c r="AW435" s="1">
        <f t="shared" si="61"/>
        <v>1.3365682599051452</v>
      </c>
    </row>
    <row r="436" spans="1:49" x14ac:dyDescent="0.2">
      <c r="A436">
        <v>434</v>
      </c>
      <c r="B436" t="s">
        <v>3268</v>
      </c>
      <c r="C436" t="s">
        <v>3267</v>
      </c>
      <c r="F436" t="s">
        <v>3266</v>
      </c>
      <c r="G436" t="s">
        <v>15</v>
      </c>
      <c r="H436" t="s">
        <v>14</v>
      </c>
      <c r="I436" t="s">
        <v>3265</v>
      </c>
      <c r="J436">
        <v>60021378</v>
      </c>
      <c r="K436" t="s">
        <v>1635</v>
      </c>
      <c r="L436" t="s">
        <v>1634</v>
      </c>
      <c r="M436" t="s">
        <v>10</v>
      </c>
      <c r="N436">
        <v>1</v>
      </c>
      <c r="O436" t="s">
        <v>3264</v>
      </c>
      <c r="P436">
        <v>7403241218</v>
      </c>
      <c r="Q436">
        <v>60021378</v>
      </c>
      <c r="R436" s="7">
        <v>30317</v>
      </c>
      <c r="S436" s="8">
        <f t="shared" si="56"/>
        <v>1983</v>
      </c>
      <c r="T436" s="8">
        <v>1983</v>
      </c>
      <c r="U436" s="8">
        <f t="shared" si="57"/>
        <v>39</v>
      </c>
      <c r="V436" s="7">
        <v>30437</v>
      </c>
      <c r="W436" t="s">
        <v>1347</v>
      </c>
      <c r="X436" s="2">
        <v>1.468</v>
      </c>
      <c r="Y436" s="6">
        <f t="shared" si="54"/>
        <v>3.9187421585115186E-2</v>
      </c>
      <c r="AA436">
        <v>906778</v>
      </c>
      <c r="AB436">
        <v>18931</v>
      </c>
      <c r="AD436" t="s">
        <v>5</v>
      </c>
      <c r="AE436">
        <v>31</v>
      </c>
      <c r="AF436">
        <v>5</v>
      </c>
      <c r="AH436" t="s">
        <v>3263</v>
      </c>
      <c r="AI436" t="s">
        <v>3262</v>
      </c>
      <c r="AK436" t="s">
        <v>3261</v>
      </c>
      <c r="AL436">
        <v>56</v>
      </c>
      <c r="AM436" s="5">
        <f t="shared" si="58"/>
        <v>1.4358974358974359</v>
      </c>
      <c r="AN436" s="4">
        <f t="shared" si="55"/>
        <v>2.1747783959067562E-3</v>
      </c>
      <c r="AO436" s="3"/>
      <c r="AP436">
        <v>0</v>
      </c>
      <c r="AR436" t="s">
        <v>1</v>
      </c>
      <c r="AT436" s="2">
        <v>5.0830000000000002</v>
      </c>
      <c r="AU436" s="1">
        <f t="shared" si="59"/>
        <v>2.8083628628352653</v>
      </c>
      <c r="AV436" s="1">
        <f t="shared" si="60"/>
        <v>2.0681099990510972</v>
      </c>
      <c r="AW436" s="1">
        <f t="shared" si="61"/>
        <v>1.3278571352669286</v>
      </c>
    </row>
    <row r="437" spans="1:49" x14ac:dyDescent="0.2">
      <c r="A437">
        <v>435</v>
      </c>
      <c r="B437" t="s">
        <v>3260</v>
      </c>
      <c r="C437" t="s">
        <v>3259</v>
      </c>
      <c r="F437" t="s">
        <v>3258</v>
      </c>
      <c r="G437" t="s">
        <v>15</v>
      </c>
      <c r="H437" t="s">
        <v>14</v>
      </c>
      <c r="I437" t="s">
        <v>3257</v>
      </c>
      <c r="N437">
        <v>2</v>
      </c>
      <c r="O437" t="s">
        <v>3256</v>
      </c>
      <c r="P437" t="s">
        <v>3255</v>
      </c>
      <c r="Q437" t="s">
        <v>342</v>
      </c>
      <c r="R437" s="7">
        <v>30317</v>
      </c>
      <c r="S437" s="8">
        <f t="shared" si="56"/>
        <v>1983</v>
      </c>
      <c r="T437" s="8">
        <v>1983</v>
      </c>
      <c r="U437" s="8">
        <f t="shared" si="57"/>
        <v>39</v>
      </c>
      <c r="V437" s="7" t="s">
        <v>3254</v>
      </c>
      <c r="W437" t="s">
        <v>1099</v>
      </c>
      <c r="X437" s="2">
        <v>0.32300000000000001</v>
      </c>
      <c r="Y437" s="6">
        <f t="shared" si="54"/>
        <v>8.6223005258802502E-3</v>
      </c>
      <c r="AA437">
        <v>58580</v>
      </c>
      <c r="AB437">
        <v>36492</v>
      </c>
      <c r="AC437">
        <v>15387305</v>
      </c>
      <c r="AD437" t="s">
        <v>5</v>
      </c>
      <c r="AE437">
        <v>62</v>
      </c>
      <c r="AF437">
        <v>5</v>
      </c>
      <c r="AH437" t="s">
        <v>3253</v>
      </c>
      <c r="AI437" t="s">
        <v>3252</v>
      </c>
      <c r="AK437" t="s">
        <v>3251</v>
      </c>
      <c r="AL437">
        <v>3</v>
      </c>
      <c r="AM437" s="5">
        <f t="shared" si="58"/>
        <v>7.6923076923076927E-2</v>
      </c>
      <c r="AN437" s="4">
        <f t="shared" si="55"/>
        <v>1.1650598549500481E-4</v>
      </c>
      <c r="AO437" s="3"/>
      <c r="AP437">
        <v>0</v>
      </c>
      <c r="AR437" t="s">
        <v>1</v>
      </c>
      <c r="AT437" s="2" t="s">
        <v>0</v>
      </c>
      <c r="AU437" s="1">
        <f t="shared" si="59"/>
        <v>0.60705621637646756</v>
      </c>
      <c r="AV437" s="1">
        <f t="shared" si="60"/>
        <v>0.43694032556876272</v>
      </c>
      <c r="AW437" s="1">
        <f t="shared" si="61"/>
        <v>0.26682443476105783</v>
      </c>
    </row>
    <row r="438" spans="1:49" x14ac:dyDescent="0.2">
      <c r="A438">
        <v>436</v>
      </c>
      <c r="B438" t="s">
        <v>3250</v>
      </c>
      <c r="C438" t="s">
        <v>3249</v>
      </c>
      <c r="F438" t="s">
        <v>3248</v>
      </c>
      <c r="G438" t="s">
        <v>15</v>
      </c>
      <c r="H438" t="s">
        <v>14</v>
      </c>
      <c r="I438" t="s">
        <v>3247</v>
      </c>
      <c r="J438" t="s">
        <v>3246</v>
      </c>
      <c r="K438" t="s">
        <v>3245</v>
      </c>
      <c r="L438" t="s">
        <v>3244</v>
      </c>
      <c r="M438" t="s">
        <v>3243</v>
      </c>
      <c r="N438">
        <v>3</v>
      </c>
      <c r="O438" t="s">
        <v>3242</v>
      </c>
      <c r="P438" t="s">
        <v>3241</v>
      </c>
      <c r="Q438" t="s">
        <v>3240</v>
      </c>
      <c r="R438" s="7">
        <v>30317</v>
      </c>
      <c r="S438" s="8">
        <f t="shared" si="56"/>
        <v>1983</v>
      </c>
      <c r="T438" s="8">
        <v>1983</v>
      </c>
      <c r="U438" s="8">
        <f t="shared" si="57"/>
        <v>39</v>
      </c>
      <c r="V438" s="7">
        <v>30437</v>
      </c>
      <c r="W438" t="s">
        <v>618</v>
      </c>
      <c r="X438" s="2">
        <v>1.6519999999999999</v>
      </c>
      <c r="Y438" s="6">
        <f t="shared" si="54"/>
        <v>4.409919649769093E-2</v>
      </c>
      <c r="AA438" t="s">
        <v>617</v>
      </c>
      <c r="AB438">
        <v>17337</v>
      </c>
      <c r="AC438">
        <v>15582221</v>
      </c>
      <c r="AD438" t="s">
        <v>5</v>
      </c>
      <c r="AE438">
        <v>31</v>
      </c>
      <c r="AF438">
        <v>3</v>
      </c>
      <c r="AH438" t="s">
        <v>3239</v>
      </c>
      <c r="AI438" t="s">
        <v>3238</v>
      </c>
      <c r="AK438" t="s">
        <v>3237</v>
      </c>
      <c r="AL438">
        <v>3</v>
      </c>
      <c r="AM438" s="5">
        <f t="shared" si="58"/>
        <v>7.6923076923076927E-2</v>
      </c>
      <c r="AN438" s="4">
        <f t="shared" si="55"/>
        <v>1.1650598549500481E-4</v>
      </c>
      <c r="AO438" s="3"/>
      <c r="AP438">
        <v>0</v>
      </c>
      <c r="AR438" t="s">
        <v>1</v>
      </c>
      <c r="AT438" s="2" t="s">
        <v>0</v>
      </c>
      <c r="AU438" s="1">
        <f t="shared" si="59"/>
        <v>3.090438934403215</v>
      </c>
      <c r="AV438" s="1">
        <f t="shared" si="60"/>
        <v>2.2107851241592971</v>
      </c>
      <c r="AW438" s="1">
        <f t="shared" si="61"/>
        <v>1.3311313139153782</v>
      </c>
    </row>
    <row r="439" spans="1:49" x14ac:dyDescent="0.2">
      <c r="A439">
        <v>437</v>
      </c>
      <c r="B439" t="s">
        <v>3236</v>
      </c>
      <c r="C439" t="s">
        <v>3235</v>
      </c>
      <c r="F439" t="s">
        <v>3234</v>
      </c>
      <c r="G439" t="s">
        <v>15</v>
      </c>
      <c r="H439" t="s">
        <v>14</v>
      </c>
      <c r="I439" t="s">
        <v>3233</v>
      </c>
      <c r="J439">
        <v>60033041</v>
      </c>
      <c r="K439" t="s">
        <v>3232</v>
      </c>
      <c r="L439" t="s">
        <v>3231</v>
      </c>
      <c r="M439" t="s">
        <v>3230</v>
      </c>
      <c r="N439">
        <v>1</v>
      </c>
      <c r="O439" t="s">
        <v>3229</v>
      </c>
      <c r="P439">
        <v>6603927431</v>
      </c>
      <c r="Q439">
        <v>60033041</v>
      </c>
      <c r="R439" s="7">
        <v>30317</v>
      </c>
      <c r="S439" s="8">
        <f t="shared" si="56"/>
        <v>1983</v>
      </c>
      <c r="T439" s="8">
        <v>1983</v>
      </c>
      <c r="U439" s="8">
        <f t="shared" si="57"/>
        <v>39</v>
      </c>
      <c r="V439" s="7">
        <v>30437</v>
      </c>
      <c r="W439" t="s">
        <v>618</v>
      </c>
      <c r="X439" s="2">
        <v>1.6519999999999999</v>
      </c>
      <c r="Y439" s="6">
        <f t="shared" si="54"/>
        <v>4.409919649769093E-2</v>
      </c>
      <c r="AA439" t="s">
        <v>617</v>
      </c>
      <c r="AB439">
        <v>17337</v>
      </c>
      <c r="AC439">
        <v>15582221</v>
      </c>
      <c r="AD439" t="s">
        <v>5</v>
      </c>
      <c r="AE439">
        <v>31</v>
      </c>
      <c r="AF439">
        <v>3</v>
      </c>
      <c r="AH439" t="s">
        <v>3228</v>
      </c>
      <c r="AI439" t="s">
        <v>3227</v>
      </c>
      <c r="AK439" t="s">
        <v>3226</v>
      </c>
      <c r="AL439">
        <v>11</v>
      </c>
      <c r="AM439" s="5">
        <f t="shared" si="58"/>
        <v>0.28205128205128205</v>
      </c>
      <c r="AN439" s="4">
        <f t="shared" si="55"/>
        <v>4.2718861348168429E-4</v>
      </c>
      <c r="AO439" s="3"/>
      <c r="AP439">
        <v>0</v>
      </c>
      <c r="AR439" t="s">
        <v>1</v>
      </c>
      <c r="AT439" s="2" t="s">
        <v>0</v>
      </c>
      <c r="AU439" s="1">
        <f t="shared" si="59"/>
        <v>3.0997594132428157</v>
      </c>
      <c r="AV439" s="1">
        <f t="shared" si="60"/>
        <v>2.2263192555586309</v>
      </c>
      <c r="AW439" s="1">
        <f t="shared" si="61"/>
        <v>1.3528790978744458</v>
      </c>
    </row>
    <row r="440" spans="1:49" x14ac:dyDescent="0.2">
      <c r="A440">
        <v>438</v>
      </c>
      <c r="B440" t="s">
        <v>3225</v>
      </c>
      <c r="C440" t="s">
        <v>3224</v>
      </c>
      <c r="F440" t="s">
        <v>3223</v>
      </c>
      <c r="G440" t="s">
        <v>15</v>
      </c>
      <c r="H440" t="s">
        <v>14</v>
      </c>
      <c r="I440" t="s">
        <v>2487</v>
      </c>
      <c r="J440">
        <v>60002798</v>
      </c>
      <c r="K440" t="s">
        <v>2486</v>
      </c>
      <c r="L440" t="s">
        <v>2485</v>
      </c>
      <c r="M440" t="s">
        <v>2485</v>
      </c>
      <c r="N440">
        <v>3</v>
      </c>
      <c r="O440" t="s">
        <v>3222</v>
      </c>
      <c r="P440" t="s">
        <v>3221</v>
      </c>
      <c r="Q440" t="s">
        <v>2982</v>
      </c>
      <c r="R440" s="7">
        <v>30317</v>
      </c>
      <c r="S440" s="8">
        <f t="shared" si="56"/>
        <v>1983</v>
      </c>
      <c r="T440" s="8">
        <v>1983</v>
      </c>
      <c r="U440" s="8">
        <f t="shared" si="57"/>
        <v>39</v>
      </c>
      <c r="V440" s="7">
        <v>30437</v>
      </c>
      <c r="W440" t="s">
        <v>618</v>
      </c>
      <c r="X440" s="2">
        <v>1.6519999999999999</v>
      </c>
      <c r="Y440" s="6">
        <f t="shared" si="54"/>
        <v>4.409919649769093E-2</v>
      </c>
      <c r="AA440" t="s">
        <v>617</v>
      </c>
      <c r="AB440">
        <v>17337</v>
      </c>
      <c r="AC440">
        <v>15582221</v>
      </c>
      <c r="AD440" t="s">
        <v>5</v>
      </c>
      <c r="AE440">
        <v>31</v>
      </c>
      <c r="AF440">
        <v>3</v>
      </c>
      <c r="AH440" t="s">
        <v>3220</v>
      </c>
      <c r="AI440" t="s">
        <v>3219</v>
      </c>
      <c r="AK440" t="s">
        <v>3218</v>
      </c>
      <c r="AL440">
        <v>5</v>
      </c>
      <c r="AM440" s="5">
        <f t="shared" si="58"/>
        <v>0.12820512820512819</v>
      </c>
      <c r="AN440" s="4">
        <f t="shared" si="55"/>
        <v>1.9417664249167467E-4</v>
      </c>
      <c r="AO440" s="3"/>
      <c r="AP440">
        <v>0</v>
      </c>
      <c r="AR440" t="s">
        <v>1</v>
      </c>
      <c r="AT440" s="2" t="s">
        <v>0</v>
      </c>
      <c r="AU440" s="1">
        <f t="shared" si="59"/>
        <v>3.0927690541131154</v>
      </c>
      <c r="AV440" s="1">
        <f t="shared" si="60"/>
        <v>2.2146686570091303</v>
      </c>
      <c r="AW440" s="1">
        <f t="shared" si="61"/>
        <v>1.3365682599051452</v>
      </c>
    </row>
    <row r="441" spans="1:49" x14ac:dyDescent="0.2">
      <c r="A441">
        <v>439</v>
      </c>
      <c r="B441" t="s">
        <v>3217</v>
      </c>
      <c r="C441" t="s">
        <v>3216</v>
      </c>
      <c r="F441" t="s">
        <v>3215</v>
      </c>
      <c r="G441" t="s">
        <v>15</v>
      </c>
      <c r="H441" t="s">
        <v>14</v>
      </c>
      <c r="I441" t="s">
        <v>3214</v>
      </c>
      <c r="J441" t="s">
        <v>3213</v>
      </c>
      <c r="K441" t="s">
        <v>3212</v>
      </c>
      <c r="L441" t="s">
        <v>3211</v>
      </c>
      <c r="M441" t="s">
        <v>3210</v>
      </c>
      <c r="N441">
        <v>3</v>
      </c>
      <c r="O441" t="s">
        <v>3209</v>
      </c>
      <c r="P441" t="s">
        <v>3208</v>
      </c>
      <c r="Q441" t="s">
        <v>3207</v>
      </c>
      <c r="R441" s="7">
        <v>30317</v>
      </c>
      <c r="S441" s="8">
        <f t="shared" si="56"/>
        <v>1983</v>
      </c>
      <c r="T441" s="8">
        <v>1983</v>
      </c>
      <c r="U441" s="8">
        <f t="shared" si="57"/>
        <v>39</v>
      </c>
      <c r="V441" s="7">
        <v>30437</v>
      </c>
      <c r="W441" t="s">
        <v>618</v>
      </c>
      <c r="X441" s="2">
        <v>1.6519999999999999</v>
      </c>
      <c r="Y441" s="6">
        <f t="shared" si="54"/>
        <v>4.409919649769093E-2</v>
      </c>
      <c r="AA441" t="s">
        <v>617</v>
      </c>
      <c r="AB441">
        <v>17337</v>
      </c>
      <c r="AC441">
        <v>15582221</v>
      </c>
      <c r="AD441" t="s">
        <v>5</v>
      </c>
      <c r="AE441">
        <v>31</v>
      </c>
      <c r="AF441">
        <v>3</v>
      </c>
      <c r="AH441" t="s">
        <v>3206</v>
      </c>
      <c r="AI441" t="s">
        <v>3205</v>
      </c>
      <c r="AK441" t="s">
        <v>3204</v>
      </c>
      <c r="AL441">
        <v>89</v>
      </c>
      <c r="AM441" s="5">
        <f t="shared" si="58"/>
        <v>2.2820512820512819</v>
      </c>
      <c r="AN441" s="4">
        <f t="shared" si="55"/>
        <v>3.4563442363518089E-3</v>
      </c>
      <c r="AO441" s="3"/>
      <c r="AP441">
        <v>0</v>
      </c>
      <c r="AR441" t="s">
        <v>1</v>
      </c>
      <c r="AT441" s="2" t="s">
        <v>0</v>
      </c>
      <c r="AU441" s="1">
        <f t="shared" si="59"/>
        <v>3.190634081928919</v>
      </c>
      <c r="AV441" s="1">
        <f t="shared" si="60"/>
        <v>2.3777770367021369</v>
      </c>
      <c r="AW441" s="1">
        <f t="shared" si="61"/>
        <v>1.5649199914753542</v>
      </c>
    </row>
    <row r="442" spans="1:49" x14ac:dyDescent="0.2">
      <c r="A442">
        <v>440</v>
      </c>
      <c r="B442" t="s">
        <v>3203</v>
      </c>
      <c r="F442" t="s">
        <v>3202</v>
      </c>
      <c r="G442" t="s">
        <v>15</v>
      </c>
      <c r="H442" t="s">
        <v>14</v>
      </c>
      <c r="I442" t="s">
        <v>3201</v>
      </c>
      <c r="N442">
        <v>3</v>
      </c>
      <c r="O442" t="s">
        <v>3200</v>
      </c>
      <c r="P442" t="s">
        <v>3199</v>
      </c>
      <c r="Q442" t="s">
        <v>510</v>
      </c>
      <c r="R442" s="7">
        <v>30317</v>
      </c>
      <c r="S442" s="8">
        <f t="shared" si="56"/>
        <v>1983</v>
      </c>
      <c r="T442" s="8">
        <v>1983</v>
      </c>
      <c r="U442" s="8">
        <f t="shared" si="57"/>
        <v>39</v>
      </c>
      <c r="V442" s="7" t="s">
        <v>3198</v>
      </c>
      <c r="W442" t="s">
        <v>3197</v>
      </c>
      <c r="X442" s="2" t="s">
        <v>0</v>
      </c>
      <c r="Y442" s="6" t="e">
        <f t="shared" si="54"/>
        <v>#VALUE!</v>
      </c>
      <c r="AA442">
        <v>318760</v>
      </c>
      <c r="AB442">
        <v>32691</v>
      </c>
      <c r="AD442" t="s">
        <v>5</v>
      </c>
      <c r="AE442">
        <v>27</v>
      </c>
      <c r="AF442">
        <v>3</v>
      </c>
      <c r="AH442" t="s">
        <v>3196</v>
      </c>
      <c r="AI442" t="s">
        <v>3195</v>
      </c>
      <c r="AK442" t="s">
        <v>3194</v>
      </c>
      <c r="AL442">
        <v>20</v>
      </c>
      <c r="AM442" s="5">
        <f t="shared" si="58"/>
        <v>0.51282051282051277</v>
      </c>
      <c r="AN442" s="4">
        <f t="shared" si="55"/>
        <v>7.7670656996669868E-4</v>
      </c>
      <c r="AO442" s="3"/>
      <c r="AP442">
        <v>0</v>
      </c>
      <c r="AR442" t="s">
        <v>1</v>
      </c>
      <c r="AT442" s="2" t="s">
        <v>0</v>
      </c>
      <c r="AU442" s="1" t="e">
        <f t="shared" si="59"/>
        <v>#VALUE!</v>
      </c>
      <c r="AV442" s="1" t="e">
        <f t="shared" si="60"/>
        <v>#VALUE!</v>
      </c>
      <c r="AW442" s="1" t="e">
        <f t="shared" si="61"/>
        <v>#VALUE!</v>
      </c>
    </row>
    <row r="443" spans="1:49" x14ac:dyDescent="0.2">
      <c r="A443">
        <v>441</v>
      </c>
      <c r="B443" t="s">
        <v>3193</v>
      </c>
      <c r="C443" t="s">
        <v>3192</v>
      </c>
      <c r="F443" t="s">
        <v>3191</v>
      </c>
      <c r="G443" t="s">
        <v>15</v>
      </c>
      <c r="H443" t="s">
        <v>14</v>
      </c>
      <c r="I443" t="s">
        <v>3190</v>
      </c>
      <c r="J443">
        <v>60003500</v>
      </c>
      <c r="K443" t="s">
        <v>1070</v>
      </c>
      <c r="L443" t="s">
        <v>1069</v>
      </c>
      <c r="M443" t="s">
        <v>10</v>
      </c>
      <c r="N443">
        <v>2</v>
      </c>
      <c r="O443" t="s">
        <v>3189</v>
      </c>
      <c r="P443" t="s">
        <v>3188</v>
      </c>
      <c r="Q443" t="s">
        <v>1066</v>
      </c>
      <c r="R443" s="7">
        <v>30317</v>
      </c>
      <c r="S443" s="8">
        <f t="shared" si="56"/>
        <v>1983</v>
      </c>
      <c r="T443" s="8">
        <v>1983</v>
      </c>
      <c r="U443" s="8">
        <f t="shared" si="57"/>
        <v>39</v>
      </c>
      <c r="V443" s="7">
        <v>30437</v>
      </c>
      <c r="W443" t="s">
        <v>669</v>
      </c>
      <c r="X443" s="2">
        <v>1.137</v>
      </c>
      <c r="Y443" s="6">
        <f t="shared" si="54"/>
        <v>3.0351565628253384E-2</v>
      </c>
      <c r="AA443">
        <v>189251</v>
      </c>
      <c r="AB443">
        <v>17336</v>
      </c>
      <c r="AD443" t="s">
        <v>5</v>
      </c>
      <c r="AE443" t="s">
        <v>668</v>
      </c>
      <c r="AF443">
        <v>3</v>
      </c>
      <c r="AH443" t="s">
        <v>3187</v>
      </c>
      <c r="AI443" t="s">
        <v>3186</v>
      </c>
      <c r="AK443" t="s">
        <v>3185</v>
      </c>
      <c r="AL443">
        <v>22</v>
      </c>
      <c r="AM443" s="5">
        <f t="shared" si="58"/>
        <v>0.5641025641025641</v>
      </c>
      <c r="AN443" s="4">
        <f t="shared" si="55"/>
        <v>8.5437722696336859E-4</v>
      </c>
      <c r="AO443" s="3"/>
      <c r="AP443">
        <v>0</v>
      </c>
      <c r="AR443" t="s">
        <v>1</v>
      </c>
      <c r="AT443" s="2" t="s">
        <v>0</v>
      </c>
      <c r="AU443" s="1">
        <f t="shared" si="59"/>
        <v>2.1502409107866374</v>
      </c>
      <c r="AV443" s="1">
        <f t="shared" si="60"/>
        <v>1.5602971427608376</v>
      </c>
      <c r="AW443" s="1">
        <f t="shared" si="61"/>
        <v>0.97035337473503724</v>
      </c>
    </row>
    <row r="444" spans="1:49" x14ac:dyDescent="0.2">
      <c r="A444">
        <v>442</v>
      </c>
      <c r="B444" t="s">
        <v>3184</v>
      </c>
      <c r="C444" t="s">
        <v>3183</v>
      </c>
      <c r="F444" t="s">
        <v>3182</v>
      </c>
      <c r="G444" t="s">
        <v>15</v>
      </c>
      <c r="H444" t="s">
        <v>14</v>
      </c>
      <c r="I444" t="s">
        <v>3181</v>
      </c>
      <c r="J444">
        <v>60024590</v>
      </c>
      <c r="K444" t="s">
        <v>3180</v>
      </c>
      <c r="L444" t="s">
        <v>3179</v>
      </c>
      <c r="M444" t="s">
        <v>10</v>
      </c>
      <c r="N444">
        <v>1</v>
      </c>
      <c r="O444" t="s">
        <v>3178</v>
      </c>
      <c r="P444">
        <v>7402001594</v>
      </c>
      <c r="Q444">
        <v>60024590</v>
      </c>
      <c r="R444" s="7">
        <v>30317</v>
      </c>
      <c r="S444" s="8">
        <f t="shared" si="56"/>
        <v>1983</v>
      </c>
      <c r="T444" s="8">
        <v>1983</v>
      </c>
      <c r="U444" s="8">
        <f t="shared" si="57"/>
        <v>39</v>
      </c>
      <c r="V444" s="7">
        <v>30437</v>
      </c>
      <c r="W444" t="s">
        <v>1632</v>
      </c>
      <c r="X444" s="2">
        <v>1.365</v>
      </c>
      <c r="Y444" s="6">
        <f t="shared" si="54"/>
        <v>3.6437895411227675E-2</v>
      </c>
      <c r="AA444">
        <v>189545</v>
      </c>
      <c r="AB444">
        <v>17393</v>
      </c>
      <c r="AC444">
        <v>19399359</v>
      </c>
      <c r="AD444" t="s">
        <v>5</v>
      </c>
      <c r="AE444">
        <v>32</v>
      </c>
      <c r="AF444">
        <v>2</v>
      </c>
      <c r="AH444" t="s">
        <v>3177</v>
      </c>
      <c r="AI444" t="s">
        <v>3176</v>
      </c>
      <c r="AK444" t="s">
        <v>3175</v>
      </c>
      <c r="AL444">
        <v>0</v>
      </c>
      <c r="AM444" s="5">
        <f t="shared" si="58"/>
        <v>0</v>
      </c>
      <c r="AN444" s="4">
        <f t="shared" si="55"/>
        <v>0</v>
      </c>
      <c r="AO444" s="3"/>
      <c r="AP444">
        <v>0</v>
      </c>
      <c r="AR444" t="s">
        <v>1</v>
      </c>
      <c r="AT444" s="2" t="s">
        <v>0</v>
      </c>
      <c r="AU444" s="1">
        <f t="shared" si="59"/>
        <v>2.5506526787859372</v>
      </c>
      <c r="AV444" s="1">
        <f t="shared" si="60"/>
        <v>1.8218947705613837</v>
      </c>
      <c r="AW444" s="1">
        <f t="shared" si="61"/>
        <v>1.0931368623368303</v>
      </c>
    </row>
    <row r="445" spans="1:49" x14ac:dyDescent="0.2">
      <c r="A445">
        <v>443</v>
      </c>
      <c r="B445" t="s">
        <v>3174</v>
      </c>
      <c r="C445" t="s">
        <v>3173</v>
      </c>
      <c r="F445" t="s">
        <v>3172</v>
      </c>
      <c r="G445" t="s">
        <v>15</v>
      </c>
      <c r="H445" t="s">
        <v>14</v>
      </c>
      <c r="I445" t="s">
        <v>3171</v>
      </c>
      <c r="J445" t="s">
        <v>3170</v>
      </c>
      <c r="K445" t="s">
        <v>3169</v>
      </c>
      <c r="L445" t="s">
        <v>3168</v>
      </c>
      <c r="M445" t="s">
        <v>3167</v>
      </c>
      <c r="N445">
        <v>2</v>
      </c>
      <c r="O445" t="s">
        <v>3166</v>
      </c>
      <c r="P445" t="s">
        <v>3165</v>
      </c>
      <c r="Q445" t="s">
        <v>3164</v>
      </c>
      <c r="R445" s="7">
        <v>30317</v>
      </c>
      <c r="S445" s="8">
        <f t="shared" si="56"/>
        <v>1983</v>
      </c>
      <c r="T445" s="8">
        <v>1983</v>
      </c>
      <c r="U445" s="8">
        <f t="shared" si="57"/>
        <v>39</v>
      </c>
      <c r="V445" s="7">
        <v>30437</v>
      </c>
      <c r="W445" t="s">
        <v>618</v>
      </c>
      <c r="X445" s="2">
        <v>1.6519999999999999</v>
      </c>
      <c r="Y445" s="6">
        <f t="shared" si="54"/>
        <v>4.409919649769093E-2</v>
      </c>
      <c r="AA445" t="s">
        <v>617</v>
      </c>
      <c r="AB445">
        <v>17337</v>
      </c>
      <c r="AC445">
        <v>15582221</v>
      </c>
      <c r="AD445" t="s">
        <v>5</v>
      </c>
      <c r="AE445">
        <v>31</v>
      </c>
      <c r="AF445">
        <v>3</v>
      </c>
      <c r="AH445" t="s">
        <v>3163</v>
      </c>
      <c r="AI445" t="s">
        <v>3162</v>
      </c>
      <c r="AK445" t="s">
        <v>3161</v>
      </c>
      <c r="AL445">
        <v>20</v>
      </c>
      <c r="AM445" s="5">
        <f t="shared" si="58"/>
        <v>0.51282051282051277</v>
      </c>
      <c r="AN445" s="4">
        <f t="shared" si="55"/>
        <v>7.7670656996669868E-4</v>
      </c>
      <c r="AO445" s="3"/>
      <c r="AP445">
        <v>0</v>
      </c>
      <c r="AR445" t="s">
        <v>1</v>
      </c>
      <c r="AT445" s="2" t="s">
        <v>0</v>
      </c>
      <c r="AU445" s="1">
        <f t="shared" si="59"/>
        <v>3.1102449519373661</v>
      </c>
      <c r="AV445" s="1">
        <f t="shared" si="60"/>
        <v>2.2437951533828815</v>
      </c>
      <c r="AW445" s="1">
        <f t="shared" si="61"/>
        <v>1.3773453548283967</v>
      </c>
    </row>
    <row r="446" spans="1:49" x14ac:dyDescent="0.2">
      <c r="A446">
        <v>444</v>
      </c>
      <c r="B446" t="s">
        <v>3160</v>
      </c>
      <c r="C446" t="s">
        <v>3159</v>
      </c>
      <c r="F446" t="s">
        <v>3158</v>
      </c>
      <c r="G446" t="s">
        <v>15</v>
      </c>
      <c r="H446" t="s">
        <v>14</v>
      </c>
      <c r="I446" t="s">
        <v>3157</v>
      </c>
      <c r="N446">
        <v>1</v>
      </c>
      <c r="O446" t="s">
        <v>3156</v>
      </c>
      <c r="P446">
        <v>6603301777</v>
      </c>
      <c r="R446" s="7">
        <v>30317</v>
      </c>
      <c r="S446" s="8">
        <f t="shared" si="56"/>
        <v>1983</v>
      </c>
      <c r="T446" s="8">
        <v>1983</v>
      </c>
      <c r="U446" s="8">
        <f t="shared" si="57"/>
        <v>39</v>
      </c>
      <c r="V446" s="7" t="s">
        <v>2933</v>
      </c>
      <c r="W446" t="s">
        <v>508</v>
      </c>
      <c r="X446" s="2">
        <v>0.371</v>
      </c>
      <c r="Y446" s="6">
        <f t="shared" si="54"/>
        <v>9.9036331117695747E-3</v>
      </c>
      <c r="AA446">
        <v>486604</v>
      </c>
      <c r="AB446">
        <v>28580</v>
      </c>
      <c r="AC446" t="s">
        <v>507</v>
      </c>
      <c r="AD446" t="s">
        <v>5</v>
      </c>
      <c r="AE446">
        <v>18</v>
      </c>
      <c r="AF446">
        <v>3</v>
      </c>
      <c r="AH446" t="s">
        <v>3155</v>
      </c>
      <c r="AI446" t="s">
        <v>3154</v>
      </c>
      <c r="AK446" t="s">
        <v>3153</v>
      </c>
      <c r="AL446">
        <v>18</v>
      </c>
      <c r="AM446" s="5">
        <f t="shared" si="58"/>
        <v>0.46153846153846156</v>
      </c>
      <c r="AN446" s="4">
        <f t="shared" si="55"/>
        <v>6.9903591297002887E-4</v>
      </c>
      <c r="AO446" s="3"/>
      <c r="AP446">
        <v>0</v>
      </c>
      <c r="AR446" t="s">
        <v>1</v>
      </c>
      <c r="AT446" s="2">
        <v>1.431</v>
      </c>
      <c r="AU446" s="1">
        <f t="shared" si="59"/>
        <v>0.71422539521297101</v>
      </c>
      <c r="AV446" s="1">
        <f t="shared" si="60"/>
        <v>0.53013345123698019</v>
      </c>
      <c r="AW446" s="1">
        <f t="shared" si="61"/>
        <v>0.34604150726098926</v>
      </c>
    </row>
    <row r="447" spans="1:49" x14ac:dyDescent="0.2">
      <c r="A447">
        <v>445</v>
      </c>
      <c r="B447" t="s">
        <v>3152</v>
      </c>
      <c r="C447" t="s">
        <v>3151</v>
      </c>
      <c r="F447" t="s">
        <v>3150</v>
      </c>
      <c r="G447" t="s">
        <v>15</v>
      </c>
      <c r="H447" t="s">
        <v>14</v>
      </c>
      <c r="I447" t="s">
        <v>3149</v>
      </c>
      <c r="N447">
        <v>2</v>
      </c>
      <c r="O447" t="s">
        <v>3148</v>
      </c>
      <c r="P447" t="s">
        <v>3147</v>
      </c>
      <c r="Q447" t="s">
        <v>342</v>
      </c>
      <c r="R447" s="7">
        <v>30317</v>
      </c>
      <c r="S447" s="8">
        <f t="shared" si="56"/>
        <v>1983</v>
      </c>
      <c r="T447" s="8">
        <v>1983</v>
      </c>
      <c r="U447" s="8">
        <f t="shared" si="57"/>
        <v>39</v>
      </c>
      <c r="V447" s="7">
        <v>30437</v>
      </c>
      <c r="W447" t="s">
        <v>669</v>
      </c>
      <c r="X447" s="2">
        <v>1.137</v>
      </c>
      <c r="Y447" s="6">
        <f t="shared" si="54"/>
        <v>3.0351565628253384E-2</v>
      </c>
      <c r="AA447">
        <v>189251</v>
      </c>
      <c r="AB447">
        <v>17336</v>
      </c>
      <c r="AD447" t="s">
        <v>5</v>
      </c>
      <c r="AE447" t="s">
        <v>668</v>
      </c>
      <c r="AF447">
        <v>3</v>
      </c>
      <c r="AH447" t="s">
        <v>3146</v>
      </c>
      <c r="AI447" t="s">
        <v>3145</v>
      </c>
      <c r="AK447" t="s">
        <v>3144</v>
      </c>
      <c r="AL447">
        <v>2</v>
      </c>
      <c r="AM447" s="5">
        <f t="shared" si="58"/>
        <v>5.128205128205128E-2</v>
      </c>
      <c r="AN447" s="4">
        <f t="shared" si="55"/>
        <v>7.767065699666987E-5</v>
      </c>
      <c r="AO447" s="3"/>
      <c r="AP447">
        <v>0</v>
      </c>
      <c r="AR447" t="s">
        <v>1</v>
      </c>
      <c r="AT447" s="2" t="s">
        <v>0</v>
      </c>
      <c r="AU447" s="1">
        <f t="shared" si="59"/>
        <v>2.1269397136876367</v>
      </c>
      <c r="AV447" s="1">
        <f t="shared" si="60"/>
        <v>1.5214618142625027</v>
      </c>
      <c r="AW447" s="1">
        <f t="shared" si="61"/>
        <v>0.91598391483736841</v>
      </c>
    </row>
    <row r="448" spans="1:49" x14ac:dyDescent="0.2">
      <c r="A448">
        <v>446</v>
      </c>
      <c r="B448" t="s">
        <v>3143</v>
      </c>
      <c r="C448" t="s">
        <v>3142</v>
      </c>
      <c r="F448" t="s">
        <v>3141</v>
      </c>
      <c r="G448" t="s">
        <v>15</v>
      </c>
      <c r="H448" t="s">
        <v>14</v>
      </c>
      <c r="I448" t="s">
        <v>3140</v>
      </c>
      <c r="J448">
        <v>60102562</v>
      </c>
      <c r="K448" t="s">
        <v>3139</v>
      </c>
      <c r="L448" t="s">
        <v>3138</v>
      </c>
      <c r="M448" t="s">
        <v>10</v>
      </c>
      <c r="N448">
        <v>2</v>
      </c>
      <c r="O448" t="s">
        <v>3137</v>
      </c>
      <c r="P448" t="s">
        <v>3136</v>
      </c>
      <c r="Q448" t="s">
        <v>3135</v>
      </c>
      <c r="R448" s="7">
        <v>30317</v>
      </c>
      <c r="S448" s="8">
        <f t="shared" si="56"/>
        <v>1983</v>
      </c>
      <c r="T448" s="8">
        <v>1983</v>
      </c>
      <c r="U448" s="8">
        <f t="shared" si="57"/>
        <v>39</v>
      </c>
      <c r="V448" s="7">
        <v>30437</v>
      </c>
      <c r="W448" t="s">
        <v>669</v>
      </c>
      <c r="X448" s="2">
        <v>1.137</v>
      </c>
      <c r="Y448" s="6">
        <f t="shared" si="54"/>
        <v>3.0351565628253384E-2</v>
      </c>
      <c r="AA448">
        <v>189251</v>
      </c>
      <c r="AB448">
        <v>17336</v>
      </c>
      <c r="AD448" t="s">
        <v>5</v>
      </c>
      <c r="AE448" t="s">
        <v>668</v>
      </c>
      <c r="AF448">
        <v>3</v>
      </c>
      <c r="AH448" t="s">
        <v>3134</v>
      </c>
      <c r="AI448" t="s">
        <v>3133</v>
      </c>
      <c r="AK448" t="s">
        <v>3132</v>
      </c>
      <c r="AL448">
        <v>3</v>
      </c>
      <c r="AM448" s="5">
        <f t="shared" si="58"/>
        <v>7.6923076923076927E-2</v>
      </c>
      <c r="AN448" s="4">
        <f t="shared" si="55"/>
        <v>1.1650598549500481E-4</v>
      </c>
      <c r="AO448" s="3"/>
      <c r="AP448">
        <v>0</v>
      </c>
      <c r="AR448" t="s">
        <v>1</v>
      </c>
      <c r="AT448" s="2" t="s">
        <v>0</v>
      </c>
      <c r="AU448" s="1">
        <f t="shared" si="59"/>
        <v>2.1281047735425869</v>
      </c>
      <c r="AV448" s="1">
        <f t="shared" si="60"/>
        <v>1.5234035806874193</v>
      </c>
      <c r="AW448" s="1">
        <f t="shared" si="61"/>
        <v>0.918702387832252</v>
      </c>
    </row>
    <row r="449" spans="1:49" x14ac:dyDescent="0.2">
      <c r="A449">
        <v>447</v>
      </c>
      <c r="B449" t="s">
        <v>3131</v>
      </c>
      <c r="C449" t="s">
        <v>3130</v>
      </c>
      <c r="F449" t="s">
        <v>3129</v>
      </c>
      <c r="G449" t="s">
        <v>15</v>
      </c>
      <c r="H449" t="s">
        <v>14</v>
      </c>
      <c r="I449" t="s">
        <v>3128</v>
      </c>
      <c r="J449">
        <v>60108318</v>
      </c>
      <c r="K449" t="s">
        <v>3127</v>
      </c>
      <c r="L449" t="s">
        <v>3126</v>
      </c>
      <c r="M449" t="s">
        <v>10</v>
      </c>
      <c r="N449">
        <v>2</v>
      </c>
      <c r="O449" t="s">
        <v>3125</v>
      </c>
      <c r="P449" t="s">
        <v>3124</v>
      </c>
      <c r="Q449" t="s">
        <v>3123</v>
      </c>
      <c r="R449" s="7">
        <v>30317</v>
      </c>
      <c r="S449" s="8">
        <f t="shared" si="56"/>
        <v>1983</v>
      </c>
      <c r="T449" s="8">
        <v>1983</v>
      </c>
      <c r="U449" s="8">
        <f t="shared" si="57"/>
        <v>39</v>
      </c>
      <c r="V449" s="7">
        <v>30437</v>
      </c>
      <c r="W449" t="s">
        <v>618</v>
      </c>
      <c r="X449" s="2">
        <v>1.6519999999999999</v>
      </c>
      <c r="Y449" s="6">
        <f t="shared" si="54"/>
        <v>4.409919649769093E-2</v>
      </c>
      <c r="AA449" t="s">
        <v>617</v>
      </c>
      <c r="AB449">
        <v>17337</v>
      </c>
      <c r="AC449">
        <v>15582221</v>
      </c>
      <c r="AD449" t="s">
        <v>5</v>
      </c>
      <c r="AE449">
        <v>31</v>
      </c>
      <c r="AF449">
        <v>3</v>
      </c>
      <c r="AH449" t="s">
        <v>3122</v>
      </c>
      <c r="AI449" t="s">
        <v>3121</v>
      </c>
      <c r="AK449" t="s">
        <v>3120</v>
      </c>
      <c r="AL449">
        <v>65</v>
      </c>
      <c r="AM449" s="5">
        <f t="shared" si="58"/>
        <v>1.6666666666666667</v>
      </c>
      <c r="AN449" s="4">
        <f t="shared" si="55"/>
        <v>2.5242963523917708E-3</v>
      </c>
      <c r="AO449" s="3"/>
      <c r="AP449">
        <v>0</v>
      </c>
      <c r="AR449" t="s">
        <v>1</v>
      </c>
      <c r="AT449" s="2" t="s">
        <v>0</v>
      </c>
      <c r="AU449" s="1">
        <f t="shared" si="59"/>
        <v>3.1626726454101179</v>
      </c>
      <c r="AV449" s="1">
        <f t="shared" si="60"/>
        <v>2.3311746425041351</v>
      </c>
      <c r="AW449" s="1">
        <f t="shared" si="61"/>
        <v>1.4996766395981516</v>
      </c>
    </row>
    <row r="450" spans="1:49" x14ac:dyDescent="0.2">
      <c r="A450">
        <v>448</v>
      </c>
      <c r="B450" t="s">
        <v>3119</v>
      </c>
      <c r="C450" t="s">
        <v>3118</v>
      </c>
      <c r="F450" t="s">
        <v>3117</v>
      </c>
      <c r="G450" t="s">
        <v>15</v>
      </c>
      <c r="H450" t="s">
        <v>14</v>
      </c>
      <c r="I450" t="s">
        <v>3116</v>
      </c>
      <c r="J450">
        <v>60005837</v>
      </c>
      <c r="K450" t="s">
        <v>3115</v>
      </c>
      <c r="L450" t="s">
        <v>1205</v>
      </c>
      <c r="M450" t="s">
        <v>10</v>
      </c>
      <c r="N450">
        <v>3</v>
      </c>
      <c r="O450" t="s">
        <v>3114</v>
      </c>
      <c r="P450" t="s">
        <v>3113</v>
      </c>
      <c r="Q450" t="s">
        <v>3112</v>
      </c>
      <c r="R450" s="7">
        <v>30317</v>
      </c>
      <c r="S450" s="8">
        <f t="shared" si="56"/>
        <v>1983</v>
      </c>
      <c r="T450" s="8">
        <v>1983</v>
      </c>
      <c r="U450" s="8">
        <f t="shared" si="57"/>
        <v>39</v>
      </c>
      <c r="V450" s="7">
        <v>30437</v>
      </c>
      <c r="W450" t="s">
        <v>618</v>
      </c>
      <c r="X450" s="2">
        <v>1.6519999999999999</v>
      </c>
      <c r="Y450" s="6">
        <f t="shared" ref="Y450:Y513" si="62">(X450-$Z$4)/($Z$3-$Z$4)</f>
        <v>4.409919649769093E-2</v>
      </c>
      <c r="AA450" t="s">
        <v>617</v>
      </c>
      <c r="AB450">
        <v>17337</v>
      </c>
      <c r="AC450">
        <v>15582221</v>
      </c>
      <c r="AD450" t="s">
        <v>5</v>
      </c>
      <c r="AE450">
        <v>31</v>
      </c>
      <c r="AF450">
        <v>3</v>
      </c>
      <c r="AH450" t="s">
        <v>3111</v>
      </c>
      <c r="AI450" t="s">
        <v>3110</v>
      </c>
      <c r="AK450" t="s">
        <v>3109</v>
      </c>
      <c r="AL450">
        <v>1111</v>
      </c>
      <c r="AM450" s="5">
        <f t="shared" si="58"/>
        <v>28.487179487179485</v>
      </c>
      <c r="AN450" s="4">
        <f t="shared" ref="AN450:AN513" si="63">(AM450-$AO$4)/($AO$3-$AO$4)</f>
        <v>4.3146049961650113E-2</v>
      </c>
      <c r="AO450" s="3"/>
      <c r="AP450">
        <v>0</v>
      </c>
      <c r="AR450" t="s">
        <v>1</v>
      </c>
      <c r="AT450" s="2" t="s">
        <v>0</v>
      </c>
      <c r="AU450" s="1">
        <f t="shared" si="59"/>
        <v>4.3813252536878684</v>
      </c>
      <c r="AV450" s="1">
        <f t="shared" si="60"/>
        <v>4.3622623229670516</v>
      </c>
      <c r="AW450" s="1">
        <f t="shared" si="61"/>
        <v>4.3431993922462349</v>
      </c>
    </row>
    <row r="451" spans="1:49" x14ac:dyDescent="0.2">
      <c r="A451">
        <v>449</v>
      </c>
      <c r="B451" t="s">
        <v>3108</v>
      </c>
      <c r="C451" t="s">
        <v>3107</v>
      </c>
      <c r="F451" t="s">
        <v>3106</v>
      </c>
      <c r="G451" t="s">
        <v>15</v>
      </c>
      <c r="H451" t="s">
        <v>14</v>
      </c>
      <c r="I451" t="s">
        <v>3105</v>
      </c>
      <c r="J451">
        <v>60029470</v>
      </c>
      <c r="K451" t="s">
        <v>3104</v>
      </c>
      <c r="L451" t="s">
        <v>3103</v>
      </c>
      <c r="M451" t="s">
        <v>821</v>
      </c>
      <c r="N451">
        <v>1</v>
      </c>
      <c r="O451" t="s">
        <v>3102</v>
      </c>
      <c r="P451">
        <v>7201399131</v>
      </c>
      <c r="Q451">
        <v>60029470</v>
      </c>
      <c r="R451" s="7">
        <v>30317</v>
      </c>
      <c r="S451" s="8">
        <f t="shared" si="56"/>
        <v>1983</v>
      </c>
      <c r="T451" s="8">
        <v>1983</v>
      </c>
      <c r="U451" s="8">
        <f t="shared" si="57"/>
        <v>39</v>
      </c>
      <c r="V451" s="7">
        <v>30437</v>
      </c>
      <c r="W451" t="s">
        <v>618</v>
      </c>
      <c r="X451" s="2">
        <v>1.6519999999999999</v>
      </c>
      <c r="Y451" s="6">
        <f t="shared" si="62"/>
        <v>4.409919649769093E-2</v>
      </c>
      <c r="AA451" t="s">
        <v>617</v>
      </c>
      <c r="AB451">
        <v>17337</v>
      </c>
      <c r="AC451">
        <v>15582221</v>
      </c>
      <c r="AD451" t="s">
        <v>5</v>
      </c>
      <c r="AE451">
        <v>31</v>
      </c>
      <c r="AF451">
        <v>3</v>
      </c>
      <c r="AH451" t="s">
        <v>3101</v>
      </c>
      <c r="AI451" t="s">
        <v>3100</v>
      </c>
      <c r="AK451" t="s">
        <v>3099</v>
      </c>
      <c r="AL451">
        <v>1</v>
      </c>
      <c r="AM451" s="5">
        <f t="shared" si="58"/>
        <v>2.564102564102564E-2</v>
      </c>
      <c r="AN451" s="4">
        <f t="shared" si="63"/>
        <v>3.8835328498334935E-5</v>
      </c>
      <c r="AO451" s="3"/>
      <c r="AP451">
        <v>0</v>
      </c>
      <c r="AR451" t="s">
        <v>1</v>
      </c>
      <c r="AT451" s="2" t="s">
        <v>0</v>
      </c>
      <c r="AU451" s="1">
        <f t="shared" si="59"/>
        <v>3.0881088146933151</v>
      </c>
      <c r="AV451" s="1">
        <f t="shared" si="60"/>
        <v>2.2069015913094634</v>
      </c>
      <c r="AW451" s="1">
        <f t="shared" si="61"/>
        <v>1.3256943679256112</v>
      </c>
    </row>
    <row r="452" spans="1:49" x14ac:dyDescent="0.2">
      <c r="A452">
        <v>450</v>
      </c>
      <c r="B452" t="s">
        <v>3098</v>
      </c>
      <c r="F452" t="s">
        <v>3097</v>
      </c>
      <c r="G452" t="s">
        <v>15</v>
      </c>
      <c r="H452" t="s">
        <v>14</v>
      </c>
      <c r="I452" t="s">
        <v>2441</v>
      </c>
      <c r="N452">
        <v>1</v>
      </c>
      <c r="O452" t="s">
        <v>3096</v>
      </c>
      <c r="P452">
        <v>6701893127</v>
      </c>
      <c r="R452" s="7">
        <v>30317</v>
      </c>
      <c r="S452" s="8">
        <f t="shared" si="56"/>
        <v>1983</v>
      </c>
      <c r="T452" s="8">
        <v>1983</v>
      </c>
      <c r="U452" s="8">
        <f t="shared" si="57"/>
        <v>39</v>
      </c>
      <c r="V452" s="7" t="s">
        <v>2803</v>
      </c>
      <c r="W452" t="s">
        <v>3095</v>
      </c>
      <c r="X452" s="2" t="s">
        <v>0</v>
      </c>
      <c r="Y452" s="6" t="e">
        <f t="shared" si="62"/>
        <v>#VALUE!</v>
      </c>
      <c r="AA452">
        <v>911062</v>
      </c>
      <c r="AB452">
        <v>17916</v>
      </c>
      <c r="AD452" t="s">
        <v>5</v>
      </c>
      <c r="AE452">
        <v>19</v>
      </c>
      <c r="AF452">
        <v>3</v>
      </c>
      <c r="AH452" s="10">
        <v>41944</v>
      </c>
      <c r="AI452" t="s">
        <v>3094</v>
      </c>
      <c r="AK452" t="s">
        <v>3093</v>
      </c>
      <c r="AL452">
        <v>0</v>
      </c>
      <c r="AM452" s="5">
        <f t="shared" si="58"/>
        <v>0</v>
      </c>
      <c r="AN452" s="4">
        <f t="shared" si="63"/>
        <v>0</v>
      </c>
      <c r="AO452" s="3"/>
      <c r="AP452">
        <v>0</v>
      </c>
      <c r="AR452" t="s">
        <v>1</v>
      </c>
      <c r="AT452" s="2">
        <v>0.182</v>
      </c>
      <c r="AU452" s="1" t="e">
        <f t="shared" si="59"/>
        <v>#VALUE!</v>
      </c>
      <c r="AV452" s="1" t="e">
        <f t="shared" si="60"/>
        <v>#VALUE!</v>
      </c>
      <c r="AW452" s="1" t="e">
        <f t="shared" si="61"/>
        <v>#VALUE!</v>
      </c>
    </row>
    <row r="453" spans="1:49" x14ac:dyDescent="0.2">
      <c r="A453">
        <v>451</v>
      </c>
      <c r="B453" t="s">
        <v>3092</v>
      </c>
      <c r="C453" t="s">
        <v>3091</v>
      </c>
      <c r="F453" t="s">
        <v>3090</v>
      </c>
      <c r="G453" t="s">
        <v>15</v>
      </c>
      <c r="H453" t="s">
        <v>14</v>
      </c>
      <c r="I453" t="s">
        <v>3089</v>
      </c>
      <c r="J453">
        <v>60020818</v>
      </c>
      <c r="K453" t="s">
        <v>3088</v>
      </c>
      <c r="L453" t="s">
        <v>3087</v>
      </c>
      <c r="M453" t="s">
        <v>10</v>
      </c>
      <c r="N453">
        <v>1</v>
      </c>
      <c r="O453" t="s">
        <v>3086</v>
      </c>
      <c r="P453">
        <v>6602957513</v>
      </c>
      <c r="Q453">
        <v>60020818</v>
      </c>
      <c r="R453" s="7">
        <v>30317</v>
      </c>
      <c r="S453" s="8">
        <f t="shared" si="56"/>
        <v>1983</v>
      </c>
      <c r="T453" s="8">
        <v>1983</v>
      </c>
      <c r="U453" s="8">
        <f t="shared" si="57"/>
        <v>39</v>
      </c>
      <c r="V453" s="7">
        <v>30437</v>
      </c>
      <c r="W453" t="s">
        <v>618</v>
      </c>
      <c r="X453" s="2">
        <v>1.6519999999999999</v>
      </c>
      <c r="Y453" s="6">
        <f t="shared" si="62"/>
        <v>4.409919649769093E-2</v>
      </c>
      <c r="AA453" t="s">
        <v>617</v>
      </c>
      <c r="AB453">
        <v>17337</v>
      </c>
      <c r="AC453">
        <v>15582221</v>
      </c>
      <c r="AD453" t="s">
        <v>5</v>
      </c>
      <c r="AE453">
        <v>31</v>
      </c>
      <c r="AF453">
        <v>3</v>
      </c>
      <c r="AH453" t="s">
        <v>3085</v>
      </c>
      <c r="AI453" t="s">
        <v>3084</v>
      </c>
      <c r="AK453" t="s">
        <v>3083</v>
      </c>
      <c r="AL453">
        <v>5</v>
      </c>
      <c r="AM453" s="5">
        <f t="shared" si="58"/>
        <v>0.12820512820512819</v>
      </c>
      <c r="AN453" s="4">
        <f t="shared" si="63"/>
        <v>1.9417664249167467E-4</v>
      </c>
      <c r="AO453" s="3"/>
      <c r="AP453">
        <v>0</v>
      </c>
      <c r="AR453" t="s">
        <v>1</v>
      </c>
      <c r="AT453" s="2" t="s">
        <v>0</v>
      </c>
      <c r="AU453" s="1">
        <f t="shared" si="59"/>
        <v>3.0927690541131154</v>
      </c>
      <c r="AV453" s="1">
        <f t="shared" si="60"/>
        <v>2.2146686570091303</v>
      </c>
      <c r="AW453" s="1">
        <f t="shared" si="61"/>
        <v>1.3365682599051452</v>
      </c>
    </row>
    <row r="454" spans="1:49" x14ac:dyDescent="0.2">
      <c r="A454">
        <v>452</v>
      </c>
      <c r="B454" t="s">
        <v>3082</v>
      </c>
      <c r="C454" t="s">
        <v>3081</v>
      </c>
      <c r="F454" t="s">
        <v>3080</v>
      </c>
      <c r="G454" t="s">
        <v>15</v>
      </c>
      <c r="H454" t="s">
        <v>14</v>
      </c>
      <c r="I454" t="s">
        <v>3079</v>
      </c>
      <c r="J454">
        <v>60030551</v>
      </c>
      <c r="K454" t="s">
        <v>3078</v>
      </c>
      <c r="L454" t="s">
        <v>3077</v>
      </c>
      <c r="M454" t="s">
        <v>10</v>
      </c>
      <c r="N454">
        <v>2</v>
      </c>
      <c r="O454" t="s">
        <v>3076</v>
      </c>
      <c r="P454" t="s">
        <v>3075</v>
      </c>
      <c r="Q454" t="s">
        <v>3074</v>
      </c>
      <c r="R454" s="7">
        <v>30317</v>
      </c>
      <c r="S454" s="8">
        <f t="shared" si="56"/>
        <v>1983</v>
      </c>
      <c r="T454" s="8">
        <v>1983</v>
      </c>
      <c r="U454" s="8">
        <f t="shared" si="57"/>
        <v>39</v>
      </c>
      <c r="V454" s="7">
        <v>30437</v>
      </c>
      <c r="W454" t="s">
        <v>618</v>
      </c>
      <c r="X454" s="2">
        <v>1.6519999999999999</v>
      </c>
      <c r="Y454" s="6">
        <f t="shared" si="62"/>
        <v>4.409919649769093E-2</v>
      </c>
      <c r="AA454" t="s">
        <v>617</v>
      </c>
      <c r="AB454">
        <v>17337</v>
      </c>
      <c r="AC454">
        <v>15582221</v>
      </c>
      <c r="AD454" t="s">
        <v>5</v>
      </c>
      <c r="AE454">
        <v>31</v>
      </c>
      <c r="AF454">
        <v>3</v>
      </c>
      <c r="AH454" t="s">
        <v>3073</v>
      </c>
      <c r="AI454" t="s">
        <v>3072</v>
      </c>
      <c r="AK454" t="s">
        <v>3071</v>
      </c>
      <c r="AL454">
        <v>19</v>
      </c>
      <c r="AM454" s="5">
        <f t="shared" si="58"/>
        <v>0.48717948717948717</v>
      </c>
      <c r="AN454" s="4">
        <f t="shared" si="63"/>
        <v>7.3787124146836372E-4</v>
      </c>
      <c r="AO454" s="3"/>
      <c r="AP454">
        <v>0</v>
      </c>
      <c r="AR454" t="s">
        <v>1</v>
      </c>
      <c r="AT454" s="2" t="s">
        <v>0</v>
      </c>
      <c r="AU454" s="1">
        <f t="shared" si="59"/>
        <v>3.1090798920824159</v>
      </c>
      <c r="AV454" s="1">
        <f t="shared" si="60"/>
        <v>2.2418533869579651</v>
      </c>
      <c r="AW454" s="1">
        <f t="shared" si="61"/>
        <v>1.3746268818335132</v>
      </c>
    </row>
    <row r="455" spans="1:49" x14ac:dyDescent="0.2">
      <c r="A455">
        <v>453</v>
      </c>
      <c r="B455" t="s">
        <v>3070</v>
      </c>
      <c r="C455" t="s">
        <v>3069</v>
      </c>
      <c r="F455" t="s">
        <v>3068</v>
      </c>
      <c r="G455" t="s">
        <v>15</v>
      </c>
      <c r="H455" t="s">
        <v>14</v>
      </c>
      <c r="I455" t="s">
        <v>3067</v>
      </c>
      <c r="J455" t="s">
        <v>3066</v>
      </c>
      <c r="K455" t="s">
        <v>3065</v>
      </c>
      <c r="L455" t="s">
        <v>3064</v>
      </c>
      <c r="M455" t="s">
        <v>91</v>
      </c>
      <c r="N455">
        <v>3</v>
      </c>
      <c r="O455" t="s">
        <v>3063</v>
      </c>
      <c r="P455" t="s">
        <v>3062</v>
      </c>
      <c r="Q455" t="s">
        <v>3061</v>
      </c>
      <c r="R455" s="7">
        <v>30317</v>
      </c>
      <c r="S455" s="8">
        <f t="shared" si="56"/>
        <v>1983</v>
      </c>
      <c r="T455" s="8">
        <v>1983</v>
      </c>
      <c r="U455" s="8">
        <f t="shared" si="57"/>
        <v>39</v>
      </c>
      <c r="V455" s="7">
        <v>30437</v>
      </c>
      <c r="W455" t="s">
        <v>1531</v>
      </c>
      <c r="X455" s="2">
        <v>0.65500000000000003</v>
      </c>
      <c r="Y455" s="6">
        <f t="shared" si="62"/>
        <v>1.7484850911614749E-2</v>
      </c>
      <c r="AA455">
        <v>189375</v>
      </c>
      <c r="AB455">
        <v>26051</v>
      </c>
      <c r="AC455" t="s">
        <v>1530</v>
      </c>
      <c r="AD455" t="s">
        <v>5</v>
      </c>
      <c r="AE455" t="s">
        <v>1529</v>
      </c>
      <c r="AF455">
        <v>2</v>
      </c>
      <c r="AH455" t="s">
        <v>3060</v>
      </c>
      <c r="AI455" t="s">
        <v>3059</v>
      </c>
      <c r="AJ455" t="s">
        <v>3058</v>
      </c>
      <c r="AK455" t="s">
        <v>3057</v>
      </c>
      <c r="AL455">
        <v>12</v>
      </c>
      <c r="AM455" s="5">
        <f t="shared" si="58"/>
        <v>0.30769230769230771</v>
      </c>
      <c r="AN455" s="4">
        <f t="shared" si="63"/>
        <v>4.6602394198001925E-4</v>
      </c>
      <c r="AO455" s="3"/>
      <c r="AP455">
        <v>0</v>
      </c>
      <c r="AR455" t="s">
        <v>1</v>
      </c>
      <c r="AT455" s="2" t="s">
        <v>0</v>
      </c>
      <c r="AU455" s="1">
        <f t="shared" si="59"/>
        <v>1.2379202820724329</v>
      </c>
      <c r="AV455" s="1">
        <f t="shared" si="60"/>
        <v>0.89754374267973835</v>
      </c>
      <c r="AW455" s="1">
        <f t="shared" si="61"/>
        <v>0.55716720328704383</v>
      </c>
    </row>
    <row r="456" spans="1:49" x14ac:dyDescent="0.2">
      <c r="A456">
        <v>454</v>
      </c>
      <c r="B456" t="s">
        <v>3056</v>
      </c>
      <c r="C456" t="s">
        <v>3055</v>
      </c>
      <c r="F456" t="s">
        <v>3054</v>
      </c>
      <c r="G456" t="s">
        <v>15</v>
      </c>
      <c r="H456" t="s">
        <v>14</v>
      </c>
      <c r="I456" t="s">
        <v>3053</v>
      </c>
      <c r="N456">
        <v>1</v>
      </c>
      <c r="O456" t="s">
        <v>3052</v>
      </c>
      <c r="P456">
        <v>57211722966</v>
      </c>
      <c r="R456" s="7">
        <v>30317</v>
      </c>
      <c r="S456" s="8">
        <f t="shared" si="56"/>
        <v>1983</v>
      </c>
      <c r="T456" s="8">
        <v>1983</v>
      </c>
      <c r="U456" s="8">
        <f t="shared" si="57"/>
        <v>39</v>
      </c>
      <c r="V456" s="7">
        <v>30437</v>
      </c>
      <c r="W456" t="s">
        <v>618</v>
      </c>
      <c r="X456" s="2">
        <v>1.6519999999999999</v>
      </c>
      <c r="Y456" s="6">
        <f t="shared" si="62"/>
        <v>4.409919649769093E-2</v>
      </c>
      <c r="AA456" t="s">
        <v>617</v>
      </c>
      <c r="AB456">
        <v>17337</v>
      </c>
      <c r="AC456">
        <v>15582221</v>
      </c>
      <c r="AD456" t="s">
        <v>5</v>
      </c>
      <c r="AE456">
        <v>31</v>
      </c>
      <c r="AF456">
        <v>3</v>
      </c>
      <c r="AH456" t="s">
        <v>3051</v>
      </c>
      <c r="AI456" t="s">
        <v>3050</v>
      </c>
      <c r="AK456" t="s">
        <v>3049</v>
      </c>
      <c r="AL456">
        <v>0</v>
      </c>
      <c r="AM456" s="5">
        <f t="shared" si="58"/>
        <v>0</v>
      </c>
      <c r="AN456" s="4">
        <f t="shared" si="63"/>
        <v>0</v>
      </c>
      <c r="AO456" s="3"/>
      <c r="AP456">
        <v>0</v>
      </c>
      <c r="AR456" t="s">
        <v>1</v>
      </c>
      <c r="AT456" s="2" t="s">
        <v>0</v>
      </c>
      <c r="AU456" s="1">
        <f t="shared" si="59"/>
        <v>3.0869437548383649</v>
      </c>
      <c r="AV456" s="1">
        <f t="shared" si="60"/>
        <v>2.2049598248845466</v>
      </c>
      <c r="AW456" s="1">
        <f t="shared" si="61"/>
        <v>1.3229758949307278</v>
      </c>
    </row>
    <row r="457" spans="1:49" x14ac:dyDescent="0.2">
      <c r="A457">
        <v>455</v>
      </c>
      <c r="B457" t="s">
        <v>3048</v>
      </c>
      <c r="C457" t="s">
        <v>3047</v>
      </c>
      <c r="F457" t="s">
        <v>3046</v>
      </c>
      <c r="G457" t="s">
        <v>15</v>
      </c>
      <c r="H457" t="s">
        <v>14</v>
      </c>
      <c r="I457" t="s">
        <v>3045</v>
      </c>
      <c r="J457">
        <v>100518274</v>
      </c>
      <c r="K457" t="s">
        <v>3044</v>
      </c>
      <c r="L457" t="s">
        <v>749</v>
      </c>
      <c r="M457" t="s">
        <v>748</v>
      </c>
      <c r="N457">
        <v>2</v>
      </c>
      <c r="O457" t="s">
        <v>3043</v>
      </c>
      <c r="P457" t="s">
        <v>3042</v>
      </c>
      <c r="Q457" t="s">
        <v>3041</v>
      </c>
      <c r="R457" s="7">
        <v>30317</v>
      </c>
      <c r="S457" s="8">
        <f t="shared" si="56"/>
        <v>1983</v>
      </c>
      <c r="T457" s="8">
        <v>1983</v>
      </c>
      <c r="U457" s="8">
        <f t="shared" si="57"/>
        <v>39</v>
      </c>
      <c r="V457" s="7">
        <v>30437</v>
      </c>
      <c r="W457" t="s">
        <v>1347</v>
      </c>
      <c r="X457" s="2">
        <v>1.468</v>
      </c>
      <c r="Y457" s="6">
        <f t="shared" si="62"/>
        <v>3.9187421585115186E-2</v>
      </c>
      <c r="AA457">
        <v>906778</v>
      </c>
      <c r="AB457">
        <v>18931</v>
      </c>
      <c r="AD457" t="s">
        <v>5</v>
      </c>
      <c r="AE457">
        <v>31</v>
      </c>
      <c r="AF457">
        <v>5</v>
      </c>
      <c r="AH457" t="s">
        <v>3040</v>
      </c>
      <c r="AI457" t="s">
        <v>3039</v>
      </c>
      <c r="AK457" t="s">
        <v>3038</v>
      </c>
      <c r="AL457">
        <v>4</v>
      </c>
      <c r="AM457" s="5">
        <f t="shared" si="58"/>
        <v>0.10256410256410256</v>
      </c>
      <c r="AN457" s="4">
        <f t="shared" si="63"/>
        <v>1.5534131399333974E-4</v>
      </c>
      <c r="AO457" s="3"/>
      <c r="AP457">
        <v>0</v>
      </c>
      <c r="AR457" t="s">
        <v>1</v>
      </c>
      <c r="AT457" s="2">
        <v>5.0830000000000002</v>
      </c>
      <c r="AU457" s="1">
        <f t="shared" si="59"/>
        <v>2.7477797503778629</v>
      </c>
      <c r="AV457" s="1">
        <f t="shared" si="60"/>
        <v>1.9671381449554264</v>
      </c>
      <c r="AW457" s="1">
        <f t="shared" si="61"/>
        <v>1.1864965395329894</v>
      </c>
    </row>
    <row r="458" spans="1:49" x14ac:dyDescent="0.2">
      <c r="A458">
        <v>456</v>
      </c>
      <c r="B458" t="s">
        <v>3037</v>
      </c>
      <c r="C458" t="s">
        <v>3036</v>
      </c>
      <c r="D458">
        <v>16003283900649</v>
      </c>
      <c r="F458" t="s">
        <v>3035</v>
      </c>
      <c r="G458" t="s">
        <v>15</v>
      </c>
      <c r="H458" t="s">
        <v>14</v>
      </c>
      <c r="I458" t="s">
        <v>3034</v>
      </c>
      <c r="J458">
        <v>60027550</v>
      </c>
      <c r="K458" t="s">
        <v>660</v>
      </c>
      <c r="L458" t="s">
        <v>659</v>
      </c>
      <c r="M458" t="s">
        <v>10</v>
      </c>
      <c r="N458">
        <v>1</v>
      </c>
      <c r="O458" t="s">
        <v>3033</v>
      </c>
      <c r="P458">
        <v>8311493600</v>
      </c>
      <c r="Q458">
        <v>60027550</v>
      </c>
      <c r="R458" s="7">
        <v>30317</v>
      </c>
      <c r="S458" s="8">
        <f t="shared" si="56"/>
        <v>1983</v>
      </c>
      <c r="T458" s="8">
        <v>1983</v>
      </c>
      <c r="U458" s="8">
        <f t="shared" si="57"/>
        <v>39</v>
      </c>
      <c r="V458" s="7" t="s">
        <v>402</v>
      </c>
      <c r="W458" t="s">
        <v>3032</v>
      </c>
      <c r="X458" s="2">
        <v>1.0049999999999999</v>
      </c>
      <c r="Y458" s="6">
        <f t="shared" si="62"/>
        <v>2.6827901017057738E-2</v>
      </c>
      <c r="AA458">
        <v>160032</v>
      </c>
      <c r="AB458">
        <v>27959</v>
      </c>
      <c r="AD458" t="s">
        <v>5</v>
      </c>
      <c r="AE458">
        <v>315</v>
      </c>
      <c r="AF458" s="9">
        <v>44352</v>
      </c>
      <c r="AH458" t="s">
        <v>3031</v>
      </c>
      <c r="AI458" t="s">
        <v>3030</v>
      </c>
      <c r="AK458" t="s">
        <v>3029</v>
      </c>
      <c r="AL458">
        <v>2</v>
      </c>
      <c r="AM458" s="5">
        <f t="shared" si="58"/>
        <v>5.128205128205128E-2</v>
      </c>
      <c r="AN458" s="4">
        <f t="shared" si="63"/>
        <v>7.767065699666987E-5</v>
      </c>
      <c r="AO458" s="3"/>
      <c r="AP458">
        <v>0</v>
      </c>
      <c r="AR458" t="s">
        <v>1</v>
      </c>
      <c r="AT458" s="2" t="s">
        <v>0</v>
      </c>
      <c r="AU458" s="1">
        <f t="shared" si="59"/>
        <v>1.8802831909039415</v>
      </c>
      <c r="AV458" s="1">
        <f t="shared" si="60"/>
        <v>1.3452785837027204</v>
      </c>
      <c r="AW458" s="1">
        <f t="shared" si="61"/>
        <v>0.81027397650149902</v>
      </c>
    </row>
    <row r="459" spans="1:49" x14ac:dyDescent="0.2">
      <c r="A459">
        <v>457</v>
      </c>
      <c r="B459" t="s">
        <v>3028</v>
      </c>
      <c r="C459" t="s">
        <v>3027</v>
      </c>
      <c r="F459" t="s">
        <v>3026</v>
      </c>
      <c r="G459" t="s">
        <v>15</v>
      </c>
      <c r="H459" t="s">
        <v>14</v>
      </c>
      <c r="I459" t="s">
        <v>3025</v>
      </c>
      <c r="J459">
        <v>60009037</v>
      </c>
      <c r="K459" t="s">
        <v>720</v>
      </c>
      <c r="L459" t="s">
        <v>719</v>
      </c>
      <c r="M459" t="s">
        <v>10</v>
      </c>
      <c r="N459">
        <v>2</v>
      </c>
      <c r="O459" t="s">
        <v>3024</v>
      </c>
      <c r="P459" t="s">
        <v>3023</v>
      </c>
      <c r="Q459" t="s">
        <v>2364</v>
      </c>
      <c r="R459" s="7">
        <v>30317</v>
      </c>
      <c r="S459" s="8">
        <f t="shared" si="56"/>
        <v>1983</v>
      </c>
      <c r="T459" s="8">
        <v>1983</v>
      </c>
      <c r="U459" s="8">
        <f t="shared" si="57"/>
        <v>39</v>
      </c>
      <c r="V459" s="7">
        <v>30437</v>
      </c>
      <c r="W459" t="s">
        <v>3022</v>
      </c>
      <c r="X459" s="2">
        <v>1.573</v>
      </c>
      <c r="Y459" s="6">
        <f t="shared" si="62"/>
        <v>4.1990336616748086E-2</v>
      </c>
      <c r="AA459">
        <v>7315090</v>
      </c>
      <c r="AB459">
        <v>29586</v>
      </c>
      <c r="AD459" t="s">
        <v>5</v>
      </c>
      <c r="AE459">
        <v>6</v>
      </c>
      <c r="AF459">
        <v>3</v>
      </c>
      <c r="AH459" t="s">
        <v>3021</v>
      </c>
      <c r="AI459" t="s">
        <v>3020</v>
      </c>
      <c r="AK459" t="s">
        <v>3019</v>
      </c>
      <c r="AL459">
        <v>3</v>
      </c>
      <c r="AM459" s="5">
        <f t="shared" si="58"/>
        <v>7.6923076923076927E-2</v>
      </c>
      <c r="AN459" s="4">
        <f t="shared" si="63"/>
        <v>1.1650598549500481E-4</v>
      </c>
      <c r="AO459" s="3"/>
      <c r="AP459">
        <v>0</v>
      </c>
      <c r="AR459" t="s">
        <v>1</v>
      </c>
      <c r="AT459" s="2" t="s">
        <v>0</v>
      </c>
      <c r="AU459" s="1">
        <f t="shared" si="59"/>
        <v>2.9428187427372161</v>
      </c>
      <c r="AV459" s="1">
        <f t="shared" si="60"/>
        <v>2.1053421301121547</v>
      </c>
      <c r="AW459" s="1">
        <f t="shared" si="61"/>
        <v>1.267865517487093</v>
      </c>
    </row>
    <row r="460" spans="1:49" x14ac:dyDescent="0.2">
      <c r="A460">
        <v>458</v>
      </c>
      <c r="B460" t="s">
        <v>3018</v>
      </c>
      <c r="C460" t="s">
        <v>3017</v>
      </c>
      <c r="F460" t="s">
        <v>3016</v>
      </c>
      <c r="G460" t="s">
        <v>15</v>
      </c>
      <c r="H460" t="s">
        <v>14</v>
      </c>
      <c r="I460" t="s">
        <v>3015</v>
      </c>
      <c r="N460">
        <v>2</v>
      </c>
      <c r="O460" t="s">
        <v>3014</v>
      </c>
      <c r="P460" t="s">
        <v>3013</v>
      </c>
      <c r="Q460" t="s">
        <v>342</v>
      </c>
      <c r="R460" s="7">
        <v>30317</v>
      </c>
      <c r="S460" s="8">
        <f t="shared" si="56"/>
        <v>1983</v>
      </c>
      <c r="T460" s="8">
        <v>1983</v>
      </c>
      <c r="U460" s="8">
        <f t="shared" si="57"/>
        <v>39</v>
      </c>
      <c r="V460" s="7" t="s">
        <v>2803</v>
      </c>
      <c r="W460" t="s">
        <v>3012</v>
      </c>
      <c r="X460" s="2" t="s">
        <v>0</v>
      </c>
      <c r="Y460" s="6" t="e">
        <f t="shared" si="62"/>
        <v>#VALUE!</v>
      </c>
      <c r="AA460">
        <v>84204</v>
      </c>
      <c r="AB460">
        <v>27420</v>
      </c>
      <c r="AD460" t="s">
        <v>5</v>
      </c>
      <c r="AE460">
        <v>61</v>
      </c>
      <c r="AF460">
        <v>5</v>
      </c>
      <c r="AH460" t="s">
        <v>3011</v>
      </c>
      <c r="AI460" t="s">
        <v>3010</v>
      </c>
      <c r="AK460" t="s">
        <v>3009</v>
      </c>
      <c r="AL460">
        <v>0</v>
      </c>
      <c r="AM460" s="5">
        <f t="shared" si="58"/>
        <v>0</v>
      </c>
      <c r="AN460" s="4">
        <f t="shared" si="63"/>
        <v>0</v>
      </c>
      <c r="AO460" s="3"/>
      <c r="AP460">
        <v>0</v>
      </c>
      <c r="AR460" t="s">
        <v>1</v>
      </c>
      <c r="AT460" s="2">
        <v>1.24</v>
      </c>
      <c r="AU460" s="1" t="e">
        <f t="shared" si="59"/>
        <v>#VALUE!</v>
      </c>
      <c r="AV460" s="1" t="e">
        <f t="shared" si="60"/>
        <v>#VALUE!</v>
      </c>
      <c r="AW460" s="1" t="e">
        <f t="shared" si="61"/>
        <v>#VALUE!</v>
      </c>
    </row>
    <row r="461" spans="1:49" x14ac:dyDescent="0.2">
      <c r="A461">
        <v>459</v>
      </c>
      <c r="B461" t="s">
        <v>3008</v>
      </c>
      <c r="C461" t="s">
        <v>3007</v>
      </c>
      <c r="F461" t="s">
        <v>3006</v>
      </c>
      <c r="G461" t="s">
        <v>15</v>
      </c>
      <c r="H461" t="s">
        <v>14</v>
      </c>
      <c r="I461" t="s">
        <v>3005</v>
      </c>
      <c r="J461">
        <v>60032730</v>
      </c>
      <c r="K461" t="s">
        <v>3004</v>
      </c>
      <c r="L461" t="s">
        <v>3003</v>
      </c>
      <c r="M461" t="s">
        <v>175</v>
      </c>
      <c r="N461">
        <v>2</v>
      </c>
      <c r="O461" t="s">
        <v>3002</v>
      </c>
      <c r="P461" t="s">
        <v>3001</v>
      </c>
      <c r="Q461" t="s">
        <v>3000</v>
      </c>
      <c r="R461" s="7">
        <v>30317</v>
      </c>
      <c r="S461" s="8">
        <f t="shared" si="56"/>
        <v>1983</v>
      </c>
      <c r="T461" s="8">
        <v>1983</v>
      </c>
      <c r="U461" s="8">
        <f t="shared" si="57"/>
        <v>39</v>
      </c>
      <c r="V461" s="7">
        <v>30437</v>
      </c>
      <c r="W461" t="s">
        <v>618</v>
      </c>
      <c r="X461" s="2">
        <v>1.6519999999999999</v>
      </c>
      <c r="Y461" s="6">
        <f t="shared" si="62"/>
        <v>4.409919649769093E-2</v>
      </c>
      <c r="AA461" t="s">
        <v>617</v>
      </c>
      <c r="AB461">
        <v>17337</v>
      </c>
      <c r="AC461">
        <v>15582221</v>
      </c>
      <c r="AD461" t="s">
        <v>5</v>
      </c>
      <c r="AE461">
        <v>31</v>
      </c>
      <c r="AF461">
        <v>3</v>
      </c>
      <c r="AH461" t="s">
        <v>2999</v>
      </c>
      <c r="AI461" t="s">
        <v>2998</v>
      </c>
      <c r="AK461" t="s">
        <v>2997</v>
      </c>
      <c r="AL461">
        <v>4</v>
      </c>
      <c r="AM461" s="5">
        <f t="shared" si="58"/>
        <v>0.10256410256410256</v>
      </c>
      <c r="AN461" s="4">
        <f t="shared" si="63"/>
        <v>1.5534131399333974E-4</v>
      </c>
      <c r="AO461" s="3"/>
      <c r="AP461">
        <v>0</v>
      </c>
      <c r="AR461" t="s">
        <v>1</v>
      </c>
      <c r="AT461" s="2" t="s">
        <v>0</v>
      </c>
      <c r="AU461" s="1">
        <f t="shared" si="59"/>
        <v>3.0916039942581652</v>
      </c>
      <c r="AV461" s="1">
        <f t="shared" si="60"/>
        <v>2.2127268905842135</v>
      </c>
      <c r="AW461" s="1">
        <f t="shared" si="61"/>
        <v>1.3338497869102617</v>
      </c>
    </row>
    <row r="462" spans="1:49" x14ac:dyDescent="0.2">
      <c r="A462">
        <v>460</v>
      </c>
      <c r="B462" t="s">
        <v>2996</v>
      </c>
      <c r="C462" t="s">
        <v>2995</v>
      </c>
      <c r="F462" t="s">
        <v>2994</v>
      </c>
      <c r="G462" t="s">
        <v>15</v>
      </c>
      <c r="H462" t="s">
        <v>14</v>
      </c>
      <c r="I462" t="s">
        <v>2993</v>
      </c>
      <c r="J462">
        <v>60003500</v>
      </c>
      <c r="K462" t="s">
        <v>1070</v>
      </c>
      <c r="L462" t="s">
        <v>1069</v>
      </c>
      <c r="M462" t="s">
        <v>10</v>
      </c>
      <c r="N462">
        <v>2</v>
      </c>
      <c r="O462" t="s">
        <v>2992</v>
      </c>
      <c r="P462" t="s">
        <v>2991</v>
      </c>
      <c r="Q462" t="s">
        <v>1066</v>
      </c>
      <c r="R462" s="7">
        <v>30317</v>
      </c>
      <c r="S462" s="8">
        <f t="shared" si="56"/>
        <v>1983</v>
      </c>
      <c r="T462" s="8">
        <v>1983</v>
      </c>
      <c r="U462" s="8">
        <f t="shared" si="57"/>
        <v>39</v>
      </c>
      <c r="V462" s="7">
        <v>30437</v>
      </c>
      <c r="W462" t="s">
        <v>618</v>
      </c>
      <c r="X462" s="2">
        <v>1.6519999999999999</v>
      </c>
      <c r="Y462" s="6">
        <f t="shared" si="62"/>
        <v>4.409919649769093E-2</v>
      </c>
      <c r="AA462" t="s">
        <v>617</v>
      </c>
      <c r="AB462">
        <v>17337</v>
      </c>
      <c r="AC462">
        <v>15582221</v>
      </c>
      <c r="AD462" t="s">
        <v>5</v>
      </c>
      <c r="AE462">
        <v>31</v>
      </c>
      <c r="AF462">
        <v>3</v>
      </c>
      <c r="AH462" t="s">
        <v>2990</v>
      </c>
      <c r="AI462" t="s">
        <v>2989</v>
      </c>
      <c r="AK462" t="s">
        <v>2988</v>
      </c>
      <c r="AL462">
        <v>14</v>
      </c>
      <c r="AM462" s="5">
        <f t="shared" si="58"/>
        <v>0.35897435897435898</v>
      </c>
      <c r="AN462" s="4">
        <f t="shared" si="63"/>
        <v>5.4369459897668905E-4</v>
      </c>
      <c r="AO462" s="3"/>
      <c r="AP462">
        <v>0</v>
      </c>
      <c r="AR462" t="s">
        <v>1</v>
      </c>
      <c r="AT462" s="2" t="s">
        <v>0</v>
      </c>
      <c r="AU462" s="1">
        <f t="shared" si="59"/>
        <v>3.1032545928076658</v>
      </c>
      <c r="AV462" s="1">
        <f t="shared" si="60"/>
        <v>2.2321445548333809</v>
      </c>
      <c r="AW462" s="1">
        <f t="shared" si="61"/>
        <v>1.361034516859096</v>
      </c>
    </row>
    <row r="463" spans="1:49" x14ac:dyDescent="0.2">
      <c r="A463">
        <v>461</v>
      </c>
      <c r="B463" t="s">
        <v>2987</v>
      </c>
      <c r="C463" t="s">
        <v>2986</v>
      </c>
      <c r="F463" t="s">
        <v>2985</v>
      </c>
      <c r="G463" t="s">
        <v>15</v>
      </c>
      <c r="H463" t="s">
        <v>14</v>
      </c>
      <c r="I463" t="s">
        <v>2487</v>
      </c>
      <c r="J463">
        <v>60002798</v>
      </c>
      <c r="K463" t="s">
        <v>2486</v>
      </c>
      <c r="L463" t="s">
        <v>2485</v>
      </c>
      <c r="M463" t="s">
        <v>2485</v>
      </c>
      <c r="N463">
        <v>3</v>
      </c>
      <c r="O463" t="s">
        <v>2984</v>
      </c>
      <c r="P463" t="s">
        <v>2983</v>
      </c>
      <c r="Q463" t="s">
        <v>2982</v>
      </c>
      <c r="R463" s="7">
        <v>30317</v>
      </c>
      <c r="S463" s="8">
        <f t="shared" si="56"/>
        <v>1983</v>
      </c>
      <c r="T463" s="8">
        <v>1983</v>
      </c>
      <c r="U463" s="8">
        <f t="shared" si="57"/>
        <v>39</v>
      </c>
      <c r="V463" s="7">
        <v>30437</v>
      </c>
      <c r="W463" t="s">
        <v>618</v>
      </c>
      <c r="X463" s="2">
        <v>1.6519999999999999</v>
      </c>
      <c r="Y463" s="6">
        <f t="shared" si="62"/>
        <v>4.409919649769093E-2</v>
      </c>
      <c r="AA463" t="s">
        <v>617</v>
      </c>
      <c r="AB463">
        <v>17337</v>
      </c>
      <c r="AC463">
        <v>15582221</v>
      </c>
      <c r="AD463" t="s">
        <v>5</v>
      </c>
      <c r="AE463">
        <v>31</v>
      </c>
      <c r="AF463">
        <v>3</v>
      </c>
      <c r="AH463" t="s">
        <v>2981</v>
      </c>
      <c r="AI463" t="s">
        <v>2980</v>
      </c>
      <c r="AK463" t="s">
        <v>2979</v>
      </c>
      <c r="AL463">
        <v>2</v>
      </c>
      <c r="AM463" s="5">
        <f t="shared" si="58"/>
        <v>5.128205128205128E-2</v>
      </c>
      <c r="AN463" s="4">
        <f t="shared" si="63"/>
        <v>7.767065699666987E-5</v>
      </c>
      <c r="AO463" s="3"/>
      <c r="AP463">
        <v>0</v>
      </c>
      <c r="AR463" t="s">
        <v>1</v>
      </c>
      <c r="AT463" s="2" t="s">
        <v>0</v>
      </c>
      <c r="AU463" s="1">
        <f t="shared" si="59"/>
        <v>3.0892738745482653</v>
      </c>
      <c r="AV463" s="1">
        <f t="shared" si="60"/>
        <v>2.2088433577343798</v>
      </c>
      <c r="AW463" s="1">
        <f t="shared" si="61"/>
        <v>1.3284128409204947</v>
      </c>
    </row>
    <row r="464" spans="1:49" x14ac:dyDescent="0.2">
      <c r="A464">
        <v>462</v>
      </c>
      <c r="B464" t="s">
        <v>2978</v>
      </c>
      <c r="C464" t="s">
        <v>2977</v>
      </c>
      <c r="F464" t="s">
        <v>2976</v>
      </c>
      <c r="G464" t="s">
        <v>15</v>
      </c>
      <c r="H464" t="s">
        <v>14</v>
      </c>
      <c r="R464" s="7">
        <v>30317</v>
      </c>
      <c r="S464" s="8">
        <f t="shared" si="56"/>
        <v>1983</v>
      </c>
      <c r="T464" s="8">
        <v>1983</v>
      </c>
      <c r="U464" s="8">
        <f t="shared" si="57"/>
        <v>39</v>
      </c>
      <c r="V464" s="7">
        <v>30437</v>
      </c>
      <c r="W464" t="s">
        <v>618</v>
      </c>
      <c r="X464" s="2">
        <v>1.6519999999999999</v>
      </c>
      <c r="Y464" s="6">
        <f t="shared" si="62"/>
        <v>4.409919649769093E-2</v>
      </c>
      <c r="AA464" t="s">
        <v>617</v>
      </c>
      <c r="AB464">
        <v>17337</v>
      </c>
      <c r="AC464">
        <v>15582221</v>
      </c>
      <c r="AD464" t="s">
        <v>5</v>
      </c>
      <c r="AE464">
        <v>31</v>
      </c>
      <c r="AF464">
        <v>3</v>
      </c>
      <c r="AH464" t="s">
        <v>2975</v>
      </c>
      <c r="AL464">
        <v>0</v>
      </c>
      <c r="AM464" s="5">
        <f t="shared" si="58"/>
        <v>0</v>
      </c>
      <c r="AN464" s="4">
        <f t="shared" si="63"/>
        <v>0</v>
      </c>
      <c r="AO464" s="3"/>
      <c r="AP464">
        <v>0</v>
      </c>
      <c r="AR464" t="s">
        <v>1</v>
      </c>
      <c r="AT464" s="2" t="s">
        <v>0</v>
      </c>
      <c r="AU464" s="1">
        <f t="shared" si="59"/>
        <v>3.0869437548383649</v>
      </c>
      <c r="AV464" s="1">
        <f t="shared" si="60"/>
        <v>2.2049598248845466</v>
      </c>
      <c r="AW464" s="1">
        <f t="shared" si="61"/>
        <v>1.3229758949307278</v>
      </c>
    </row>
    <row r="465" spans="1:49" x14ac:dyDescent="0.2">
      <c r="A465">
        <v>463</v>
      </c>
      <c r="B465" t="s">
        <v>2974</v>
      </c>
      <c r="C465" t="s">
        <v>2973</v>
      </c>
      <c r="F465" t="s">
        <v>2972</v>
      </c>
      <c r="G465" t="s">
        <v>15</v>
      </c>
      <c r="H465" t="s">
        <v>14</v>
      </c>
      <c r="I465" t="s">
        <v>2971</v>
      </c>
      <c r="N465">
        <v>1</v>
      </c>
      <c r="O465" t="s">
        <v>2970</v>
      </c>
      <c r="P465">
        <v>7402489819</v>
      </c>
      <c r="R465" s="7">
        <v>30317</v>
      </c>
      <c r="S465" s="8">
        <f t="shared" si="56"/>
        <v>1983</v>
      </c>
      <c r="T465" s="8">
        <v>1983</v>
      </c>
      <c r="U465" s="8">
        <f t="shared" si="57"/>
        <v>39</v>
      </c>
      <c r="V465" s="7" t="s">
        <v>2933</v>
      </c>
      <c r="W465" t="s">
        <v>508</v>
      </c>
      <c r="X465" s="2">
        <v>0.371</v>
      </c>
      <c r="Y465" s="6">
        <f t="shared" si="62"/>
        <v>9.9036331117695747E-3</v>
      </c>
      <c r="AA465">
        <v>486604</v>
      </c>
      <c r="AB465">
        <v>28580</v>
      </c>
      <c r="AC465" t="s">
        <v>507</v>
      </c>
      <c r="AD465" t="s">
        <v>5</v>
      </c>
      <c r="AE465">
        <v>18</v>
      </c>
      <c r="AF465">
        <v>3</v>
      </c>
      <c r="AH465" t="s">
        <v>2969</v>
      </c>
      <c r="AI465" t="s">
        <v>2968</v>
      </c>
      <c r="AK465" t="s">
        <v>2967</v>
      </c>
      <c r="AL465">
        <v>2</v>
      </c>
      <c r="AM465" s="5">
        <f t="shared" si="58"/>
        <v>5.128205128205128E-2</v>
      </c>
      <c r="AN465" s="4">
        <f t="shared" si="63"/>
        <v>7.767065699666987E-5</v>
      </c>
      <c r="AO465" s="3"/>
      <c r="AP465">
        <v>0</v>
      </c>
      <c r="AR465" t="s">
        <v>1</v>
      </c>
      <c r="AT465" s="2">
        <v>1.431</v>
      </c>
      <c r="AU465" s="1">
        <f t="shared" si="59"/>
        <v>0.69558443753377031</v>
      </c>
      <c r="AV465" s="1">
        <f t="shared" si="60"/>
        <v>0.49906518843831221</v>
      </c>
      <c r="AW465" s="1">
        <f t="shared" si="61"/>
        <v>0.30254593934285412</v>
      </c>
    </row>
    <row r="466" spans="1:49" x14ac:dyDescent="0.2">
      <c r="A466">
        <v>464</v>
      </c>
      <c r="B466" t="s">
        <v>2966</v>
      </c>
      <c r="C466" t="s">
        <v>2965</v>
      </c>
      <c r="D466">
        <v>165168483900750</v>
      </c>
      <c r="F466" t="s">
        <v>2964</v>
      </c>
      <c r="G466" t="s">
        <v>15</v>
      </c>
      <c r="H466" t="s">
        <v>14</v>
      </c>
      <c r="I466" t="s">
        <v>2963</v>
      </c>
      <c r="J466">
        <v>60025209</v>
      </c>
      <c r="K466" t="s">
        <v>2422</v>
      </c>
      <c r="L466" t="s">
        <v>659</v>
      </c>
      <c r="M466" t="s">
        <v>10</v>
      </c>
      <c r="N466">
        <v>1</v>
      </c>
      <c r="O466" t="s">
        <v>2962</v>
      </c>
      <c r="P466">
        <v>7006642266</v>
      </c>
      <c r="Q466">
        <v>60025209</v>
      </c>
      <c r="R466" s="7">
        <v>30317</v>
      </c>
      <c r="S466" s="8">
        <f t="shared" si="56"/>
        <v>1983</v>
      </c>
      <c r="T466" s="8">
        <v>1983</v>
      </c>
      <c r="U466" s="8">
        <f t="shared" si="57"/>
        <v>39</v>
      </c>
      <c r="V466" s="7">
        <v>30437</v>
      </c>
      <c r="W466" t="s">
        <v>2961</v>
      </c>
      <c r="X466" s="2">
        <v>0.90700000000000003</v>
      </c>
      <c r="Y466" s="6">
        <f t="shared" si="62"/>
        <v>2.4211846987533703E-2</v>
      </c>
      <c r="AA466">
        <v>1651684</v>
      </c>
      <c r="AB466">
        <v>25548</v>
      </c>
      <c r="AD466" t="s">
        <v>5</v>
      </c>
      <c r="AE466">
        <v>5</v>
      </c>
      <c r="AF466">
        <v>3</v>
      </c>
      <c r="AH466" t="s">
        <v>2960</v>
      </c>
      <c r="AI466" t="s">
        <v>2959</v>
      </c>
      <c r="AJ466" t="s">
        <v>2958</v>
      </c>
      <c r="AK466" t="s">
        <v>2957</v>
      </c>
      <c r="AL466">
        <v>1</v>
      </c>
      <c r="AM466" s="5">
        <f t="shared" si="58"/>
        <v>2.564102564102564E-2</v>
      </c>
      <c r="AN466" s="4">
        <f t="shared" si="63"/>
        <v>3.8835328498334935E-5</v>
      </c>
      <c r="AO466" s="3"/>
      <c r="AP466">
        <v>0</v>
      </c>
      <c r="AR466" t="s">
        <v>1</v>
      </c>
      <c r="AT466" s="2">
        <v>4.6619999999999999</v>
      </c>
      <c r="AU466" s="1">
        <f t="shared" si="59"/>
        <v>1.6959943489823091</v>
      </c>
      <c r="AV466" s="1">
        <f t="shared" si="60"/>
        <v>1.2125341158016019</v>
      </c>
      <c r="AW466" s="1">
        <f t="shared" si="61"/>
        <v>0.72907388262089445</v>
      </c>
    </row>
    <row r="467" spans="1:49" x14ac:dyDescent="0.2">
      <c r="A467">
        <v>465</v>
      </c>
      <c r="B467" t="s">
        <v>2956</v>
      </c>
      <c r="C467" t="s">
        <v>2955</v>
      </c>
      <c r="F467" t="s">
        <v>2954</v>
      </c>
      <c r="G467" t="s">
        <v>15</v>
      </c>
      <c r="H467" t="s">
        <v>14</v>
      </c>
      <c r="I467" t="s">
        <v>2953</v>
      </c>
      <c r="J467">
        <v>60023053</v>
      </c>
      <c r="K467" t="s">
        <v>369</v>
      </c>
      <c r="L467" t="s">
        <v>368</v>
      </c>
      <c r="M467" t="s">
        <v>10</v>
      </c>
      <c r="N467">
        <v>1</v>
      </c>
      <c r="O467" t="s">
        <v>2952</v>
      </c>
      <c r="P467">
        <v>35578175900</v>
      </c>
      <c r="Q467">
        <v>60023053</v>
      </c>
      <c r="R467" s="7">
        <v>30317</v>
      </c>
      <c r="S467" s="8">
        <f t="shared" si="56"/>
        <v>1983</v>
      </c>
      <c r="T467" s="8">
        <v>1983</v>
      </c>
      <c r="U467" s="8">
        <f t="shared" si="57"/>
        <v>39</v>
      </c>
      <c r="V467" s="7">
        <v>30437</v>
      </c>
      <c r="W467" t="s">
        <v>618</v>
      </c>
      <c r="X467" s="2">
        <v>1.6519999999999999</v>
      </c>
      <c r="Y467" s="6">
        <f t="shared" si="62"/>
        <v>4.409919649769093E-2</v>
      </c>
      <c r="AA467" t="s">
        <v>617</v>
      </c>
      <c r="AB467">
        <v>17337</v>
      </c>
      <c r="AC467">
        <v>15582221</v>
      </c>
      <c r="AD467" t="s">
        <v>5</v>
      </c>
      <c r="AE467">
        <v>31</v>
      </c>
      <c r="AF467">
        <v>3</v>
      </c>
      <c r="AH467" t="s">
        <v>2951</v>
      </c>
      <c r="AI467" t="s">
        <v>2950</v>
      </c>
      <c r="AK467" t="s">
        <v>2949</v>
      </c>
      <c r="AL467">
        <v>48</v>
      </c>
      <c r="AM467" s="5">
        <f t="shared" si="58"/>
        <v>1.2307692307692308</v>
      </c>
      <c r="AN467" s="4">
        <f t="shared" si="63"/>
        <v>1.864095767920077E-3</v>
      </c>
      <c r="AO467" s="3"/>
      <c r="AP467">
        <v>0</v>
      </c>
      <c r="AR467" t="s">
        <v>1</v>
      </c>
      <c r="AT467" s="2" t="s">
        <v>0</v>
      </c>
      <c r="AU467" s="1">
        <f t="shared" si="59"/>
        <v>3.1428666278759678</v>
      </c>
      <c r="AV467" s="1">
        <f t="shared" si="60"/>
        <v>2.2981646132805502</v>
      </c>
      <c r="AW467" s="1">
        <f t="shared" si="61"/>
        <v>1.4534625986851333</v>
      </c>
    </row>
    <row r="468" spans="1:49" x14ac:dyDescent="0.2">
      <c r="A468">
        <v>466</v>
      </c>
      <c r="B468" t="s">
        <v>2948</v>
      </c>
      <c r="C468" t="s">
        <v>2947</v>
      </c>
      <c r="F468" t="s">
        <v>2946</v>
      </c>
      <c r="G468" t="s">
        <v>15</v>
      </c>
      <c r="H468" t="s">
        <v>14</v>
      </c>
      <c r="I468" t="s">
        <v>2945</v>
      </c>
      <c r="J468">
        <v>60001247</v>
      </c>
      <c r="K468" t="s">
        <v>759</v>
      </c>
      <c r="M468" t="s">
        <v>10</v>
      </c>
      <c r="N468">
        <v>2</v>
      </c>
      <c r="O468" t="s">
        <v>2944</v>
      </c>
      <c r="P468" t="s">
        <v>2943</v>
      </c>
      <c r="Q468" t="s">
        <v>2942</v>
      </c>
      <c r="R468" s="7">
        <v>30317</v>
      </c>
      <c r="S468" s="8">
        <f t="shared" si="56"/>
        <v>1983</v>
      </c>
      <c r="T468" s="8">
        <v>1983</v>
      </c>
      <c r="U468" s="8">
        <f t="shared" si="57"/>
        <v>39</v>
      </c>
      <c r="V468" s="7">
        <v>30437</v>
      </c>
      <c r="W468" t="s">
        <v>618</v>
      </c>
      <c r="X468" s="2">
        <v>1.6519999999999999</v>
      </c>
      <c r="Y468" s="6">
        <f t="shared" si="62"/>
        <v>4.409919649769093E-2</v>
      </c>
      <c r="AA468" t="s">
        <v>617</v>
      </c>
      <c r="AB468">
        <v>17337</v>
      </c>
      <c r="AC468">
        <v>15582221</v>
      </c>
      <c r="AD468" t="s">
        <v>5</v>
      </c>
      <c r="AE468">
        <v>31</v>
      </c>
      <c r="AF468">
        <v>3</v>
      </c>
      <c r="AH468" t="s">
        <v>2941</v>
      </c>
      <c r="AI468" t="s">
        <v>2940</v>
      </c>
      <c r="AK468" t="s">
        <v>2939</v>
      </c>
      <c r="AL468">
        <v>23</v>
      </c>
      <c r="AM468" s="5">
        <f t="shared" si="58"/>
        <v>0.58974358974358976</v>
      </c>
      <c r="AN468" s="4">
        <f t="shared" si="63"/>
        <v>8.9321255546170354E-4</v>
      </c>
      <c r="AO468" s="3"/>
      <c r="AP468">
        <v>0</v>
      </c>
      <c r="AR468" t="s">
        <v>1</v>
      </c>
      <c r="AT468" s="2" t="s">
        <v>0</v>
      </c>
      <c r="AU468" s="1">
        <f t="shared" si="59"/>
        <v>3.1137401315022162</v>
      </c>
      <c r="AV468" s="1">
        <f t="shared" si="60"/>
        <v>2.2496204526576316</v>
      </c>
      <c r="AW468" s="1">
        <f t="shared" si="61"/>
        <v>1.3855007738130471</v>
      </c>
    </row>
    <row r="469" spans="1:49" x14ac:dyDescent="0.2">
      <c r="A469">
        <v>467</v>
      </c>
      <c r="B469" t="s">
        <v>2938</v>
      </c>
      <c r="C469" t="s">
        <v>2937</v>
      </c>
      <c r="F469" t="s">
        <v>2936</v>
      </c>
      <c r="G469" t="s">
        <v>15</v>
      </c>
      <c r="H469" t="s">
        <v>14</v>
      </c>
      <c r="I469" t="s">
        <v>2935</v>
      </c>
      <c r="N469">
        <v>1</v>
      </c>
      <c r="O469" t="s">
        <v>2934</v>
      </c>
      <c r="P469">
        <v>6603868271</v>
      </c>
      <c r="R469" s="7">
        <v>30317</v>
      </c>
      <c r="S469" s="8">
        <f t="shared" si="56"/>
        <v>1983</v>
      </c>
      <c r="T469" s="8">
        <v>1983</v>
      </c>
      <c r="U469" s="8">
        <f t="shared" si="57"/>
        <v>39</v>
      </c>
      <c r="V469" s="7" t="s">
        <v>2933</v>
      </c>
      <c r="W469" t="s">
        <v>508</v>
      </c>
      <c r="X469" s="2">
        <v>0.371</v>
      </c>
      <c r="Y469" s="6">
        <f t="shared" si="62"/>
        <v>9.9036331117695747E-3</v>
      </c>
      <c r="AA469">
        <v>486604</v>
      </c>
      <c r="AB469">
        <v>28580</v>
      </c>
      <c r="AC469" t="s">
        <v>507</v>
      </c>
      <c r="AD469" t="s">
        <v>5</v>
      </c>
      <c r="AE469">
        <v>18</v>
      </c>
      <c r="AF469">
        <v>3</v>
      </c>
      <c r="AH469" t="s">
        <v>2932</v>
      </c>
      <c r="AI469" t="s">
        <v>2931</v>
      </c>
      <c r="AK469" t="s">
        <v>2930</v>
      </c>
      <c r="AL469">
        <v>5</v>
      </c>
      <c r="AM469" s="5">
        <f t="shared" si="58"/>
        <v>0.12820512820512819</v>
      </c>
      <c r="AN469" s="4">
        <f t="shared" si="63"/>
        <v>1.9417664249167467E-4</v>
      </c>
      <c r="AO469" s="3"/>
      <c r="AP469">
        <v>0</v>
      </c>
      <c r="AR469" t="s">
        <v>1</v>
      </c>
      <c r="AT469" s="2">
        <v>1.431</v>
      </c>
      <c r="AU469" s="1">
        <f t="shared" si="59"/>
        <v>0.69907961709862043</v>
      </c>
      <c r="AV469" s="1">
        <f t="shared" si="60"/>
        <v>0.50489048771306244</v>
      </c>
      <c r="AW469" s="1">
        <f t="shared" si="61"/>
        <v>0.31070135832750445</v>
      </c>
    </row>
    <row r="470" spans="1:49" x14ac:dyDescent="0.2">
      <c r="A470">
        <v>468</v>
      </c>
      <c r="B470" t="s">
        <v>2929</v>
      </c>
      <c r="C470" t="s">
        <v>2928</v>
      </c>
      <c r="F470" t="s">
        <v>2927</v>
      </c>
      <c r="G470" t="s">
        <v>15</v>
      </c>
      <c r="H470" t="s">
        <v>14</v>
      </c>
      <c r="I470" t="s">
        <v>2926</v>
      </c>
      <c r="J470">
        <v>60008334</v>
      </c>
      <c r="K470" t="s">
        <v>2925</v>
      </c>
      <c r="L470" t="s">
        <v>2924</v>
      </c>
      <c r="M470" t="s">
        <v>10</v>
      </c>
      <c r="N470">
        <v>1</v>
      </c>
      <c r="O470" t="s">
        <v>2923</v>
      </c>
      <c r="P470">
        <v>6602527177</v>
      </c>
      <c r="Q470">
        <v>60008334</v>
      </c>
      <c r="R470" s="7">
        <v>30317</v>
      </c>
      <c r="S470" s="8">
        <f t="shared" si="56"/>
        <v>1983</v>
      </c>
      <c r="T470" s="8">
        <v>1983</v>
      </c>
      <c r="U470" s="8">
        <f t="shared" si="57"/>
        <v>39</v>
      </c>
      <c r="V470" s="7">
        <v>30437</v>
      </c>
      <c r="W470" t="s">
        <v>618</v>
      </c>
      <c r="X470" s="2">
        <v>1.6519999999999999</v>
      </c>
      <c r="Y470" s="6">
        <f t="shared" si="62"/>
        <v>4.409919649769093E-2</v>
      </c>
      <c r="AA470" t="s">
        <v>617</v>
      </c>
      <c r="AB470">
        <v>17337</v>
      </c>
      <c r="AC470">
        <v>15582221</v>
      </c>
      <c r="AD470" t="s">
        <v>5</v>
      </c>
      <c r="AE470">
        <v>31</v>
      </c>
      <c r="AF470">
        <v>3</v>
      </c>
      <c r="AH470" t="s">
        <v>2922</v>
      </c>
      <c r="AI470" t="s">
        <v>2921</v>
      </c>
      <c r="AK470" t="s">
        <v>2920</v>
      </c>
      <c r="AL470">
        <v>20</v>
      </c>
      <c r="AM470" s="5">
        <f t="shared" si="58"/>
        <v>0.51282051282051277</v>
      </c>
      <c r="AN470" s="4">
        <f t="shared" si="63"/>
        <v>7.7670656996669868E-4</v>
      </c>
      <c r="AO470" s="3"/>
      <c r="AP470">
        <v>0</v>
      </c>
      <c r="AR470" t="s">
        <v>1</v>
      </c>
      <c r="AT470" s="2" t="s">
        <v>0</v>
      </c>
      <c r="AU470" s="1">
        <f t="shared" si="59"/>
        <v>3.1102449519373661</v>
      </c>
      <c r="AV470" s="1">
        <f t="shared" si="60"/>
        <v>2.2437951533828815</v>
      </c>
      <c r="AW470" s="1">
        <f t="shared" si="61"/>
        <v>1.3773453548283967</v>
      </c>
    </row>
    <row r="471" spans="1:49" x14ac:dyDescent="0.2">
      <c r="A471">
        <v>469</v>
      </c>
      <c r="B471" t="s">
        <v>2919</v>
      </c>
      <c r="F471" t="s">
        <v>2918</v>
      </c>
      <c r="G471" t="s">
        <v>15</v>
      </c>
      <c r="H471" t="s">
        <v>14</v>
      </c>
      <c r="I471" t="s">
        <v>2917</v>
      </c>
      <c r="N471">
        <v>1</v>
      </c>
      <c r="O471" t="s">
        <v>2916</v>
      </c>
      <c r="P471">
        <v>7202359008</v>
      </c>
      <c r="R471" s="7">
        <v>30317</v>
      </c>
      <c r="S471" s="8">
        <f t="shared" si="56"/>
        <v>1983</v>
      </c>
      <c r="T471" s="8">
        <v>1983</v>
      </c>
      <c r="U471" s="8">
        <f t="shared" si="57"/>
        <v>39</v>
      </c>
      <c r="V471" s="7" t="s">
        <v>2803</v>
      </c>
      <c r="W471" t="s">
        <v>2915</v>
      </c>
      <c r="X471" s="2" t="s">
        <v>0</v>
      </c>
      <c r="Y471" s="6" t="e">
        <f t="shared" si="62"/>
        <v>#VALUE!</v>
      </c>
      <c r="AA471">
        <v>386340</v>
      </c>
      <c r="AB471">
        <v>12937</v>
      </c>
      <c r="AD471" t="s">
        <v>5</v>
      </c>
      <c r="AE471">
        <v>25</v>
      </c>
      <c r="AF471">
        <v>5</v>
      </c>
      <c r="AH471" t="s">
        <v>964</v>
      </c>
      <c r="AI471" t="s">
        <v>2914</v>
      </c>
      <c r="AK471" t="s">
        <v>2913</v>
      </c>
      <c r="AL471">
        <v>0</v>
      </c>
      <c r="AM471" s="5">
        <f t="shared" si="58"/>
        <v>0</v>
      </c>
      <c r="AN471" s="4">
        <f t="shared" si="63"/>
        <v>0</v>
      </c>
      <c r="AO471" s="3"/>
      <c r="AP471">
        <v>0</v>
      </c>
      <c r="AR471" t="s">
        <v>1</v>
      </c>
      <c r="AT471" s="2" t="s">
        <v>0</v>
      </c>
      <c r="AU471" s="1" t="e">
        <f t="shared" si="59"/>
        <v>#VALUE!</v>
      </c>
      <c r="AV471" s="1" t="e">
        <f t="shared" si="60"/>
        <v>#VALUE!</v>
      </c>
      <c r="AW471" s="1" t="e">
        <f t="shared" si="61"/>
        <v>#VALUE!</v>
      </c>
    </row>
    <row r="472" spans="1:49" x14ac:dyDescent="0.2">
      <c r="A472">
        <v>470</v>
      </c>
      <c r="B472" t="s">
        <v>2912</v>
      </c>
      <c r="C472" t="s">
        <v>2911</v>
      </c>
      <c r="F472" t="s">
        <v>2910</v>
      </c>
      <c r="G472" t="s">
        <v>15</v>
      </c>
      <c r="H472" t="s">
        <v>14</v>
      </c>
      <c r="I472" t="s">
        <v>2909</v>
      </c>
      <c r="J472" t="s">
        <v>1532</v>
      </c>
      <c r="K472" t="s">
        <v>1537</v>
      </c>
      <c r="L472" t="s">
        <v>1536</v>
      </c>
      <c r="M472" t="s">
        <v>1535</v>
      </c>
      <c r="N472">
        <v>3</v>
      </c>
      <c r="O472" t="s">
        <v>1534</v>
      </c>
      <c r="P472" t="s">
        <v>1533</v>
      </c>
      <c r="Q472" t="s">
        <v>2908</v>
      </c>
      <c r="R472" s="7">
        <v>30317</v>
      </c>
      <c r="S472" s="8">
        <f t="shared" si="56"/>
        <v>1983</v>
      </c>
      <c r="T472" s="8">
        <v>1983</v>
      </c>
      <c r="U472" s="8">
        <f t="shared" si="57"/>
        <v>39</v>
      </c>
      <c r="V472" s="7">
        <v>30437</v>
      </c>
      <c r="W472" t="s">
        <v>1531</v>
      </c>
      <c r="X472" s="2">
        <v>0.65500000000000003</v>
      </c>
      <c r="Y472" s="6">
        <f t="shared" si="62"/>
        <v>1.7484850911614749E-2</v>
      </c>
      <c r="AA472">
        <v>189375</v>
      </c>
      <c r="AB472">
        <v>26051</v>
      </c>
      <c r="AC472" t="s">
        <v>1530</v>
      </c>
      <c r="AD472" t="s">
        <v>5</v>
      </c>
      <c r="AE472" t="s">
        <v>1529</v>
      </c>
      <c r="AF472">
        <v>2</v>
      </c>
      <c r="AH472" t="s">
        <v>2907</v>
      </c>
      <c r="AI472" t="s">
        <v>2906</v>
      </c>
      <c r="AJ472" t="s">
        <v>2905</v>
      </c>
      <c r="AK472" t="s">
        <v>2904</v>
      </c>
      <c r="AL472">
        <v>24</v>
      </c>
      <c r="AM472" s="5">
        <f t="shared" si="58"/>
        <v>0.61538461538461542</v>
      </c>
      <c r="AN472" s="4">
        <f t="shared" si="63"/>
        <v>9.320478839600385E-4</v>
      </c>
      <c r="AO472" s="3"/>
      <c r="AP472">
        <v>0</v>
      </c>
      <c r="AR472" t="s">
        <v>1</v>
      </c>
      <c r="AT472" s="2" t="s">
        <v>0</v>
      </c>
      <c r="AU472" s="1">
        <f t="shared" si="59"/>
        <v>1.2519010003318334</v>
      </c>
      <c r="AV472" s="1">
        <f t="shared" si="60"/>
        <v>0.92084493977873938</v>
      </c>
      <c r="AW472" s="1">
        <f t="shared" si="61"/>
        <v>0.58978887922564516</v>
      </c>
    </row>
    <row r="473" spans="1:49" x14ac:dyDescent="0.2">
      <c r="A473">
        <v>471</v>
      </c>
      <c r="B473" t="s">
        <v>2903</v>
      </c>
      <c r="C473" t="s">
        <v>2902</v>
      </c>
      <c r="F473" t="s">
        <v>2901</v>
      </c>
      <c r="G473" t="s">
        <v>15</v>
      </c>
      <c r="H473" t="s">
        <v>14</v>
      </c>
      <c r="I473" t="s">
        <v>721</v>
      </c>
      <c r="J473" t="s">
        <v>2896</v>
      </c>
      <c r="K473" t="s">
        <v>2900</v>
      </c>
      <c r="L473" t="s">
        <v>2899</v>
      </c>
      <c r="M473" t="s">
        <v>91</v>
      </c>
      <c r="N473">
        <v>2</v>
      </c>
      <c r="O473" t="s">
        <v>2898</v>
      </c>
      <c r="P473" t="s">
        <v>2897</v>
      </c>
      <c r="Q473" t="s">
        <v>2896</v>
      </c>
      <c r="R473" s="7">
        <v>30317</v>
      </c>
      <c r="S473" s="8">
        <f t="shared" si="56"/>
        <v>1983</v>
      </c>
      <c r="T473" s="8">
        <v>1983</v>
      </c>
      <c r="U473" s="8">
        <f t="shared" si="57"/>
        <v>39</v>
      </c>
      <c r="V473" s="7">
        <v>30437</v>
      </c>
      <c r="W473" t="s">
        <v>618</v>
      </c>
      <c r="X473" s="2">
        <v>1.6519999999999999</v>
      </c>
      <c r="Y473" s="6">
        <f t="shared" si="62"/>
        <v>4.409919649769093E-2</v>
      </c>
      <c r="AA473" t="s">
        <v>617</v>
      </c>
      <c r="AB473">
        <v>17337</v>
      </c>
      <c r="AC473">
        <v>15582221</v>
      </c>
      <c r="AD473" t="s">
        <v>5</v>
      </c>
      <c r="AE473">
        <v>31</v>
      </c>
      <c r="AF473">
        <v>3</v>
      </c>
      <c r="AH473" t="s">
        <v>2895</v>
      </c>
      <c r="AI473" t="s">
        <v>2894</v>
      </c>
      <c r="AK473" t="s">
        <v>2893</v>
      </c>
      <c r="AL473">
        <v>59</v>
      </c>
      <c r="AM473" s="5">
        <f t="shared" si="58"/>
        <v>1.5128205128205128</v>
      </c>
      <c r="AN473" s="4">
        <f t="shared" si="63"/>
        <v>2.2912843814017611E-3</v>
      </c>
      <c r="AO473" s="3"/>
      <c r="AP473">
        <v>0</v>
      </c>
      <c r="AR473" t="s">
        <v>1</v>
      </c>
      <c r="AT473" s="2" t="s">
        <v>0</v>
      </c>
      <c r="AU473" s="1">
        <f t="shared" si="59"/>
        <v>3.1556822862804181</v>
      </c>
      <c r="AV473" s="1">
        <f t="shared" si="60"/>
        <v>2.3195240439546345</v>
      </c>
      <c r="AW473" s="1">
        <f t="shared" si="61"/>
        <v>1.4833658016288509</v>
      </c>
    </row>
    <row r="474" spans="1:49" x14ac:dyDescent="0.2">
      <c r="A474">
        <v>472</v>
      </c>
      <c r="B474" t="s">
        <v>2892</v>
      </c>
      <c r="C474" t="s">
        <v>2891</v>
      </c>
      <c r="F474" t="s">
        <v>2890</v>
      </c>
      <c r="G474" t="s">
        <v>15</v>
      </c>
      <c r="H474" t="s">
        <v>14</v>
      </c>
      <c r="I474" t="s">
        <v>2889</v>
      </c>
      <c r="J474" t="s">
        <v>2888</v>
      </c>
      <c r="K474" t="s">
        <v>2887</v>
      </c>
      <c r="L474" t="s">
        <v>2886</v>
      </c>
      <c r="M474" t="s">
        <v>91</v>
      </c>
      <c r="N474">
        <v>6</v>
      </c>
      <c r="O474" t="s">
        <v>2885</v>
      </c>
      <c r="P474" t="s">
        <v>2884</v>
      </c>
      <c r="Q474" t="s">
        <v>2883</v>
      </c>
      <c r="R474" s="7">
        <v>30317</v>
      </c>
      <c r="S474" s="8">
        <f t="shared" si="56"/>
        <v>1983</v>
      </c>
      <c r="T474" s="8">
        <v>1983</v>
      </c>
      <c r="U474" s="8">
        <f t="shared" si="57"/>
        <v>39</v>
      </c>
      <c r="V474" s="7">
        <v>30437</v>
      </c>
      <c r="W474" t="s">
        <v>618</v>
      </c>
      <c r="X474" s="2">
        <v>1.6519999999999999</v>
      </c>
      <c r="Y474" s="6">
        <f t="shared" si="62"/>
        <v>4.409919649769093E-2</v>
      </c>
      <c r="AA474" t="s">
        <v>617</v>
      </c>
      <c r="AB474">
        <v>17337</v>
      </c>
      <c r="AC474">
        <v>15582221</v>
      </c>
      <c r="AD474" t="s">
        <v>5</v>
      </c>
      <c r="AE474">
        <v>31</v>
      </c>
      <c r="AF474">
        <v>3</v>
      </c>
      <c r="AH474" t="s">
        <v>2882</v>
      </c>
      <c r="AI474" t="s">
        <v>2881</v>
      </c>
      <c r="AK474" t="s">
        <v>2880</v>
      </c>
      <c r="AL474">
        <v>8</v>
      </c>
      <c r="AM474" s="5">
        <f t="shared" si="58"/>
        <v>0.20512820512820512</v>
      </c>
      <c r="AN474" s="4">
        <f t="shared" si="63"/>
        <v>3.1068262798667948E-4</v>
      </c>
      <c r="AO474" s="3"/>
      <c r="AP474">
        <v>0</v>
      </c>
      <c r="AR474" t="s">
        <v>1</v>
      </c>
      <c r="AT474" s="2" t="s">
        <v>0</v>
      </c>
      <c r="AU474" s="1">
        <f t="shared" si="59"/>
        <v>3.0962642336779655</v>
      </c>
      <c r="AV474" s="1">
        <f t="shared" si="60"/>
        <v>2.2204939562838804</v>
      </c>
      <c r="AW474" s="1">
        <f t="shared" si="61"/>
        <v>1.3447236788897954</v>
      </c>
    </row>
    <row r="475" spans="1:49" x14ac:dyDescent="0.2">
      <c r="A475">
        <v>473</v>
      </c>
      <c r="B475" t="s">
        <v>2879</v>
      </c>
      <c r="F475" t="s">
        <v>2878</v>
      </c>
      <c r="G475" t="s">
        <v>15</v>
      </c>
      <c r="H475" t="s">
        <v>14</v>
      </c>
      <c r="I475" t="s">
        <v>2877</v>
      </c>
      <c r="N475">
        <v>1</v>
      </c>
      <c r="O475" t="s">
        <v>2876</v>
      </c>
      <c r="P475">
        <v>7103400688</v>
      </c>
      <c r="R475" s="7">
        <v>30317</v>
      </c>
      <c r="S475" s="8">
        <f t="shared" si="56"/>
        <v>1983</v>
      </c>
      <c r="T475" s="8">
        <v>1983</v>
      </c>
      <c r="U475" s="8">
        <f t="shared" si="57"/>
        <v>39</v>
      </c>
      <c r="V475" s="7" t="s">
        <v>2803</v>
      </c>
      <c r="W475" t="s">
        <v>1519</v>
      </c>
      <c r="X475" s="2" t="s">
        <v>0</v>
      </c>
      <c r="Y475" s="6" t="e">
        <f t="shared" si="62"/>
        <v>#VALUE!</v>
      </c>
      <c r="AA475" t="s">
        <v>1518</v>
      </c>
      <c r="AB475">
        <v>30906</v>
      </c>
      <c r="AD475" t="s">
        <v>5</v>
      </c>
      <c r="AE475" t="s">
        <v>1517</v>
      </c>
      <c r="AF475">
        <v>5</v>
      </c>
      <c r="AH475" t="s">
        <v>2875</v>
      </c>
      <c r="AI475" t="s">
        <v>2874</v>
      </c>
      <c r="AK475" t="s">
        <v>2873</v>
      </c>
      <c r="AL475">
        <v>0</v>
      </c>
      <c r="AM475" s="5">
        <f t="shared" si="58"/>
        <v>0</v>
      </c>
      <c r="AN475" s="4">
        <f t="shared" si="63"/>
        <v>0</v>
      </c>
      <c r="AO475" s="3"/>
      <c r="AP475">
        <v>0</v>
      </c>
      <c r="AR475" t="s">
        <v>1</v>
      </c>
      <c r="AT475" s="2" t="s">
        <v>0</v>
      </c>
      <c r="AU475" s="1" t="e">
        <f t="shared" si="59"/>
        <v>#VALUE!</v>
      </c>
      <c r="AV475" s="1" t="e">
        <f t="shared" si="60"/>
        <v>#VALUE!</v>
      </c>
      <c r="AW475" s="1" t="e">
        <f t="shared" si="61"/>
        <v>#VALUE!</v>
      </c>
    </row>
    <row r="476" spans="1:49" x14ac:dyDescent="0.2">
      <c r="A476">
        <v>474</v>
      </c>
      <c r="B476" t="s">
        <v>2872</v>
      </c>
      <c r="F476" t="s">
        <v>2871</v>
      </c>
      <c r="G476" t="s">
        <v>15</v>
      </c>
      <c r="H476" t="s">
        <v>14</v>
      </c>
      <c r="I476" t="s">
        <v>2870</v>
      </c>
      <c r="N476">
        <v>2</v>
      </c>
      <c r="O476" t="s">
        <v>2869</v>
      </c>
      <c r="P476" t="s">
        <v>2868</v>
      </c>
      <c r="Q476" t="s">
        <v>342</v>
      </c>
      <c r="R476" s="7">
        <v>30317</v>
      </c>
      <c r="S476" s="8">
        <f t="shared" si="56"/>
        <v>1983</v>
      </c>
      <c r="T476" s="8">
        <v>1983</v>
      </c>
      <c r="U476" s="8">
        <f t="shared" si="57"/>
        <v>39</v>
      </c>
      <c r="V476" s="7" t="s">
        <v>2803</v>
      </c>
      <c r="W476" t="s">
        <v>536</v>
      </c>
      <c r="X476" s="2">
        <v>0.14099999999999999</v>
      </c>
      <c r="Y476" s="6">
        <f t="shared" si="62"/>
        <v>3.7639144710498915E-3</v>
      </c>
      <c r="AA476">
        <v>402508</v>
      </c>
      <c r="AB476">
        <v>20868</v>
      </c>
      <c r="AD476" t="s">
        <v>5</v>
      </c>
      <c r="AE476" t="s">
        <v>535</v>
      </c>
      <c r="AF476">
        <v>5</v>
      </c>
      <c r="AH476" t="s">
        <v>2867</v>
      </c>
      <c r="AI476" t="s">
        <v>2866</v>
      </c>
      <c r="AK476" t="s">
        <v>2865</v>
      </c>
      <c r="AL476">
        <v>1</v>
      </c>
      <c r="AM476" s="5">
        <f t="shared" si="58"/>
        <v>2.564102564102564E-2</v>
      </c>
      <c r="AN476" s="4">
        <f t="shared" si="63"/>
        <v>3.8835328498334935E-5</v>
      </c>
      <c r="AO476" s="3"/>
      <c r="AP476">
        <v>0</v>
      </c>
      <c r="AR476" t="s">
        <v>1</v>
      </c>
      <c r="AT476" s="2" t="s">
        <v>0</v>
      </c>
      <c r="AU476" s="1">
        <f t="shared" si="59"/>
        <v>0.26463907282844246</v>
      </c>
      <c r="AV476" s="1">
        <f t="shared" si="60"/>
        <v>0.19013748997741131</v>
      </c>
      <c r="AW476" s="1">
        <f t="shared" si="61"/>
        <v>0.11563590712638018</v>
      </c>
    </row>
    <row r="477" spans="1:49" x14ac:dyDescent="0.2">
      <c r="A477">
        <v>475</v>
      </c>
      <c r="B477" t="s">
        <v>2864</v>
      </c>
      <c r="F477" t="s">
        <v>2863</v>
      </c>
      <c r="G477" t="s">
        <v>15</v>
      </c>
      <c r="H477" t="s">
        <v>14</v>
      </c>
      <c r="I477" t="s">
        <v>2862</v>
      </c>
      <c r="N477">
        <v>1</v>
      </c>
      <c r="O477" t="s">
        <v>2861</v>
      </c>
      <c r="P477">
        <v>14023901900</v>
      </c>
      <c r="R477" s="7">
        <v>30317</v>
      </c>
      <c r="S477" s="8">
        <f t="shared" si="56"/>
        <v>1983</v>
      </c>
      <c r="T477" s="8">
        <v>1983</v>
      </c>
      <c r="U477" s="8">
        <f t="shared" si="57"/>
        <v>39</v>
      </c>
      <c r="V477" s="7" t="s">
        <v>2803</v>
      </c>
      <c r="W477" t="s">
        <v>536</v>
      </c>
      <c r="X477" s="2">
        <v>0.14099999999999999</v>
      </c>
      <c r="Y477" s="6">
        <f t="shared" si="62"/>
        <v>3.7639144710498915E-3</v>
      </c>
      <c r="AA477">
        <v>402508</v>
      </c>
      <c r="AB477">
        <v>20868</v>
      </c>
      <c r="AD477" t="s">
        <v>5</v>
      </c>
      <c r="AE477" t="s">
        <v>535</v>
      </c>
      <c r="AF477">
        <v>5</v>
      </c>
      <c r="AH477" t="s">
        <v>2860</v>
      </c>
      <c r="AI477" t="s">
        <v>2859</v>
      </c>
      <c r="AK477" t="s">
        <v>2858</v>
      </c>
      <c r="AL477">
        <v>0</v>
      </c>
      <c r="AM477" s="5">
        <f t="shared" si="58"/>
        <v>0</v>
      </c>
      <c r="AN477" s="4">
        <f t="shared" si="63"/>
        <v>0</v>
      </c>
      <c r="AO477" s="3"/>
      <c r="AP477">
        <v>0</v>
      </c>
      <c r="AR477" t="s">
        <v>1</v>
      </c>
      <c r="AT477" s="2" t="s">
        <v>0</v>
      </c>
      <c r="AU477" s="1">
        <f t="shared" si="59"/>
        <v>0.26347401297349238</v>
      </c>
      <c r="AV477" s="1">
        <f t="shared" si="60"/>
        <v>0.18819572355249459</v>
      </c>
      <c r="AW477" s="1">
        <f t="shared" si="61"/>
        <v>0.11291743413149673</v>
      </c>
    </row>
    <row r="478" spans="1:49" x14ac:dyDescent="0.2">
      <c r="A478">
        <v>476</v>
      </c>
      <c r="B478" t="s">
        <v>2857</v>
      </c>
      <c r="F478" t="s">
        <v>2856</v>
      </c>
      <c r="G478" t="s">
        <v>15</v>
      </c>
      <c r="H478" t="s">
        <v>14</v>
      </c>
      <c r="I478" t="s">
        <v>2855</v>
      </c>
      <c r="N478">
        <v>4</v>
      </c>
      <c r="O478" t="s">
        <v>2854</v>
      </c>
      <c r="P478" t="s">
        <v>2853</v>
      </c>
      <c r="Q478" t="s">
        <v>575</v>
      </c>
      <c r="R478" s="7">
        <v>30317</v>
      </c>
      <c r="S478" s="8">
        <f t="shared" si="56"/>
        <v>1983</v>
      </c>
      <c r="T478" s="8">
        <v>1983</v>
      </c>
      <c r="U478" s="8">
        <f t="shared" si="57"/>
        <v>39</v>
      </c>
      <c r="V478" s="7" t="s">
        <v>2803</v>
      </c>
      <c r="W478" t="s">
        <v>560</v>
      </c>
      <c r="X478" s="2" t="s">
        <v>0</v>
      </c>
      <c r="Y478" s="6" t="e">
        <f t="shared" si="62"/>
        <v>#VALUE!</v>
      </c>
      <c r="AA478">
        <v>337889</v>
      </c>
      <c r="AB478">
        <v>40920</v>
      </c>
      <c r="AD478" t="s">
        <v>5</v>
      </c>
      <c r="AE478">
        <v>28</v>
      </c>
      <c r="AF478">
        <v>5</v>
      </c>
      <c r="AH478" t="s">
        <v>2852</v>
      </c>
      <c r="AI478" t="s">
        <v>2851</v>
      </c>
      <c r="AK478" t="s">
        <v>2850</v>
      </c>
      <c r="AL478">
        <v>0</v>
      </c>
      <c r="AM478" s="5">
        <f t="shared" si="58"/>
        <v>0</v>
      </c>
      <c r="AN478" s="4">
        <f t="shared" si="63"/>
        <v>0</v>
      </c>
      <c r="AO478" s="3"/>
      <c r="AP478">
        <v>0</v>
      </c>
      <c r="AR478" t="s">
        <v>1</v>
      </c>
      <c r="AT478" s="2" t="s">
        <v>0</v>
      </c>
      <c r="AU478" s="1" t="e">
        <f t="shared" si="59"/>
        <v>#VALUE!</v>
      </c>
      <c r="AV478" s="1" t="e">
        <f t="shared" si="60"/>
        <v>#VALUE!</v>
      </c>
      <c r="AW478" s="1" t="e">
        <f t="shared" si="61"/>
        <v>#VALUE!</v>
      </c>
    </row>
    <row r="479" spans="1:49" x14ac:dyDescent="0.2">
      <c r="A479">
        <v>477</v>
      </c>
      <c r="B479" t="s">
        <v>2849</v>
      </c>
      <c r="F479" t="s">
        <v>2848</v>
      </c>
      <c r="G479" t="s">
        <v>15</v>
      </c>
      <c r="H479" t="s">
        <v>14</v>
      </c>
      <c r="I479" t="s">
        <v>2847</v>
      </c>
      <c r="N479">
        <v>1</v>
      </c>
      <c r="O479" t="s">
        <v>2846</v>
      </c>
      <c r="P479">
        <v>6506321709</v>
      </c>
      <c r="R479" s="7">
        <v>30317</v>
      </c>
      <c r="S479" s="8">
        <f t="shared" ref="S479:S542" si="64">YEAR(R479)</f>
        <v>1983</v>
      </c>
      <c r="T479" s="8">
        <v>1983</v>
      </c>
      <c r="U479" s="8">
        <f t="shared" ref="U479:U542" si="65">2022-T479</f>
        <v>39</v>
      </c>
      <c r="V479" s="7" t="s">
        <v>2803</v>
      </c>
      <c r="W479" t="s">
        <v>560</v>
      </c>
      <c r="X479" s="2" t="s">
        <v>0</v>
      </c>
      <c r="Y479" s="6" t="e">
        <f t="shared" si="62"/>
        <v>#VALUE!</v>
      </c>
      <c r="AA479">
        <v>337889</v>
      </c>
      <c r="AB479">
        <v>40920</v>
      </c>
      <c r="AD479" t="s">
        <v>5</v>
      </c>
      <c r="AE479">
        <v>28</v>
      </c>
      <c r="AF479">
        <v>5</v>
      </c>
      <c r="AH479" t="s">
        <v>2845</v>
      </c>
      <c r="AI479" t="s">
        <v>2844</v>
      </c>
      <c r="AK479" t="s">
        <v>2843</v>
      </c>
      <c r="AL479">
        <v>0</v>
      </c>
      <c r="AM479" s="5">
        <f t="shared" ref="AM479:AM542" si="66">AL479/U479</f>
        <v>0</v>
      </c>
      <c r="AN479" s="4">
        <f t="shared" si="63"/>
        <v>0</v>
      </c>
      <c r="AO479" s="3"/>
      <c r="AP479">
        <v>0</v>
      </c>
      <c r="AR479" t="s">
        <v>1</v>
      </c>
      <c r="AT479" s="2" t="s">
        <v>0</v>
      </c>
      <c r="AU479" s="1" t="e">
        <f t="shared" ref="AU479:AU542" si="67">(Y479*0.7+AN479*0.3)*100</f>
        <v>#VALUE!</v>
      </c>
      <c r="AV479" s="1" t="e">
        <f t="shared" ref="AV479:AV542" si="68">(Y479*0.5+AN479*0.5)*100</f>
        <v>#VALUE!</v>
      </c>
      <c r="AW479" s="1" t="e">
        <f t="shared" ref="AW479:AW542" si="69">(Y479*0.3+AN479*0.7)*100</f>
        <v>#VALUE!</v>
      </c>
    </row>
    <row r="480" spans="1:49" x14ac:dyDescent="0.2">
      <c r="A480">
        <v>478</v>
      </c>
      <c r="B480" t="s">
        <v>2842</v>
      </c>
      <c r="F480" t="s">
        <v>2841</v>
      </c>
      <c r="G480" t="s">
        <v>15</v>
      </c>
      <c r="H480" t="s">
        <v>14</v>
      </c>
      <c r="I480" t="s">
        <v>2840</v>
      </c>
      <c r="N480">
        <v>4</v>
      </c>
      <c r="O480" t="s">
        <v>2839</v>
      </c>
      <c r="P480" t="s">
        <v>2838</v>
      </c>
      <c r="Q480" t="s">
        <v>575</v>
      </c>
      <c r="R480" s="7">
        <v>30317</v>
      </c>
      <c r="S480" s="8">
        <f t="shared" si="64"/>
        <v>1983</v>
      </c>
      <c r="T480" s="8">
        <v>1983</v>
      </c>
      <c r="U480" s="8">
        <f t="shared" si="65"/>
        <v>39</v>
      </c>
      <c r="V480" s="7" t="s">
        <v>2803</v>
      </c>
      <c r="W480" t="s">
        <v>560</v>
      </c>
      <c r="X480" s="2" t="s">
        <v>0</v>
      </c>
      <c r="Y480" s="6" t="e">
        <f t="shared" si="62"/>
        <v>#VALUE!</v>
      </c>
      <c r="AA480">
        <v>337889</v>
      </c>
      <c r="AB480">
        <v>40920</v>
      </c>
      <c r="AD480" t="s">
        <v>5</v>
      </c>
      <c r="AE480">
        <v>28</v>
      </c>
      <c r="AF480">
        <v>5</v>
      </c>
      <c r="AH480" t="s">
        <v>2837</v>
      </c>
      <c r="AI480" t="s">
        <v>2836</v>
      </c>
      <c r="AK480" t="s">
        <v>2835</v>
      </c>
      <c r="AL480">
        <v>0</v>
      </c>
      <c r="AM480" s="5">
        <f t="shared" si="66"/>
        <v>0</v>
      </c>
      <c r="AN480" s="4">
        <f t="shared" si="63"/>
        <v>0</v>
      </c>
      <c r="AO480" s="3"/>
      <c r="AP480">
        <v>0</v>
      </c>
      <c r="AR480" t="s">
        <v>1</v>
      </c>
      <c r="AT480" s="2" t="s">
        <v>0</v>
      </c>
      <c r="AU480" s="1" t="e">
        <f t="shared" si="67"/>
        <v>#VALUE!</v>
      </c>
      <c r="AV480" s="1" t="e">
        <f t="shared" si="68"/>
        <v>#VALUE!</v>
      </c>
      <c r="AW480" s="1" t="e">
        <f t="shared" si="69"/>
        <v>#VALUE!</v>
      </c>
    </row>
    <row r="481" spans="1:49" x14ac:dyDescent="0.2">
      <c r="A481">
        <v>479</v>
      </c>
      <c r="B481" t="s">
        <v>2834</v>
      </c>
      <c r="F481" t="s">
        <v>2833</v>
      </c>
      <c r="G481" t="s">
        <v>15</v>
      </c>
      <c r="H481" t="s">
        <v>14</v>
      </c>
      <c r="I481" t="s">
        <v>2832</v>
      </c>
      <c r="N481">
        <v>2</v>
      </c>
      <c r="O481" t="s">
        <v>2831</v>
      </c>
      <c r="P481" t="s">
        <v>2830</v>
      </c>
      <c r="Q481" t="s">
        <v>342</v>
      </c>
      <c r="R481" s="7">
        <v>30317</v>
      </c>
      <c r="S481" s="8">
        <f t="shared" si="64"/>
        <v>1983</v>
      </c>
      <c r="T481" s="8">
        <v>1983</v>
      </c>
      <c r="U481" s="8">
        <f t="shared" si="65"/>
        <v>39</v>
      </c>
      <c r="V481" s="7" t="s">
        <v>2803</v>
      </c>
      <c r="W481" t="s">
        <v>560</v>
      </c>
      <c r="X481" s="2" t="s">
        <v>0</v>
      </c>
      <c r="Y481" s="6" t="e">
        <f t="shared" si="62"/>
        <v>#VALUE!</v>
      </c>
      <c r="AA481">
        <v>337889</v>
      </c>
      <c r="AB481">
        <v>40920</v>
      </c>
      <c r="AD481" t="s">
        <v>5</v>
      </c>
      <c r="AE481">
        <v>28</v>
      </c>
      <c r="AF481">
        <v>5</v>
      </c>
      <c r="AH481" t="s">
        <v>2829</v>
      </c>
      <c r="AI481" t="s">
        <v>2828</v>
      </c>
      <c r="AK481" t="s">
        <v>2827</v>
      </c>
      <c r="AL481">
        <v>0</v>
      </c>
      <c r="AM481" s="5">
        <f t="shared" si="66"/>
        <v>0</v>
      </c>
      <c r="AN481" s="4">
        <f t="shared" si="63"/>
        <v>0</v>
      </c>
      <c r="AO481" s="3"/>
      <c r="AP481">
        <v>0</v>
      </c>
      <c r="AR481" t="s">
        <v>1</v>
      </c>
      <c r="AT481" s="2" t="s">
        <v>0</v>
      </c>
      <c r="AU481" s="1" t="e">
        <f t="shared" si="67"/>
        <v>#VALUE!</v>
      </c>
      <c r="AV481" s="1" t="e">
        <f t="shared" si="68"/>
        <v>#VALUE!</v>
      </c>
      <c r="AW481" s="1" t="e">
        <f t="shared" si="69"/>
        <v>#VALUE!</v>
      </c>
    </row>
    <row r="482" spans="1:49" x14ac:dyDescent="0.2">
      <c r="A482">
        <v>480</v>
      </c>
      <c r="B482" t="s">
        <v>2826</v>
      </c>
      <c r="C482" t="s">
        <v>2825</v>
      </c>
      <c r="F482" t="s">
        <v>2824</v>
      </c>
      <c r="G482" t="s">
        <v>15</v>
      </c>
      <c r="H482" t="s">
        <v>14</v>
      </c>
      <c r="I482" t="s">
        <v>2823</v>
      </c>
      <c r="J482">
        <v>115552146</v>
      </c>
      <c r="K482" t="s">
        <v>2544</v>
      </c>
      <c r="L482" t="s">
        <v>2543</v>
      </c>
      <c r="M482" t="s">
        <v>55</v>
      </c>
      <c r="N482">
        <v>4</v>
      </c>
      <c r="O482" t="s">
        <v>2822</v>
      </c>
      <c r="P482" t="s">
        <v>2821</v>
      </c>
      <c r="Q482" t="s">
        <v>2820</v>
      </c>
      <c r="R482" s="7">
        <v>30317</v>
      </c>
      <c r="S482" s="8">
        <f t="shared" si="64"/>
        <v>1983</v>
      </c>
      <c r="T482" s="8">
        <v>1983</v>
      </c>
      <c r="U482" s="8">
        <f t="shared" si="65"/>
        <v>39</v>
      </c>
      <c r="V482" s="7">
        <v>1983</v>
      </c>
      <c r="W482" t="s">
        <v>227</v>
      </c>
      <c r="X482" s="2">
        <v>0.111</v>
      </c>
      <c r="Y482" s="6">
        <f t="shared" si="62"/>
        <v>2.9630816048690639E-3</v>
      </c>
      <c r="AA482">
        <v>87566621</v>
      </c>
      <c r="AB482">
        <v>24890</v>
      </c>
      <c r="AC482">
        <v>15206424</v>
      </c>
      <c r="AD482" t="s">
        <v>5</v>
      </c>
      <c r="AE482">
        <v>66</v>
      </c>
      <c r="AF482">
        <v>5</v>
      </c>
      <c r="AH482" t="s">
        <v>2819</v>
      </c>
      <c r="AI482" t="s">
        <v>2818</v>
      </c>
      <c r="AK482" t="s">
        <v>2817</v>
      </c>
      <c r="AL482">
        <v>4</v>
      </c>
      <c r="AM482" s="5">
        <f t="shared" si="66"/>
        <v>0.10256410256410256</v>
      </c>
      <c r="AN482" s="4">
        <f t="shared" si="63"/>
        <v>1.5534131399333974E-4</v>
      </c>
      <c r="AO482" s="3"/>
      <c r="AP482">
        <v>0</v>
      </c>
      <c r="AR482" t="s">
        <v>1</v>
      </c>
      <c r="AT482" s="2" t="s">
        <v>0</v>
      </c>
      <c r="AU482" s="1">
        <f t="shared" si="67"/>
        <v>0.21207595176063465</v>
      </c>
      <c r="AV482" s="1">
        <f t="shared" si="68"/>
        <v>0.15592114594312018</v>
      </c>
      <c r="AW482" s="1">
        <f t="shared" si="69"/>
        <v>9.9766340125605674E-2</v>
      </c>
    </row>
    <row r="483" spans="1:49" x14ac:dyDescent="0.2">
      <c r="A483">
        <v>481</v>
      </c>
      <c r="B483" t="s">
        <v>2816</v>
      </c>
      <c r="F483" t="s">
        <v>2815</v>
      </c>
      <c r="G483" t="s">
        <v>15</v>
      </c>
      <c r="H483" t="s">
        <v>14</v>
      </c>
      <c r="I483" t="s">
        <v>2814</v>
      </c>
      <c r="N483">
        <v>3</v>
      </c>
      <c r="O483" t="s">
        <v>2813</v>
      </c>
      <c r="P483" t="s">
        <v>2812</v>
      </c>
      <c r="Q483" t="s">
        <v>510</v>
      </c>
      <c r="R483" s="7">
        <v>30317</v>
      </c>
      <c r="S483" s="8">
        <f t="shared" si="64"/>
        <v>1983</v>
      </c>
      <c r="T483" s="8">
        <v>1983</v>
      </c>
      <c r="U483" s="8">
        <f t="shared" si="65"/>
        <v>39</v>
      </c>
      <c r="V483" s="7" t="s">
        <v>2803</v>
      </c>
      <c r="W483" t="s">
        <v>560</v>
      </c>
      <c r="X483" s="2" t="s">
        <v>0</v>
      </c>
      <c r="Y483" s="6" t="e">
        <f t="shared" si="62"/>
        <v>#VALUE!</v>
      </c>
      <c r="AA483">
        <v>337889</v>
      </c>
      <c r="AB483">
        <v>40920</v>
      </c>
      <c r="AD483" t="s">
        <v>5</v>
      </c>
      <c r="AE483">
        <v>28</v>
      </c>
      <c r="AF483">
        <v>5</v>
      </c>
      <c r="AH483" t="s">
        <v>2811</v>
      </c>
      <c r="AI483" t="s">
        <v>2810</v>
      </c>
      <c r="AK483" t="s">
        <v>2809</v>
      </c>
      <c r="AL483">
        <v>0</v>
      </c>
      <c r="AM483" s="5">
        <f t="shared" si="66"/>
        <v>0</v>
      </c>
      <c r="AN483" s="4">
        <f t="shared" si="63"/>
        <v>0</v>
      </c>
      <c r="AO483" s="3"/>
      <c r="AP483">
        <v>0</v>
      </c>
      <c r="AR483" t="s">
        <v>1</v>
      </c>
      <c r="AT483" s="2" t="s">
        <v>0</v>
      </c>
      <c r="AU483" s="1" t="e">
        <f t="shared" si="67"/>
        <v>#VALUE!</v>
      </c>
      <c r="AV483" s="1" t="e">
        <f t="shared" si="68"/>
        <v>#VALUE!</v>
      </c>
      <c r="AW483" s="1" t="e">
        <f t="shared" si="69"/>
        <v>#VALUE!</v>
      </c>
    </row>
    <row r="484" spans="1:49" x14ac:dyDescent="0.2">
      <c r="A484">
        <v>482</v>
      </c>
      <c r="B484" t="s">
        <v>2808</v>
      </c>
      <c r="C484" t="s">
        <v>2807</v>
      </c>
      <c r="F484" t="s">
        <v>2806</v>
      </c>
      <c r="G484" t="s">
        <v>15</v>
      </c>
      <c r="H484" t="s">
        <v>14</v>
      </c>
      <c r="I484" t="s">
        <v>2534</v>
      </c>
      <c r="N484">
        <v>4</v>
      </c>
      <c r="O484" t="s">
        <v>2805</v>
      </c>
      <c r="P484" t="s">
        <v>2804</v>
      </c>
      <c r="Q484" t="s">
        <v>575</v>
      </c>
      <c r="R484" s="7">
        <v>30317</v>
      </c>
      <c r="S484" s="8">
        <f t="shared" si="64"/>
        <v>1983</v>
      </c>
      <c r="T484" s="8">
        <v>1983</v>
      </c>
      <c r="U484" s="8">
        <f t="shared" si="65"/>
        <v>39</v>
      </c>
      <c r="V484" s="7" t="s">
        <v>2803</v>
      </c>
      <c r="W484" t="s">
        <v>2802</v>
      </c>
      <c r="X484" s="2" t="s">
        <v>0</v>
      </c>
      <c r="Y484" s="6" t="e">
        <f t="shared" si="62"/>
        <v>#VALUE!</v>
      </c>
      <c r="AA484">
        <v>491748</v>
      </c>
      <c r="AB484">
        <v>40456</v>
      </c>
      <c r="AD484" t="s">
        <v>5</v>
      </c>
      <c r="AE484">
        <v>13</v>
      </c>
      <c r="AF484">
        <v>5</v>
      </c>
      <c r="AH484" t="s">
        <v>2801</v>
      </c>
      <c r="AI484" t="s">
        <v>2800</v>
      </c>
      <c r="AK484" t="s">
        <v>2799</v>
      </c>
      <c r="AL484">
        <v>0</v>
      </c>
      <c r="AM484" s="5">
        <f t="shared" si="66"/>
        <v>0</v>
      </c>
      <c r="AN484" s="4">
        <f t="shared" si="63"/>
        <v>0</v>
      </c>
      <c r="AO484" s="3"/>
      <c r="AP484">
        <v>0</v>
      </c>
      <c r="AR484" t="s">
        <v>1</v>
      </c>
      <c r="AT484" s="2" t="s">
        <v>0</v>
      </c>
      <c r="AU484" s="1" t="e">
        <f t="shared" si="67"/>
        <v>#VALUE!</v>
      </c>
      <c r="AV484" s="1" t="e">
        <f t="shared" si="68"/>
        <v>#VALUE!</v>
      </c>
      <c r="AW484" s="1" t="e">
        <f t="shared" si="69"/>
        <v>#VALUE!</v>
      </c>
    </row>
    <row r="485" spans="1:49" x14ac:dyDescent="0.2">
      <c r="A485">
        <v>483</v>
      </c>
      <c r="B485" t="s">
        <v>2798</v>
      </c>
      <c r="C485" t="s">
        <v>2797</v>
      </c>
      <c r="F485" t="s">
        <v>2796</v>
      </c>
      <c r="G485" t="s">
        <v>15</v>
      </c>
      <c r="H485" t="s">
        <v>14</v>
      </c>
      <c r="I485" t="s">
        <v>2795</v>
      </c>
      <c r="N485">
        <v>2</v>
      </c>
      <c r="O485" t="s">
        <v>2794</v>
      </c>
      <c r="P485" t="s">
        <v>2793</v>
      </c>
      <c r="Q485" t="s">
        <v>342</v>
      </c>
      <c r="R485" s="7">
        <v>30317</v>
      </c>
      <c r="S485" s="8">
        <f t="shared" si="64"/>
        <v>1983</v>
      </c>
      <c r="T485" s="8">
        <v>1983</v>
      </c>
      <c r="U485" s="8">
        <f t="shared" si="65"/>
        <v>39</v>
      </c>
      <c r="V485" s="7" t="s">
        <v>2515</v>
      </c>
      <c r="W485" t="s">
        <v>798</v>
      </c>
      <c r="X485" s="2">
        <v>0.218</v>
      </c>
      <c r="Y485" s="6">
        <f t="shared" si="62"/>
        <v>5.8193854942473512E-3</v>
      </c>
      <c r="AA485">
        <v>3772063</v>
      </c>
      <c r="AB485">
        <v>130012</v>
      </c>
      <c r="AD485" t="s">
        <v>5</v>
      </c>
      <c r="AE485">
        <v>29</v>
      </c>
      <c r="AF485">
        <v>4</v>
      </c>
      <c r="AH485" t="s">
        <v>757</v>
      </c>
      <c r="AI485" t="s">
        <v>2792</v>
      </c>
      <c r="AK485" t="s">
        <v>2791</v>
      </c>
      <c r="AL485">
        <v>0</v>
      </c>
      <c r="AM485" s="5">
        <f t="shared" si="66"/>
        <v>0</v>
      </c>
      <c r="AN485" s="4">
        <f t="shared" si="63"/>
        <v>0</v>
      </c>
      <c r="AO485" s="3"/>
      <c r="AP485">
        <v>0</v>
      </c>
      <c r="AR485" t="s">
        <v>1</v>
      </c>
      <c r="AT485" s="2">
        <v>2.3330000000000002</v>
      </c>
      <c r="AU485" s="1">
        <f t="shared" si="67"/>
        <v>0.40735698459731456</v>
      </c>
      <c r="AV485" s="1">
        <f t="shared" si="68"/>
        <v>0.29096927471236755</v>
      </c>
      <c r="AW485" s="1">
        <f t="shared" si="69"/>
        <v>0.17458156482742054</v>
      </c>
    </row>
    <row r="486" spans="1:49" x14ac:dyDescent="0.2">
      <c r="A486">
        <v>484</v>
      </c>
      <c r="B486" t="s">
        <v>2790</v>
      </c>
      <c r="C486" t="s">
        <v>2789</v>
      </c>
      <c r="F486" t="s">
        <v>2788</v>
      </c>
      <c r="G486" t="s">
        <v>15</v>
      </c>
      <c r="H486" t="s">
        <v>14</v>
      </c>
      <c r="I486" t="s">
        <v>2787</v>
      </c>
      <c r="N486">
        <v>6</v>
      </c>
      <c r="O486" t="s">
        <v>2786</v>
      </c>
      <c r="P486" t="s">
        <v>2785</v>
      </c>
      <c r="Q486" t="s">
        <v>332</v>
      </c>
      <c r="R486" s="7">
        <v>30317</v>
      </c>
      <c r="S486" s="8">
        <f t="shared" si="64"/>
        <v>1983</v>
      </c>
      <c r="T486" s="8">
        <v>1983</v>
      </c>
      <c r="U486" s="8">
        <f t="shared" si="65"/>
        <v>39</v>
      </c>
      <c r="V486" s="7" t="s">
        <v>2515</v>
      </c>
      <c r="W486" t="s">
        <v>798</v>
      </c>
      <c r="X486" s="2">
        <v>0.218</v>
      </c>
      <c r="Y486" s="6">
        <f t="shared" si="62"/>
        <v>5.8193854942473512E-3</v>
      </c>
      <c r="AA486">
        <v>3772063</v>
      </c>
      <c r="AB486">
        <v>130012</v>
      </c>
      <c r="AD486" t="s">
        <v>5</v>
      </c>
      <c r="AE486">
        <v>29</v>
      </c>
      <c r="AF486">
        <v>4</v>
      </c>
      <c r="AH486" t="s">
        <v>2784</v>
      </c>
      <c r="AI486" t="s">
        <v>2783</v>
      </c>
      <c r="AK486" t="s">
        <v>2782</v>
      </c>
      <c r="AL486">
        <v>0</v>
      </c>
      <c r="AM486" s="5">
        <f t="shared" si="66"/>
        <v>0</v>
      </c>
      <c r="AN486" s="4">
        <f t="shared" si="63"/>
        <v>0</v>
      </c>
      <c r="AO486" s="3"/>
      <c r="AP486">
        <v>0</v>
      </c>
      <c r="AR486" t="s">
        <v>1</v>
      </c>
      <c r="AT486" s="2">
        <v>2.3330000000000002</v>
      </c>
      <c r="AU486" s="1">
        <f t="shared" si="67"/>
        <v>0.40735698459731456</v>
      </c>
      <c r="AV486" s="1">
        <f t="shared" si="68"/>
        <v>0.29096927471236755</v>
      </c>
      <c r="AW486" s="1">
        <f t="shared" si="69"/>
        <v>0.17458156482742054</v>
      </c>
    </row>
    <row r="487" spans="1:49" x14ac:dyDescent="0.2">
      <c r="A487">
        <v>485</v>
      </c>
      <c r="B487" t="s">
        <v>2781</v>
      </c>
      <c r="C487" t="s">
        <v>2780</v>
      </c>
      <c r="F487" t="s">
        <v>2779</v>
      </c>
      <c r="G487" t="s">
        <v>15</v>
      </c>
      <c r="H487" t="s">
        <v>14</v>
      </c>
      <c r="I487" t="s">
        <v>801</v>
      </c>
      <c r="N487">
        <v>2</v>
      </c>
      <c r="O487" t="s">
        <v>800</v>
      </c>
      <c r="P487" t="s">
        <v>799</v>
      </c>
      <c r="Q487" t="s">
        <v>342</v>
      </c>
      <c r="R487" s="7">
        <v>30317</v>
      </c>
      <c r="S487" s="8">
        <f t="shared" si="64"/>
        <v>1983</v>
      </c>
      <c r="T487" s="8">
        <v>1983</v>
      </c>
      <c r="U487" s="8">
        <f t="shared" si="65"/>
        <v>39</v>
      </c>
      <c r="V487" s="7" t="s">
        <v>2515</v>
      </c>
      <c r="W487" t="s">
        <v>798</v>
      </c>
      <c r="X487" s="2">
        <v>0.218</v>
      </c>
      <c r="Y487" s="6">
        <f t="shared" si="62"/>
        <v>5.8193854942473512E-3</v>
      </c>
      <c r="AA487">
        <v>3772063</v>
      </c>
      <c r="AB487">
        <v>130012</v>
      </c>
      <c r="AD487" t="s">
        <v>5</v>
      </c>
      <c r="AE487">
        <v>29</v>
      </c>
      <c r="AF487">
        <v>4</v>
      </c>
      <c r="AH487" t="s">
        <v>2778</v>
      </c>
      <c r="AI487" t="s">
        <v>2777</v>
      </c>
      <c r="AK487" t="s">
        <v>2776</v>
      </c>
      <c r="AL487">
        <v>0</v>
      </c>
      <c r="AM487" s="5">
        <f t="shared" si="66"/>
        <v>0</v>
      </c>
      <c r="AN487" s="4">
        <f t="shared" si="63"/>
        <v>0</v>
      </c>
      <c r="AO487" s="3"/>
      <c r="AP487">
        <v>0</v>
      </c>
      <c r="AR487" t="s">
        <v>1</v>
      </c>
      <c r="AT487" s="2">
        <v>2.3330000000000002</v>
      </c>
      <c r="AU487" s="1">
        <f t="shared" si="67"/>
        <v>0.40735698459731456</v>
      </c>
      <c r="AV487" s="1">
        <f t="shared" si="68"/>
        <v>0.29096927471236755</v>
      </c>
      <c r="AW487" s="1">
        <f t="shared" si="69"/>
        <v>0.17458156482742054</v>
      </c>
    </row>
    <row r="488" spans="1:49" x14ac:dyDescent="0.2">
      <c r="A488">
        <v>486</v>
      </c>
      <c r="B488" t="s">
        <v>2775</v>
      </c>
      <c r="C488" t="s">
        <v>2774</v>
      </c>
      <c r="F488" t="s">
        <v>2773</v>
      </c>
      <c r="G488" t="s">
        <v>15</v>
      </c>
      <c r="H488" t="s">
        <v>14</v>
      </c>
      <c r="I488" t="s">
        <v>2772</v>
      </c>
      <c r="N488">
        <v>1</v>
      </c>
      <c r="O488" t="s">
        <v>2771</v>
      </c>
      <c r="P488">
        <v>57208807295</v>
      </c>
      <c r="R488" s="7">
        <v>30317</v>
      </c>
      <c r="S488" s="8">
        <f t="shared" si="64"/>
        <v>1983</v>
      </c>
      <c r="T488" s="8">
        <v>1983</v>
      </c>
      <c r="U488" s="8">
        <f t="shared" si="65"/>
        <v>39</v>
      </c>
      <c r="V488" s="7" t="s">
        <v>2515</v>
      </c>
      <c r="W488" s="11" t="s">
        <v>1587</v>
      </c>
      <c r="X488" s="2">
        <v>2.383</v>
      </c>
      <c r="Y488" s="6">
        <f t="shared" si="62"/>
        <v>6.3612824003630442E-2</v>
      </c>
      <c r="AA488">
        <v>1437097</v>
      </c>
      <c r="AB488">
        <v>101236</v>
      </c>
      <c r="AD488" t="s">
        <v>5</v>
      </c>
      <c r="AE488">
        <v>130</v>
      </c>
      <c r="AF488">
        <v>3</v>
      </c>
      <c r="AH488" t="s">
        <v>2770</v>
      </c>
      <c r="AI488" t="s">
        <v>2769</v>
      </c>
      <c r="AK488" t="s">
        <v>2768</v>
      </c>
      <c r="AL488">
        <v>14</v>
      </c>
      <c r="AM488" s="5">
        <f t="shared" si="66"/>
        <v>0.35897435897435898</v>
      </c>
      <c r="AN488" s="4">
        <f t="shared" si="63"/>
        <v>5.4369459897668905E-4</v>
      </c>
      <c r="AO488" s="3"/>
      <c r="AP488">
        <v>0</v>
      </c>
      <c r="AR488" t="s">
        <v>1</v>
      </c>
      <c r="AT488" s="2" t="s">
        <v>0</v>
      </c>
      <c r="AU488" s="1">
        <f t="shared" si="67"/>
        <v>4.4692085182234313</v>
      </c>
      <c r="AV488" s="1">
        <f t="shared" si="68"/>
        <v>3.2078259301303564</v>
      </c>
      <c r="AW488" s="1">
        <f t="shared" si="69"/>
        <v>1.9464433420372815</v>
      </c>
    </row>
    <row r="489" spans="1:49" x14ac:dyDescent="0.2">
      <c r="A489">
        <v>487</v>
      </c>
      <c r="B489" t="s">
        <v>2767</v>
      </c>
      <c r="C489" t="s">
        <v>2766</v>
      </c>
      <c r="F489" t="s">
        <v>2765</v>
      </c>
      <c r="G489" t="s">
        <v>15</v>
      </c>
      <c r="H489" t="s">
        <v>14</v>
      </c>
      <c r="I489" t="s">
        <v>2764</v>
      </c>
      <c r="N489">
        <v>2</v>
      </c>
      <c r="O489" t="s">
        <v>2763</v>
      </c>
      <c r="P489" t="s">
        <v>2762</v>
      </c>
      <c r="Q489" t="s">
        <v>342</v>
      </c>
      <c r="R489" s="7">
        <v>30317</v>
      </c>
      <c r="S489" s="8">
        <f t="shared" si="64"/>
        <v>1983</v>
      </c>
      <c r="T489" s="8">
        <v>1983</v>
      </c>
      <c r="U489" s="8">
        <f t="shared" si="65"/>
        <v>39</v>
      </c>
      <c r="V489" s="7" t="s">
        <v>2515</v>
      </c>
      <c r="W489" s="11" t="s">
        <v>1587</v>
      </c>
      <c r="X489" s="2">
        <v>2.383</v>
      </c>
      <c r="Y489" s="6">
        <f t="shared" si="62"/>
        <v>6.3612824003630442E-2</v>
      </c>
      <c r="AA489">
        <v>1437097</v>
      </c>
      <c r="AB489">
        <v>101236</v>
      </c>
      <c r="AD489" t="s">
        <v>5</v>
      </c>
      <c r="AE489">
        <v>130</v>
      </c>
      <c r="AF489">
        <v>3</v>
      </c>
      <c r="AH489" t="s">
        <v>2761</v>
      </c>
      <c r="AI489" t="s">
        <v>2760</v>
      </c>
      <c r="AK489" t="s">
        <v>2759</v>
      </c>
      <c r="AL489">
        <v>11</v>
      </c>
      <c r="AM489" s="5">
        <f t="shared" si="66"/>
        <v>0.28205128205128205</v>
      </c>
      <c r="AN489" s="4">
        <f t="shared" si="63"/>
        <v>4.2718861348168429E-4</v>
      </c>
      <c r="AO489" s="3"/>
      <c r="AP489">
        <v>0</v>
      </c>
      <c r="AR489" t="s">
        <v>1</v>
      </c>
      <c r="AT489" s="2" t="s">
        <v>0</v>
      </c>
      <c r="AU489" s="1">
        <f t="shared" si="67"/>
        <v>4.4657133386585812</v>
      </c>
      <c r="AV489" s="1">
        <f t="shared" si="68"/>
        <v>3.2020006308556068</v>
      </c>
      <c r="AW489" s="1">
        <f t="shared" si="69"/>
        <v>1.9382879230526311</v>
      </c>
    </row>
    <row r="490" spans="1:49" x14ac:dyDescent="0.2">
      <c r="A490">
        <v>488</v>
      </c>
      <c r="B490" t="s">
        <v>2758</v>
      </c>
      <c r="C490" t="s">
        <v>2757</v>
      </c>
      <c r="F490" t="s">
        <v>2756</v>
      </c>
      <c r="G490" t="s">
        <v>15</v>
      </c>
      <c r="H490" t="s">
        <v>14</v>
      </c>
      <c r="I490" t="s">
        <v>2755</v>
      </c>
      <c r="N490">
        <v>1</v>
      </c>
      <c r="O490" t="s">
        <v>2754</v>
      </c>
      <c r="P490">
        <v>7005312466</v>
      </c>
      <c r="R490" s="7">
        <v>30317</v>
      </c>
      <c r="S490" s="8">
        <f t="shared" si="64"/>
        <v>1983</v>
      </c>
      <c r="T490" s="8">
        <v>1983</v>
      </c>
      <c r="U490" s="8">
        <f t="shared" si="65"/>
        <v>39</v>
      </c>
      <c r="V490" s="7" t="s">
        <v>2515</v>
      </c>
      <c r="W490" t="s">
        <v>1566</v>
      </c>
      <c r="X490" s="2">
        <v>0.251</v>
      </c>
      <c r="Y490" s="6">
        <f t="shared" si="62"/>
        <v>6.7003016470462617E-3</v>
      </c>
      <c r="AA490">
        <v>207217</v>
      </c>
      <c r="AB490">
        <v>26145</v>
      </c>
      <c r="AD490" t="s">
        <v>5</v>
      </c>
      <c r="AE490">
        <v>54</v>
      </c>
      <c r="AF490">
        <v>4</v>
      </c>
      <c r="AH490" t="s">
        <v>2753</v>
      </c>
      <c r="AI490" t="s">
        <v>2752</v>
      </c>
      <c r="AK490" t="s">
        <v>2751</v>
      </c>
      <c r="AL490">
        <v>0</v>
      </c>
      <c r="AM490" s="5">
        <f t="shared" si="66"/>
        <v>0</v>
      </c>
      <c r="AN490" s="4">
        <f t="shared" si="63"/>
        <v>0</v>
      </c>
      <c r="AO490" s="3"/>
      <c r="AP490">
        <v>0</v>
      </c>
      <c r="AR490" t="s">
        <v>1</v>
      </c>
      <c r="AT490" s="2">
        <v>1.3360000000000001</v>
      </c>
      <c r="AU490" s="1">
        <f t="shared" si="67"/>
        <v>0.46902111529323826</v>
      </c>
      <c r="AV490" s="1">
        <f t="shared" si="68"/>
        <v>0.33501508235231309</v>
      </c>
      <c r="AW490" s="1">
        <f t="shared" si="69"/>
        <v>0.20100904941138784</v>
      </c>
    </row>
    <row r="491" spans="1:49" x14ac:dyDescent="0.2">
      <c r="A491">
        <v>489</v>
      </c>
      <c r="B491" t="s">
        <v>2750</v>
      </c>
      <c r="C491" t="s">
        <v>2749</v>
      </c>
      <c r="F491" t="s">
        <v>2748</v>
      </c>
      <c r="G491" t="s">
        <v>15</v>
      </c>
      <c r="H491" t="s">
        <v>14</v>
      </c>
      <c r="I491" t="s">
        <v>2747</v>
      </c>
      <c r="N491">
        <v>3</v>
      </c>
      <c r="O491" t="s">
        <v>2746</v>
      </c>
      <c r="P491" t="s">
        <v>2745</v>
      </c>
      <c r="Q491" t="s">
        <v>510</v>
      </c>
      <c r="R491" s="7">
        <v>30317</v>
      </c>
      <c r="S491" s="8">
        <f t="shared" si="64"/>
        <v>1983</v>
      </c>
      <c r="T491" s="8">
        <v>1983</v>
      </c>
      <c r="U491" s="8">
        <f t="shared" si="65"/>
        <v>39</v>
      </c>
      <c r="V491" s="7" t="s">
        <v>2515</v>
      </c>
      <c r="W491" s="11" t="s">
        <v>1587</v>
      </c>
      <c r="X491" s="2">
        <v>2.383</v>
      </c>
      <c r="Y491" s="6">
        <f t="shared" si="62"/>
        <v>6.3612824003630442E-2</v>
      </c>
      <c r="AA491">
        <v>1437097</v>
      </c>
      <c r="AB491">
        <v>101236</v>
      </c>
      <c r="AD491" t="s">
        <v>5</v>
      </c>
      <c r="AE491">
        <v>130</v>
      </c>
      <c r="AF491">
        <v>3</v>
      </c>
      <c r="AH491" t="s">
        <v>2744</v>
      </c>
      <c r="AI491" t="s">
        <v>2743</v>
      </c>
      <c r="AK491" t="s">
        <v>2742</v>
      </c>
      <c r="AL491">
        <v>16</v>
      </c>
      <c r="AM491" s="5">
        <f t="shared" si="66"/>
        <v>0.41025641025641024</v>
      </c>
      <c r="AN491" s="4">
        <f t="shared" si="63"/>
        <v>6.2136525597335896E-4</v>
      </c>
      <c r="AO491" s="3"/>
      <c r="AP491">
        <v>0</v>
      </c>
      <c r="AR491" t="s">
        <v>1</v>
      </c>
      <c r="AT491" s="2" t="s">
        <v>0</v>
      </c>
      <c r="AU491" s="1">
        <f t="shared" si="67"/>
        <v>4.4715386379333317</v>
      </c>
      <c r="AV491" s="1">
        <f t="shared" si="68"/>
        <v>3.2117094629801897</v>
      </c>
      <c r="AW491" s="1">
        <f t="shared" si="69"/>
        <v>1.9518802880270483</v>
      </c>
    </row>
    <row r="492" spans="1:49" x14ac:dyDescent="0.2">
      <c r="A492">
        <v>490</v>
      </c>
      <c r="B492" t="s">
        <v>2741</v>
      </c>
      <c r="C492" t="s">
        <v>2740</v>
      </c>
      <c r="F492" t="s">
        <v>2739</v>
      </c>
      <c r="G492" t="s">
        <v>15</v>
      </c>
      <c r="H492" t="s">
        <v>14</v>
      </c>
      <c r="I492" t="s">
        <v>1175</v>
      </c>
      <c r="N492">
        <v>2</v>
      </c>
      <c r="O492" t="s">
        <v>2738</v>
      </c>
      <c r="P492" t="s">
        <v>2737</v>
      </c>
      <c r="Q492" t="s">
        <v>342</v>
      </c>
      <c r="R492" s="7">
        <v>30317</v>
      </c>
      <c r="S492" s="8">
        <f t="shared" si="64"/>
        <v>1983</v>
      </c>
      <c r="T492" s="8">
        <v>1983</v>
      </c>
      <c r="U492" s="8">
        <f t="shared" si="65"/>
        <v>39</v>
      </c>
      <c r="V492" s="7" t="s">
        <v>2515</v>
      </c>
      <c r="W492" s="11" t="s">
        <v>1587</v>
      </c>
      <c r="X492" s="2">
        <v>2.383</v>
      </c>
      <c r="Y492" s="6">
        <f t="shared" si="62"/>
        <v>6.3612824003630442E-2</v>
      </c>
      <c r="AA492">
        <v>1437097</v>
      </c>
      <c r="AB492">
        <v>101236</v>
      </c>
      <c r="AD492" t="s">
        <v>5</v>
      </c>
      <c r="AE492">
        <v>130</v>
      </c>
      <c r="AF492">
        <v>3</v>
      </c>
      <c r="AH492" t="s">
        <v>2736</v>
      </c>
      <c r="AI492" t="s">
        <v>2735</v>
      </c>
      <c r="AK492" t="s">
        <v>2734</v>
      </c>
      <c r="AL492">
        <v>3</v>
      </c>
      <c r="AM492" s="5">
        <f t="shared" si="66"/>
        <v>7.6923076923076927E-2</v>
      </c>
      <c r="AN492" s="4">
        <f t="shared" si="63"/>
        <v>1.1650598549500481E-4</v>
      </c>
      <c r="AO492" s="3"/>
      <c r="AP492">
        <v>0</v>
      </c>
      <c r="AR492" t="s">
        <v>1</v>
      </c>
      <c r="AT492" s="2" t="s">
        <v>0</v>
      </c>
      <c r="AU492" s="1">
        <f t="shared" si="67"/>
        <v>4.4563928598189815</v>
      </c>
      <c r="AV492" s="1">
        <f t="shared" si="68"/>
        <v>3.1864664994562726</v>
      </c>
      <c r="AW492" s="1">
        <f t="shared" si="69"/>
        <v>1.9165401390935637</v>
      </c>
    </row>
    <row r="493" spans="1:49" x14ac:dyDescent="0.2">
      <c r="A493">
        <v>491</v>
      </c>
      <c r="B493" t="s">
        <v>2733</v>
      </c>
      <c r="C493" t="s">
        <v>2732</v>
      </c>
      <c r="D493">
        <v>94576583900395</v>
      </c>
      <c r="F493" t="s">
        <v>2731</v>
      </c>
      <c r="G493" t="s">
        <v>15</v>
      </c>
      <c r="H493" t="s">
        <v>14</v>
      </c>
      <c r="I493" t="s">
        <v>2730</v>
      </c>
      <c r="J493">
        <v>60017198</v>
      </c>
      <c r="K493" t="s">
        <v>2729</v>
      </c>
      <c r="L493" t="s">
        <v>446</v>
      </c>
      <c r="M493" t="s">
        <v>10</v>
      </c>
      <c r="N493">
        <v>1</v>
      </c>
      <c r="O493" t="s">
        <v>2728</v>
      </c>
      <c r="P493">
        <v>57220329168</v>
      </c>
      <c r="Q493">
        <v>60017198</v>
      </c>
      <c r="R493" s="7">
        <v>30317</v>
      </c>
      <c r="S493" s="8">
        <f t="shared" si="64"/>
        <v>1983</v>
      </c>
      <c r="T493" s="8">
        <v>1983</v>
      </c>
      <c r="U493" s="8">
        <f t="shared" si="65"/>
        <v>39</v>
      </c>
      <c r="V493" s="7">
        <v>30407</v>
      </c>
      <c r="W493" t="s">
        <v>401</v>
      </c>
      <c r="X493" s="2">
        <v>1.1339999999999999</v>
      </c>
      <c r="Y493" s="6">
        <f t="shared" si="62"/>
        <v>3.0271482341635299E-2</v>
      </c>
      <c r="AA493">
        <v>945765</v>
      </c>
      <c r="AB493">
        <v>12372</v>
      </c>
      <c r="AD493" t="s">
        <v>5</v>
      </c>
      <c r="AE493">
        <v>10</v>
      </c>
      <c r="AF493">
        <v>4</v>
      </c>
      <c r="AH493" t="s">
        <v>2727</v>
      </c>
      <c r="AI493" t="s">
        <v>2726</v>
      </c>
      <c r="AK493" t="s">
        <v>2725</v>
      </c>
      <c r="AL493">
        <v>1</v>
      </c>
      <c r="AM493" s="5">
        <f t="shared" si="66"/>
        <v>2.564102564102564E-2</v>
      </c>
      <c r="AN493" s="4">
        <f t="shared" si="63"/>
        <v>3.8835328498334935E-5</v>
      </c>
      <c r="AO493" s="3"/>
      <c r="AP493">
        <v>0</v>
      </c>
      <c r="AQ493" t="s">
        <v>2724</v>
      </c>
      <c r="AR493" t="s">
        <v>1</v>
      </c>
      <c r="AS493" t="s">
        <v>2723</v>
      </c>
      <c r="AT493" s="2">
        <v>2.4129999999999998</v>
      </c>
      <c r="AU493" s="1">
        <f t="shared" si="67"/>
        <v>2.1201688237694207</v>
      </c>
      <c r="AV493" s="1">
        <f t="shared" si="68"/>
        <v>1.5155158835066815</v>
      </c>
      <c r="AW493" s="1">
        <f t="shared" si="69"/>
        <v>0.91086294324394246</v>
      </c>
    </row>
    <row r="494" spans="1:49" x14ac:dyDescent="0.2">
      <c r="A494">
        <v>492</v>
      </c>
      <c r="B494" t="s">
        <v>2722</v>
      </c>
      <c r="C494" t="s">
        <v>2721</v>
      </c>
      <c r="F494" t="s">
        <v>2720</v>
      </c>
      <c r="G494" t="s">
        <v>15</v>
      </c>
      <c r="H494" t="s">
        <v>14</v>
      </c>
      <c r="I494" t="s">
        <v>2719</v>
      </c>
      <c r="J494">
        <v>60029225</v>
      </c>
      <c r="K494" t="s">
        <v>2718</v>
      </c>
      <c r="L494" t="s">
        <v>2717</v>
      </c>
      <c r="M494" t="s">
        <v>2716</v>
      </c>
      <c r="N494">
        <v>2</v>
      </c>
      <c r="O494" t="s">
        <v>2715</v>
      </c>
      <c r="P494" t="s">
        <v>2714</v>
      </c>
      <c r="Q494" t="s">
        <v>2713</v>
      </c>
      <c r="R494" s="7">
        <v>30317</v>
      </c>
      <c r="S494" s="8">
        <f t="shared" si="64"/>
        <v>1983</v>
      </c>
      <c r="T494" s="8">
        <v>1983</v>
      </c>
      <c r="U494" s="8">
        <f t="shared" si="65"/>
        <v>39</v>
      </c>
      <c r="V494" s="7">
        <v>30407</v>
      </c>
      <c r="W494" t="s">
        <v>2712</v>
      </c>
      <c r="X494" s="2">
        <v>0.752</v>
      </c>
      <c r="Y494" s="6">
        <f t="shared" si="62"/>
        <v>2.0074210512266089E-2</v>
      </c>
      <c r="AA494">
        <v>3649059</v>
      </c>
      <c r="AB494">
        <v>17277</v>
      </c>
      <c r="AC494">
        <v>15581691</v>
      </c>
      <c r="AD494" t="s">
        <v>5</v>
      </c>
      <c r="AE494">
        <v>8</v>
      </c>
      <c r="AF494">
        <v>2</v>
      </c>
      <c r="AH494" t="s">
        <v>2711</v>
      </c>
      <c r="AI494" t="s">
        <v>2710</v>
      </c>
      <c r="AK494" t="s">
        <v>2709</v>
      </c>
      <c r="AL494">
        <v>8</v>
      </c>
      <c r="AM494" s="5">
        <f t="shared" si="66"/>
        <v>0.20512820512820512</v>
      </c>
      <c r="AN494" s="4">
        <f t="shared" si="63"/>
        <v>3.1068262798667948E-4</v>
      </c>
      <c r="AO494" s="3"/>
      <c r="AP494">
        <v>0</v>
      </c>
      <c r="AR494" t="s">
        <v>1</v>
      </c>
      <c r="AT494" s="2">
        <v>3.5539999999999998</v>
      </c>
      <c r="AU494" s="1">
        <f t="shared" si="67"/>
        <v>1.4145152146982265</v>
      </c>
      <c r="AV494" s="1">
        <f t="shared" si="68"/>
        <v>1.0192446570126386</v>
      </c>
      <c r="AW494" s="1">
        <f t="shared" si="69"/>
        <v>0.62397409932705017</v>
      </c>
    </row>
    <row r="495" spans="1:49" x14ac:dyDescent="0.2">
      <c r="A495">
        <v>493</v>
      </c>
      <c r="B495" t="s">
        <v>2708</v>
      </c>
      <c r="F495" t="s">
        <v>2707</v>
      </c>
      <c r="G495" t="s">
        <v>15</v>
      </c>
      <c r="H495" t="s">
        <v>14</v>
      </c>
      <c r="I495" t="s">
        <v>2706</v>
      </c>
      <c r="N495">
        <v>1</v>
      </c>
      <c r="O495" t="s">
        <v>2705</v>
      </c>
      <c r="P495">
        <v>6602232356</v>
      </c>
      <c r="R495" s="7">
        <v>30317</v>
      </c>
      <c r="S495" s="8">
        <f t="shared" si="64"/>
        <v>1983</v>
      </c>
      <c r="T495" s="8">
        <v>1983</v>
      </c>
      <c r="U495" s="8">
        <f t="shared" si="65"/>
        <v>39</v>
      </c>
      <c r="V495" s="7" t="s">
        <v>2515</v>
      </c>
      <c r="W495" t="s">
        <v>2704</v>
      </c>
      <c r="X495" s="2" t="s">
        <v>0</v>
      </c>
      <c r="Y495" s="6" t="e">
        <f t="shared" si="62"/>
        <v>#VALUE!</v>
      </c>
      <c r="AA495">
        <v>1679368</v>
      </c>
      <c r="AB495">
        <v>35103</v>
      </c>
      <c r="AD495" t="s">
        <v>5</v>
      </c>
      <c r="AE495">
        <v>1</v>
      </c>
      <c r="AF495">
        <v>1</v>
      </c>
      <c r="AH495" t="s">
        <v>2703</v>
      </c>
      <c r="AI495" t="s">
        <v>2702</v>
      </c>
      <c r="AK495" t="s">
        <v>2701</v>
      </c>
      <c r="AL495">
        <v>1</v>
      </c>
      <c r="AM495" s="5">
        <f t="shared" si="66"/>
        <v>2.564102564102564E-2</v>
      </c>
      <c r="AN495" s="4">
        <f t="shared" si="63"/>
        <v>3.8835328498334935E-5</v>
      </c>
      <c r="AO495" s="3"/>
      <c r="AP495">
        <v>0</v>
      </c>
      <c r="AR495" t="s">
        <v>1</v>
      </c>
      <c r="AT495" s="2" t="s">
        <v>0</v>
      </c>
      <c r="AU495" s="1" t="e">
        <f t="shared" si="67"/>
        <v>#VALUE!</v>
      </c>
      <c r="AV495" s="1" t="e">
        <f t="shared" si="68"/>
        <v>#VALUE!</v>
      </c>
      <c r="AW495" s="1" t="e">
        <f t="shared" si="69"/>
        <v>#VALUE!</v>
      </c>
    </row>
    <row r="496" spans="1:49" x14ac:dyDescent="0.2">
      <c r="A496">
        <v>494</v>
      </c>
      <c r="B496" t="s">
        <v>2700</v>
      </c>
      <c r="F496" t="s">
        <v>2699</v>
      </c>
      <c r="G496" t="s">
        <v>15</v>
      </c>
      <c r="H496" t="s">
        <v>14</v>
      </c>
      <c r="I496" t="s">
        <v>2698</v>
      </c>
      <c r="N496">
        <v>5</v>
      </c>
      <c r="O496" t="s">
        <v>2697</v>
      </c>
      <c r="P496" t="s">
        <v>2696</v>
      </c>
      <c r="Q496" t="s">
        <v>2349</v>
      </c>
      <c r="R496" s="7">
        <v>30317</v>
      </c>
      <c r="S496" s="8">
        <f t="shared" si="64"/>
        <v>1983</v>
      </c>
      <c r="T496" s="8">
        <v>1983</v>
      </c>
      <c r="U496" s="8">
        <f t="shared" si="65"/>
        <v>39</v>
      </c>
      <c r="V496" s="7" t="s">
        <v>2515</v>
      </c>
      <c r="W496" t="s">
        <v>2626</v>
      </c>
      <c r="X496" s="2" t="s">
        <v>0</v>
      </c>
      <c r="Y496" s="6" t="e">
        <f t="shared" si="62"/>
        <v>#VALUE!</v>
      </c>
      <c r="AA496" t="s">
        <v>2625</v>
      </c>
      <c r="AB496">
        <v>18614</v>
      </c>
      <c r="AD496" t="s">
        <v>5</v>
      </c>
      <c r="AF496">
        <v>69</v>
      </c>
      <c r="AH496" t="s">
        <v>2695</v>
      </c>
      <c r="AI496" t="s">
        <v>2694</v>
      </c>
      <c r="AK496" t="s">
        <v>2693</v>
      </c>
      <c r="AL496">
        <v>0</v>
      </c>
      <c r="AM496" s="5">
        <f t="shared" si="66"/>
        <v>0</v>
      </c>
      <c r="AN496" s="4">
        <f t="shared" si="63"/>
        <v>0</v>
      </c>
      <c r="AO496" s="3"/>
      <c r="AP496">
        <v>0</v>
      </c>
      <c r="AR496" t="s">
        <v>1</v>
      </c>
      <c r="AT496" s="2" t="s">
        <v>0</v>
      </c>
      <c r="AU496" s="1" t="e">
        <f t="shared" si="67"/>
        <v>#VALUE!</v>
      </c>
      <c r="AV496" s="1" t="e">
        <f t="shared" si="68"/>
        <v>#VALUE!</v>
      </c>
      <c r="AW496" s="1" t="e">
        <f t="shared" si="69"/>
        <v>#VALUE!</v>
      </c>
    </row>
    <row r="497" spans="1:49" x14ac:dyDescent="0.2">
      <c r="A497">
        <v>495</v>
      </c>
      <c r="B497" t="s">
        <v>2692</v>
      </c>
      <c r="C497" t="s">
        <v>2691</v>
      </c>
      <c r="F497" t="s">
        <v>2690</v>
      </c>
      <c r="G497" t="s">
        <v>15</v>
      </c>
      <c r="H497" t="s">
        <v>14</v>
      </c>
      <c r="I497" t="s">
        <v>2689</v>
      </c>
      <c r="N497">
        <v>1</v>
      </c>
      <c r="O497" t="s">
        <v>2688</v>
      </c>
      <c r="P497">
        <v>57213425197</v>
      </c>
      <c r="R497" s="7">
        <v>30317</v>
      </c>
      <c r="S497" s="8">
        <f t="shared" si="64"/>
        <v>1983</v>
      </c>
      <c r="T497" s="8">
        <v>1983</v>
      </c>
      <c r="U497" s="8">
        <f t="shared" si="65"/>
        <v>39</v>
      </c>
      <c r="V497" s="7" t="s">
        <v>2515</v>
      </c>
      <c r="W497" s="11" t="s">
        <v>1587</v>
      </c>
      <c r="X497" s="2">
        <v>2.383</v>
      </c>
      <c r="Y497" s="6">
        <f t="shared" si="62"/>
        <v>6.3612824003630442E-2</v>
      </c>
      <c r="AA497">
        <v>1437097</v>
      </c>
      <c r="AB497">
        <v>101236</v>
      </c>
      <c r="AD497" t="s">
        <v>5</v>
      </c>
      <c r="AE497">
        <v>130</v>
      </c>
      <c r="AF497">
        <v>3</v>
      </c>
      <c r="AH497" t="s">
        <v>2687</v>
      </c>
      <c r="AI497" t="s">
        <v>2686</v>
      </c>
      <c r="AK497" t="s">
        <v>2685</v>
      </c>
      <c r="AL497">
        <v>29</v>
      </c>
      <c r="AM497" s="5">
        <f t="shared" si="66"/>
        <v>0.74358974358974361</v>
      </c>
      <c r="AN497" s="4">
        <f t="shared" si="63"/>
        <v>1.1262245264517131E-3</v>
      </c>
      <c r="AO497" s="3"/>
      <c r="AP497">
        <v>0</v>
      </c>
      <c r="AR497" t="s">
        <v>1</v>
      </c>
      <c r="AT497" s="2" t="s">
        <v>0</v>
      </c>
      <c r="AU497" s="1">
        <f t="shared" si="67"/>
        <v>4.486684416047682</v>
      </c>
      <c r="AV497" s="1">
        <f t="shared" si="68"/>
        <v>3.2369524265041076</v>
      </c>
      <c r="AW497" s="1">
        <f t="shared" si="69"/>
        <v>1.9872204369605331</v>
      </c>
    </row>
    <row r="498" spans="1:49" x14ac:dyDescent="0.2">
      <c r="A498">
        <v>496</v>
      </c>
      <c r="B498" t="s">
        <v>2684</v>
      </c>
      <c r="F498" t="s">
        <v>2683</v>
      </c>
      <c r="G498" t="s">
        <v>15</v>
      </c>
      <c r="H498" t="s">
        <v>14</v>
      </c>
      <c r="I498" t="s">
        <v>2682</v>
      </c>
      <c r="N498">
        <v>6</v>
      </c>
      <c r="O498" t="s">
        <v>2681</v>
      </c>
      <c r="P498" t="s">
        <v>2680</v>
      </c>
      <c r="Q498" t="s">
        <v>332</v>
      </c>
      <c r="R498" s="7">
        <v>30317</v>
      </c>
      <c r="S498" s="8">
        <f t="shared" si="64"/>
        <v>1983</v>
      </c>
      <c r="T498" s="8">
        <v>1983</v>
      </c>
      <c r="U498" s="8">
        <f t="shared" si="65"/>
        <v>39</v>
      </c>
      <c r="V498" s="7" t="s">
        <v>2515</v>
      </c>
      <c r="W498" t="s">
        <v>2626</v>
      </c>
      <c r="X498" s="2" t="s">
        <v>0</v>
      </c>
      <c r="Y498" s="6" t="e">
        <f t="shared" si="62"/>
        <v>#VALUE!</v>
      </c>
      <c r="AA498" t="s">
        <v>2625</v>
      </c>
      <c r="AB498">
        <v>18614</v>
      </c>
      <c r="AD498" t="s">
        <v>5</v>
      </c>
      <c r="AF498">
        <v>69</v>
      </c>
      <c r="AH498" t="s">
        <v>2679</v>
      </c>
      <c r="AI498" t="s">
        <v>2678</v>
      </c>
      <c r="AK498" t="s">
        <v>2677</v>
      </c>
      <c r="AL498">
        <v>0</v>
      </c>
      <c r="AM498" s="5">
        <f t="shared" si="66"/>
        <v>0</v>
      </c>
      <c r="AN498" s="4">
        <f t="shared" si="63"/>
        <v>0</v>
      </c>
      <c r="AO498" s="3"/>
      <c r="AP498">
        <v>0</v>
      </c>
      <c r="AR498" t="s">
        <v>1</v>
      </c>
      <c r="AT498" s="2" t="s">
        <v>0</v>
      </c>
      <c r="AU498" s="1" t="e">
        <f t="shared" si="67"/>
        <v>#VALUE!</v>
      </c>
      <c r="AV498" s="1" t="e">
        <f t="shared" si="68"/>
        <v>#VALUE!</v>
      </c>
      <c r="AW498" s="1" t="e">
        <f t="shared" si="69"/>
        <v>#VALUE!</v>
      </c>
    </row>
    <row r="499" spans="1:49" x14ac:dyDescent="0.2">
      <c r="A499">
        <v>497</v>
      </c>
      <c r="B499" t="s">
        <v>2676</v>
      </c>
      <c r="F499" t="s">
        <v>2675</v>
      </c>
      <c r="G499" t="s">
        <v>15</v>
      </c>
      <c r="H499" t="s">
        <v>14</v>
      </c>
      <c r="I499" t="s">
        <v>2674</v>
      </c>
      <c r="N499">
        <v>3</v>
      </c>
      <c r="O499" t="s">
        <v>2673</v>
      </c>
      <c r="P499" t="s">
        <v>2672</v>
      </c>
      <c r="Q499" t="s">
        <v>510</v>
      </c>
      <c r="R499" s="7">
        <v>30317</v>
      </c>
      <c r="S499" s="8">
        <f t="shared" si="64"/>
        <v>1983</v>
      </c>
      <c r="T499" s="8">
        <v>1983</v>
      </c>
      <c r="U499" s="8">
        <f t="shared" si="65"/>
        <v>39</v>
      </c>
      <c r="V499" s="7" t="s">
        <v>2515</v>
      </c>
      <c r="W499" t="s">
        <v>2671</v>
      </c>
      <c r="X499" s="2" t="s">
        <v>0</v>
      </c>
      <c r="Y499" s="6" t="e">
        <f t="shared" si="62"/>
        <v>#VALUE!</v>
      </c>
      <c r="AB499">
        <v>18207</v>
      </c>
      <c r="AD499" t="s">
        <v>5</v>
      </c>
      <c r="AE499">
        <v>11</v>
      </c>
      <c r="AF499">
        <v>2</v>
      </c>
      <c r="AH499" t="s">
        <v>2670</v>
      </c>
      <c r="AI499" t="s">
        <v>2669</v>
      </c>
      <c r="AK499" t="s">
        <v>2668</v>
      </c>
      <c r="AL499">
        <v>0</v>
      </c>
      <c r="AM499" s="5">
        <f t="shared" si="66"/>
        <v>0</v>
      </c>
      <c r="AN499" s="4">
        <f t="shared" si="63"/>
        <v>0</v>
      </c>
      <c r="AO499" s="3"/>
      <c r="AP499">
        <v>0</v>
      </c>
      <c r="AR499" t="s">
        <v>1</v>
      </c>
      <c r="AT499" s="2" t="s">
        <v>0</v>
      </c>
      <c r="AU499" s="1" t="e">
        <f t="shared" si="67"/>
        <v>#VALUE!</v>
      </c>
      <c r="AV499" s="1" t="e">
        <f t="shared" si="68"/>
        <v>#VALUE!</v>
      </c>
      <c r="AW499" s="1" t="e">
        <f t="shared" si="69"/>
        <v>#VALUE!</v>
      </c>
    </row>
    <row r="500" spans="1:49" x14ac:dyDescent="0.2">
      <c r="A500">
        <v>498</v>
      </c>
      <c r="B500" t="s">
        <v>2667</v>
      </c>
      <c r="C500" t="s">
        <v>2666</v>
      </c>
      <c r="F500" t="s">
        <v>2665</v>
      </c>
      <c r="G500" t="s">
        <v>15</v>
      </c>
      <c r="H500" t="s">
        <v>14</v>
      </c>
      <c r="I500" t="s">
        <v>2664</v>
      </c>
      <c r="J500">
        <v>60027716</v>
      </c>
      <c r="K500" t="s">
        <v>2663</v>
      </c>
      <c r="L500" t="s">
        <v>978</v>
      </c>
      <c r="M500" t="s">
        <v>10</v>
      </c>
      <c r="N500">
        <v>3</v>
      </c>
      <c r="O500" t="s">
        <v>2662</v>
      </c>
      <c r="P500" t="s">
        <v>2661</v>
      </c>
      <c r="Q500" t="s">
        <v>2660</v>
      </c>
      <c r="R500" s="7">
        <v>30317</v>
      </c>
      <c r="S500" s="8">
        <f t="shared" si="64"/>
        <v>1983</v>
      </c>
      <c r="T500" s="8">
        <v>1983</v>
      </c>
      <c r="U500" s="8">
        <f t="shared" si="65"/>
        <v>39</v>
      </c>
      <c r="V500" s="7">
        <v>30498</v>
      </c>
      <c r="W500" t="s">
        <v>2659</v>
      </c>
      <c r="X500" s="2">
        <v>0.64</v>
      </c>
      <c r="Y500" s="6">
        <f t="shared" si="62"/>
        <v>1.7084434478524334E-2</v>
      </c>
      <c r="AA500">
        <v>218669</v>
      </c>
      <c r="AB500">
        <v>29583</v>
      </c>
      <c r="AD500" t="s">
        <v>5</v>
      </c>
      <c r="AE500">
        <v>20</v>
      </c>
      <c r="AF500">
        <v>4</v>
      </c>
      <c r="AH500" t="s">
        <v>2658</v>
      </c>
      <c r="AI500" t="s">
        <v>2657</v>
      </c>
      <c r="AK500" t="s">
        <v>2656</v>
      </c>
      <c r="AL500">
        <v>2</v>
      </c>
      <c r="AM500" s="5">
        <f t="shared" si="66"/>
        <v>5.128205128205128E-2</v>
      </c>
      <c r="AN500" s="4">
        <f t="shared" si="63"/>
        <v>7.767065699666987E-5</v>
      </c>
      <c r="AO500" s="3"/>
      <c r="AP500">
        <v>0</v>
      </c>
      <c r="AR500" t="s">
        <v>1</v>
      </c>
      <c r="AT500" s="2">
        <v>1.2490000000000001</v>
      </c>
      <c r="AU500" s="1">
        <f t="shared" si="67"/>
        <v>1.1982405332066033</v>
      </c>
      <c r="AV500" s="1">
        <f t="shared" si="68"/>
        <v>0.85810525677605021</v>
      </c>
      <c r="AW500" s="1">
        <f t="shared" si="69"/>
        <v>0.51796998034549691</v>
      </c>
    </row>
    <row r="501" spans="1:49" x14ac:dyDescent="0.2">
      <c r="A501">
        <v>499</v>
      </c>
      <c r="B501" t="s">
        <v>2655</v>
      </c>
      <c r="C501" t="s">
        <v>2654</v>
      </c>
      <c r="F501" t="s">
        <v>2653</v>
      </c>
      <c r="G501" t="s">
        <v>15</v>
      </c>
      <c r="H501" t="s">
        <v>14</v>
      </c>
      <c r="I501" t="s">
        <v>2652</v>
      </c>
      <c r="J501">
        <v>60003381</v>
      </c>
      <c r="K501" t="s">
        <v>2651</v>
      </c>
      <c r="L501" t="s">
        <v>56</v>
      </c>
      <c r="M501" t="s">
        <v>55</v>
      </c>
      <c r="N501">
        <v>5</v>
      </c>
      <c r="O501" t="s">
        <v>2650</v>
      </c>
      <c r="P501" t="s">
        <v>2649</v>
      </c>
      <c r="Q501" t="s">
        <v>2648</v>
      </c>
      <c r="R501" s="7">
        <v>30317</v>
      </c>
      <c r="S501" s="8">
        <f t="shared" si="64"/>
        <v>1983</v>
      </c>
      <c r="T501" s="8">
        <v>1983</v>
      </c>
      <c r="U501" s="8">
        <f t="shared" si="65"/>
        <v>39</v>
      </c>
      <c r="V501" s="7">
        <v>30407</v>
      </c>
      <c r="W501" t="s">
        <v>2647</v>
      </c>
      <c r="X501" s="2" t="s">
        <v>0</v>
      </c>
      <c r="Y501" s="6" t="e">
        <f t="shared" si="62"/>
        <v>#VALUE!</v>
      </c>
      <c r="AA501">
        <v>189510</v>
      </c>
      <c r="AB501">
        <v>30904</v>
      </c>
      <c r="AD501" t="s">
        <v>5</v>
      </c>
      <c r="AE501" t="s">
        <v>2646</v>
      </c>
      <c r="AF501">
        <v>4</v>
      </c>
      <c r="AH501" t="s">
        <v>2645</v>
      </c>
      <c r="AI501" t="s">
        <v>2644</v>
      </c>
      <c r="AK501" t="s">
        <v>2643</v>
      </c>
      <c r="AL501">
        <v>7</v>
      </c>
      <c r="AM501" s="5">
        <f t="shared" si="66"/>
        <v>0.17948717948717949</v>
      </c>
      <c r="AN501" s="4">
        <f t="shared" si="63"/>
        <v>2.7184729948834453E-4</v>
      </c>
      <c r="AO501" s="3"/>
      <c r="AP501">
        <v>0</v>
      </c>
      <c r="AR501" t="s">
        <v>1</v>
      </c>
      <c r="AT501" s="2" t="s">
        <v>0</v>
      </c>
      <c r="AU501" s="1" t="e">
        <f t="shared" si="67"/>
        <v>#VALUE!</v>
      </c>
      <c r="AV501" s="1" t="e">
        <f t="shared" si="68"/>
        <v>#VALUE!</v>
      </c>
      <c r="AW501" s="1" t="e">
        <f t="shared" si="69"/>
        <v>#VALUE!</v>
      </c>
    </row>
    <row r="502" spans="1:49" x14ac:dyDescent="0.2">
      <c r="A502">
        <v>500</v>
      </c>
      <c r="B502" t="s">
        <v>2642</v>
      </c>
      <c r="C502" t="s">
        <v>2641</v>
      </c>
      <c r="F502" t="s">
        <v>2640</v>
      </c>
      <c r="G502" t="s">
        <v>15</v>
      </c>
      <c r="H502" t="s">
        <v>14</v>
      </c>
      <c r="I502" t="s">
        <v>2639</v>
      </c>
      <c r="J502">
        <v>60019615</v>
      </c>
      <c r="K502" t="s">
        <v>2638</v>
      </c>
      <c r="L502" t="s">
        <v>2637</v>
      </c>
      <c r="M502" t="s">
        <v>431</v>
      </c>
      <c r="N502">
        <v>1</v>
      </c>
      <c r="O502" t="s">
        <v>2636</v>
      </c>
      <c r="P502">
        <v>7102155858</v>
      </c>
      <c r="Q502">
        <v>60019615</v>
      </c>
      <c r="R502" s="7">
        <v>30317</v>
      </c>
      <c r="S502" s="8">
        <f t="shared" si="64"/>
        <v>1983</v>
      </c>
      <c r="T502" s="8">
        <v>1983</v>
      </c>
      <c r="U502" s="8">
        <f t="shared" si="65"/>
        <v>39</v>
      </c>
      <c r="V502" s="7">
        <v>30407</v>
      </c>
      <c r="W502" t="s">
        <v>2635</v>
      </c>
      <c r="X502" s="2">
        <v>0.77200000000000002</v>
      </c>
      <c r="Y502" s="6">
        <f t="shared" si="62"/>
        <v>2.0608099089719976E-2</v>
      </c>
      <c r="AA502">
        <v>223778</v>
      </c>
      <c r="AB502">
        <v>28572</v>
      </c>
      <c r="AC502">
        <v>14697807</v>
      </c>
      <c r="AD502" t="s">
        <v>5</v>
      </c>
      <c r="AE502">
        <v>29</v>
      </c>
      <c r="AF502">
        <v>2</v>
      </c>
      <c r="AH502" t="s">
        <v>2634</v>
      </c>
      <c r="AI502" t="s">
        <v>2633</v>
      </c>
      <c r="AK502" t="s">
        <v>2632</v>
      </c>
      <c r="AL502">
        <v>16</v>
      </c>
      <c r="AM502" s="5">
        <f t="shared" si="66"/>
        <v>0.41025641025641024</v>
      </c>
      <c r="AN502" s="4">
        <f t="shared" si="63"/>
        <v>6.2136525597335896E-4</v>
      </c>
      <c r="AO502" s="3"/>
      <c r="AP502">
        <v>0</v>
      </c>
      <c r="AR502" t="s">
        <v>1</v>
      </c>
      <c r="AT502" s="2">
        <v>2.0139999999999998</v>
      </c>
      <c r="AU502" s="1">
        <f t="shared" si="67"/>
        <v>1.4612078939595989</v>
      </c>
      <c r="AV502" s="1">
        <f t="shared" si="68"/>
        <v>1.0614732172846668</v>
      </c>
      <c r="AW502" s="1">
        <f t="shared" si="69"/>
        <v>0.66173854060973436</v>
      </c>
    </row>
    <row r="503" spans="1:49" x14ac:dyDescent="0.2">
      <c r="A503">
        <v>501</v>
      </c>
      <c r="B503" t="s">
        <v>2631</v>
      </c>
      <c r="F503" t="s">
        <v>2630</v>
      </c>
      <c r="G503" t="s">
        <v>15</v>
      </c>
      <c r="H503" t="s">
        <v>14</v>
      </c>
      <c r="I503" t="s">
        <v>2629</v>
      </c>
      <c r="N503">
        <v>6</v>
      </c>
      <c r="O503" t="s">
        <v>2628</v>
      </c>
      <c r="P503" t="s">
        <v>2627</v>
      </c>
      <c r="Q503" t="s">
        <v>332</v>
      </c>
      <c r="R503" s="7">
        <v>30317</v>
      </c>
      <c r="S503" s="8">
        <f t="shared" si="64"/>
        <v>1983</v>
      </c>
      <c r="T503" s="8">
        <v>1983</v>
      </c>
      <c r="U503" s="8">
        <f t="shared" si="65"/>
        <v>39</v>
      </c>
      <c r="V503" s="7" t="s">
        <v>2515</v>
      </c>
      <c r="W503" t="s">
        <v>2626</v>
      </c>
      <c r="X503" s="2" t="s">
        <v>0</v>
      </c>
      <c r="Y503" s="6" t="e">
        <f t="shared" si="62"/>
        <v>#VALUE!</v>
      </c>
      <c r="AA503" t="s">
        <v>2625</v>
      </c>
      <c r="AB503">
        <v>18614</v>
      </c>
      <c r="AD503" t="s">
        <v>5</v>
      </c>
      <c r="AE503">
        <v>69</v>
      </c>
      <c r="AH503" t="s">
        <v>568</v>
      </c>
      <c r="AI503" t="s">
        <v>2624</v>
      </c>
      <c r="AK503" t="s">
        <v>2623</v>
      </c>
      <c r="AL503">
        <v>0</v>
      </c>
      <c r="AM503" s="5">
        <f t="shared" si="66"/>
        <v>0</v>
      </c>
      <c r="AN503" s="4">
        <f t="shared" si="63"/>
        <v>0</v>
      </c>
      <c r="AO503" s="3"/>
      <c r="AP503">
        <v>0</v>
      </c>
      <c r="AR503" t="s">
        <v>1</v>
      </c>
      <c r="AT503" s="2" t="s">
        <v>0</v>
      </c>
      <c r="AU503" s="1" t="e">
        <f t="shared" si="67"/>
        <v>#VALUE!</v>
      </c>
      <c r="AV503" s="1" t="e">
        <f t="shared" si="68"/>
        <v>#VALUE!</v>
      </c>
      <c r="AW503" s="1" t="e">
        <f t="shared" si="69"/>
        <v>#VALUE!</v>
      </c>
    </row>
    <row r="504" spans="1:49" x14ac:dyDescent="0.2">
      <c r="A504">
        <v>502</v>
      </c>
      <c r="B504" t="s">
        <v>2622</v>
      </c>
      <c r="C504" t="s">
        <v>2621</v>
      </c>
      <c r="F504" t="s">
        <v>2620</v>
      </c>
      <c r="G504" t="s">
        <v>15</v>
      </c>
      <c r="H504" t="s">
        <v>14</v>
      </c>
      <c r="I504" t="s">
        <v>2619</v>
      </c>
      <c r="J504" t="s">
        <v>2614</v>
      </c>
      <c r="K504" t="s">
        <v>2618</v>
      </c>
      <c r="L504" t="s">
        <v>2617</v>
      </c>
      <c r="M504" t="s">
        <v>91</v>
      </c>
      <c r="N504">
        <v>2</v>
      </c>
      <c r="O504" t="s">
        <v>2616</v>
      </c>
      <c r="P504" t="s">
        <v>2615</v>
      </c>
      <c r="Q504" t="s">
        <v>2614</v>
      </c>
      <c r="R504" s="7">
        <v>30317</v>
      </c>
      <c r="S504" s="8">
        <f t="shared" si="64"/>
        <v>1983</v>
      </c>
      <c r="T504" s="8">
        <v>1983</v>
      </c>
      <c r="U504" s="8">
        <f t="shared" si="65"/>
        <v>39</v>
      </c>
      <c r="V504" s="7">
        <v>30407</v>
      </c>
      <c r="W504" t="s">
        <v>2613</v>
      </c>
      <c r="X504" s="2">
        <v>1.6379999999999999</v>
      </c>
      <c r="Y504" s="6">
        <f t="shared" si="62"/>
        <v>4.3725474493473214E-2</v>
      </c>
      <c r="AA504">
        <v>963518</v>
      </c>
      <c r="AB504">
        <v>31560</v>
      </c>
      <c r="AD504" t="s">
        <v>5</v>
      </c>
      <c r="AE504">
        <v>31</v>
      </c>
      <c r="AF504">
        <v>2</v>
      </c>
      <c r="AH504" t="s">
        <v>2612</v>
      </c>
      <c r="AI504" t="s">
        <v>2611</v>
      </c>
      <c r="AK504" t="s">
        <v>2610</v>
      </c>
      <c r="AL504">
        <v>48</v>
      </c>
      <c r="AM504" s="5">
        <f t="shared" si="66"/>
        <v>1.2307692307692308</v>
      </c>
      <c r="AN504" s="4">
        <f t="shared" si="63"/>
        <v>1.864095767920077E-3</v>
      </c>
      <c r="AO504" s="3"/>
      <c r="AP504">
        <v>0</v>
      </c>
      <c r="AR504" t="s">
        <v>1</v>
      </c>
      <c r="AT504" s="2" t="s">
        <v>0</v>
      </c>
      <c r="AU504" s="1">
        <f t="shared" si="67"/>
        <v>3.1167060875807269</v>
      </c>
      <c r="AV504" s="1">
        <f t="shared" si="68"/>
        <v>2.2794785130696646</v>
      </c>
      <c r="AW504" s="1">
        <f t="shared" si="69"/>
        <v>1.4422509385586018</v>
      </c>
    </row>
    <row r="505" spans="1:49" x14ac:dyDescent="0.2">
      <c r="A505">
        <v>503</v>
      </c>
      <c r="B505" t="s">
        <v>2609</v>
      </c>
      <c r="F505" t="s">
        <v>2608</v>
      </c>
      <c r="G505" t="s">
        <v>15</v>
      </c>
      <c r="H505" t="s">
        <v>14</v>
      </c>
      <c r="I505" t="s">
        <v>2607</v>
      </c>
      <c r="N505">
        <v>1</v>
      </c>
      <c r="O505" t="s">
        <v>2606</v>
      </c>
      <c r="P505">
        <v>6508180187</v>
      </c>
      <c r="R505" s="7">
        <v>30317</v>
      </c>
      <c r="S505" s="8">
        <f t="shared" si="64"/>
        <v>1983</v>
      </c>
      <c r="T505" s="8">
        <v>1983</v>
      </c>
      <c r="U505" s="8">
        <f t="shared" si="65"/>
        <v>39</v>
      </c>
      <c r="V505" s="7" t="s">
        <v>2515</v>
      </c>
      <c r="W505" t="s">
        <v>1117</v>
      </c>
      <c r="X505" s="2" t="s">
        <v>0</v>
      </c>
      <c r="Y505" s="6" t="e">
        <f t="shared" si="62"/>
        <v>#VALUE!</v>
      </c>
      <c r="AA505" t="s">
        <v>1116</v>
      </c>
      <c r="AB505">
        <v>33832</v>
      </c>
      <c r="AD505" t="s">
        <v>5</v>
      </c>
      <c r="AE505">
        <v>17</v>
      </c>
      <c r="AF505">
        <v>4</v>
      </c>
      <c r="AH505" t="s">
        <v>1145</v>
      </c>
      <c r="AI505" t="s">
        <v>2605</v>
      </c>
      <c r="AK505" t="s">
        <v>2604</v>
      </c>
      <c r="AL505">
        <v>0</v>
      </c>
      <c r="AM505" s="5">
        <f t="shared" si="66"/>
        <v>0</v>
      </c>
      <c r="AN505" s="4">
        <f t="shared" si="63"/>
        <v>0</v>
      </c>
      <c r="AO505" s="3"/>
      <c r="AP505">
        <v>0</v>
      </c>
      <c r="AR505" t="s">
        <v>1</v>
      </c>
      <c r="AT505" s="2" t="s">
        <v>0</v>
      </c>
      <c r="AU505" s="1" t="e">
        <f t="shared" si="67"/>
        <v>#VALUE!</v>
      </c>
      <c r="AV505" s="1" t="e">
        <f t="shared" si="68"/>
        <v>#VALUE!</v>
      </c>
      <c r="AW505" s="1" t="e">
        <f t="shared" si="69"/>
        <v>#VALUE!</v>
      </c>
    </row>
    <row r="506" spans="1:49" x14ac:dyDescent="0.2">
      <c r="A506">
        <v>504</v>
      </c>
      <c r="B506" t="s">
        <v>2603</v>
      </c>
      <c r="C506" t="s">
        <v>2602</v>
      </c>
      <c r="F506" t="s">
        <v>2601</v>
      </c>
      <c r="G506" t="s">
        <v>15</v>
      </c>
      <c r="H506" t="s">
        <v>14</v>
      </c>
      <c r="I506" t="s">
        <v>2600</v>
      </c>
      <c r="J506" t="s">
        <v>2599</v>
      </c>
      <c r="K506" t="s">
        <v>2598</v>
      </c>
      <c r="L506" t="s">
        <v>2597</v>
      </c>
      <c r="M506" t="s">
        <v>2596</v>
      </c>
      <c r="N506">
        <v>4</v>
      </c>
      <c r="O506" t="s">
        <v>2595</v>
      </c>
      <c r="P506" t="s">
        <v>2594</v>
      </c>
      <c r="Q506" t="s">
        <v>2593</v>
      </c>
      <c r="R506" s="7">
        <v>30317</v>
      </c>
      <c r="S506" s="8">
        <f t="shared" si="64"/>
        <v>1983</v>
      </c>
      <c r="T506" s="8">
        <v>1983</v>
      </c>
      <c r="U506" s="8">
        <f t="shared" si="65"/>
        <v>39</v>
      </c>
      <c r="V506" s="7">
        <v>30407</v>
      </c>
      <c r="W506" t="s">
        <v>1347</v>
      </c>
      <c r="X506" s="2">
        <v>1.468</v>
      </c>
      <c r="Y506" s="6">
        <f t="shared" si="62"/>
        <v>3.9187421585115186E-2</v>
      </c>
      <c r="AA506">
        <v>906778</v>
      </c>
      <c r="AB506">
        <v>18931</v>
      </c>
      <c r="AD506" t="s">
        <v>5</v>
      </c>
      <c r="AE506">
        <v>31</v>
      </c>
      <c r="AF506">
        <v>4</v>
      </c>
      <c r="AH506" t="s">
        <v>2592</v>
      </c>
      <c r="AI506" t="s">
        <v>2591</v>
      </c>
      <c r="AK506" t="s">
        <v>2590</v>
      </c>
      <c r="AL506">
        <v>6</v>
      </c>
      <c r="AM506" s="5">
        <f t="shared" si="66"/>
        <v>0.15384615384615385</v>
      </c>
      <c r="AN506" s="4">
        <f t="shared" si="63"/>
        <v>2.3301197099000962E-4</v>
      </c>
      <c r="AO506" s="3"/>
      <c r="AP506">
        <v>0</v>
      </c>
      <c r="AR506" t="s">
        <v>1</v>
      </c>
      <c r="AT506" s="2">
        <v>5.0830000000000002</v>
      </c>
      <c r="AU506" s="1">
        <f t="shared" si="67"/>
        <v>2.7501098700877633</v>
      </c>
      <c r="AV506" s="1">
        <f t="shared" si="68"/>
        <v>1.9710216778052598</v>
      </c>
      <c r="AW506" s="1">
        <f t="shared" si="69"/>
        <v>1.1919334855227564</v>
      </c>
    </row>
    <row r="507" spans="1:49" x14ac:dyDescent="0.2">
      <c r="A507">
        <v>505</v>
      </c>
      <c r="B507" t="s">
        <v>2589</v>
      </c>
      <c r="F507" t="s">
        <v>2588</v>
      </c>
      <c r="G507" t="s">
        <v>15</v>
      </c>
      <c r="H507" t="s">
        <v>14</v>
      </c>
      <c r="I507" t="s">
        <v>2587</v>
      </c>
      <c r="N507">
        <v>3</v>
      </c>
      <c r="O507" t="s">
        <v>2586</v>
      </c>
      <c r="P507" t="s">
        <v>2585</v>
      </c>
      <c r="Q507" t="s">
        <v>510</v>
      </c>
      <c r="R507" s="7">
        <v>30317</v>
      </c>
      <c r="S507" s="8">
        <f t="shared" si="64"/>
        <v>1983</v>
      </c>
      <c r="T507" s="8">
        <v>1983</v>
      </c>
      <c r="U507" s="8">
        <f t="shared" si="65"/>
        <v>39</v>
      </c>
      <c r="V507" s="7" t="s">
        <v>2515</v>
      </c>
      <c r="W507" t="s">
        <v>560</v>
      </c>
      <c r="X507" s="2" t="s">
        <v>0</v>
      </c>
      <c r="Y507" s="6" t="e">
        <f t="shared" si="62"/>
        <v>#VALUE!</v>
      </c>
      <c r="AA507">
        <v>337889</v>
      </c>
      <c r="AB507">
        <v>40920</v>
      </c>
      <c r="AD507" t="s">
        <v>5</v>
      </c>
      <c r="AE507">
        <v>28</v>
      </c>
      <c r="AF507">
        <v>4</v>
      </c>
      <c r="AH507" t="s">
        <v>2584</v>
      </c>
      <c r="AI507" t="s">
        <v>2583</v>
      </c>
      <c r="AK507" t="s">
        <v>2582</v>
      </c>
      <c r="AL507">
        <v>0</v>
      </c>
      <c r="AM507" s="5">
        <f t="shared" si="66"/>
        <v>0</v>
      </c>
      <c r="AN507" s="4">
        <f t="shared" si="63"/>
        <v>0</v>
      </c>
      <c r="AO507" s="3"/>
      <c r="AP507">
        <v>0</v>
      </c>
      <c r="AR507" t="s">
        <v>1</v>
      </c>
      <c r="AT507" s="2" t="s">
        <v>0</v>
      </c>
      <c r="AU507" s="1" t="e">
        <f t="shared" si="67"/>
        <v>#VALUE!</v>
      </c>
      <c r="AV507" s="1" t="e">
        <f t="shared" si="68"/>
        <v>#VALUE!</v>
      </c>
      <c r="AW507" s="1" t="e">
        <f t="shared" si="69"/>
        <v>#VALUE!</v>
      </c>
    </row>
    <row r="508" spans="1:49" x14ac:dyDescent="0.2">
      <c r="A508">
        <v>506</v>
      </c>
      <c r="B508" t="s">
        <v>2581</v>
      </c>
      <c r="F508" t="s">
        <v>2580</v>
      </c>
      <c r="G508" t="s">
        <v>15</v>
      </c>
      <c r="H508" t="s">
        <v>14</v>
      </c>
      <c r="I508" t="s">
        <v>2579</v>
      </c>
      <c r="N508">
        <v>2</v>
      </c>
      <c r="O508" t="s">
        <v>2578</v>
      </c>
      <c r="P508" t="s">
        <v>2577</v>
      </c>
      <c r="Q508" t="s">
        <v>342</v>
      </c>
      <c r="R508" s="7">
        <v>30317</v>
      </c>
      <c r="S508" s="8">
        <f t="shared" si="64"/>
        <v>1983</v>
      </c>
      <c r="T508" s="8">
        <v>1983</v>
      </c>
      <c r="U508" s="8">
        <f t="shared" si="65"/>
        <v>39</v>
      </c>
      <c r="V508" s="7" t="s">
        <v>2515</v>
      </c>
      <c r="W508" t="s">
        <v>2576</v>
      </c>
      <c r="X508" s="2" t="s">
        <v>0</v>
      </c>
      <c r="Y508" s="6" t="e">
        <f t="shared" si="62"/>
        <v>#VALUE!</v>
      </c>
      <c r="AA508">
        <v>2511096</v>
      </c>
      <c r="AB508">
        <v>26110</v>
      </c>
      <c r="AD508" t="s">
        <v>5</v>
      </c>
      <c r="AE508">
        <v>63</v>
      </c>
      <c r="AH508" t="s">
        <v>2575</v>
      </c>
      <c r="AI508" t="s">
        <v>2574</v>
      </c>
      <c r="AK508" t="s">
        <v>2573</v>
      </c>
      <c r="AL508">
        <v>0</v>
      </c>
      <c r="AM508" s="5">
        <f t="shared" si="66"/>
        <v>0</v>
      </c>
      <c r="AN508" s="4">
        <f t="shared" si="63"/>
        <v>0</v>
      </c>
      <c r="AO508" s="3"/>
      <c r="AP508">
        <v>0</v>
      </c>
      <c r="AR508" t="s">
        <v>1</v>
      </c>
      <c r="AT508" s="2" t="s">
        <v>0</v>
      </c>
      <c r="AU508" s="1" t="e">
        <f t="shared" si="67"/>
        <v>#VALUE!</v>
      </c>
      <c r="AV508" s="1" t="e">
        <f t="shared" si="68"/>
        <v>#VALUE!</v>
      </c>
      <c r="AW508" s="1" t="e">
        <f t="shared" si="69"/>
        <v>#VALUE!</v>
      </c>
    </row>
    <row r="509" spans="1:49" x14ac:dyDescent="0.2">
      <c r="A509">
        <v>507</v>
      </c>
      <c r="B509" t="s">
        <v>2572</v>
      </c>
      <c r="C509" t="s">
        <v>2571</v>
      </c>
      <c r="F509" t="s">
        <v>2570</v>
      </c>
      <c r="G509" t="s">
        <v>15</v>
      </c>
      <c r="H509" t="s">
        <v>14</v>
      </c>
      <c r="I509" t="s">
        <v>2569</v>
      </c>
      <c r="J509">
        <v>117249317</v>
      </c>
      <c r="K509" t="s">
        <v>2568</v>
      </c>
      <c r="L509" t="s">
        <v>2567</v>
      </c>
      <c r="M509" t="s">
        <v>55</v>
      </c>
      <c r="N509">
        <v>1</v>
      </c>
      <c r="O509" t="s">
        <v>2566</v>
      </c>
      <c r="P509">
        <v>6507622599</v>
      </c>
      <c r="Q509">
        <v>117249317</v>
      </c>
      <c r="R509" s="7">
        <v>30317</v>
      </c>
      <c r="S509" s="8">
        <f t="shared" si="64"/>
        <v>1983</v>
      </c>
      <c r="T509" s="8">
        <v>1983</v>
      </c>
      <c r="U509" s="8">
        <f t="shared" si="65"/>
        <v>39</v>
      </c>
      <c r="V509" s="7">
        <v>1983</v>
      </c>
      <c r="W509" t="s">
        <v>227</v>
      </c>
      <c r="X509" s="2">
        <v>0.111</v>
      </c>
      <c r="Y509" s="6">
        <f t="shared" si="62"/>
        <v>2.9630816048690639E-3</v>
      </c>
      <c r="AA509">
        <v>87566621</v>
      </c>
      <c r="AB509">
        <v>24890</v>
      </c>
      <c r="AC509">
        <v>15206424</v>
      </c>
      <c r="AD509" t="s">
        <v>5</v>
      </c>
      <c r="AE509">
        <v>66</v>
      </c>
      <c r="AF509">
        <v>4</v>
      </c>
      <c r="AH509" t="s">
        <v>2565</v>
      </c>
      <c r="AI509" t="s">
        <v>2564</v>
      </c>
      <c r="AK509" t="s">
        <v>2563</v>
      </c>
      <c r="AL509">
        <v>0</v>
      </c>
      <c r="AM509" s="5">
        <f t="shared" si="66"/>
        <v>0</v>
      </c>
      <c r="AN509" s="4">
        <f t="shared" si="63"/>
        <v>0</v>
      </c>
      <c r="AO509" s="3"/>
      <c r="AP509">
        <v>0</v>
      </c>
      <c r="AR509" t="s">
        <v>1</v>
      </c>
      <c r="AT509" s="2" t="s">
        <v>0</v>
      </c>
      <c r="AU509" s="1">
        <f t="shared" si="67"/>
        <v>0.20741571234083445</v>
      </c>
      <c r="AV509" s="1">
        <f t="shared" si="68"/>
        <v>0.1481540802434532</v>
      </c>
      <c r="AW509" s="1">
        <f t="shared" si="69"/>
        <v>8.8892448146071903E-2</v>
      </c>
    </row>
    <row r="510" spans="1:49" x14ac:dyDescent="0.2">
      <c r="A510">
        <v>508</v>
      </c>
      <c r="B510" t="s">
        <v>2562</v>
      </c>
      <c r="F510" t="s">
        <v>2561</v>
      </c>
      <c r="G510" t="s">
        <v>15</v>
      </c>
      <c r="H510" t="s">
        <v>14</v>
      </c>
      <c r="I510" t="s">
        <v>2560</v>
      </c>
      <c r="N510">
        <v>1</v>
      </c>
      <c r="O510" t="s">
        <v>2559</v>
      </c>
      <c r="P510">
        <v>7003366918</v>
      </c>
      <c r="R510" s="7">
        <v>30317</v>
      </c>
      <c r="S510" s="8">
        <f t="shared" si="64"/>
        <v>1983</v>
      </c>
      <c r="T510" s="8">
        <v>1983</v>
      </c>
      <c r="U510" s="8">
        <f t="shared" si="65"/>
        <v>39</v>
      </c>
      <c r="V510" s="7" t="s">
        <v>2515</v>
      </c>
      <c r="W510" t="s">
        <v>1452</v>
      </c>
      <c r="X510" s="2" t="s">
        <v>0</v>
      </c>
      <c r="Y510" s="6" t="e">
        <f t="shared" si="62"/>
        <v>#VALUE!</v>
      </c>
      <c r="AA510">
        <v>188689</v>
      </c>
      <c r="AB510">
        <v>99388</v>
      </c>
      <c r="AD510" t="s">
        <v>5</v>
      </c>
      <c r="AE510">
        <v>25</v>
      </c>
      <c r="AF510" s="12">
        <v>0.45833333333333331</v>
      </c>
      <c r="AH510" t="s">
        <v>2558</v>
      </c>
      <c r="AI510" t="s">
        <v>2557</v>
      </c>
      <c r="AK510" t="s">
        <v>2556</v>
      </c>
      <c r="AL510">
        <v>2</v>
      </c>
      <c r="AM510" s="5">
        <f t="shared" si="66"/>
        <v>5.128205128205128E-2</v>
      </c>
      <c r="AN510" s="4">
        <f t="shared" si="63"/>
        <v>7.767065699666987E-5</v>
      </c>
      <c r="AO510" s="3"/>
      <c r="AP510">
        <v>0</v>
      </c>
      <c r="AR510" t="s">
        <v>1</v>
      </c>
      <c r="AT510" s="2" t="s">
        <v>0</v>
      </c>
      <c r="AU510" s="1" t="e">
        <f t="shared" si="67"/>
        <v>#VALUE!</v>
      </c>
      <c r="AV510" s="1" t="e">
        <f t="shared" si="68"/>
        <v>#VALUE!</v>
      </c>
      <c r="AW510" s="1" t="e">
        <f t="shared" si="69"/>
        <v>#VALUE!</v>
      </c>
    </row>
    <row r="511" spans="1:49" x14ac:dyDescent="0.2">
      <c r="A511">
        <v>509</v>
      </c>
      <c r="B511" t="s">
        <v>2555</v>
      </c>
      <c r="F511" t="s">
        <v>2554</v>
      </c>
      <c r="G511" t="s">
        <v>15</v>
      </c>
      <c r="H511" t="s">
        <v>14</v>
      </c>
      <c r="I511" t="s">
        <v>2553</v>
      </c>
      <c r="N511">
        <v>1</v>
      </c>
      <c r="O511" t="s">
        <v>2552</v>
      </c>
      <c r="P511">
        <v>6701804171</v>
      </c>
      <c r="R511" s="7">
        <v>30317</v>
      </c>
      <c r="S511" s="8">
        <f t="shared" si="64"/>
        <v>1983</v>
      </c>
      <c r="T511" s="8">
        <v>1983</v>
      </c>
      <c r="U511" s="8">
        <f t="shared" si="65"/>
        <v>39</v>
      </c>
      <c r="V511" s="7" t="s">
        <v>2515</v>
      </c>
      <c r="W511" t="s">
        <v>560</v>
      </c>
      <c r="X511" s="2" t="s">
        <v>0</v>
      </c>
      <c r="Y511" s="6" t="e">
        <f t="shared" si="62"/>
        <v>#VALUE!</v>
      </c>
      <c r="AA511">
        <v>337889</v>
      </c>
      <c r="AB511">
        <v>40920</v>
      </c>
      <c r="AD511" t="s">
        <v>5</v>
      </c>
      <c r="AE511">
        <v>28</v>
      </c>
      <c r="AF511">
        <v>4</v>
      </c>
      <c r="AH511" t="s">
        <v>2551</v>
      </c>
      <c r="AI511" t="s">
        <v>2550</v>
      </c>
      <c r="AK511" t="s">
        <v>2549</v>
      </c>
      <c r="AL511">
        <v>0</v>
      </c>
      <c r="AM511" s="5">
        <f t="shared" si="66"/>
        <v>0</v>
      </c>
      <c r="AN511" s="4">
        <f t="shared" si="63"/>
        <v>0</v>
      </c>
      <c r="AO511" s="3"/>
      <c r="AP511">
        <v>0</v>
      </c>
      <c r="AR511" t="s">
        <v>1</v>
      </c>
      <c r="AT511" s="2" t="s">
        <v>0</v>
      </c>
      <c r="AU511" s="1" t="e">
        <f t="shared" si="67"/>
        <v>#VALUE!</v>
      </c>
      <c r="AV511" s="1" t="e">
        <f t="shared" si="68"/>
        <v>#VALUE!</v>
      </c>
      <c r="AW511" s="1" t="e">
        <f t="shared" si="69"/>
        <v>#VALUE!</v>
      </c>
    </row>
    <row r="512" spans="1:49" x14ac:dyDescent="0.2">
      <c r="A512">
        <v>510</v>
      </c>
      <c r="B512" t="s">
        <v>2548</v>
      </c>
      <c r="C512" t="s">
        <v>2547</v>
      </c>
      <c r="F512" t="s">
        <v>2546</v>
      </c>
      <c r="G512" t="s">
        <v>15</v>
      </c>
      <c r="H512" t="s">
        <v>14</v>
      </c>
      <c r="I512" t="s">
        <v>2545</v>
      </c>
      <c r="J512">
        <v>115552146</v>
      </c>
      <c r="K512" t="s">
        <v>2544</v>
      </c>
      <c r="L512" t="s">
        <v>2543</v>
      </c>
      <c r="M512" t="s">
        <v>55</v>
      </c>
      <c r="N512">
        <v>3</v>
      </c>
      <c r="O512" t="s">
        <v>2542</v>
      </c>
      <c r="P512" t="s">
        <v>2541</v>
      </c>
      <c r="Q512" t="s">
        <v>2540</v>
      </c>
      <c r="R512" s="7">
        <v>30317</v>
      </c>
      <c r="S512" s="8">
        <f t="shared" si="64"/>
        <v>1983</v>
      </c>
      <c r="T512" s="8">
        <v>1983</v>
      </c>
      <c r="U512" s="8">
        <f t="shared" si="65"/>
        <v>39</v>
      </c>
      <c r="V512" s="7">
        <v>1983</v>
      </c>
      <c r="W512" t="s">
        <v>227</v>
      </c>
      <c r="X512" s="2">
        <v>0.111</v>
      </c>
      <c r="Y512" s="6">
        <f t="shared" si="62"/>
        <v>2.9630816048690639E-3</v>
      </c>
      <c r="AA512">
        <v>87566621</v>
      </c>
      <c r="AB512">
        <v>24890</v>
      </c>
      <c r="AC512">
        <v>15206424</v>
      </c>
      <c r="AD512" t="s">
        <v>5</v>
      </c>
      <c r="AE512">
        <v>66</v>
      </c>
      <c r="AF512">
        <v>4</v>
      </c>
      <c r="AH512" t="s">
        <v>2539</v>
      </c>
      <c r="AI512" t="s">
        <v>2538</v>
      </c>
      <c r="AK512" t="s">
        <v>2537</v>
      </c>
      <c r="AL512">
        <v>0</v>
      </c>
      <c r="AM512" s="5">
        <f t="shared" si="66"/>
        <v>0</v>
      </c>
      <c r="AN512" s="4">
        <f t="shared" si="63"/>
        <v>0</v>
      </c>
      <c r="AO512" s="3"/>
      <c r="AP512">
        <v>0</v>
      </c>
      <c r="AR512" t="s">
        <v>1</v>
      </c>
      <c r="AT512" s="2" t="s">
        <v>0</v>
      </c>
      <c r="AU512" s="1">
        <f t="shared" si="67"/>
        <v>0.20741571234083445</v>
      </c>
      <c r="AV512" s="1">
        <f t="shared" si="68"/>
        <v>0.1481540802434532</v>
      </c>
      <c r="AW512" s="1">
        <f t="shared" si="69"/>
        <v>8.8892448146071903E-2</v>
      </c>
    </row>
    <row r="513" spans="1:49" x14ac:dyDescent="0.2">
      <c r="A513">
        <v>511</v>
      </c>
      <c r="B513" t="s">
        <v>2536</v>
      </c>
      <c r="F513" t="s">
        <v>2535</v>
      </c>
      <c r="G513" t="s">
        <v>15</v>
      </c>
      <c r="H513" t="s">
        <v>14</v>
      </c>
      <c r="I513" t="s">
        <v>2534</v>
      </c>
      <c r="N513">
        <v>5</v>
      </c>
      <c r="O513" t="s">
        <v>2533</v>
      </c>
      <c r="P513" t="s">
        <v>2532</v>
      </c>
      <c r="Q513" t="s">
        <v>2349</v>
      </c>
      <c r="R513" s="7">
        <v>30317</v>
      </c>
      <c r="S513" s="8">
        <f t="shared" si="64"/>
        <v>1983</v>
      </c>
      <c r="T513" s="8">
        <v>1983</v>
      </c>
      <c r="U513" s="8">
        <f t="shared" si="65"/>
        <v>39</v>
      </c>
      <c r="V513" s="7" t="s">
        <v>2515</v>
      </c>
      <c r="W513" t="s">
        <v>560</v>
      </c>
      <c r="X513" s="2" t="s">
        <v>0</v>
      </c>
      <c r="Y513" s="6" t="e">
        <f t="shared" si="62"/>
        <v>#VALUE!</v>
      </c>
      <c r="AA513">
        <v>337889</v>
      </c>
      <c r="AB513">
        <v>40920</v>
      </c>
      <c r="AD513" t="s">
        <v>5</v>
      </c>
      <c r="AE513">
        <v>28</v>
      </c>
      <c r="AF513">
        <v>4</v>
      </c>
      <c r="AH513" t="s">
        <v>2531</v>
      </c>
      <c r="AI513" t="s">
        <v>2530</v>
      </c>
      <c r="AK513" t="s">
        <v>2529</v>
      </c>
      <c r="AL513">
        <v>0</v>
      </c>
      <c r="AM513" s="5">
        <f t="shared" si="66"/>
        <v>0</v>
      </c>
      <c r="AN513" s="4">
        <f t="shared" si="63"/>
        <v>0</v>
      </c>
      <c r="AO513" s="3"/>
      <c r="AP513">
        <v>0</v>
      </c>
      <c r="AR513" t="s">
        <v>1</v>
      </c>
      <c r="AT513" s="2" t="s">
        <v>0</v>
      </c>
      <c r="AU513" s="1" t="e">
        <f t="shared" si="67"/>
        <v>#VALUE!</v>
      </c>
      <c r="AV513" s="1" t="e">
        <f t="shared" si="68"/>
        <v>#VALUE!</v>
      </c>
      <c r="AW513" s="1" t="e">
        <f t="shared" si="69"/>
        <v>#VALUE!</v>
      </c>
    </row>
    <row r="514" spans="1:49" x14ac:dyDescent="0.2">
      <c r="A514">
        <v>512</v>
      </c>
      <c r="B514" t="s">
        <v>2528</v>
      </c>
      <c r="F514" t="s">
        <v>2527</v>
      </c>
      <c r="G514" t="s">
        <v>15</v>
      </c>
      <c r="H514" t="s">
        <v>14</v>
      </c>
      <c r="I514" t="s">
        <v>2526</v>
      </c>
      <c r="N514">
        <v>2</v>
      </c>
      <c r="O514" t="s">
        <v>2525</v>
      </c>
      <c r="P514" t="s">
        <v>2524</v>
      </c>
      <c r="Q514" t="s">
        <v>342</v>
      </c>
      <c r="R514" s="7">
        <v>30317</v>
      </c>
      <c r="S514" s="8">
        <f t="shared" si="64"/>
        <v>1983</v>
      </c>
      <c r="T514" s="8">
        <v>1983</v>
      </c>
      <c r="U514" s="8">
        <f t="shared" si="65"/>
        <v>39</v>
      </c>
      <c r="V514" s="7" t="s">
        <v>2515</v>
      </c>
      <c r="W514" t="s">
        <v>560</v>
      </c>
      <c r="X514" s="2" t="s">
        <v>0</v>
      </c>
      <c r="Y514" s="6" t="e">
        <f t="shared" ref="Y514:Y577" si="70">(X514-$Z$4)/($Z$3-$Z$4)</f>
        <v>#VALUE!</v>
      </c>
      <c r="AA514">
        <v>337889</v>
      </c>
      <c r="AB514">
        <v>40920</v>
      </c>
      <c r="AD514" t="s">
        <v>5</v>
      </c>
      <c r="AE514">
        <v>28</v>
      </c>
      <c r="AF514">
        <v>4</v>
      </c>
      <c r="AH514" t="s">
        <v>2523</v>
      </c>
      <c r="AI514" t="s">
        <v>2522</v>
      </c>
      <c r="AK514" t="s">
        <v>2521</v>
      </c>
      <c r="AL514">
        <v>0</v>
      </c>
      <c r="AM514" s="5">
        <f t="shared" si="66"/>
        <v>0</v>
      </c>
      <c r="AN514" s="4">
        <f t="shared" ref="AN514:AN577" si="71">(AM514-$AO$4)/($AO$3-$AO$4)</f>
        <v>0</v>
      </c>
      <c r="AO514" s="3"/>
      <c r="AP514">
        <v>0</v>
      </c>
      <c r="AR514" t="s">
        <v>1</v>
      </c>
      <c r="AT514" s="2" t="s">
        <v>0</v>
      </c>
      <c r="AU514" s="1" t="e">
        <f t="shared" si="67"/>
        <v>#VALUE!</v>
      </c>
      <c r="AV514" s="1" t="e">
        <f t="shared" si="68"/>
        <v>#VALUE!</v>
      </c>
      <c r="AW514" s="1" t="e">
        <f t="shared" si="69"/>
        <v>#VALUE!</v>
      </c>
    </row>
    <row r="515" spans="1:49" x14ac:dyDescent="0.2">
      <c r="A515">
        <v>513</v>
      </c>
      <c r="B515" t="s">
        <v>2520</v>
      </c>
      <c r="F515" t="s">
        <v>2519</v>
      </c>
      <c r="G515" t="s">
        <v>15</v>
      </c>
      <c r="H515" t="s">
        <v>14</v>
      </c>
      <c r="I515" t="s">
        <v>2518</v>
      </c>
      <c r="N515">
        <v>2</v>
      </c>
      <c r="O515" t="s">
        <v>2517</v>
      </c>
      <c r="P515" t="s">
        <v>2516</v>
      </c>
      <c r="Q515" t="s">
        <v>342</v>
      </c>
      <c r="R515" s="7">
        <v>30317</v>
      </c>
      <c r="S515" s="8">
        <f t="shared" si="64"/>
        <v>1983</v>
      </c>
      <c r="T515" s="8">
        <v>1983</v>
      </c>
      <c r="U515" s="8">
        <f t="shared" si="65"/>
        <v>39</v>
      </c>
      <c r="V515" s="7" t="s">
        <v>2515</v>
      </c>
      <c r="W515" t="s">
        <v>560</v>
      </c>
      <c r="X515" s="2" t="s">
        <v>0</v>
      </c>
      <c r="Y515" s="6" t="e">
        <f t="shared" si="70"/>
        <v>#VALUE!</v>
      </c>
      <c r="AA515">
        <v>337889</v>
      </c>
      <c r="AB515">
        <v>40920</v>
      </c>
      <c r="AD515" t="s">
        <v>5</v>
      </c>
      <c r="AE515">
        <v>28</v>
      </c>
      <c r="AF515">
        <v>4</v>
      </c>
      <c r="AH515" t="s">
        <v>2514</v>
      </c>
      <c r="AI515" t="s">
        <v>2513</v>
      </c>
      <c r="AK515" t="s">
        <v>2512</v>
      </c>
      <c r="AL515">
        <v>0</v>
      </c>
      <c r="AM515" s="5">
        <f t="shared" si="66"/>
        <v>0</v>
      </c>
      <c r="AN515" s="4">
        <f t="shared" si="71"/>
        <v>0</v>
      </c>
      <c r="AO515" s="3"/>
      <c r="AP515">
        <v>0</v>
      </c>
      <c r="AR515" t="s">
        <v>1</v>
      </c>
      <c r="AT515" s="2" t="s">
        <v>0</v>
      </c>
      <c r="AU515" s="1" t="e">
        <f t="shared" si="67"/>
        <v>#VALUE!</v>
      </c>
      <c r="AV515" s="1" t="e">
        <f t="shared" si="68"/>
        <v>#VALUE!</v>
      </c>
      <c r="AW515" s="1" t="e">
        <f t="shared" si="69"/>
        <v>#VALUE!</v>
      </c>
    </row>
    <row r="516" spans="1:49" x14ac:dyDescent="0.2">
      <c r="A516">
        <v>514</v>
      </c>
      <c r="B516" t="s">
        <v>2511</v>
      </c>
      <c r="F516" t="s">
        <v>2510</v>
      </c>
      <c r="G516" t="s">
        <v>15</v>
      </c>
      <c r="H516" t="s">
        <v>14</v>
      </c>
      <c r="I516" t="s">
        <v>2509</v>
      </c>
      <c r="N516">
        <v>1</v>
      </c>
      <c r="O516" t="s">
        <v>2508</v>
      </c>
      <c r="P516">
        <v>7007059212</v>
      </c>
      <c r="R516" s="7">
        <v>30317</v>
      </c>
      <c r="S516" s="8">
        <f t="shared" si="64"/>
        <v>1983</v>
      </c>
      <c r="T516" s="8">
        <v>1983</v>
      </c>
      <c r="U516" s="8">
        <f t="shared" si="65"/>
        <v>39</v>
      </c>
      <c r="V516" s="7" t="s">
        <v>2507</v>
      </c>
      <c r="W516" t="s">
        <v>2506</v>
      </c>
      <c r="X516" s="2" t="s">
        <v>0</v>
      </c>
      <c r="Y516" s="6" t="e">
        <f t="shared" si="70"/>
        <v>#VALUE!</v>
      </c>
      <c r="AA516">
        <v>959669</v>
      </c>
      <c r="AB516">
        <v>94658</v>
      </c>
      <c r="AD516" t="s">
        <v>5</v>
      </c>
      <c r="AE516">
        <v>13</v>
      </c>
      <c r="AF516">
        <v>1</v>
      </c>
      <c r="AH516" t="s">
        <v>2505</v>
      </c>
      <c r="AI516" t="s">
        <v>2504</v>
      </c>
      <c r="AK516" t="s">
        <v>2503</v>
      </c>
      <c r="AL516">
        <v>1</v>
      </c>
      <c r="AM516" s="5">
        <f t="shared" si="66"/>
        <v>2.564102564102564E-2</v>
      </c>
      <c r="AN516" s="4">
        <f t="shared" si="71"/>
        <v>3.8835328498334935E-5</v>
      </c>
      <c r="AO516" s="3"/>
      <c r="AP516">
        <v>0</v>
      </c>
      <c r="AR516" t="s">
        <v>1</v>
      </c>
      <c r="AT516" s="2" t="s">
        <v>0</v>
      </c>
      <c r="AU516" s="1" t="e">
        <f t="shared" si="67"/>
        <v>#VALUE!</v>
      </c>
      <c r="AV516" s="1" t="e">
        <f t="shared" si="68"/>
        <v>#VALUE!</v>
      </c>
      <c r="AW516" s="1" t="e">
        <f t="shared" si="69"/>
        <v>#VALUE!</v>
      </c>
    </row>
    <row r="517" spans="1:49" x14ac:dyDescent="0.2">
      <c r="A517">
        <v>515</v>
      </c>
      <c r="B517" t="s">
        <v>2502</v>
      </c>
      <c r="C517" t="s">
        <v>2501</v>
      </c>
      <c r="F517" t="s">
        <v>2500</v>
      </c>
      <c r="G517" t="s">
        <v>15</v>
      </c>
      <c r="H517" t="s">
        <v>14</v>
      </c>
      <c r="I517" t="s">
        <v>2499</v>
      </c>
      <c r="J517">
        <v>60001754</v>
      </c>
      <c r="K517" t="s">
        <v>2498</v>
      </c>
      <c r="L517" t="s">
        <v>2497</v>
      </c>
      <c r="M517" t="s">
        <v>80</v>
      </c>
      <c r="N517">
        <v>2</v>
      </c>
      <c r="O517" t="s">
        <v>2496</v>
      </c>
      <c r="P517" t="s">
        <v>2495</v>
      </c>
      <c r="Q517" t="s">
        <v>2494</v>
      </c>
      <c r="R517" s="7">
        <v>30317</v>
      </c>
      <c r="S517" s="8">
        <f t="shared" si="64"/>
        <v>1983</v>
      </c>
      <c r="T517" s="8">
        <v>1983</v>
      </c>
      <c r="U517" s="8">
        <f t="shared" si="65"/>
        <v>39</v>
      </c>
      <c r="V517" s="7">
        <v>30376</v>
      </c>
      <c r="W517" t="s">
        <v>618</v>
      </c>
      <c r="X517" s="2">
        <v>1.6519999999999999</v>
      </c>
      <c r="Y517" s="6">
        <f t="shared" si="70"/>
        <v>4.409919649769093E-2</v>
      </c>
      <c r="AA517" t="s">
        <v>617</v>
      </c>
      <c r="AB517">
        <v>17337</v>
      </c>
      <c r="AC517">
        <v>15582221</v>
      </c>
      <c r="AD517" t="s">
        <v>5</v>
      </c>
      <c r="AE517">
        <v>31</v>
      </c>
      <c r="AF517">
        <v>2</v>
      </c>
      <c r="AH517" t="s">
        <v>2493</v>
      </c>
      <c r="AI517" t="s">
        <v>2492</v>
      </c>
      <c r="AK517" t="s">
        <v>2491</v>
      </c>
      <c r="AL517">
        <v>1</v>
      </c>
      <c r="AM517" s="5">
        <f t="shared" si="66"/>
        <v>2.564102564102564E-2</v>
      </c>
      <c r="AN517" s="4">
        <f t="shared" si="71"/>
        <v>3.8835328498334935E-5</v>
      </c>
      <c r="AO517" s="3"/>
      <c r="AP517">
        <v>0</v>
      </c>
      <c r="AR517" t="s">
        <v>1</v>
      </c>
      <c r="AT517" s="2" t="s">
        <v>0</v>
      </c>
      <c r="AU517" s="1">
        <f t="shared" si="67"/>
        <v>3.0881088146933151</v>
      </c>
      <c r="AV517" s="1">
        <f t="shared" si="68"/>
        <v>2.2069015913094634</v>
      </c>
      <c r="AW517" s="1">
        <f t="shared" si="69"/>
        <v>1.3256943679256112</v>
      </c>
    </row>
    <row r="518" spans="1:49" x14ac:dyDescent="0.2">
      <c r="A518">
        <v>516</v>
      </c>
      <c r="B518" t="s">
        <v>2490</v>
      </c>
      <c r="C518" t="s">
        <v>2489</v>
      </c>
      <c r="F518" t="s">
        <v>2488</v>
      </c>
      <c r="G518" t="s">
        <v>15</v>
      </c>
      <c r="H518" t="s">
        <v>14</v>
      </c>
      <c r="I518" t="s">
        <v>2487</v>
      </c>
      <c r="J518">
        <v>60002798</v>
      </c>
      <c r="K518" t="s">
        <v>2486</v>
      </c>
      <c r="L518" t="s">
        <v>2485</v>
      </c>
      <c r="M518" t="s">
        <v>2485</v>
      </c>
      <c r="N518">
        <v>2</v>
      </c>
      <c r="O518" t="s">
        <v>2484</v>
      </c>
      <c r="P518" t="s">
        <v>2483</v>
      </c>
      <c r="Q518" t="s">
        <v>2482</v>
      </c>
      <c r="R518" s="7">
        <v>30317</v>
      </c>
      <c r="S518" s="8">
        <f t="shared" si="64"/>
        <v>1983</v>
      </c>
      <c r="T518" s="8">
        <v>1983</v>
      </c>
      <c r="U518" s="8">
        <f t="shared" si="65"/>
        <v>39</v>
      </c>
      <c r="V518" s="7">
        <v>30376</v>
      </c>
      <c r="W518" t="s">
        <v>618</v>
      </c>
      <c r="X518" s="2">
        <v>1.6519999999999999</v>
      </c>
      <c r="Y518" s="6">
        <f t="shared" si="70"/>
        <v>4.409919649769093E-2</v>
      </c>
      <c r="AA518" t="s">
        <v>617</v>
      </c>
      <c r="AB518">
        <v>17337</v>
      </c>
      <c r="AC518">
        <v>15582221</v>
      </c>
      <c r="AD518" t="s">
        <v>5</v>
      </c>
      <c r="AE518">
        <v>31</v>
      </c>
      <c r="AF518">
        <v>2</v>
      </c>
      <c r="AH518" t="s">
        <v>2481</v>
      </c>
      <c r="AI518" t="s">
        <v>2480</v>
      </c>
      <c r="AK518" t="s">
        <v>2479</v>
      </c>
      <c r="AL518">
        <v>50</v>
      </c>
      <c r="AM518" s="5">
        <f t="shared" si="66"/>
        <v>1.2820512820512822</v>
      </c>
      <c r="AN518" s="4">
        <f t="shared" si="71"/>
        <v>1.9417664249167469E-3</v>
      </c>
      <c r="AO518" s="3"/>
      <c r="AP518">
        <v>0</v>
      </c>
      <c r="AR518" t="s">
        <v>1</v>
      </c>
      <c r="AT518" s="2" t="s">
        <v>0</v>
      </c>
      <c r="AU518" s="1">
        <f t="shared" si="67"/>
        <v>3.1451967475858678</v>
      </c>
      <c r="AV518" s="1">
        <f t="shared" si="68"/>
        <v>2.3020481461303839</v>
      </c>
      <c r="AW518" s="1">
        <f t="shared" si="69"/>
        <v>1.4588995446749</v>
      </c>
    </row>
    <row r="519" spans="1:49" x14ac:dyDescent="0.2">
      <c r="A519">
        <v>517</v>
      </c>
      <c r="B519" t="s">
        <v>2478</v>
      </c>
      <c r="F519" t="s">
        <v>2477</v>
      </c>
      <c r="G519" t="s">
        <v>15</v>
      </c>
      <c r="H519" t="s">
        <v>14</v>
      </c>
      <c r="I519" t="s">
        <v>2476</v>
      </c>
      <c r="N519">
        <v>1</v>
      </c>
      <c r="O519" t="s">
        <v>2475</v>
      </c>
      <c r="P519">
        <v>6507381279</v>
      </c>
      <c r="R519" s="7">
        <v>30317</v>
      </c>
      <c r="S519" s="8">
        <f t="shared" si="64"/>
        <v>1983</v>
      </c>
      <c r="T519" s="8">
        <v>1983</v>
      </c>
      <c r="U519" s="8">
        <f t="shared" si="65"/>
        <v>39</v>
      </c>
      <c r="V519" s="7" t="s">
        <v>2024</v>
      </c>
      <c r="W519" t="s">
        <v>2318</v>
      </c>
      <c r="X519" s="2" t="s">
        <v>0</v>
      </c>
      <c r="Y519" s="6" t="e">
        <f t="shared" si="70"/>
        <v>#VALUE!</v>
      </c>
      <c r="AA519">
        <v>486574</v>
      </c>
      <c r="AB519">
        <v>36602</v>
      </c>
      <c r="AD519" t="s">
        <v>5</v>
      </c>
      <c r="AE519">
        <v>28</v>
      </c>
      <c r="AF519">
        <v>2</v>
      </c>
      <c r="AH519" t="s">
        <v>2474</v>
      </c>
      <c r="AI519" t="s">
        <v>2473</v>
      </c>
      <c r="AK519" t="s">
        <v>2472</v>
      </c>
      <c r="AL519">
        <v>4</v>
      </c>
      <c r="AM519" s="5">
        <f t="shared" si="66"/>
        <v>0.10256410256410256</v>
      </c>
      <c r="AN519" s="4">
        <f t="shared" si="71"/>
        <v>1.5534131399333974E-4</v>
      </c>
      <c r="AO519" s="3"/>
      <c r="AP519">
        <v>0</v>
      </c>
      <c r="AR519" t="s">
        <v>1</v>
      </c>
      <c r="AT519" s="2" t="s">
        <v>0</v>
      </c>
      <c r="AU519" s="1" t="e">
        <f t="shared" si="67"/>
        <v>#VALUE!</v>
      </c>
      <c r="AV519" s="1" t="e">
        <f t="shared" si="68"/>
        <v>#VALUE!</v>
      </c>
      <c r="AW519" s="1" t="e">
        <f t="shared" si="69"/>
        <v>#VALUE!</v>
      </c>
    </row>
    <row r="520" spans="1:49" x14ac:dyDescent="0.2">
      <c r="A520">
        <v>518</v>
      </c>
      <c r="B520" t="s">
        <v>2471</v>
      </c>
      <c r="C520" t="s">
        <v>2470</v>
      </c>
      <c r="F520" t="s">
        <v>2469</v>
      </c>
      <c r="G520" t="s">
        <v>15</v>
      </c>
      <c r="H520" t="s">
        <v>14</v>
      </c>
      <c r="I520" t="s">
        <v>2468</v>
      </c>
      <c r="N520">
        <v>1</v>
      </c>
      <c r="O520" t="s">
        <v>2467</v>
      </c>
      <c r="P520">
        <v>6701399240</v>
      </c>
      <c r="R520" s="7">
        <v>30317</v>
      </c>
      <c r="S520" s="8">
        <f t="shared" si="64"/>
        <v>1983</v>
      </c>
      <c r="T520" s="8">
        <v>1983</v>
      </c>
      <c r="U520" s="8">
        <f t="shared" si="65"/>
        <v>39</v>
      </c>
      <c r="V520" s="7">
        <v>30376</v>
      </c>
      <c r="W520" t="s">
        <v>2466</v>
      </c>
      <c r="X520" s="2">
        <v>0.61899999999999999</v>
      </c>
      <c r="Y520" s="6">
        <f t="shared" si="70"/>
        <v>1.6523851472197752E-2</v>
      </c>
      <c r="AA520">
        <v>14966</v>
      </c>
      <c r="AB520">
        <v>12936</v>
      </c>
      <c r="AC520" t="s">
        <v>2465</v>
      </c>
      <c r="AD520" t="s">
        <v>5</v>
      </c>
      <c r="AE520">
        <v>73</v>
      </c>
      <c r="AF520">
        <v>3</v>
      </c>
      <c r="AH520" t="s">
        <v>2464</v>
      </c>
      <c r="AI520" t="s">
        <v>2463</v>
      </c>
      <c r="AJ520" t="s">
        <v>2462</v>
      </c>
      <c r="AK520" t="s">
        <v>2461</v>
      </c>
      <c r="AL520">
        <v>2</v>
      </c>
      <c r="AM520" s="5">
        <f t="shared" si="66"/>
        <v>5.128205128205128E-2</v>
      </c>
      <c r="AN520" s="4">
        <f t="shared" si="71"/>
        <v>7.767065699666987E-5</v>
      </c>
      <c r="AO520" s="3"/>
      <c r="AP520">
        <v>0</v>
      </c>
      <c r="AR520" t="s">
        <v>1</v>
      </c>
      <c r="AT520" s="2" t="s">
        <v>0</v>
      </c>
      <c r="AU520" s="1">
        <f t="shared" si="67"/>
        <v>1.1589997227637425</v>
      </c>
      <c r="AV520" s="1">
        <f t="shared" si="68"/>
        <v>0.83007610645972119</v>
      </c>
      <c r="AW520" s="1">
        <f t="shared" si="69"/>
        <v>0.50115249015569951</v>
      </c>
    </row>
    <row r="521" spans="1:49" x14ac:dyDescent="0.2">
      <c r="A521">
        <v>519</v>
      </c>
      <c r="B521" t="s">
        <v>2460</v>
      </c>
      <c r="C521" t="s">
        <v>2459</v>
      </c>
      <c r="F521" t="s">
        <v>2458</v>
      </c>
      <c r="G521" t="s">
        <v>15</v>
      </c>
      <c r="H521" t="s">
        <v>14</v>
      </c>
      <c r="I521" t="s">
        <v>2457</v>
      </c>
      <c r="J521">
        <v>60018829</v>
      </c>
      <c r="K521" t="s">
        <v>1714</v>
      </c>
      <c r="L521" t="s">
        <v>1713</v>
      </c>
      <c r="M521" t="s">
        <v>271</v>
      </c>
      <c r="N521">
        <v>1</v>
      </c>
      <c r="O521" t="s">
        <v>2456</v>
      </c>
      <c r="P521">
        <v>56238560900</v>
      </c>
      <c r="Q521">
        <v>60018829</v>
      </c>
      <c r="R521" s="7">
        <v>30317</v>
      </c>
      <c r="S521" s="8">
        <f t="shared" si="64"/>
        <v>1983</v>
      </c>
      <c r="T521" s="8">
        <v>1983</v>
      </c>
      <c r="U521" s="8">
        <f t="shared" si="65"/>
        <v>39</v>
      </c>
      <c r="V521" s="7">
        <v>30348</v>
      </c>
      <c r="W521" t="s">
        <v>1006</v>
      </c>
      <c r="X521" s="2" t="s">
        <v>0</v>
      </c>
      <c r="Y521" s="6" t="e">
        <f t="shared" si="70"/>
        <v>#VALUE!</v>
      </c>
      <c r="AA521">
        <v>337722</v>
      </c>
      <c r="AB521">
        <v>35312</v>
      </c>
      <c r="AD521" t="s">
        <v>5</v>
      </c>
      <c r="AE521">
        <v>53</v>
      </c>
      <c r="AF521">
        <v>3</v>
      </c>
      <c r="AH521" t="s">
        <v>2455</v>
      </c>
      <c r="AI521" t="s">
        <v>2454</v>
      </c>
      <c r="AJ521" t="s">
        <v>2453</v>
      </c>
      <c r="AK521" t="s">
        <v>2452</v>
      </c>
      <c r="AL521">
        <v>2</v>
      </c>
      <c r="AM521" s="5">
        <f t="shared" si="66"/>
        <v>5.128205128205128E-2</v>
      </c>
      <c r="AN521" s="4">
        <f t="shared" si="71"/>
        <v>7.767065699666987E-5</v>
      </c>
      <c r="AO521" s="3"/>
      <c r="AP521">
        <v>0</v>
      </c>
      <c r="AR521" t="s">
        <v>1</v>
      </c>
      <c r="AT521" s="2" t="s">
        <v>0</v>
      </c>
      <c r="AU521" s="1" t="e">
        <f t="shared" si="67"/>
        <v>#VALUE!</v>
      </c>
      <c r="AV521" s="1" t="e">
        <f t="shared" si="68"/>
        <v>#VALUE!</v>
      </c>
      <c r="AW521" s="1" t="e">
        <f t="shared" si="69"/>
        <v>#VALUE!</v>
      </c>
    </row>
    <row r="522" spans="1:49" x14ac:dyDescent="0.2">
      <c r="A522">
        <v>520</v>
      </c>
      <c r="B522" t="s">
        <v>2451</v>
      </c>
      <c r="F522" t="s">
        <v>2450</v>
      </c>
      <c r="G522" t="s">
        <v>15</v>
      </c>
      <c r="H522" t="s">
        <v>14</v>
      </c>
      <c r="I522" t="s">
        <v>2449</v>
      </c>
      <c r="N522">
        <v>1</v>
      </c>
      <c r="O522" t="s">
        <v>2448</v>
      </c>
      <c r="P522">
        <v>7003821814</v>
      </c>
      <c r="R522" s="7">
        <v>30317</v>
      </c>
      <c r="S522" s="8">
        <f t="shared" si="64"/>
        <v>1983</v>
      </c>
      <c r="T522" s="8">
        <v>1983</v>
      </c>
      <c r="U522" s="8">
        <f t="shared" si="65"/>
        <v>39</v>
      </c>
      <c r="V522" s="7" t="s">
        <v>2024</v>
      </c>
      <c r="W522" t="s">
        <v>2447</v>
      </c>
      <c r="X522" s="2">
        <v>0.54700000000000004</v>
      </c>
      <c r="Y522" s="6">
        <f t="shared" si="70"/>
        <v>1.4601852593363766E-2</v>
      </c>
      <c r="AA522">
        <v>11096</v>
      </c>
      <c r="AB522">
        <v>31211</v>
      </c>
      <c r="AD522" t="s">
        <v>5</v>
      </c>
      <c r="AE522">
        <v>37</v>
      </c>
      <c r="AF522" s="9">
        <v>44289</v>
      </c>
      <c r="AH522" t="s">
        <v>2446</v>
      </c>
      <c r="AI522" t="s">
        <v>2445</v>
      </c>
      <c r="AK522" t="s">
        <v>2444</v>
      </c>
      <c r="AL522">
        <v>7</v>
      </c>
      <c r="AM522" s="5">
        <f t="shared" si="66"/>
        <v>0.17948717948717949</v>
      </c>
      <c r="AN522" s="4">
        <f t="shared" si="71"/>
        <v>2.7184729948834453E-4</v>
      </c>
      <c r="AO522" s="3"/>
      <c r="AP522">
        <v>0</v>
      </c>
      <c r="AR522" t="s">
        <v>1</v>
      </c>
      <c r="AT522" s="2" t="s">
        <v>0</v>
      </c>
      <c r="AU522" s="1">
        <f t="shared" si="67"/>
        <v>1.0302851005201139</v>
      </c>
      <c r="AV522" s="1">
        <f t="shared" si="68"/>
        <v>0.74368499464260551</v>
      </c>
      <c r="AW522" s="1">
        <f t="shared" si="69"/>
        <v>0.45708488876509706</v>
      </c>
    </row>
    <row r="523" spans="1:49" x14ac:dyDescent="0.2">
      <c r="A523">
        <v>521</v>
      </c>
      <c r="B523" t="s">
        <v>2443</v>
      </c>
      <c r="F523" t="s">
        <v>2442</v>
      </c>
      <c r="G523" t="s">
        <v>15</v>
      </c>
      <c r="H523" t="s">
        <v>14</v>
      </c>
      <c r="I523" t="s">
        <v>2441</v>
      </c>
      <c r="N523">
        <v>3</v>
      </c>
      <c r="O523" t="s">
        <v>2440</v>
      </c>
      <c r="P523" t="s">
        <v>2439</v>
      </c>
      <c r="Q523" t="s">
        <v>510</v>
      </c>
      <c r="R523" s="7">
        <v>30317</v>
      </c>
      <c r="S523" s="8">
        <f t="shared" si="64"/>
        <v>1983</v>
      </c>
      <c r="T523" s="8">
        <v>1983</v>
      </c>
      <c r="U523" s="8">
        <f t="shared" si="65"/>
        <v>39</v>
      </c>
      <c r="V523" s="7" t="s">
        <v>2024</v>
      </c>
      <c r="W523" t="s">
        <v>2318</v>
      </c>
      <c r="X523" s="2" t="s">
        <v>0</v>
      </c>
      <c r="Y523" s="6" t="e">
        <f t="shared" si="70"/>
        <v>#VALUE!</v>
      </c>
      <c r="AA523">
        <v>486574</v>
      </c>
      <c r="AB523">
        <v>36602</v>
      </c>
      <c r="AD523" t="s">
        <v>5</v>
      </c>
      <c r="AE523">
        <v>28</v>
      </c>
      <c r="AF523">
        <v>2</v>
      </c>
      <c r="AH523" t="s">
        <v>2438</v>
      </c>
      <c r="AI523" t="s">
        <v>2437</v>
      </c>
      <c r="AK523" t="s">
        <v>2436</v>
      </c>
      <c r="AL523">
        <v>0</v>
      </c>
      <c r="AM523" s="5">
        <f t="shared" si="66"/>
        <v>0</v>
      </c>
      <c r="AN523" s="4">
        <f t="shared" si="71"/>
        <v>0</v>
      </c>
      <c r="AO523" s="3"/>
      <c r="AP523">
        <v>0</v>
      </c>
      <c r="AR523" t="s">
        <v>1</v>
      </c>
      <c r="AT523" s="2" t="s">
        <v>0</v>
      </c>
      <c r="AU523" s="1" t="e">
        <f t="shared" si="67"/>
        <v>#VALUE!</v>
      </c>
      <c r="AV523" s="1" t="e">
        <f t="shared" si="68"/>
        <v>#VALUE!</v>
      </c>
      <c r="AW523" s="1" t="e">
        <f t="shared" si="69"/>
        <v>#VALUE!</v>
      </c>
    </row>
    <row r="524" spans="1:49" x14ac:dyDescent="0.2">
      <c r="A524">
        <v>522</v>
      </c>
      <c r="B524" t="s">
        <v>2435</v>
      </c>
      <c r="C524" t="s">
        <v>2434</v>
      </c>
      <c r="F524" t="s">
        <v>2433</v>
      </c>
      <c r="G524" t="s">
        <v>15</v>
      </c>
      <c r="H524" t="s">
        <v>14</v>
      </c>
      <c r="I524" t="s">
        <v>2432</v>
      </c>
      <c r="N524">
        <v>2</v>
      </c>
      <c r="O524" t="s">
        <v>2431</v>
      </c>
      <c r="P524" t="s">
        <v>2430</v>
      </c>
      <c r="Q524" t="s">
        <v>342</v>
      </c>
      <c r="R524" s="7">
        <v>30317</v>
      </c>
      <c r="S524" s="8">
        <f t="shared" si="64"/>
        <v>1983</v>
      </c>
      <c r="T524" s="8">
        <v>1983</v>
      </c>
      <c r="U524" s="8">
        <f t="shared" si="65"/>
        <v>39</v>
      </c>
      <c r="V524" s="7" t="s">
        <v>1909</v>
      </c>
      <c r="W524" s="11" t="s">
        <v>1587</v>
      </c>
      <c r="X524" s="2">
        <v>2.383</v>
      </c>
      <c r="Y524" s="6">
        <f t="shared" si="70"/>
        <v>6.3612824003630442E-2</v>
      </c>
      <c r="AA524">
        <v>1437097</v>
      </c>
      <c r="AB524">
        <v>101236</v>
      </c>
      <c r="AD524" t="s">
        <v>5</v>
      </c>
      <c r="AE524">
        <v>130</v>
      </c>
      <c r="AF524">
        <v>2</v>
      </c>
      <c r="AH524" t="s">
        <v>2429</v>
      </c>
      <c r="AI524" t="s">
        <v>2428</v>
      </c>
      <c r="AK524" t="s">
        <v>2427</v>
      </c>
      <c r="AL524">
        <v>138</v>
      </c>
      <c r="AM524" s="5">
        <f t="shared" si="66"/>
        <v>3.5384615384615383</v>
      </c>
      <c r="AN524" s="4">
        <f t="shared" si="71"/>
        <v>5.3592753327702213E-3</v>
      </c>
      <c r="AO524" s="3"/>
      <c r="AP524">
        <v>0</v>
      </c>
      <c r="AR524" t="s">
        <v>1</v>
      </c>
      <c r="AT524" s="2" t="s">
        <v>0</v>
      </c>
      <c r="AU524" s="1">
        <f t="shared" si="67"/>
        <v>4.613675940237238</v>
      </c>
      <c r="AV524" s="1">
        <f t="shared" si="68"/>
        <v>3.4486049668200334</v>
      </c>
      <c r="AW524" s="1">
        <f t="shared" si="69"/>
        <v>2.2835339934028287</v>
      </c>
    </row>
    <row r="525" spans="1:49" x14ac:dyDescent="0.2">
      <c r="A525">
        <v>523</v>
      </c>
      <c r="B525" t="s">
        <v>2426</v>
      </c>
      <c r="C525" t="s">
        <v>2425</v>
      </c>
      <c r="F525" t="s">
        <v>2424</v>
      </c>
      <c r="G525" t="s">
        <v>15</v>
      </c>
      <c r="H525" t="s">
        <v>14</v>
      </c>
      <c r="I525" t="s">
        <v>2423</v>
      </c>
      <c r="J525">
        <v>60025209</v>
      </c>
      <c r="K525" t="s">
        <v>2422</v>
      </c>
      <c r="L525" t="s">
        <v>659</v>
      </c>
      <c r="M525" t="s">
        <v>10</v>
      </c>
      <c r="N525">
        <v>2</v>
      </c>
      <c r="O525" t="s">
        <v>2421</v>
      </c>
      <c r="P525" t="s">
        <v>2420</v>
      </c>
      <c r="Q525" t="s">
        <v>2419</v>
      </c>
      <c r="R525" s="7">
        <v>30317</v>
      </c>
      <c r="S525" s="8">
        <f t="shared" si="64"/>
        <v>1983</v>
      </c>
      <c r="T525" s="8">
        <v>1983</v>
      </c>
      <c r="U525" s="8">
        <f t="shared" si="65"/>
        <v>39</v>
      </c>
      <c r="V525" s="7">
        <v>30376</v>
      </c>
      <c r="W525" t="s">
        <v>618</v>
      </c>
      <c r="X525" s="2">
        <v>1.6519999999999999</v>
      </c>
      <c r="Y525" s="6">
        <f t="shared" si="70"/>
        <v>4.409919649769093E-2</v>
      </c>
      <c r="AA525" t="s">
        <v>617</v>
      </c>
      <c r="AB525">
        <v>17337</v>
      </c>
      <c r="AC525">
        <v>15582221</v>
      </c>
      <c r="AD525" t="s">
        <v>5</v>
      </c>
      <c r="AE525">
        <v>31</v>
      </c>
      <c r="AF525">
        <v>2</v>
      </c>
      <c r="AH525" t="s">
        <v>2418</v>
      </c>
      <c r="AI525" t="s">
        <v>2417</v>
      </c>
      <c r="AK525" t="s">
        <v>2416</v>
      </c>
      <c r="AL525">
        <v>210</v>
      </c>
      <c r="AM525" s="5">
        <f t="shared" si="66"/>
        <v>5.384615384615385</v>
      </c>
      <c r="AN525" s="4">
        <f t="shared" si="71"/>
        <v>8.1554189846503363E-3</v>
      </c>
      <c r="AO525" s="3"/>
      <c r="AP525">
        <v>0</v>
      </c>
      <c r="AR525" t="s">
        <v>1</v>
      </c>
      <c r="AT525" s="2" t="s">
        <v>0</v>
      </c>
      <c r="AU525" s="1">
        <f t="shared" si="67"/>
        <v>3.3316063243778755</v>
      </c>
      <c r="AV525" s="1">
        <f t="shared" si="68"/>
        <v>2.6127307741170633</v>
      </c>
      <c r="AW525" s="1">
        <f t="shared" si="69"/>
        <v>1.8938552238562514</v>
      </c>
    </row>
    <row r="526" spans="1:49" x14ac:dyDescent="0.2">
      <c r="A526">
        <v>524</v>
      </c>
      <c r="B526" t="s">
        <v>2415</v>
      </c>
      <c r="C526" t="s">
        <v>2414</v>
      </c>
      <c r="F526" t="s">
        <v>2413</v>
      </c>
      <c r="G526" t="s">
        <v>15</v>
      </c>
      <c r="H526" t="s">
        <v>14</v>
      </c>
      <c r="I526" t="s">
        <v>2412</v>
      </c>
      <c r="J526" t="s">
        <v>2411</v>
      </c>
      <c r="K526" t="s">
        <v>2410</v>
      </c>
      <c r="L526" t="s">
        <v>2409</v>
      </c>
      <c r="M526" t="s">
        <v>91</v>
      </c>
      <c r="N526">
        <v>3</v>
      </c>
      <c r="O526" t="s">
        <v>2408</v>
      </c>
      <c r="P526" t="s">
        <v>2407</v>
      </c>
      <c r="Q526" t="s">
        <v>2406</v>
      </c>
      <c r="R526" s="7">
        <v>30317</v>
      </c>
      <c r="S526" s="8">
        <f t="shared" si="64"/>
        <v>1983</v>
      </c>
      <c r="T526" s="8">
        <v>1983</v>
      </c>
      <c r="U526" s="8">
        <f t="shared" si="65"/>
        <v>39</v>
      </c>
      <c r="V526" s="7">
        <v>30376</v>
      </c>
      <c r="W526" t="s">
        <v>618</v>
      </c>
      <c r="X526" s="2">
        <v>1.6519999999999999</v>
      </c>
      <c r="Y526" s="6">
        <f t="shared" si="70"/>
        <v>4.409919649769093E-2</v>
      </c>
      <c r="AA526" t="s">
        <v>617</v>
      </c>
      <c r="AB526">
        <v>17337</v>
      </c>
      <c r="AC526">
        <v>15582221</v>
      </c>
      <c r="AD526" t="s">
        <v>5</v>
      </c>
      <c r="AE526">
        <v>31</v>
      </c>
      <c r="AF526">
        <v>2</v>
      </c>
      <c r="AH526" t="s">
        <v>2405</v>
      </c>
      <c r="AI526" t="s">
        <v>2404</v>
      </c>
      <c r="AK526" t="s">
        <v>2403</v>
      </c>
      <c r="AL526">
        <v>2</v>
      </c>
      <c r="AM526" s="5">
        <f t="shared" si="66"/>
        <v>5.128205128205128E-2</v>
      </c>
      <c r="AN526" s="4">
        <f t="shared" si="71"/>
        <v>7.767065699666987E-5</v>
      </c>
      <c r="AO526" s="3"/>
      <c r="AP526">
        <v>0</v>
      </c>
      <c r="AR526" t="s">
        <v>1</v>
      </c>
      <c r="AT526" s="2" t="s">
        <v>0</v>
      </c>
      <c r="AU526" s="1">
        <f t="shared" si="67"/>
        <v>3.0892738745482653</v>
      </c>
      <c r="AV526" s="1">
        <f t="shared" si="68"/>
        <v>2.2088433577343798</v>
      </c>
      <c r="AW526" s="1">
        <f t="shared" si="69"/>
        <v>1.3284128409204947</v>
      </c>
    </row>
    <row r="527" spans="1:49" x14ac:dyDescent="0.2">
      <c r="A527">
        <v>525</v>
      </c>
      <c r="B527" t="s">
        <v>2402</v>
      </c>
      <c r="C527" t="s">
        <v>2401</v>
      </c>
      <c r="F527" t="s">
        <v>2400</v>
      </c>
      <c r="G527" t="s">
        <v>15</v>
      </c>
      <c r="H527" t="s">
        <v>14</v>
      </c>
      <c r="I527" t="s">
        <v>2399</v>
      </c>
      <c r="J527">
        <v>60005304</v>
      </c>
      <c r="K527" t="s">
        <v>324</v>
      </c>
      <c r="L527" t="s">
        <v>323</v>
      </c>
      <c r="M527" t="s">
        <v>10</v>
      </c>
      <c r="N527">
        <v>1</v>
      </c>
      <c r="O527" t="s">
        <v>2398</v>
      </c>
      <c r="P527">
        <v>6601996269</v>
      </c>
      <c r="Q527">
        <v>60005304</v>
      </c>
      <c r="R527" s="7">
        <v>30317</v>
      </c>
      <c r="S527" s="8">
        <f t="shared" si="64"/>
        <v>1983</v>
      </c>
      <c r="T527" s="8">
        <v>1983</v>
      </c>
      <c r="U527" s="8">
        <f t="shared" si="65"/>
        <v>39</v>
      </c>
      <c r="V527" s="7">
        <v>30376</v>
      </c>
      <c r="W527" t="s">
        <v>618</v>
      </c>
      <c r="X527" s="2">
        <v>1.6519999999999999</v>
      </c>
      <c r="Y527" s="6">
        <f t="shared" si="70"/>
        <v>4.409919649769093E-2</v>
      </c>
      <c r="AA527" t="s">
        <v>617</v>
      </c>
      <c r="AB527">
        <v>17337</v>
      </c>
      <c r="AC527">
        <v>15582221</v>
      </c>
      <c r="AD527" t="s">
        <v>5</v>
      </c>
      <c r="AE527">
        <v>31</v>
      </c>
      <c r="AF527">
        <v>2</v>
      </c>
      <c r="AH527" t="s">
        <v>2397</v>
      </c>
      <c r="AI527" t="s">
        <v>2396</v>
      </c>
      <c r="AK527" t="s">
        <v>2395</v>
      </c>
      <c r="AL527">
        <v>0</v>
      </c>
      <c r="AM527" s="5">
        <f t="shared" si="66"/>
        <v>0</v>
      </c>
      <c r="AN527" s="4">
        <f t="shared" si="71"/>
        <v>0</v>
      </c>
      <c r="AO527" s="3"/>
      <c r="AP527">
        <v>0</v>
      </c>
      <c r="AR527" t="s">
        <v>1</v>
      </c>
      <c r="AT527" s="2" t="s">
        <v>0</v>
      </c>
      <c r="AU527" s="1">
        <f t="shared" si="67"/>
        <v>3.0869437548383649</v>
      </c>
      <c r="AV527" s="1">
        <f t="shared" si="68"/>
        <v>2.2049598248845466</v>
      </c>
      <c r="AW527" s="1">
        <f t="shared" si="69"/>
        <v>1.3229758949307278</v>
      </c>
    </row>
    <row r="528" spans="1:49" x14ac:dyDescent="0.2">
      <c r="A528">
        <v>526</v>
      </c>
      <c r="B528" t="s">
        <v>2394</v>
      </c>
      <c r="C528" t="s">
        <v>2393</v>
      </c>
      <c r="F528" t="s">
        <v>2392</v>
      </c>
      <c r="G528" t="s">
        <v>15</v>
      </c>
      <c r="H528" t="s">
        <v>14</v>
      </c>
      <c r="I528" t="s">
        <v>2391</v>
      </c>
      <c r="J528">
        <v>60030821</v>
      </c>
      <c r="K528" t="s">
        <v>2390</v>
      </c>
      <c r="L528" t="s">
        <v>2389</v>
      </c>
      <c r="M528" t="s">
        <v>10</v>
      </c>
      <c r="N528">
        <v>2</v>
      </c>
      <c r="O528" t="s">
        <v>2388</v>
      </c>
      <c r="P528" t="s">
        <v>2387</v>
      </c>
      <c r="Q528" t="s">
        <v>2386</v>
      </c>
      <c r="R528" s="7">
        <v>30317</v>
      </c>
      <c r="S528" s="8">
        <f t="shared" si="64"/>
        <v>1983</v>
      </c>
      <c r="T528" s="8">
        <v>1983</v>
      </c>
      <c r="U528" s="8">
        <f t="shared" si="65"/>
        <v>39</v>
      </c>
      <c r="V528" s="7">
        <v>30376</v>
      </c>
      <c r="W528" t="s">
        <v>618</v>
      </c>
      <c r="X528" s="2">
        <v>1.6519999999999999</v>
      </c>
      <c r="Y528" s="6">
        <f t="shared" si="70"/>
        <v>4.409919649769093E-2</v>
      </c>
      <c r="AA528" t="s">
        <v>617</v>
      </c>
      <c r="AB528">
        <v>17337</v>
      </c>
      <c r="AC528">
        <v>15582221</v>
      </c>
      <c r="AD528" t="s">
        <v>5</v>
      </c>
      <c r="AE528">
        <v>31</v>
      </c>
      <c r="AF528">
        <v>2</v>
      </c>
      <c r="AH528" t="s">
        <v>2385</v>
      </c>
      <c r="AI528" t="s">
        <v>2384</v>
      </c>
      <c r="AK528" t="s">
        <v>2383</v>
      </c>
      <c r="AL528">
        <v>4</v>
      </c>
      <c r="AM528" s="5">
        <f t="shared" si="66"/>
        <v>0.10256410256410256</v>
      </c>
      <c r="AN528" s="4">
        <f t="shared" si="71"/>
        <v>1.5534131399333974E-4</v>
      </c>
      <c r="AO528" s="3"/>
      <c r="AP528">
        <v>0</v>
      </c>
      <c r="AR528" t="s">
        <v>1</v>
      </c>
      <c r="AT528" s="2" t="s">
        <v>0</v>
      </c>
      <c r="AU528" s="1">
        <f t="shared" si="67"/>
        <v>3.0916039942581652</v>
      </c>
      <c r="AV528" s="1">
        <f t="shared" si="68"/>
        <v>2.2127268905842135</v>
      </c>
      <c r="AW528" s="1">
        <f t="shared" si="69"/>
        <v>1.3338497869102617</v>
      </c>
    </row>
    <row r="529" spans="1:49" x14ac:dyDescent="0.2">
      <c r="A529">
        <v>527</v>
      </c>
      <c r="B529" t="s">
        <v>2382</v>
      </c>
      <c r="C529" t="s">
        <v>2381</v>
      </c>
      <c r="F529" t="s">
        <v>2380</v>
      </c>
      <c r="G529" t="s">
        <v>15</v>
      </c>
      <c r="H529" t="s">
        <v>14</v>
      </c>
      <c r="I529" t="s">
        <v>2379</v>
      </c>
      <c r="J529">
        <v>60002959</v>
      </c>
      <c r="K529" t="s">
        <v>2378</v>
      </c>
      <c r="L529" t="s">
        <v>2377</v>
      </c>
      <c r="M529" t="s">
        <v>10</v>
      </c>
      <c r="N529">
        <v>2</v>
      </c>
      <c r="O529" t="s">
        <v>2376</v>
      </c>
      <c r="P529" t="s">
        <v>2375</v>
      </c>
      <c r="Q529" t="s">
        <v>2374</v>
      </c>
      <c r="R529" s="7">
        <v>30317</v>
      </c>
      <c r="S529" s="8">
        <f t="shared" si="64"/>
        <v>1983</v>
      </c>
      <c r="T529" s="8">
        <v>1983</v>
      </c>
      <c r="U529" s="8">
        <f t="shared" si="65"/>
        <v>39</v>
      </c>
      <c r="V529" s="7">
        <v>30376</v>
      </c>
      <c r="W529" t="s">
        <v>618</v>
      </c>
      <c r="X529" s="2">
        <v>1.6519999999999999</v>
      </c>
      <c r="Y529" s="6">
        <f t="shared" si="70"/>
        <v>4.409919649769093E-2</v>
      </c>
      <c r="AA529" t="s">
        <v>617</v>
      </c>
      <c r="AB529">
        <v>17337</v>
      </c>
      <c r="AC529">
        <v>15582221</v>
      </c>
      <c r="AD529" t="s">
        <v>5</v>
      </c>
      <c r="AE529">
        <v>31</v>
      </c>
      <c r="AF529">
        <v>2</v>
      </c>
      <c r="AH529" t="s">
        <v>2373</v>
      </c>
      <c r="AI529" t="s">
        <v>2372</v>
      </c>
      <c r="AK529" t="s">
        <v>2371</v>
      </c>
      <c r="AL529">
        <v>12</v>
      </c>
      <c r="AM529" s="5">
        <f t="shared" si="66"/>
        <v>0.30769230769230771</v>
      </c>
      <c r="AN529" s="4">
        <f t="shared" si="71"/>
        <v>4.6602394198001925E-4</v>
      </c>
      <c r="AO529" s="3"/>
      <c r="AP529">
        <v>0</v>
      </c>
      <c r="AR529" t="s">
        <v>1</v>
      </c>
      <c r="AT529" s="2" t="s">
        <v>0</v>
      </c>
      <c r="AU529" s="1">
        <f t="shared" si="67"/>
        <v>3.1009244730977654</v>
      </c>
      <c r="AV529" s="1">
        <f t="shared" si="68"/>
        <v>2.2282610219835473</v>
      </c>
      <c r="AW529" s="1">
        <f t="shared" si="69"/>
        <v>1.3555975708693291</v>
      </c>
    </row>
    <row r="530" spans="1:49" x14ac:dyDescent="0.2">
      <c r="A530">
        <v>528</v>
      </c>
      <c r="B530" t="s">
        <v>2370</v>
      </c>
      <c r="C530" t="s">
        <v>2369</v>
      </c>
      <c r="F530" t="s">
        <v>2368</v>
      </c>
      <c r="G530" t="s">
        <v>15</v>
      </c>
      <c r="H530" t="s">
        <v>14</v>
      </c>
      <c r="I530" t="s">
        <v>2367</v>
      </c>
      <c r="J530">
        <v>60009037</v>
      </c>
      <c r="K530" t="s">
        <v>720</v>
      </c>
      <c r="L530" t="s">
        <v>719</v>
      </c>
      <c r="M530" t="s">
        <v>10</v>
      </c>
      <c r="N530">
        <v>2</v>
      </c>
      <c r="O530" t="s">
        <v>2366</v>
      </c>
      <c r="P530" t="s">
        <v>2365</v>
      </c>
      <c r="Q530" t="s">
        <v>2364</v>
      </c>
      <c r="R530" s="7">
        <v>30317</v>
      </c>
      <c r="S530" s="8">
        <f t="shared" si="64"/>
        <v>1983</v>
      </c>
      <c r="T530" s="8">
        <v>1983</v>
      </c>
      <c r="U530" s="8">
        <f t="shared" si="65"/>
        <v>39</v>
      </c>
      <c r="V530" s="7">
        <v>30376</v>
      </c>
      <c r="W530" t="s">
        <v>618</v>
      </c>
      <c r="X530" s="2">
        <v>1.6519999999999999</v>
      </c>
      <c r="Y530" s="6">
        <f t="shared" si="70"/>
        <v>4.409919649769093E-2</v>
      </c>
      <c r="AA530" t="s">
        <v>617</v>
      </c>
      <c r="AB530">
        <v>17337</v>
      </c>
      <c r="AC530">
        <v>15582221</v>
      </c>
      <c r="AD530" t="s">
        <v>5</v>
      </c>
      <c r="AE530">
        <v>31</v>
      </c>
      <c r="AF530">
        <v>2</v>
      </c>
      <c r="AH530" t="s">
        <v>2363</v>
      </c>
      <c r="AI530" t="s">
        <v>2362</v>
      </c>
      <c r="AK530" t="s">
        <v>2361</v>
      </c>
      <c r="AL530">
        <v>4</v>
      </c>
      <c r="AM530" s="5">
        <f t="shared" si="66"/>
        <v>0.10256410256410256</v>
      </c>
      <c r="AN530" s="4">
        <f t="shared" si="71"/>
        <v>1.5534131399333974E-4</v>
      </c>
      <c r="AO530" s="3"/>
      <c r="AP530">
        <v>0</v>
      </c>
      <c r="AR530" t="s">
        <v>1</v>
      </c>
      <c r="AT530" s="2" t="s">
        <v>0</v>
      </c>
      <c r="AU530" s="1">
        <f t="shared" si="67"/>
        <v>3.0916039942581652</v>
      </c>
      <c r="AV530" s="1">
        <f t="shared" si="68"/>
        <v>2.2127268905842135</v>
      </c>
      <c r="AW530" s="1">
        <f t="shared" si="69"/>
        <v>1.3338497869102617</v>
      </c>
    </row>
    <row r="531" spans="1:49" x14ac:dyDescent="0.2">
      <c r="A531">
        <v>529</v>
      </c>
      <c r="B531" t="s">
        <v>2360</v>
      </c>
      <c r="C531" t="s">
        <v>2359</v>
      </c>
      <c r="F531" t="s">
        <v>2358</v>
      </c>
      <c r="G531" t="s">
        <v>15</v>
      </c>
      <c r="H531" t="s">
        <v>14</v>
      </c>
      <c r="I531" t="s">
        <v>2144</v>
      </c>
      <c r="J531">
        <v>60018829</v>
      </c>
      <c r="K531" t="s">
        <v>1714</v>
      </c>
      <c r="L531" t="s">
        <v>1713</v>
      </c>
      <c r="M531" t="s">
        <v>271</v>
      </c>
      <c r="N531">
        <v>1</v>
      </c>
      <c r="O531" t="s">
        <v>2143</v>
      </c>
      <c r="P531">
        <v>56697421900</v>
      </c>
      <c r="Q531">
        <v>60018829</v>
      </c>
      <c r="R531" s="7">
        <v>30317</v>
      </c>
      <c r="S531" s="8">
        <f t="shared" si="64"/>
        <v>1983</v>
      </c>
      <c r="T531" s="8">
        <v>1983</v>
      </c>
      <c r="U531" s="8">
        <f t="shared" si="65"/>
        <v>39</v>
      </c>
      <c r="V531" s="7">
        <v>30376</v>
      </c>
      <c r="W531" t="s">
        <v>618</v>
      </c>
      <c r="X531" s="2">
        <v>1.6519999999999999</v>
      </c>
      <c r="Y531" s="6">
        <f t="shared" si="70"/>
        <v>4.409919649769093E-2</v>
      </c>
      <c r="AA531" t="s">
        <v>617</v>
      </c>
      <c r="AB531">
        <v>17337</v>
      </c>
      <c r="AC531">
        <v>15582221</v>
      </c>
      <c r="AD531" t="s">
        <v>5</v>
      </c>
      <c r="AE531">
        <v>31</v>
      </c>
      <c r="AF531">
        <v>2</v>
      </c>
      <c r="AH531" t="s">
        <v>2357</v>
      </c>
      <c r="AI531" t="s">
        <v>2356</v>
      </c>
      <c r="AK531" t="s">
        <v>2355</v>
      </c>
      <c r="AL531">
        <v>4</v>
      </c>
      <c r="AM531" s="5">
        <f t="shared" si="66"/>
        <v>0.10256410256410256</v>
      </c>
      <c r="AN531" s="4">
        <f t="shared" si="71"/>
        <v>1.5534131399333974E-4</v>
      </c>
      <c r="AO531" s="3"/>
      <c r="AP531">
        <v>0</v>
      </c>
      <c r="AR531" t="s">
        <v>1</v>
      </c>
      <c r="AT531" s="2" t="s">
        <v>0</v>
      </c>
      <c r="AU531" s="1">
        <f t="shared" si="67"/>
        <v>3.0916039942581652</v>
      </c>
      <c r="AV531" s="1">
        <f t="shared" si="68"/>
        <v>2.2127268905842135</v>
      </c>
      <c r="AW531" s="1">
        <f t="shared" si="69"/>
        <v>1.3338497869102617</v>
      </c>
    </row>
    <row r="532" spans="1:49" x14ac:dyDescent="0.2">
      <c r="A532">
        <v>530</v>
      </c>
      <c r="B532" t="s">
        <v>2354</v>
      </c>
      <c r="F532" t="s">
        <v>2353</v>
      </c>
      <c r="G532" t="s">
        <v>15</v>
      </c>
      <c r="H532" t="s">
        <v>14</v>
      </c>
      <c r="I532" t="s">
        <v>2352</v>
      </c>
      <c r="N532">
        <v>5</v>
      </c>
      <c r="O532" t="s">
        <v>2351</v>
      </c>
      <c r="P532" t="s">
        <v>2350</v>
      </c>
      <c r="Q532" t="s">
        <v>2349</v>
      </c>
      <c r="R532" s="7">
        <v>30317</v>
      </c>
      <c r="S532" s="8">
        <f t="shared" si="64"/>
        <v>1983</v>
      </c>
      <c r="T532" s="8">
        <v>1983</v>
      </c>
      <c r="U532" s="8">
        <f t="shared" si="65"/>
        <v>39</v>
      </c>
      <c r="V532" s="7" t="s">
        <v>2024</v>
      </c>
      <c r="W532" t="s">
        <v>737</v>
      </c>
      <c r="X532" s="2">
        <v>0.125</v>
      </c>
      <c r="Y532" s="6">
        <f t="shared" si="70"/>
        <v>3.3368036090867838E-3</v>
      </c>
      <c r="AA532">
        <v>26557</v>
      </c>
      <c r="AB532">
        <v>40401</v>
      </c>
      <c r="AD532" t="s">
        <v>5</v>
      </c>
      <c r="AE532">
        <v>52</v>
      </c>
      <c r="AF532">
        <v>2</v>
      </c>
      <c r="AH532" t="s">
        <v>2348</v>
      </c>
      <c r="AI532" t="s">
        <v>2347</v>
      </c>
      <c r="AK532" t="s">
        <v>2346</v>
      </c>
      <c r="AL532">
        <v>0</v>
      </c>
      <c r="AM532" s="5">
        <f t="shared" si="66"/>
        <v>0</v>
      </c>
      <c r="AN532" s="4">
        <f t="shared" si="71"/>
        <v>0</v>
      </c>
      <c r="AO532" s="3"/>
      <c r="AP532">
        <v>0</v>
      </c>
      <c r="AR532" t="s">
        <v>1</v>
      </c>
      <c r="AT532" s="2" t="s">
        <v>0</v>
      </c>
      <c r="AU532" s="1">
        <f t="shared" si="67"/>
        <v>0.23357625263607484</v>
      </c>
      <c r="AV532" s="1">
        <f t="shared" si="68"/>
        <v>0.16684018045433918</v>
      </c>
      <c r="AW532" s="1">
        <f t="shared" si="69"/>
        <v>0.10010410827260351</v>
      </c>
    </row>
    <row r="533" spans="1:49" x14ac:dyDescent="0.2">
      <c r="A533">
        <v>531</v>
      </c>
      <c r="B533" t="s">
        <v>2345</v>
      </c>
      <c r="F533" t="s">
        <v>2344</v>
      </c>
      <c r="G533" t="s">
        <v>15</v>
      </c>
      <c r="H533" t="s">
        <v>14</v>
      </c>
      <c r="I533" t="s">
        <v>2343</v>
      </c>
      <c r="N533">
        <v>1</v>
      </c>
      <c r="O533" t="s">
        <v>2342</v>
      </c>
      <c r="P533">
        <v>7202758543</v>
      </c>
      <c r="R533" s="7">
        <v>30317</v>
      </c>
      <c r="S533" s="8">
        <f t="shared" si="64"/>
        <v>1983</v>
      </c>
      <c r="T533" s="8">
        <v>1983</v>
      </c>
      <c r="U533" s="8">
        <f t="shared" si="65"/>
        <v>39</v>
      </c>
      <c r="V533" s="7" t="s">
        <v>1909</v>
      </c>
      <c r="W533" t="s">
        <v>2341</v>
      </c>
      <c r="X533" s="2">
        <v>0.14099999999999999</v>
      </c>
      <c r="Y533" s="6">
        <f t="shared" si="70"/>
        <v>3.7639144710498915E-3</v>
      </c>
      <c r="AA533">
        <v>7252986</v>
      </c>
      <c r="AB533">
        <v>18037</v>
      </c>
      <c r="AD533" t="s">
        <v>5</v>
      </c>
      <c r="AE533">
        <v>3</v>
      </c>
      <c r="AF533">
        <v>1</v>
      </c>
      <c r="AH533" s="10">
        <v>42948</v>
      </c>
      <c r="AI533" t="s">
        <v>2340</v>
      </c>
      <c r="AK533" t="s">
        <v>2339</v>
      </c>
      <c r="AL533">
        <v>2</v>
      </c>
      <c r="AM533" s="5">
        <f t="shared" si="66"/>
        <v>5.128205128205128E-2</v>
      </c>
      <c r="AN533" s="4">
        <f t="shared" si="71"/>
        <v>7.767065699666987E-5</v>
      </c>
      <c r="AO533" s="3"/>
      <c r="AP533">
        <v>0</v>
      </c>
      <c r="AR533" t="s">
        <v>1</v>
      </c>
      <c r="AT533" s="2" t="s">
        <v>0</v>
      </c>
      <c r="AU533" s="1">
        <f t="shared" si="67"/>
        <v>0.26580413268339248</v>
      </c>
      <c r="AV533" s="1">
        <f t="shared" si="68"/>
        <v>0.19207925640232806</v>
      </c>
      <c r="AW533" s="1">
        <f t="shared" si="69"/>
        <v>0.11835438012126362</v>
      </c>
    </row>
    <row r="534" spans="1:49" x14ac:dyDescent="0.2">
      <c r="A534">
        <v>532</v>
      </c>
      <c r="B534" t="s">
        <v>2338</v>
      </c>
      <c r="F534" t="s">
        <v>2337</v>
      </c>
      <c r="G534" t="s">
        <v>15</v>
      </c>
      <c r="H534" t="s">
        <v>14</v>
      </c>
      <c r="I534" t="s">
        <v>2336</v>
      </c>
      <c r="N534">
        <v>1</v>
      </c>
      <c r="O534" t="s">
        <v>2335</v>
      </c>
      <c r="P534">
        <v>6508058965</v>
      </c>
      <c r="R534" s="7">
        <v>30317</v>
      </c>
      <c r="S534" s="8">
        <f t="shared" si="64"/>
        <v>1983</v>
      </c>
      <c r="T534" s="8">
        <v>1983</v>
      </c>
      <c r="U534" s="8">
        <f t="shared" si="65"/>
        <v>39</v>
      </c>
      <c r="V534" s="7" t="s">
        <v>2024</v>
      </c>
      <c r="W534" t="s">
        <v>2318</v>
      </c>
      <c r="X534" s="2" t="s">
        <v>0</v>
      </c>
      <c r="Y534" s="6" t="e">
        <f t="shared" si="70"/>
        <v>#VALUE!</v>
      </c>
      <c r="AA534">
        <v>486574</v>
      </c>
      <c r="AB534">
        <v>36602</v>
      </c>
      <c r="AD534" t="s">
        <v>5</v>
      </c>
      <c r="AE534">
        <v>28</v>
      </c>
      <c r="AF534">
        <v>2</v>
      </c>
      <c r="AH534" t="s">
        <v>2334</v>
      </c>
      <c r="AI534" t="s">
        <v>2333</v>
      </c>
      <c r="AK534" t="s">
        <v>2332</v>
      </c>
      <c r="AL534">
        <v>1</v>
      </c>
      <c r="AM534" s="5">
        <f t="shared" si="66"/>
        <v>2.564102564102564E-2</v>
      </c>
      <c r="AN534" s="4">
        <f t="shared" si="71"/>
        <v>3.8835328498334935E-5</v>
      </c>
      <c r="AO534" s="3"/>
      <c r="AP534">
        <v>0</v>
      </c>
      <c r="AR534" t="s">
        <v>1</v>
      </c>
      <c r="AT534" s="2" t="s">
        <v>0</v>
      </c>
      <c r="AU534" s="1" t="e">
        <f t="shared" si="67"/>
        <v>#VALUE!</v>
      </c>
      <c r="AV534" s="1" t="e">
        <f t="shared" si="68"/>
        <v>#VALUE!</v>
      </c>
      <c r="AW534" s="1" t="e">
        <f t="shared" si="69"/>
        <v>#VALUE!</v>
      </c>
    </row>
    <row r="535" spans="1:49" x14ac:dyDescent="0.2">
      <c r="A535">
        <v>533</v>
      </c>
      <c r="B535" t="s">
        <v>2331</v>
      </c>
      <c r="C535" t="s">
        <v>2330</v>
      </c>
      <c r="F535" t="s">
        <v>2329</v>
      </c>
      <c r="G535" t="s">
        <v>15</v>
      </c>
      <c r="H535" t="s">
        <v>14</v>
      </c>
      <c r="I535" t="s">
        <v>2328</v>
      </c>
      <c r="N535">
        <v>1</v>
      </c>
      <c r="O535" t="s">
        <v>2327</v>
      </c>
      <c r="P535">
        <v>55186669500</v>
      </c>
      <c r="R535" s="7">
        <v>30317</v>
      </c>
      <c r="S535" s="8">
        <f t="shared" si="64"/>
        <v>1983</v>
      </c>
      <c r="T535" s="8">
        <v>1983</v>
      </c>
      <c r="U535" s="8">
        <f t="shared" si="65"/>
        <v>39</v>
      </c>
      <c r="V535" s="7">
        <v>30376</v>
      </c>
      <c r="W535" t="s">
        <v>669</v>
      </c>
      <c r="X535" s="2">
        <v>1.137</v>
      </c>
      <c r="Y535" s="6">
        <f t="shared" si="70"/>
        <v>3.0351565628253384E-2</v>
      </c>
      <c r="AA535">
        <v>189251</v>
      </c>
      <c r="AB535">
        <v>17336</v>
      </c>
      <c r="AD535" t="s">
        <v>5</v>
      </c>
      <c r="AE535" t="s">
        <v>668</v>
      </c>
      <c r="AF535">
        <v>2</v>
      </c>
      <c r="AH535" t="s">
        <v>2326</v>
      </c>
      <c r="AI535" t="s">
        <v>2325</v>
      </c>
      <c r="AK535" t="s">
        <v>2324</v>
      </c>
      <c r="AL535">
        <v>0</v>
      </c>
      <c r="AM535" s="5">
        <f t="shared" si="66"/>
        <v>0</v>
      </c>
      <c r="AN535" s="4">
        <f t="shared" si="71"/>
        <v>0</v>
      </c>
      <c r="AO535" s="3"/>
      <c r="AP535">
        <v>0</v>
      </c>
      <c r="AR535" t="s">
        <v>1</v>
      </c>
      <c r="AT535" s="2" t="s">
        <v>0</v>
      </c>
      <c r="AU535" s="1">
        <f t="shared" si="67"/>
        <v>2.1246095939777367</v>
      </c>
      <c r="AV535" s="1">
        <f t="shared" si="68"/>
        <v>1.5175782814126693</v>
      </c>
      <c r="AW535" s="1">
        <f t="shared" si="69"/>
        <v>0.91054696884760156</v>
      </c>
    </row>
    <row r="536" spans="1:49" x14ac:dyDescent="0.2">
      <c r="A536">
        <v>534</v>
      </c>
      <c r="B536" t="s">
        <v>2323</v>
      </c>
      <c r="F536" t="s">
        <v>2322</v>
      </c>
      <c r="G536" t="s">
        <v>15</v>
      </c>
      <c r="H536" t="s">
        <v>14</v>
      </c>
      <c r="I536" t="s">
        <v>2321</v>
      </c>
      <c r="N536">
        <v>3</v>
      </c>
      <c r="O536" t="s">
        <v>2320</v>
      </c>
      <c r="P536" t="s">
        <v>2319</v>
      </c>
      <c r="Q536" t="s">
        <v>510</v>
      </c>
      <c r="R536" s="7">
        <v>30317</v>
      </c>
      <c r="S536" s="8">
        <f t="shared" si="64"/>
        <v>1983</v>
      </c>
      <c r="T536" s="8">
        <v>1983</v>
      </c>
      <c r="U536" s="8">
        <f t="shared" si="65"/>
        <v>39</v>
      </c>
      <c r="V536" s="7" t="s">
        <v>2024</v>
      </c>
      <c r="W536" t="s">
        <v>2318</v>
      </c>
      <c r="X536" s="2" t="s">
        <v>0</v>
      </c>
      <c r="Y536" s="6" t="e">
        <f t="shared" si="70"/>
        <v>#VALUE!</v>
      </c>
      <c r="AA536">
        <v>486574</v>
      </c>
      <c r="AB536">
        <v>36602</v>
      </c>
      <c r="AD536" t="s">
        <v>5</v>
      </c>
      <c r="AE536">
        <v>28</v>
      </c>
      <c r="AF536">
        <v>2</v>
      </c>
      <c r="AH536" t="s">
        <v>2317</v>
      </c>
      <c r="AI536" t="s">
        <v>2316</v>
      </c>
      <c r="AK536" t="s">
        <v>2315</v>
      </c>
      <c r="AL536">
        <v>0</v>
      </c>
      <c r="AM536" s="5">
        <f t="shared" si="66"/>
        <v>0</v>
      </c>
      <c r="AN536" s="4">
        <f t="shared" si="71"/>
        <v>0</v>
      </c>
      <c r="AO536" s="3"/>
      <c r="AP536">
        <v>0</v>
      </c>
      <c r="AR536" t="s">
        <v>1</v>
      </c>
      <c r="AT536" s="2" t="s">
        <v>0</v>
      </c>
      <c r="AU536" s="1" t="e">
        <f t="shared" si="67"/>
        <v>#VALUE!</v>
      </c>
      <c r="AV536" s="1" t="e">
        <f t="shared" si="68"/>
        <v>#VALUE!</v>
      </c>
      <c r="AW536" s="1" t="e">
        <f t="shared" si="69"/>
        <v>#VALUE!</v>
      </c>
    </row>
    <row r="537" spans="1:49" x14ac:dyDescent="0.2">
      <c r="A537">
        <v>535</v>
      </c>
      <c r="B537" t="s">
        <v>2314</v>
      </c>
      <c r="C537" t="s">
        <v>2313</v>
      </c>
      <c r="F537" t="s">
        <v>2312</v>
      </c>
      <c r="G537" t="s">
        <v>15</v>
      </c>
      <c r="H537" t="s">
        <v>14</v>
      </c>
      <c r="I537" t="s">
        <v>2311</v>
      </c>
      <c r="J537">
        <v>60000745</v>
      </c>
      <c r="K537" t="s">
        <v>1186</v>
      </c>
      <c r="L537" t="s">
        <v>1185</v>
      </c>
      <c r="M537" t="s">
        <v>10</v>
      </c>
      <c r="N537">
        <v>3</v>
      </c>
      <c r="O537" t="s">
        <v>2310</v>
      </c>
      <c r="P537" t="s">
        <v>2309</v>
      </c>
      <c r="Q537" t="s">
        <v>2308</v>
      </c>
      <c r="R537" s="7">
        <v>30317</v>
      </c>
      <c r="S537" s="8">
        <f t="shared" si="64"/>
        <v>1983</v>
      </c>
      <c r="T537" s="8">
        <v>1983</v>
      </c>
      <c r="U537" s="8">
        <f t="shared" si="65"/>
        <v>39</v>
      </c>
      <c r="V537" s="7">
        <v>30376</v>
      </c>
      <c r="W537" t="s">
        <v>2307</v>
      </c>
      <c r="X537" s="2">
        <v>0.78200000000000003</v>
      </c>
      <c r="Y537" s="6">
        <f t="shared" si="70"/>
        <v>2.0875043378446919E-2</v>
      </c>
      <c r="AA537">
        <v>189316</v>
      </c>
      <c r="AB537">
        <v>19901</v>
      </c>
      <c r="AC537">
        <v>15579611</v>
      </c>
      <c r="AD537" t="s">
        <v>5</v>
      </c>
      <c r="AE537" t="s">
        <v>2306</v>
      </c>
      <c r="AF537">
        <v>1</v>
      </c>
      <c r="AH537" t="s">
        <v>2305</v>
      </c>
      <c r="AI537" t="s">
        <v>2304</v>
      </c>
      <c r="AK537" t="s">
        <v>2303</v>
      </c>
      <c r="AL537">
        <v>0</v>
      </c>
      <c r="AM537" s="5">
        <f t="shared" si="66"/>
        <v>0</v>
      </c>
      <c r="AN537" s="4">
        <f t="shared" si="71"/>
        <v>0</v>
      </c>
      <c r="AO537" s="3"/>
      <c r="AP537">
        <v>0</v>
      </c>
      <c r="AR537" t="s">
        <v>1</v>
      </c>
      <c r="AT537" s="2">
        <v>3.863</v>
      </c>
      <c r="AU537" s="1">
        <f t="shared" si="67"/>
        <v>1.4612530364912841</v>
      </c>
      <c r="AV537" s="1">
        <f t="shared" si="68"/>
        <v>1.0437521689223459</v>
      </c>
      <c r="AW537" s="1">
        <f t="shared" si="69"/>
        <v>0.62625130135340756</v>
      </c>
    </row>
    <row r="538" spans="1:49" x14ac:dyDescent="0.2">
      <c r="A538">
        <v>536</v>
      </c>
      <c r="B538" t="s">
        <v>2302</v>
      </c>
      <c r="C538" t="s">
        <v>2301</v>
      </c>
      <c r="F538" t="s">
        <v>2300</v>
      </c>
      <c r="G538" t="s">
        <v>15</v>
      </c>
      <c r="H538" t="s">
        <v>14</v>
      </c>
      <c r="I538" t="s">
        <v>2299</v>
      </c>
      <c r="J538">
        <v>60015623</v>
      </c>
      <c r="K538" t="s">
        <v>475</v>
      </c>
      <c r="L538" t="s">
        <v>474</v>
      </c>
      <c r="M538" t="s">
        <v>10</v>
      </c>
      <c r="N538">
        <v>1</v>
      </c>
      <c r="O538" t="s">
        <v>2298</v>
      </c>
      <c r="P538">
        <v>7004111273</v>
      </c>
      <c r="Q538">
        <v>60015623</v>
      </c>
      <c r="R538" s="7">
        <v>30317</v>
      </c>
      <c r="S538" s="8">
        <f t="shared" si="64"/>
        <v>1983</v>
      </c>
      <c r="T538" s="8">
        <v>1983</v>
      </c>
      <c r="U538" s="8">
        <f t="shared" si="65"/>
        <v>39</v>
      </c>
      <c r="V538" s="7">
        <v>30376</v>
      </c>
      <c r="W538" t="s">
        <v>669</v>
      </c>
      <c r="X538" s="2">
        <v>1.137</v>
      </c>
      <c r="Y538" s="6">
        <f t="shared" si="70"/>
        <v>3.0351565628253384E-2</v>
      </c>
      <c r="AA538">
        <v>189251</v>
      </c>
      <c r="AB538">
        <v>17336</v>
      </c>
      <c r="AD538" t="s">
        <v>5</v>
      </c>
      <c r="AE538" t="s">
        <v>668</v>
      </c>
      <c r="AF538">
        <v>2</v>
      </c>
      <c r="AH538" t="s">
        <v>2297</v>
      </c>
      <c r="AI538" t="s">
        <v>2296</v>
      </c>
      <c r="AK538" t="s">
        <v>2295</v>
      </c>
      <c r="AL538">
        <v>1</v>
      </c>
      <c r="AM538" s="5">
        <f t="shared" si="66"/>
        <v>2.564102564102564E-2</v>
      </c>
      <c r="AN538" s="4">
        <f t="shared" si="71"/>
        <v>3.8835328498334935E-5</v>
      </c>
      <c r="AO538" s="3"/>
      <c r="AP538">
        <v>0</v>
      </c>
      <c r="AR538" t="s">
        <v>1</v>
      </c>
      <c r="AT538" s="2" t="s">
        <v>0</v>
      </c>
      <c r="AU538" s="1">
        <f t="shared" si="67"/>
        <v>2.1257746538326865</v>
      </c>
      <c r="AV538" s="1">
        <f t="shared" si="68"/>
        <v>1.5195200478375859</v>
      </c>
      <c r="AW538" s="1">
        <f t="shared" si="69"/>
        <v>0.91326544184248504</v>
      </c>
    </row>
    <row r="539" spans="1:49" x14ac:dyDescent="0.2">
      <c r="A539">
        <v>537</v>
      </c>
      <c r="B539" t="s">
        <v>2294</v>
      </c>
      <c r="C539" t="s">
        <v>2293</v>
      </c>
      <c r="F539" t="s">
        <v>2292</v>
      </c>
      <c r="G539" t="s">
        <v>15</v>
      </c>
      <c r="H539" t="s">
        <v>14</v>
      </c>
      <c r="I539" t="s">
        <v>2291</v>
      </c>
      <c r="J539" t="s">
        <v>2290</v>
      </c>
      <c r="K539" t="s">
        <v>2289</v>
      </c>
      <c r="L539" t="s">
        <v>2288</v>
      </c>
      <c r="M539" t="s">
        <v>685</v>
      </c>
      <c r="N539">
        <v>2</v>
      </c>
      <c r="O539" t="s">
        <v>2287</v>
      </c>
      <c r="P539" t="s">
        <v>2286</v>
      </c>
      <c r="Q539" t="s">
        <v>2285</v>
      </c>
      <c r="R539" s="7">
        <v>30317</v>
      </c>
      <c r="S539" s="8">
        <f t="shared" si="64"/>
        <v>1983</v>
      </c>
      <c r="T539" s="8">
        <v>1983</v>
      </c>
      <c r="U539" s="8">
        <f t="shared" si="65"/>
        <v>39</v>
      </c>
      <c r="V539" s="7">
        <v>30376</v>
      </c>
      <c r="W539" t="s">
        <v>618</v>
      </c>
      <c r="X539" s="2">
        <v>1.6519999999999999</v>
      </c>
      <c r="Y539" s="6">
        <f t="shared" si="70"/>
        <v>4.409919649769093E-2</v>
      </c>
      <c r="AA539" t="s">
        <v>617</v>
      </c>
      <c r="AB539">
        <v>17337</v>
      </c>
      <c r="AC539">
        <v>15582221</v>
      </c>
      <c r="AD539" t="s">
        <v>5</v>
      </c>
      <c r="AE539">
        <v>31</v>
      </c>
      <c r="AF539">
        <v>2</v>
      </c>
      <c r="AH539" t="s">
        <v>2284</v>
      </c>
      <c r="AI539" t="s">
        <v>2283</v>
      </c>
      <c r="AK539" t="s">
        <v>2282</v>
      </c>
      <c r="AL539">
        <v>39</v>
      </c>
      <c r="AM539" s="5">
        <f t="shared" si="66"/>
        <v>1</v>
      </c>
      <c r="AN539" s="4">
        <f t="shared" si="71"/>
        <v>1.5145778114350624E-3</v>
      </c>
      <c r="AO539" s="3"/>
      <c r="AP539">
        <v>0</v>
      </c>
      <c r="AR539" t="s">
        <v>1</v>
      </c>
      <c r="AT539" s="2" t="s">
        <v>0</v>
      </c>
      <c r="AU539" s="1">
        <f t="shared" si="67"/>
        <v>3.132381089181417</v>
      </c>
      <c r="AV539" s="1">
        <f t="shared" si="68"/>
        <v>2.2806887154562996</v>
      </c>
      <c r="AW539" s="1">
        <f t="shared" si="69"/>
        <v>1.4289963417311822</v>
      </c>
    </row>
    <row r="540" spans="1:49" x14ac:dyDescent="0.2">
      <c r="A540">
        <v>538</v>
      </c>
      <c r="B540" t="s">
        <v>2281</v>
      </c>
      <c r="C540" t="s">
        <v>2280</v>
      </c>
      <c r="F540" t="s">
        <v>2279</v>
      </c>
      <c r="G540" t="s">
        <v>15</v>
      </c>
      <c r="H540" t="s">
        <v>14</v>
      </c>
      <c r="I540" t="s">
        <v>2278</v>
      </c>
      <c r="J540">
        <v>60029575</v>
      </c>
      <c r="K540" t="s">
        <v>623</v>
      </c>
      <c r="L540" t="s">
        <v>622</v>
      </c>
      <c r="M540" t="s">
        <v>10</v>
      </c>
      <c r="N540">
        <v>2</v>
      </c>
      <c r="O540" t="s">
        <v>2277</v>
      </c>
      <c r="P540" t="s">
        <v>2276</v>
      </c>
      <c r="Q540" t="s">
        <v>619</v>
      </c>
      <c r="R540" s="7">
        <v>30317</v>
      </c>
      <c r="S540" s="8">
        <f t="shared" si="64"/>
        <v>1983</v>
      </c>
      <c r="T540" s="8">
        <v>1983</v>
      </c>
      <c r="U540" s="8">
        <f t="shared" si="65"/>
        <v>39</v>
      </c>
      <c r="V540" s="7">
        <v>30376</v>
      </c>
      <c r="W540" t="s">
        <v>618</v>
      </c>
      <c r="X540" s="2">
        <v>1.6519999999999999</v>
      </c>
      <c r="Y540" s="6">
        <f t="shared" si="70"/>
        <v>4.409919649769093E-2</v>
      </c>
      <c r="AA540" t="s">
        <v>617</v>
      </c>
      <c r="AB540">
        <v>17337</v>
      </c>
      <c r="AC540">
        <v>15582221</v>
      </c>
      <c r="AD540" t="s">
        <v>5</v>
      </c>
      <c r="AE540">
        <v>31</v>
      </c>
      <c r="AF540">
        <v>2</v>
      </c>
      <c r="AH540" t="s">
        <v>2275</v>
      </c>
      <c r="AI540" t="s">
        <v>2274</v>
      </c>
      <c r="AK540" t="s">
        <v>2273</v>
      </c>
      <c r="AL540">
        <v>9</v>
      </c>
      <c r="AM540" s="5">
        <f t="shared" si="66"/>
        <v>0.23076923076923078</v>
      </c>
      <c r="AN540" s="4">
        <f t="shared" si="71"/>
        <v>3.4951795648501444E-4</v>
      </c>
      <c r="AO540" s="3"/>
      <c r="AP540">
        <v>0</v>
      </c>
      <c r="AR540" t="s">
        <v>1</v>
      </c>
      <c r="AT540" s="2" t="s">
        <v>0</v>
      </c>
      <c r="AU540" s="1">
        <f t="shared" si="67"/>
        <v>3.0974292935329153</v>
      </c>
      <c r="AV540" s="1">
        <f t="shared" si="68"/>
        <v>2.2224357227087972</v>
      </c>
      <c r="AW540" s="1">
        <f t="shared" si="69"/>
        <v>1.3474421518846789</v>
      </c>
    </row>
    <row r="541" spans="1:49" x14ac:dyDescent="0.2">
      <c r="A541">
        <v>539</v>
      </c>
      <c r="B541" t="s">
        <v>2272</v>
      </c>
      <c r="C541" t="s">
        <v>2271</v>
      </c>
      <c r="F541" t="s">
        <v>2270</v>
      </c>
      <c r="G541" t="s">
        <v>15</v>
      </c>
      <c r="H541" t="s">
        <v>14</v>
      </c>
      <c r="I541" t="s">
        <v>2269</v>
      </c>
      <c r="J541" t="s">
        <v>2268</v>
      </c>
      <c r="K541" t="s">
        <v>2267</v>
      </c>
      <c r="L541" t="s">
        <v>2266</v>
      </c>
      <c r="M541" t="s">
        <v>91</v>
      </c>
      <c r="N541">
        <v>3</v>
      </c>
      <c r="O541" t="s">
        <v>2265</v>
      </c>
      <c r="P541" t="s">
        <v>2264</v>
      </c>
      <c r="Q541" t="s">
        <v>2263</v>
      </c>
      <c r="R541" s="7">
        <v>30317</v>
      </c>
      <c r="S541" s="8">
        <f t="shared" si="64"/>
        <v>1983</v>
      </c>
      <c r="T541" s="8">
        <v>1983</v>
      </c>
      <c r="U541" s="8">
        <f t="shared" si="65"/>
        <v>39</v>
      </c>
      <c r="V541" s="7">
        <v>30376</v>
      </c>
      <c r="W541" t="s">
        <v>618</v>
      </c>
      <c r="X541" s="2">
        <v>1.6519999999999999</v>
      </c>
      <c r="Y541" s="6">
        <f t="shared" si="70"/>
        <v>4.409919649769093E-2</v>
      </c>
      <c r="AA541" t="s">
        <v>617</v>
      </c>
      <c r="AB541">
        <v>17337</v>
      </c>
      <c r="AC541">
        <v>15582221</v>
      </c>
      <c r="AD541" t="s">
        <v>5</v>
      </c>
      <c r="AE541">
        <v>31</v>
      </c>
      <c r="AF541">
        <v>2</v>
      </c>
      <c r="AH541" t="s">
        <v>2262</v>
      </c>
      <c r="AI541" t="s">
        <v>2261</v>
      </c>
      <c r="AK541" t="s">
        <v>2260</v>
      </c>
      <c r="AL541">
        <v>3</v>
      </c>
      <c r="AM541" s="5">
        <f t="shared" si="66"/>
        <v>7.6923076923076927E-2</v>
      </c>
      <c r="AN541" s="4">
        <f t="shared" si="71"/>
        <v>1.1650598549500481E-4</v>
      </c>
      <c r="AO541" s="3"/>
      <c r="AP541">
        <v>0</v>
      </c>
      <c r="AR541" t="s">
        <v>1</v>
      </c>
      <c r="AT541" s="2" t="s">
        <v>0</v>
      </c>
      <c r="AU541" s="1">
        <f t="shared" si="67"/>
        <v>3.090438934403215</v>
      </c>
      <c r="AV541" s="1">
        <f t="shared" si="68"/>
        <v>2.2107851241592971</v>
      </c>
      <c r="AW541" s="1">
        <f t="shared" si="69"/>
        <v>1.3311313139153782</v>
      </c>
    </row>
    <row r="542" spans="1:49" x14ac:dyDescent="0.2">
      <c r="A542">
        <v>540</v>
      </c>
      <c r="B542" t="s">
        <v>2259</v>
      </c>
      <c r="C542" t="s">
        <v>2258</v>
      </c>
      <c r="F542" t="s">
        <v>2257</v>
      </c>
      <c r="G542" t="s">
        <v>15</v>
      </c>
      <c r="H542" t="s">
        <v>14</v>
      </c>
      <c r="I542" t="s">
        <v>2256</v>
      </c>
      <c r="J542">
        <v>100351121</v>
      </c>
      <c r="K542" t="s">
        <v>2255</v>
      </c>
      <c r="L542" t="s">
        <v>2254</v>
      </c>
      <c r="M542" t="s">
        <v>10</v>
      </c>
      <c r="N542">
        <v>2</v>
      </c>
      <c r="O542" t="s">
        <v>2253</v>
      </c>
      <c r="P542" t="s">
        <v>2252</v>
      </c>
      <c r="Q542" t="s">
        <v>2251</v>
      </c>
      <c r="R542" s="7">
        <v>30317</v>
      </c>
      <c r="S542" s="8">
        <f t="shared" si="64"/>
        <v>1983</v>
      </c>
      <c r="T542" s="8">
        <v>1983</v>
      </c>
      <c r="U542" s="8">
        <f t="shared" si="65"/>
        <v>39</v>
      </c>
      <c r="V542" s="7">
        <v>30376</v>
      </c>
      <c r="W542" t="s">
        <v>1414</v>
      </c>
      <c r="X542" s="2">
        <v>2.383</v>
      </c>
      <c r="Y542" s="6">
        <f t="shared" si="70"/>
        <v>6.3612824003630442E-2</v>
      </c>
      <c r="AA542">
        <v>189219</v>
      </c>
      <c r="AB542">
        <v>17915</v>
      </c>
      <c r="AC542">
        <v>15582256</v>
      </c>
      <c r="AD542" t="s">
        <v>5</v>
      </c>
      <c r="AE542">
        <v>71</v>
      </c>
      <c r="AF542">
        <v>3</v>
      </c>
      <c r="AH542" t="s">
        <v>2250</v>
      </c>
      <c r="AI542" t="s">
        <v>2249</v>
      </c>
      <c r="AK542" t="s">
        <v>2248</v>
      </c>
      <c r="AL542">
        <v>148</v>
      </c>
      <c r="AM542" s="5">
        <f t="shared" si="66"/>
        <v>3.7948717948717947</v>
      </c>
      <c r="AN542" s="4">
        <f t="shared" si="71"/>
        <v>5.7476286177535699E-3</v>
      </c>
      <c r="AO542" s="3"/>
      <c r="AP542">
        <v>0</v>
      </c>
      <c r="AR542" t="s">
        <v>1</v>
      </c>
      <c r="AT542" s="2">
        <v>10.961</v>
      </c>
      <c r="AU542" s="1">
        <f t="shared" si="67"/>
        <v>4.6253265387867382</v>
      </c>
      <c r="AV542" s="1">
        <f t="shared" si="68"/>
        <v>3.4680226310692008</v>
      </c>
      <c r="AW542" s="1">
        <f t="shared" si="69"/>
        <v>2.3107187233516631</v>
      </c>
    </row>
    <row r="543" spans="1:49" x14ac:dyDescent="0.2">
      <c r="A543">
        <v>541</v>
      </c>
      <c r="B543" t="s">
        <v>2247</v>
      </c>
      <c r="F543" t="s">
        <v>2246</v>
      </c>
      <c r="G543" t="s">
        <v>15</v>
      </c>
      <c r="H543" t="s">
        <v>14</v>
      </c>
      <c r="I543" t="s">
        <v>2245</v>
      </c>
      <c r="N543">
        <v>1</v>
      </c>
      <c r="O543" t="s">
        <v>2244</v>
      </c>
      <c r="P543">
        <v>6508390080</v>
      </c>
      <c r="R543" s="7">
        <v>30317</v>
      </c>
      <c r="S543" s="8">
        <f t="shared" ref="S543:S606" si="72">YEAR(R543)</f>
        <v>1983</v>
      </c>
      <c r="T543" s="8">
        <v>1983</v>
      </c>
      <c r="U543" s="8">
        <f t="shared" ref="U543:U606" si="73">2022-T543</f>
        <v>39</v>
      </c>
      <c r="V543" s="7" t="s">
        <v>1909</v>
      </c>
      <c r="W543" t="s">
        <v>2243</v>
      </c>
      <c r="X543" s="2" t="s">
        <v>0</v>
      </c>
      <c r="Y543" s="6" t="e">
        <f t="shared" si="70"/>
        <v>#VALUE!</v>
      </c>
      <c r="AA543">
        <v>1442600</v>
      </c>
      <c r="AB543">
        <v>26635</v>
      </c>
      <c r="AD543" t="s">
        <v>5</v>
      </c>
      <c r="AE543">
        <v>56</v>
      </c>
      <c r="AF543">
        <v>426</v>
      </c>
      <c r="AH543" t="s">
        <v>2242</v>
      </c>
      <c r="AI543" t="s">
        <v>2241</v>
      </c>
      <c r="AK543" t="s">
        <v>2240</v>
      </c>
      <c r="AL543">
        <v>0</v>
      </c>
      <c r="AM543" s="5">
        <f t="shared" ref="AM543:AM606" si="74">AL543/U543</f>
        <v>0</v>
      </c>
      <c r="AN543" s="4">
        <f t="shared" si="71"/>
        <v>0</v>
      </c>
      <c r="AO543" s="3"/>
      <c r="AP543">
        <v>0</v>
      </c>
      <c r="AR543" t="s">
        <v>1</v>
      </c>
      <c r="AT543" s="2" t="s">
        <v>0</v>
      </c>
      <c r="AU543" s="1" t="e">
        <f t="shared" ref="AU543:AU606" si="75">(Y543*0.7+AN543*0.3)*100</f>
        <v>#VALUE!</v>
      </c>
      <c r="AV543" s="1" t="e">
        <f t="shared" ref="AV543:AV606" si="76">(Y543*0.5+AN543*0.5)*100</f>
        <v>#VALUE!</v>
      </c>
      <c r="AW543" s="1" t="e">
        <f t="shared" ref="AW543:AW606" si="77">(Y543*0.3+AN543*0.7)*100</f>
        <v>#VALUE!</v>
      </c>
    </row>
    <row r="544" spans="1:49" x14ac:dyDescent="0.2">
      <c r="A544">
        <v>542</v>
      </c>
      <c r="B544" t="s">
        <v>2239</v>
      </c>
      <c r="C544" t="s">
        <v>2238</v>
      </c>
      <c r="F544" t="s">
        <v>2237</v>
      </c>
      <c r="G544" t="s">
        <v>15</v>
      </c>
      <c r="H544" t="s">
        <v>14</v>
      </c>
      <c r="I544" t="s">
        <v>1101</v>
      </c>
      <c r="N544">
        <v>1</v>
      </c>
      <c r="O544" t="s">
        <v>1100</v>
      </c>
      <c r="P544">
        <v>6603362226</v>
      </c>
      <c r="R544" s="7">
        <v>30317</v>
      </c>
      <c r="S544" s="8">
        <f t="shared" si="72"/>
        <v>1983</v>
      </c>
      <c r="T544" s="8">
        <v>1983</v>
      </c>
      <c r="U544" s="8">
        <f t="shared" si="73"/>
        <v>39</v>
      </c>
      <c r="V544" s="7">
        <v>30376</v>
      </c>
      <c r="W544" t="s">
        <v>1099</v>
      </c>
      <c r="X544" s="2">
        <v>0.32300000000000001</v>
      </c>
      <c r="Y544" s="6">
        <f t="shared" si="70"/>
        <v>8.6223005258802502E-3</v>
      </c>
      <c r="AA544">
        <v>58580</v>
      </c>
      <c r="AB544">
        <v>36492</v>
      </c>
      <c r="AC544">
        <v>15387305</v>
      </c>
      <c r="AD544" t="s">
        <v>5</v>
      </c>
      <c r="AE544">
        <v>62</v>
      </c>
      <c r="AF544">
        <v>3</v>
      </c>
      <c r="AH544" t="s">
        <v>2236</v>
      </c>
      <c r="AI544" t="s">
        <v>2235</v>
      </c>
      <c r="AK544" t="s">
        <v>2234</v>
      </c>
      <c r="AL544">
        <v>3</v>
      </c>
      <c r="AM544" s="5">
        <f t="shared" si="74"/>
        <v>7.6923076923076927E-2</v>
      </c>
      <c r="AN544" s="4">
        <f t="shared" si="71"/>
        <v>1.1650598549500481E-4</v>
      </c>
      <c r="AO544" s="3"/>
      <c r="AP544">
        <v>0</v>
      </c>
      <c r="AR544" t="s">
        <v>1</v>
      </c>
      <c r="AT544" s="2" t="s">
        <v>0</v>
      </c>
      <c r="AU544" s="1">
        <f t="shared" si="75"/>
        <v>0.60705621637646756</v>
      </c>
      <c r="AV544" s="1">
        <f t="shared" si="76"/>
        <v>0.43694032556876272</v>
      </c>
      <c r="AW544" s="1">
        <f t="shared" si="77"/>
        <v>0.26682443476105783</v>
      </c>
    </row>
    <row r="545" spans="1:49" x14ac:dyDescent="0.2">
      <c r="A545">
        <v>543</v>
      </c>
      <c r="B545" t="s">
        <v>2233</v>
      </c>
      <c r="C545" t="s">
        <v>2232</v>
      </c>
      <c r="F545" t="s">
        <v>2231</v>
      </c>
      <c r="G545" t="s">
        <v>15</v>
      </c>
      <c r="H545" t="s">
        <v>14</v>
      </c>
      <c r="I545" t="s">
        <v>2230</v>
      </c>
      <c r="N545">
        <v>3</v>
      </c>
      <c r="O545" t="s">
        <v>2229</v>
      </c>
      <c r="P545" t="s">
        <v>2228</v>
      </c>
      <c r="Q545" t="s">
        <v>510</v>
      </c>
      <c r="R545" s="7">
        <v>30317</v>
      </c>
      <c r="S545" s="8">
        <f t="shared" si="72"/>
        <v>1983</v>
      </c>
      <c r="T545" s="8">
        <v>1983</v>
      </c>
      <c r="U545" s="8">
        <f t="shared" si="73"/>
        <v>39</v>
      </c>
      <c r="V545" s="7">
        <v>30376</v>
      </c>
      <c r="W545" t="s">
        <v>1099</v>
      </c>
      <c r="X545" s="2">
        <v>0.32300000000000001</v>
      </c>
      <c r="Y545" s="6">
        <f t="shared" si="70"/>
        <v>8.6223005258802502E-3</v>
      </c>
      <c r="AA545">
        <v>58580</v>
      </c>
      <c r="AB545">
        <v>36492</v>
      </c>
      <c r="AC545">
        <v>15387305</v>
      </c>
      <c r="AD545" t="s">
        <v>5</v>
      </c>
      <c r="AE545">
        <v>62</v>
      </c>
      <c r="AF545">
        <v>3</v>
      </c>
      <c r="AH545" t="s">
        <v>2227</v>
      </c>
      <c r="AI545" t="s">
        <v>2226</v>
      </c>
      <c r="AK545" t="s">
        <v>2225</v>
      </c>
      <c r="AL545">
        <v>4</v>
      </c>
      <c r="AM545" s="5">
        <f t="shared" si="74"/>
        <v>0.10256410256410256</v>
      </c>
      <c r="AN545" s="4">
        <f t="shared" si="71"/>
        <v>1.5534131399333974E-4</v>
      </c>
      <c r="AO545" s="3"/>
      <c r="AP545">
        <v>0</v>
      </c>
      <c r="AR545" t="s">
        <v>1</v>
      </c>
      <c r="AT545" s="2" t="s">
        <v>0</v>
      </c>
      <c r="AU545" s="1">
        <f t="shared" si="75"/>
        <v>0.60822127623141775</v>
      </c>
      <c r="AV545" s="1">
        <f t="shared" si="76"/>
        <v>0.4388820919936795</v>
      </c>
      <c r="AW545" s="1">
        <f t="shared" si="77"/>
        <v>0.26954290775594125</v>
      </c>
    </row>
    <row r="546" spans="1:49" x14ac:dyDescent="0.2">
      <c r="A546">
        <v>544</v>
      </c>
      <c r="B546" t="s">
        <v>2224</v>
      </c>
      <c r="C546" t="s">
        <v>2223</v>
      </c>
      <c r="F546" t="s">
        <v>2222</v>
      </c>
      <c r="G546" t="s">
        <v>15</v>
      </c>
      <c r="H546" t="s">
        <v>14</v>
      </c>
      <c r="I546" t="s">
        <v>2221</v>
      </c>
      <c r="N546">
        <v>2</v>
      </c>
      <c r="O546" t="s">
        <v>2220</v>
      </c>
      <c r="P546" t="s">
        <v>2219</v>
      </c>
      <c r="Q546" t="s">
        <v>342</v>
      </c>
      <c r="R546" s="7">
        <v>30317</v>
      </c>
      <c r="S546" s="8">
        <f t="shared" si="72"/>
        <v>1983</v>
      </c>
      <c r="T546" s="8">
        <v>1983</v>
      </c>
      <c r="U546" s="8">
        <f t="shared" si="73"/>
        <v>39</v>
      </c>
      <c r="V546" s="7" t="s">
        <v>1909</v>
      </c>
      <c r="W546" s="11" t="s">
        <v>1587</v>
      </c>
      <c r="X546" s="2">
        <v>2.383</v>
      </c>
      <c r="Y546" s="6">
        <f t="shared" si="70"/>
        <v>6.3612824003630442E-2</v>
      </c>
      <c r="AA546">
        <v>1437097</v>
      </c>
      <c r="AB546">
        <v>101236</v>
      </c>
      <c r="AD546" t="s">
        <v>5</v>
      </c>
      <c r="AE546">
        <v>130</v>
      </c>
      <c r="AF546">
        <v>2</v>
      </c>
      <c r="AH546">
        <v>190</v>
      </c>
      <c r="AI546" t="s">
        <v>2218</v>
      </c>
      <c r="AK546" t="s">
        <v>2217</v>
      </c>
      <c r="AL546">
        <v>1</v>
      </c>
      <c r="AM546" s="5">
        <f t="shared" si="74"/>
        <v>2.564102564102564E-2</v>
      </c>
      <c r="AN546" s="4">
        <f t="shared" si="71"/>
        <v>3.8835328498334935E-5</v>
      </c>
      <c r="AO546" s="3"/>
      <c r="AP546">
        <v>0</v>
      </c>
      <c r="AR546" t="s">
        <v>1</v>
      </c>
      <c r="AT546" s="2" t="s">
        <v>0</v>
      </c>
      <c r="AU546" s="1">
        <f t="shared" si="75"/>
        <v>4.4540627401090811</v>
      </c>
      <c r="AV546" s="1">
        <f t="shared" si="76"/>
        <v>3.1825829666064389</v>
      </c>
      <c r="AW546" s="1">
        <f t="shared" si="77"/>
        <v>1.9111031931037965</v>
      </c>
    </row>
    <row r="547" spans="1:49" x14ac:dyDescent="0.2">
      <c r="A547">
        <v>545</v>
      </c>
      <c r="B547" t="s">
        <v>2216</v>
      </c>
      <c r="C547" t="s">
        <v>2215</v>
      </c>
      <c r="F547" t="s">
        <v>2214</v>
      </c>
      <c r="G547" t="s">
        <v>15</v>
      </c>
      <c r="H547" t="s">
        <v>14</v>
      </c>
      <c r="I547" t="s">
        <v>2213</v>
      </c>
      <c r="N547">
        <v>2</v>
      </c>
      <c r="O547" t="s">
        <v>2212</v>
      </c>
      <c r="P547" t="s">
        <v>2211</v>
      </c>
      <c r="Q547" t="s">
        <v>342</v>
      </c>
      <c r="R547" s="7">
        <v>30317</v>
      </c>
      <c r="S547" s="8">
        <f t="shared" si="72"/>
        <v>1983</v>
      </c>
      <c r="T547" s="8">
        <v>1983</v>
      </c>
      <c r="U547" s="8">
        <f t="shared" si="73"/>
        <v>39</v>
      </c>
      <c r="V547" s="7" t="s">
        <v>2210</v>
      </c>
      <c r="W547" t="s">
        <v>508</v>
      </c>
      <c r="X547" s="2">
        <v>0.371</v>
      </c>
      <c r="Y547" s="6">
        <f t="shared" si="70"/>
        <v>9.9036331117695747E-3</v>
      </c>
      <c r="AA547">
        <v>486604</v>
      </c>
      <c r="AB547">
        <v>28580</v>
      </c>
      <c r="AC547" t="s">
        <v>507</v>
      </c>
      <c r="AD547" t="s">
        <v>5</v>
      </c>
      <c r="AE547">
        <v>18</v>
      </c>
      <c r="AF547">
        <v>2</v>
      </c>
      <c r="AH547" t="s">
        <v>2209</v>
      </c>
      <c r="AI547" t="s">
        <v>2208</v>
      </c>
      <c r="AK547" t="s">
        <v>2207</v>
      </c>
      <c r="AL547">
        <v>36</v>
      </c>
      <c r="AM547" s="5">
        <f t="shared" si="74"/>
        <v>0.92307692307692313</v>
      </c>
      <c r="AN547" s="4">
        <f t="shared" si="71"/>
        <v>1.3980718259400577E-3</v>
      </c>
      <c r="AO547" s="3"/>
      <c r="AP547">
        <v>0</v>
      </c>
      <c r="AR547" t="s">
        <v>1</v>
      </c>
      <c r="AT547" s="2">
        <v>1.431</v>
      </c>
      <c r="AU547" s="1">
        <f t="shared" si="75"/>
        <v>0.73519647260207188</v>
      </c>
      <c r="AV547" s="1">
        <f t="shared" si="76"/>
        <v>0.56508524688548167</v>
      </c>
      <c r="AW547" s="1">
        <f t="shared" si="77"/>
        <v>0.3949740211688913</v>
      </c>
    </row>
    <row r="548" spans="1:49" x14ac:dyDescent="0.2">
      <c r="A548">
        <v>546</v>
      </c>
      <c r="B548" t="s">
        <v>2206</v>
      </c>
      <c r="C548" t="s">
        <v>2205</v>
      </c>
      <c r="F548" t="s">
        <v>2204</v>
      </c>
      <c r="G548" t="s">
        <v>15</v>
      </c>
      <c r="H548" t="s">
        <v>14</v>
      </c>
      <c r="I548" t="s">
        <v>2203</v>
      </c>
      <c r="N548">
        <v>1</v>
      </c>
      <c r="O548" t="s">
        <v>2202</v>
      </c>
      <c r="P548">
        <v>7003862051</v>
      </c>
      <c r="R548" s="7">
        <v>30317</v>
      </c>
      <c r="S548" s="8">
        <f t="shared" si="72"/>
        <v>1983</v>
      </c>
      <c r="T548" s="8">
        <v>1983</v>
      </c>
      <c r="U548" s="8">
        <f t="shared" si="73"/>
        <v>39</v>
      </c>
      <c r="V548" s="7" t="s">
        <v>1909</v>
      </c>
      <c r="W548" t="s">
        <v>2201</v>
      </c>
      <c r="X548" s="2" t="s">
        <v>0</v>
      </c>
      <c r="Y548" s="6" t="e">
        <f t="shared" si="70"/>
        <v>#VALUE!</v>
      </c>
      <c r="AA548">
        <v>361682</v>
      </c>
      <c r="AB548">
        <v>9500153941</v>
      </c>
      <c r="AD548" t="s">
        <v>5</v>
      </c>
      <c r="AE548">
        <v>92</v>
      </c>
      <c r="AF548">
        <v>3</v>
      </c>
      <c r="AH548" t="s">
        <v>2200</v>
      </c>
      <c r="AI548" t="s">
        <v>2199</v>
      </c>
      <c r="AK548" t="s">
        <v>2198</v>
      </c>
      <c r="AL548">
        <v>2</v>
      </c>
      <c r="AM548" s="5">
        <f t="shared" si="74"/>
        <v>5.128205128205128E-2</v>
      </c>
      <c r="AN548" s="4">
        <f t="shared" si="71"/>
        <v>7.767065699666987E-5</v>
      </c>
      <c r="AO548" s="3"/>
      <c r="AP548">
        <v>0</v>
      </c>
      <c r="AR548" t="s">
        <v>1</v>
      </c>
      <c r="AT548" s="2" t="s">
        <v>0</v>
      </c>
      <c r="AU548" s="1" t="e">
        <f t="shared" si="75"/>
        <v>#VALUE!</v>
      </c>
      <c r="AV548" s="1" t="e">
        <f t="shared" si="76"/>
        <v>#VALUE!</v>
      </c>
      <c r="AW548" s="1" t="e">
        <f t="shared" si="77"/>
        <v>#VALUE!</v>
      </c>
    </row>
    <row r="549" spans="1:49" x14ac:dyDescent="0.2">
      <c r="A549">
        <v>547</v>
      </c>
      <c r="B549" t="s">
        <v>2197</v>
      </c>
      <c r="C549" t="s">
        <v>2196</v>
      </c>
      <c r="F549" t="s">
        <v>2195</v>
      </c>
      <c r="G549" t="s">
        <v>15</v>
      </c>
      <c r="H549" t="s">
        <v>14</v>
      </c>
      <c r="I549" t="s">
        <v>2194</v>
      </c>
      <c r="N549">
        <v>2</v>
      </c>
      <c r="O549" t="s">
        <v>2193</v>
      </c>
      <c r="P549" t="s">
        <v>2192</v>
      </c>
      <c r="Q549" t="s">
        <v>342</v>
      </c>
      <c r="R549" s="7">
        <v>30317</v>
      </c>
      <c r="S549" s="8">
        <f t="shared" si="72"/>
        <v>1983</v>
      </c>
      <c r="T549" s="8">
        <v>1983</v>
      </c>
      <c r="U549" s="8">
        <f t="shared" si="73"/>
        <v>39</v>
      </c>
      <c r="V549" s="7" t="s">
        <v>1909</v>
      </c>
      <c r="W549" s="11" t="s">
        <v>1587</v>
      </c>
      <c r="X549" s="2">
        <v>2.383</v>
      </c>
      <c r="Y549" s="6">
        <f t="shared" si="70"/>
        <v>6.3612824003630442E-2</v>
      </c>
      <c r="AA549">
        <v>1437097</v>
      </c>
      <c r="AB549">
        <v>101236</v>
      </c>
      <c r="AD549" t="s">
        <v>5</v>
      </c>
      <c r="AE549">
        <v>130</v>
      </c>
      <c r="AF549">
        <v>2</v>
      </c>
      <c r="AH549" t="s">
        <v>2191</v>
      </c>
      <c r="AI549" t="s">
        <v>2190</v>
      </c>
      <c r="AK549" t="s">
        <v>2189</v>
      </c>
      <c r="AL549">
        <v>6</v>
      </c>
      <c r="AM549" s="5">
        <f t="shared" si="74"/>
        <v>0.15384615384615385</v>
      </c>
      <c r="AN549" s="4">
        <f t="shared" si="71"/>
        <v>2.3301197099000962E-4</v>
      </c>
      <c r="AO549" s="3"/>
      <c r="AP549">
        <v>0</v>
      </c>
      <c r="AR549" t="s">
        <v>1</v>
      </c>
      <c r="AT549" s="2" t="s">
        <v>0</v>
      </c>
      <c r="AU549" s="1">
        <f t="shared" si="75"/>
        <v>4.4598880393838307</v>
      </c>
      <c r="AV549" s="1">
        <f t="shared" si="76"/>
        <v>3.1922917987310226</v>
      </c>
      <c r="AW549" s="1">
        <f t="shared" si="77"/>
        <v>1.9246955580782141</v>
      </c>
    </row>
    <row r="550" spans="1:49" x14ac:dyDescent="0.2">
      <c r="A550">
        <v>548</v>
      </c>
      <c r="B550" t="s">
        <v>2188</v>
      </c>
      <c r="F550" t="s">
        <v>2187</v>
      </c>
      <c r="G550" t="s">
        <v>15</v>
      </c>
      <c r="H550" t="s">
        <v>14</v>
      </c>
      <c r="I550" t="s">
        <v>2186</v>
      </c>
      <c r="N550">
        <v>1</v>
      </c>
      <c r="O550" t="s">
        <v>2185</v>
      </c>
      <c r="P550">
        <v>7402842148</v>
      </c>
      <c r="R550" s="7">
        <v>30317</v>
      </c>
      <c r="S550" s="8">
        <f t="shared" si="72"/>
        <v>1983</v>
      </c>
      <c r="T550" s="8">
        <v>1983</v>
      </c>
      <c r="U550" s="8">
        <f t="shared" si="73"/>
        <v>39</v>
      </c>
      <c r="V550" s="7" t="s">
        <v>1909</v>
      </c>
      <c r="W550" t="s">
        <v>2184</v>
      </c>
      <c r="X550" s="2" t="s">
        <v>0</v>
      </c>
      <c r="Y550" s="6" t="e">
        <f t="shared" si="70"/>
        <v>#VALUE!</v>
      </c>
      <c r="AA550">
        <v>17884</v>
      </c>
      <c r="AB550">
        <v>110306</v>
      </c>
      <c r="AD550" t="s">
        <v>5</v>
      </c>
      <c r="AE550">
        <v>52</v>
      </c>
      <c r="AF550">
        <v>4</v>
      </c>
      <c r="AH550" t="s">
        <v>2183</v>
      </c>
      <c r="AI550" t="s">
        <v>2182</v>
      </c>
      <c r="AK550" t="s">
        <v>2181</v>
      </c>
      <c r="AL550">
        <v>5</v>
      </c>
      <c r="AM550" s="5">
        <f t="shared" si="74"/>
        <v>0.12820512820512819</v>
      </c>
      <c r="AN550" s="4">
        <f t="shared" si="71"/>
        <v>1.9417664249167467E-4</v>
      </c>
      <c r="AO550" s="3"/>
      <c r="AP550">
        <v>0</v>
      </c>
      <c r="AR550" t="s">
        <v>1</v>
      </c>
      <c r="AT550" s="2" t="s">
        <v>0</v>
      </c>
      <c r="AU550" s="1" t="e">
        <f t="shared" si="75"/>
        <v>#VALUE!</v>
      </c>
      <c r="AV550" s="1" t="e">
        <f t="shared" si="76"/>
        <v>#VALUE!</v>
      </c>
      <c r="AW550" s="1" t="e">
        <f t="shared" si="77"/>
        <v>#VALUE!</v>
      </c>
    </row>
    <row r="551" spans="1:49" x14ac:dyDescent="0.2">
      <c r="A551">
        <v>549</v>
      </c>
      <c r="B551" t="s">
        <v>2180</v>
      </c>
      <c r="C551" t="s">
        <v>2179</v>
      </c>
      <c r="F551" t="s">
        <v>2178</v>
      </c>
      <c r="G551" t="s">
        <v>15</v>
      </c>
      <c r="H551" t="s">
        <v>14</v>
      </c>
      <c r="I551" t="s">
        <v>2177</v>
      </c>
      <c r="J551">
        <v>60012317</v>
      </c>
      <c r="K551" t="s">
        <v>2176</v>
      </c>
      <c r="L551" t="s">
        <v>2175</v>
      </c>
      <c r="M551" t="s">
        <v>10</v>
      </c>
      <c r="N551">
        <v>1</v>
      </c>
      <c r="O551" t="s">
        <v>2174</v>
      </c>
      <c r="P551">
        <v>7006032737</v>
      </c>
      <c r="Q551">
        <v>60012317</v>
      </c>
      <c r="R551" s="7">
        <v>30317</v>
      </c>
      <c r="S551" s="8">
        <f t="shared" si="72"/>
        <v>1983</v>
      </c>
      <c r="T551" s="8">
        <v>1983</v>
      </c>
      <c r="U551" s="8">
        <f t="shared" si="73"/>
        <v>39</v>
      </c>
      <c r="V551" s="7">
        <v>30376</v>
      </c>
      <c r="W551" t="s">
        <v>669</v>
      </c>
      <c r="X551" s="2">
        <v>1.137</v>
      </c>
      <c r="Y551" s="6">
        <f t="shared" si="70"/>
        <v>3.0351565628253384E-2</v>
      </c>
      <c r="AA551">
        <v>189251</v>
      </c>
      <c r="AB551">
        <v>17336</v>
      </c>
      <c r="AD551" t="s">
        <v>5</v>
      </c>
      <c r="AE551" t="s">
        <v>668</v>
      </c>
      <c r="AF551">
        <v>2</v>
      </c>
      <c r="AH551" t="s">
        <v>2173</v>
      </c>
      <c r="AI551" t="s">
        <v>2172</v>
      </c>
      <c r="AK551" t="s">
        <v>2171</v>
      </c>
      <c r="AL551">
        <v>1</v>
      </c>
      <c r="AM551" s="5">
        <f t="shared" si="74"/>
        <v>2.564102564102564E-2</v>
      </c>
      <c r="AN551" s="4">
        <f t="shared" si="71"/>
        <v>3.8835328498334935E-5</v>
      </c>
      <c r="AO551" s="3"/>
      <c r="AP551">
        <v>0</v>
      </c>
      <c r="AR551" t="s">
        <v>1</v>
      </c>
      <c r="AT551" s="2" t="s">
        <v>0</v>
      </c>
      <c r="AU551" s="1">
        <f t="shared" si="75"/>
        <v>2.1257746538326865</v>
      </c>
      <c r="AV551" s="1">
        <f t="shared" si="76"/>
        <v>1.5195200478375859</v>
      </c>
      <c r="AW551" s="1">
        <f t="shared" si="77"/>
        <v>0.91326544184248504</v>
      </c>
    </row>
    <row r="552" spans="1:49" x14ac:dyDescent="0.2">
      <c r="A552">
        <v>550</v>
      </c>
      <c r="B552" t="s">
        <v>2170</v>
      </c>
      <c r="C552" t="s">
        <v>2169</v>
      </c>
      <c r="F552" t="s">
        <v>2168</v>
      </c>
      <c r="G552" t="s">
        <v>15</v>
      </c>
      <c r="H552" t="s">
        <v>14</v>
      </c>
      <c r="I552" t="s">
        <v>2167</v>
      </c>
      <c r="J552" t="s">
        <v>650</v>
      </c>
      <c r="K552" t="s">
        <v>649</v>
      </c>
      <c r="L552" t="s">
        <v>648</v>
      </c>
      <c r="M552" t="s">
        <v>91</v>
      </c>
      <c r="N552">
        <v>2</v>
      </c>
      <c r="O552" t="s">
        <v>2166</v>
      </c>
      <c r="P552" t="s">
        <v>2165</v>
      </c>
      <c r="Q552" t="s">
        <v>2164</v>
      </c>
      <c r="R552" s="7">
        <v>30317</v>
      </c>
      <c r="S552" s="8">
        <f t="shared" si="72"/>
        <v>1983</v>
      </c>
      <c r="T552" s="8">
        <v>1983</v>
      </c>
      <c r="U552" s="8">
        <f t="shared" si="73"/>
        <v>39</v>
      </c>
      <c r="V552" s="7">
        <v>30376</v>
      </c>
      <c r="W552" t="s">
        <v>2163</v>
      </c>
      <c r="X552" s="2">
        <v>0.46</v>
      </c>
      <c r="Y552" s="6">
        <f t="shared" si="70"/>
        <v>1.2279437281439364E-2</v>
      </c>
      <c r="AA552">
        <v>933813</v>
      </c>
      <c r="AB552">
        <v>28031</v>
      </c>
      <c r="AC552">
        <v>19399375</v>
      </c>
      <c r="AD552" t="s">
        <v>5</v>
      </c>
      <c r="AE552">
        <v>11</v>
      </c>
      <c r="AF552">
        <v>1</v>
      </c>
      <c r="AH552" t="s">
        <v>2162</v>
      </c>
      <c r="AI552" t="s">
        <v>2161</v>
      </c>
      <c r="AK552" t="s">
        <v>2160</v>
      </c>
      <c r="AL552">
        <v>5</v>
      </c>
      <c r="AM552" s="5">
        <f t="shared" si="74"/>
        <v>0.12820512820512819</v>
      </c>
      <c r="AN552" s="4">
        <f t="shared" si="71"/>
        <v>1.9417664249167467E-4</v>
      </c>
      <c r="AO552" s="3"/>
      <c r="AP552">
        <v>0</v>
      </c>
      <c r="AR552" t="s">
        <v>1</v>
      </c>
      <c r="AT552" s="2">
        <v>1.222</v>
      </c>
      <c r="AU552" s="1">
        <f t="shared" si="75"/>
        <v>0.8653859089755056</v>
      </c>
      <c r="AV552" s="1">
        <f t="shared" si="76"/>
        <v>0.62368069619655198</v>
      </c>
      <c r="AW552" s="1">
        <f t="shared" si="77"/>
        <v>0.38197548341759813</v>
      </c>
    </row>
    <row r="553" spans="1:49" x14ac:dyDescent="0.2">
      <c r="A553">
        <v>551</v>
      </c>
      <c r="B553" t="s">
        <v>2159</v>
      </c>
      <c r="C553" t="s">
        <v>2158</v>
      </c>
      <c r="F553" t="s">
        <v>2157</v>
      </c>
      <c r="G553" t="s">
        <v>15</v>
      </c>
      <c r="H553" t="s">
        <v>14</v>
      </c>
      <c r="I553" t="s">
        <v>2156</v>
      </c>
      <c r="J553">
        <v>60014097</v>
      </c>
      <c r="K553" t="s">
        <v>2155</v>
      </c>
      <c r="L553" t="s">
        <v>2154</v>
      </c>
      <c r="M553" t="s">
        <v>175</v>
      </c>
      <c r="N553">
        <v>2</v>
      </c>
      <c r="O553" t="s">
        <v>2153</v>
      </c>
      <c r="P553" t="s">
        <v>2152</v>
      </c>
      <c r="Q553" t="s">
        <v>2151</v>
      </c>
      <c r="R553" s="7">
        <v>30317</v>
      </c>
      <c r="S553" s="8">
        <f t="shared" si="72"/>
        <v>1983</v>
      </c>
      <c r="T553" s="8">
        <v>1983</v>
      </c>
      <c r="U553" s="8">
        <f t="shared" si="73"/>
        <v>39</v>
      </c>
      <c r="V553" s="7">
        <v>30376</v>
      </c>
      <c r="W553" t="s">
        <v>618</v>
      </c>
      <c r="X553" s="2">
        <v>1.6519999999999999</v>
      </c>
      <c r="Y553" s="6">
        <f t="shared" si="70"/>
        <v>4.409919649769093E-2</v>
      </c>
      <c r="AA553" t="s">
        <v>617</v>
      </c>
      <c r="AB553">
        <v>17337</v>
      </c>
      <c r="AC553">
        <v>15582221</v>
      </c>
      <c r="AD553" t="s">
        <v>5</v>
      </c>
      <c r="AE553">
        <v>31</v>
      </c>
      <c r="AF553">
        <v>2</v>
      </c>
      <c r="AH553" t="s">
        <v>2150</v>
      </c>
      <c r="AI553" t="s">
        <v>2149</v>
      </c>
      <c r="AK553" t="s">
        <v>2148</v>
      </c>
      <c r="AL553">
        <v>6</v>
      </c>
      <c r="AM553" s="5">
        <f t="shared" si="74"/>
        <v>0.15384615384615385</v>
      </c>
      <c r="AN553" s="4">
        <f t="shared" si="71"/>
        <v>2.3301197099000962E-4</v>
      </c>
      <c r="AO553" s="3"/>
      <c r="AP553">
        <v>0</v>
      </c>
      <c r="AR553" t="s">
        <v>1</v>
      </c>
      <c r="AT553" s="2" t="s">
        <v>0</v>
      </c>
      <c r="AU553" s="1">
        <f t="shared" si="75"/>
        <v>3.0939341139680656</v>
      </c>
      <c r="AV553" s="1">
        <f t="shared" si="76"/>
        <v>2.2166104234340471</v>
      </c>
      <c r="AW553" s="1">
        <f t="shared" si="77"/>
        <v>1.3392867329000284</v>
      </c>
    </row>
    <row r="554" spans="1:49" x14ac:dyDescent="0.2">
      <c r="A554">
        <v>552</v>
      </c>
      <c r="B554" t="s">
        <v>2147</v>
      </c>
      <c r="C554" t="s">
        <v>2146</v>
      </c>
      <c r="F554" t="s">
        <v>2145</v>
      </c>
      <c r="G554" t="s">
        <v>15</v>
      </c>
      <c r="H554" t="s">
        <v>14</v>
      </c>
      <c r="I554" t="s">
        <v>2144</v>
      </c>
      <c r="J554">
        <v>60018829</v>
      </c>
      <c r="K554" t="s">
        <v>1714</v>
      </c>
      <c r="L554" t="s">
        <v>1713</v>
      </c>
      <c r="M554" t="s">
        <v>271</v>
      </c>
      <c r="N554">
        <v>1</v>
      </c>
      <c r="O554" t="s">
        <v>2143</v>
      </c>
      <c r="P554">
        <v>56697421900</v>
      </c>
      <c r="Q554">
        <v>60018829</v>
      </c>
      <c r="R554" s="7">
        <v>30317</v>
      </c>
      <c r="S554" s="8">
        <f t="shared" si="72"/>
        <v>1983</v>
      </c>
      <c r="T554" s="8">
        <v>1983</v>
      </c>
      <c r="U554" s="8">
        <f t="shared" si="73"/>
        <v>39</v>
      </c>
      <c r="V554" s="7">
        <v>30376</v>
      </c>
      <c r="W554" t="s">
        <v>618</v>
      </c>
      <c r="X554" s="2">
        <v>1.6519999999999999</v>
      </c>
      <c r="Y554" s="6">
        <f t="shared" si="70"/>
        <v>4.409919649769093E-2</v>
      </c>
      <c r="AA554" t="s">
        <v>617</v>
      </c>
      <c r="AB554">
        <v>17337</v>
      </c>
      <c r="AC554">
        <v>15582221</v>
      </c>
      <c r="AD554" t="s">
        <v>5</v>
      </c>
      <c r="AE554">
        <v>31</v>
      </c>
      <c r="AF554">
        <v>2</v>
      </c>
      <c r="AH554" t="s">
        <v>2142</v>
      </c>
      <c r="AI554" t="s">
        <v>2141</v>
      </c>
      <c r="AK554" t="s">
        <v>2140</v>
      </c>
      <c r="AL554">
        <v>30</v>
      </c>
      <c r="AM554" s="5">
        <f t="shared" si="74"/>
        <v>0.76923076923076927</v>
      </c>
      <c r="AN554" s="4">
        <f t="shared" si="71"/>
        <v>1.1650598549500482E-3</v>
      </c>
      <c r="AO554" s="3"/>
      <c r="AP554">
        <v>0</v>
      </c>
      <c r="AR554" t="s">
        <v>1</v>
      </c>
      <c r="AT554" s="2" t="s">
        <v>0</v>
      </c>
      <c r="AU554" s="1">
        <f t="shared" si="75"/>
        <v>3.1218955504868662</v>
      </c>
      <c r="AV554" s="1">
        <f t="shared" si="76"/>
        <v>2.263212817632049</v>
      </c>
      <c r="AW554" s="1">
        <f t="shared" si="77"/>
        <v>1.4045300847772313</v>
      </c>
    </row>
    <row r="555" spans="1:49" x14ac:dyDescent="0.2">
      <c r="A555">
        <v>553</v>
      </c>
      <c r="B555" t="s">
        <v>2139</v>
      </c>
      <c r="C555" t="s">
        <v>2138</v>
      </c>
      <c r="F555" t="s">
        <v>2137</v>
      </c>
      <c r="G555" t="s">
        <v>15</v>
      </c>
      <c r="H555" t="s">
        <v>14</v>
      </c>
      <c r="I555" t="s">
        <v>2136</v>
      </c>
      <c r="J555" t="s">
        <v>2130</v>
      </c>
      <c r="K555" t="s">
        <v>2135</v>
      </c>
      <c r="L555" t="s">
        <v>2134</v>
      </c>
      <c r="M555" t="s">
        <v>2133</v>
      </c>
      <c r="N555">
        <v>2</v>
      </c>
      <c r="O555" t="s">
        <v>2132</v>
      </c>
      <c r="P555" t="s">
        <v>2131</v>
      </c>
      <c r="Q555" t="s">
        <v>2130</v>
      </c>
      <c r="R555" s="7">
        <v>30317</v>
      </c>
      <c r="S555" s="8">
        <f t="shared" si="72"/>
        <v>1983</v>
      </c>
      <c r="T555" s="8">
        <v>1983</v>
      </c>
      <c r="U555" s="8">
        <f t="shared" si="73"/>
        <v>39</v>
      </c>
      <c r="V555" s="7">
        <v>30376</v>
      </c>
      <c r="W555" t="s">
        <v>618</v>
      </c>
      <c r="X555" s="2">
        <v>1.6519999999999999</v>
      </c>
      <c r="Y555" s="6">
        <f t="shared" si="70"/>
        <v>4.409919649769093E-2</v>
      </c>
      <c r="AA555" t="s">
        <v>617</v>
      </c>
      <c r="AB555">
        <v>17337</v>
      </c>
      <c r="AC555">
        <v>15582221</v>
      </c>
      <c r="AD555" t="s">
        <v>5</v>
      </c>
      <c r="AE555">
        <v>31</v>
      </c>
      <c r="AF555">
        <v>2</v>
      </c>
      <c r="AH555" t="s">
        <v>2129</v>
      </c>
      <c r="AI555" t="s">
        <v>2128</v>
      </c>
      <c r="AK555" t="s">
        <v>2127</v>
      </c>
      <c r="AL555">
        <v>8</v>
      </c>
      <c r="AM555" s="5">
        <f t="shared" si="74"/>
        <v>0.20512820512820512</v>
      </c>
      <c r="AN555" s="4">
        <f t="shared" si="71"/>
        <v>3.1068262798667948E-4</v>
      </c>
      <c r="AO555" s="3"/>
      <c r="AP555">
        <v>0</v>
      </c>
      <c r="AR555" t="s">
        <v>1</v>
      </c>
      <c r="AT555" s="2" t="s">
        <v>0</v>
      </c>
      <c r="AU555" s="1">
        <f t="shared" si="75"/>
        <v>3.0962642336779655</v>
      </c>
      <c r="AV555" s="1">
        <f t="shared" si="76"/>
        <v>2.2204939562838804</v>
      </c>
      <c r="AW555" s="1">
        <f t="shared" si="77"/>
        <v>1.3447236788897954</v>
      </c>
    </row>
    <row r="556" spans="1:49" x14ac:dyDescent="0.2">
      <c r="A556">
        <v>554</v>
      </c>
      <c r="B556" t="s">
        <v>2126</v>
      </c>
      <c r="C556" t="s">
        <v>2125</v>
      </c>
      <c r="F556" t="s">
        <v>2124</v>
      </c>
      <c r="G556" t="s">
        <v>15</v>
      </c>
      <c r="H556" t="s">
        <v>14</v>
      </c>
      <c r="I556" t="s">
        <v>859</v>
      </c>
      <c r="J556" t="s">
        <v>2119</v>
      </c>
      <c r="K556" t="s">
        <v>2123</v>
      </c>
      <c r="L556" t="s">
        <v>2122</v>
      </c>
      <c r="M556" t="s">
        <v>216</v>
      </c>
      <c r="N556">
        <v>2</v>
      </c>
      <c r="O556" t="s">
        <v>2121</v>
      </c>
      <c r="P556" t="s">
        <v>2120</v>
      </c>
      <c r="Q556" t="s">
        <v>2119</v>
      </c>
      <c r="R556" s="7">
        <v>30317</v>
      </c>
      <c r="S556" s="8">
        <f t="shared" si="72"/>
        <v>1983</v>
      </c>
      <c r="T556" s="8">
        <v>1983</v>
      </c>
      <c r="U556" s="8">
        <f t="shared" si="73"/>
        <v>39</v>
      </c>
      <c r="V556" s="7">
        <v>30376</v>
      </c>
      <c r="W556" t="s">
        <v>618</v>
      </c>
      <c r="X556" s="2">
        <v>1.6519999999999999</v>
      </c>
      <c r="Y556" s="6">
        <f t="shared" si="70"/>
        <v>4.409919649769093E-2</v>
      </c>
      <c r="AA556" t="s">
        <v>617</v>
      </c>
      <c r="AB556">
        <v>17337</v>
      </c>
      <c r="AC556">
        <v>15582221</v>
      </c>
      <c r="AD556" t="s">
        <v>5</v>
      </c>
      <c r="AE556">
        <v>31</v>
      </c>
      <c r="AF556">
        <v>2</v>
      </c>
      <c r="AH556" t="s">
        <v>2118</v>
      </c>
      <c r="AI556" t="s">
        <v>2117</v>
      </c>
      <c r="AK556" t="s">
        <v>2116</v>
      </c>
      <c r="AL556">
        <v>3</v>
      </c>
      <c r="AM556" s="5">
        <f t="shared" si="74"/>
        <v>7.6923076923076927E-2</v>
      </c>
      <c r="AN556" s="4">
        <f t="shared" si="71"/>
        <v>1.1650598549500481E-4</v>
      </c>
      <c r="AO556" s="3"/>
      <c r="AP556">
        <v>0</v>
      </c>
      <c r="AR556" t="s">
        <v>1</v>
      </c>
      <c r="AT556" s="2" t="s">
        <v>0</v>
      </c>
      <c r="AU556" s="1">
        <f t="shared" si="75"/>
        <v>3.090438934403215</v>
      </c>
      <c r="AV556" s="1">
        <f t="shared" si="76"/>
        <v>2.2107851241592971</v>
      </c>
      <c r="AW556" s="1">
        <f t="shared" si="77"/>
        <v>1.3311313139153782</v>
      </c>
    </row>
    <row r="557" spans="1:49" x14ac:dyDescent="0.2">
      <c r="A557">
        <v>555</v>
      </c>
      <c r="B557" t="s">
        <v>2115</v>
      </c>
      <c r="C557" t="s">
        <v>2114</v>
      </c>
      <c r="F557" t="s">
        <v>2113</v>
      </c>
      <c r="G557" t="s">
        <v>15</v>
      </c>
      <c r="H557" t="s">
        <v>14</v>
      </c>
      <c r="I557" t="s">
        <v>2112</v>
      </c>
      <c r="J557">
        <v>101758353</v>
      </c>
      <c r="K557" t="s">
        <v>2111</v>
      </c>
      <c r="L557" t="s">
        <v>2110</v>
      </c>
      <c r="M557" t="s">
        <v>80</v>
      </c>
      <c r="N557">
        <v>1</v>
      </c>
      <c r="O557" t="s">
        <v>2109</v>
      </c>
      <c r="P557">
        <v>7003937027</v>
      </c>
      <c r="Q557">
        <v>101758353</v>
      </c>
      <c r="R557" s="7">
        <v>30317</v>
      </c>
      <c r="S557" s="8">
        <f t="shared" si="72"/>
        <v>1983</v>
      </c>
      <c r="T557" s="8">
        <v>1983</v>
      </c>
      <c r="U557" s="8">
        <f t="shared" si="73"/>
        <v>39</v>
      </c>
      <c r="V557" s="7">
        <v>30376</v>
      </c>
      <c r="W557" t="s">
        <v>618</v>
      </c>
      <c r="X557" s="2">
        <v>1.6519999999999999</v>
      </c>
      <c r="Y557" s="6">
        <f t="shared" si="70"/>
        <v>4.409919649769093E-2</v>
      </c>
      <c r="AA557" t="s">
        <v>617</v>
      </c>
      <c r="AB557">
        <v>17337</v>
      </c>
      <c r="AC557">
        <v>15582221</v>
      </c>
      <c r="AD557" t="s">
        <v>5</v>
      </c>
      <c r="AE557">
        <v>31</v>
      </c>
      <c r="AF557">
        <v>2</v>
      </c>
      <c r="AH557" t="s">
        <v>2108</v>
      </c>
      <c r="AI557" t="s">
        <v>2107</v>
      </c>
      <c r="AK557" t="s">
        <v>2106</v>
      </c>
      <c r="AL557">
        <v>12</v>
      </c>
      <c r="AM557" s="5">
        <f t="shared" si="74"/>
        <v>0.30769230769230771</v>
      </c>
      <c r="AN557" s="4">
        <f t="shared" si="71"/>
        <v>4.6602394198001925E-4</v>
      </c>
      <c r="AO557" s="3"/>
      <c r="AP557">
        <v>0</v>
      </c>
      <c r="AR557" t="s">
        <v>1</v>
      </c>
      <c r="AT557" s="2" t="s">
        <v>0</v>
      </c>
      <c r="AU557" s="1">
        <f t="shared" si="75"/>
        <v>3.1009244730977654</v>
      </c>
      <c r="AV557" s="1">
        <f t="shared" si="76"/>
        <v>2.2282610219835473</v>
      </c>
      <c r="AW557" s="1">
        <f t="shared" si="77"/>
        <v>1.3555975708693291</v>
      </c>
    </row>
    <row r="558" spans="1:49" x14ac:dyDescent="0.2">
      <c r="A558">
        <v>556</v>
      </c>
      <c r="B558" t="s">
        <v>2105</v>
      </c>
      <c r="C558" t="s">
        <v>2104</v>
      </c>
      <c r="F558" t="s">
        <v>2103</v>
      </c>
      <c r="G558" t="s">
        <v>15</v>
      </c>
      <c r="H558" t="s">
        <v>14</v>
      </c>
      <c r="I558" t="s">
        <v>2102</v>
      </c>
      <c r="J558">
        <v>60010571</v>
      </c>
      <c r="K558" t="s">
        <v>2101</v>
      </c>
      <c r="L558" t="s">
        <v>2100</v>
      </c>
      <c r="M558" t="s">
        <v>821</v>
      </c>
      <c r="N558">
        <v>2</v>
      </c>
      <c r="O558" t="s">
        <v>2099</v>
      </c>
      <c r="P558" t="s">
        <v>2098</v>
      </c>
      <c r="Q558" t="s">
        <v>2097</v>
      </c>
      <c r="R558" s="7">
        <v>30317</v>
      </c>
      <c r="S558" s="8">
        <f t="shared" si="72"/>
        <v>1983</v>
      </c>
      <c r="T558" s="8">
        <v>1983</v>
      </c>
      <c r="U558" s="8">
        <f t="shared" si="73"/>
        <v>39</v>
      </c>
      <c r="V558" s="7">
        <v>30376</v>
      </c>
      <c r="W558" t="s">
        <v>618</v>
      </c>
      <c r="X558" s="2">
        <v>1.6519999999999999</v>
      </c>
      <c r="Y558" s="6">
        <f t="shared" si="70"/>
        <v>4.409919649769093E-2</v>
      </c>
      <c r="AA558" t="s">
        <v>617</v>
      </c>
      <c r="AB558">
        <v>17337</v>
      </c>
      <c r="AC558">
        <v>15582221</v>
      </c>
      <c r="AD558" t="s">
        <v>5</v>
      </c>
      <c r="AE558">
        <v>31</v>
      </c>
      <c r="AF558">
        <v>2</v>
      </c>
      <c r="AH558" t="s">
        <v>2096</v>
      </c>
      <c r="AI558" t="s">
        <v>2095</v>
      </c>
      <c r="AK558" t="s">
        <v>2094</v>
      </c>
      <c r="AL558">
        <v>28</v>
      </c>
      <c r="AM558" s="5">
        <f t="shared" si="74"/>
        <v>0.71794871794871795</v>
      </c>
      <c r="AN558" s="4">
        <f t="shared" si="71"/>
        <v>1.0873891979533781E-3</v>
      </c>
      <c r="AO558" s="3"/>
      <c r="AP558">
        <v>0</v>
      </c>
      <c r="AR558" t="s">
        <v>1</v>
      </c>
      <c r="AT558" s="2" t="s">
        <v>0</v>
      </c>
      <c r="AU558" s="1">
        <f t="shared" si="75"/>
        <v>3.1195654307769662</v>
      </c>
      <c r="AV558" s="1">
        <f t="shared" si="76"/>
        <v>2.2593292847822153</v>
      </c>
      <c r="AW558" s="1">
        <f t="shared" si="77"/>
        <v>1.3990931387874641</v>
      </c>
    </row>
    <row r="559" spans="1:49" x14ac:dyDescent="0.2">
      <c r="A559">
        <v>557</v>
      </c>
      <c r="B559" t="s">
        <v>2093</v>
      </c>
      <c r="C559" t="s">
        <v>2092</v>
      </c>
      <c r="F559" t="s">
        <v>2091</v>
      </c>
      <c r="G559" t="s">
        <v>15</v>
      </c>
      <c r="H559" t="s">
        <v>14</v>
      </c>
      <c r="I559" t="s">
        <v>2090</v>
      </c>
      <c r="J559">
        <v>60009037</v>
      </c>
      <c r="K559" t="s">
        <v>720</v>
      </c>
      <c r="L559" t="s">
        <v>719</v>
      </c>
      <c r="M559" t="s">
        <v>10</v>
      </c>
      <c r="N559">
        <v>3</v>
      </c>
      <c r="O559" t="s">
        <v>2089</v>
      </c>
      <c r="P559" t="s">
        <v>2088</v>
      </c>
      <c r="Q559" t="s">
        <v>1348</v>
      </c>
      <c r="R559" s="7">
        <v>30317</v>
      </c>
      <c r="S559" s="8">
        <f t="shared" si="72"/>
        <v>1983</v>
      </c>
      <c r="T559" s="8">
        <v>1983</v>
      </c>
      <c r="U559" s="8">
        <f t="shared" si="73"/>
        <v>39</v>
      </c>
      <c r="V559" s="7">
        <v>30376</v>
      </c>
      <c r="W559" t="s">
        <v>618</v>
      </c>
      <c r="X559" s="2">
        <v>1.6519999999999999</v>
      </c>
      <c r="Y559" s="6">
        <f t="shared" si="70"/>
        <v>4.409919649769093E-2</v>
      </c>
      <c r="AA559" t="s">
        <v>617</v>
      </c>
      <c r="AB559">
        <v>17337</v>
      </c>
      <c r="AC559">
        <v>15582221</v>
      </c>
      <c r="AD559" t="s">
        <v>5</v>
      </c>
      <c r="AE559">
        <v>31</v>
      </c>
      <c r="AF559">
        <v>2</v>
      </c>
      <c r="AH559" t="s">
        <v>2087</v>
      </c>
      <c r="AI559" t="s">
        <v>2086</v>
      </c>
      <c r="AK559" t="s">
        <v>2085</v>
      </c>
      <c r="AL559">
        <v>7</v>
      </c>
      <c r="AM559" s="5">
        <f t="shared" si="74"/>
        <v>0.17948717948717949</v>
      </c>
      <c r="AN559" s="4">
        <f t="shared" si="71"/>
        <v>2.7184729948834453E-4</v>
      </c>
      <c r="AO559" s="3"/>
      <c r="AP559">
        <v>0</v>
      </c>
      <c r="AR559" t="s">
        <v>1</v>
      </c>
      <c r="AT559" s="2" t="s">
        <v>0</v>
      </c>
      <c r="AU559" s="1">
        <f t="shared" si="75"/>
        <v>3.0950991738230154</v>
      </c>
      <c r="AV559" s="1">
        <f t="shared" si="76"/>
        <v>2.2185521898589635</v>
      </c>
      <c r="AW559" s="1">
        <f t="shared" si="77"/>
        <v>1.3420052058949119</v>
      </c>
    </row>
    <row r="560" spans="1:49" x14ac:dyDescent="0.2">
      <c r="A560">
        <v>558</v>
      </c>
      <c r="B560" t="s">
        <v>2084</v>
      </c>
      <c r="C560" t="s">
        <v>2083</v>
      </c>
      <c r="F560" t="s">
        <v>2082</v>
      </c>
      <c r="G560" t="s">
        <v>15</v>
      </c>
      <c r="H560" t="s">
        <v>14</v>
      </c>
      <c r="I560" t="s">
        <v>2081</v>
      </c>
      <c r="J560" t="s">
        <v>2076</v>
      </c>
      <c r="K560" t="s">
        <v>2080</v>
      </c>
      <c r="L560" t="s">
        <v>2079</v>
      </c>
      <c r="M560" t="s">
        <v>91</v>
      </c>
      <c r="N560">
        <v>2</v>
      </c>
      <c r="O560" t="s">
        <v>2078</v>
      </c>
      <c r="P560" t="s">
        <v>2077</v>
      </c>
      <c r="Q560" t="s">
        <v>2076</v>
      </c>
      <c r="R560" s="7">
        <v>30317</v>
      </c>
      <c r="S560" s="8">
        <f t="shared" si="72"/>
        <v>1983</v>
      </c>
      <c r="T560" s="8">
        <v>1983</v>
      </c>
      <c r="U560" s="8">
        <f t="shared" si="73"/>
        <v>39</v>
      </c>
      <c r="V560" s="7">
        <v>30376</v>
      </c>
      <c r="W560" t="s">
        <v>618</v>
      </c>
      <c r="X560" s="2">
        <v>1.6519999999999999</v>
      </c>
      <c r="Y560" s="6">
        <f t="shared" si="70"/>
        <v>4.409919649769093E-2</v>
      </c>
      <c r="AA560" t="s">
        <v>617</v>
      </c>
      <c r="AB560">
        <v>17337</v>
      </c>
      <c r="AC560">
        <v>15582221</v>
      </c>
      <c r="AD560" t="s">
        <v>5</v>
      </c>
      <c r="AE560">
        <v>31</v>
      </c>
      <c r="AF560">
        <v>2</v>
      </c>
      <c r="AH560" t="s">
        <v>2075</v>
      </c>
      <c r="AI560" t="s">
        <v>2074</v>
      </c>
      <c r="AK560" t="s">
        <v>2073</v>
      </c>
      <c r="AL560">
        <v>10</v>
      </c>
      <c r="AM560" s="5">
        <f t="shared" si="74"/>
        <v>0.25641025641025639</v>
      </c>
      <c r="AN560" s="4">
        <f t="shared" si="71"/>
        <v>3.8835328498334934E-4</v>
      </c>
      <c r="AO560" s="3"/>
      <c r="AP560">
        <v>0</v>
      </c>
      <c r="AR560" t="s">
        <v>1</v>
      </c>
      <c r="AT560" s="2" t="s">
        <v>0</v>
      </c>
      <c r="AU560" s="1">
        <f t="shared" si="75"/>
        <v>3.0985943533878655</v>
      </c>
      <c r="AV560" s="1">
        <f t="shared" si="76"/>
        <v>2.224377489133714</v>
      </c>
      <c r="AW560" s="1">
        <f t="shared" si="77"/>
        <v>1.3501606248795621</v>
      </c>
    </row>
    <row r="561" spans="1:49" x14ac:dyDescent="0.2">
      <c r="A561">
        <v>559</v>
      </c>
      <c r="B561" t="s">
        <v>2072</v>
      </c>
      <c r="C561" t="s">
        <v>2071</v>
      </c>
      <c r="F561" t="s">
        <v>2070</v>
      </c>
      <c r="G561" t="s">
        <v>15</v>
      </c>
      <c r="H561" t="s">
        <v>14</v>
      </c>
      <c r="I561" t="s">
        <v>2069</v>
      </c>
      <c r="J561" t="s">
        <v>2068</v>
      </c>
      <c r="K561" t="s">
        <v>2067</v>
      </c>
      <c r="L561" t="s">
        <v>2066</v>
      </c>
      <c r="M561" t="s">
        <v>2065</v>
      </c>
      <c r="N561">
        <v>3</v>
      </c>
      <c r="O561" t="s">
        <v>2064</v>
      </c>
      <c r="P561" t="s">
        <v>2063</v>
      </c>
      <c r="Q561" t="s">
        <v>2062</v>
      </c>
      <c r="R561" s="7">
        <v>30317</v>
      </c>
      <c r="S561" s="8">
        <f t="shared" si="72"/>
        <v>1983</v>
      </c>
      <c r="T561" s="8">
        <v>1983</v>
      </c>
      <c r="U561" s="8">
        <f t="shared" si="73"/>
        <v>39</v>
      </c>
      <c r="V561" s="7">
        <v>30376</v>
      </c>
      <c r="W561" t="s">
        <v>618</v>
      </c>
      <c r="X561" s="2">
        <v>1.6519999999999999</v>
      </c>
      <c r="Y561" s="6">
        <f t="shared" si="70"/>
        <v>4.409919649769093E-2</v>
      </c>
      <c r="AA561" t="s">
        <v>617</v>
      </c>
      <c r="AB561">
        <v>17337</v>
      </c>
      <c r="AC561">
        <v>15582221</v>
      </c>
      <c r="AD561" t="s">
        <v>5</v>
      </c>
      <c r="AE561">
        <v>31</v>
      </c>
      <c r="AF561">
        <v>2</v>
      </c>
      <c r="AH561" t="s">
        <v>2061</v>
      </c>
      <c r="AI561" t="s">
        <v>2060</v>
      </c>
      <c r="AK561" t="s">
        <v>2059</v>
      </c>
      <c r="AL561">
        <v>5</v>
      </c>
      <c r="AM561" s="5">
        <f t="shared" si="74"/>
        <v>0.12820512820512819</v>
      </c>
      <c r="AN561" s="4">
        <f t="shared" si="71"/>
        <v>1.9417664249167467E-4</v>
      </c>
      <c r="AO561" s="3"/>
      <c r="AP561">
        <v>0</v>
      </c>
      <c r="AR561" t="s">
        <v>1</v>
      </c>
      <c r="AT561" s="2" t="s">
        <v>0</v>
      </c>
      <c r="AU561" s="1">
        <f t="shared" si="75"/>
        <v>3.0927690541131154</v>
      </c>
      <c r="AV561" s="1">
        <f t="shared" si="76"/>
        <v>2.2146686570091303</v>
      </c>
      <c r="AW561" s="1">
        <f t="shared" si="77"/>
        <v>1.3365682599051452</v>
      </c>
    </row>
    <row r="562" spans="1:49" x14ac:dyDescent="0.2">
      <c r="A562">
        <v>560</v>
      </c>
      <c r="B562" t="s">
        <v>2058</v>
      </c>
      <c r="C562" t="s">
        <v>2057</v>
      </c>
      <c r="F562" t="s">
        <v>2056</v>
      </c>
      <c r="G562" t="s">
        <v>15</v>
      </c>
      <c r="H562" t="s">
        <v>14</v>
      </c>
      <c r="I562" t="s">
        <v>2055</v>
      </c>
      <c r="J562" t="s">
        <v>2054</v>
      </c>
      <c r="K562" t="s">
        <v>2053</v>
      </c>
      <c r="L562" t="s">
        <v>2052</v>
      </c>
      <c r="M562" t="s">
        <v>1535</v>
      </c>
      <c r="N562">
        <v>2</v>
      </c>
      <c r="O562" t="s">
        <v>2051</v>
      </c>
      <c r="P562" t="s">
        <v>2050</v>
      </c>
      <c r="Q562" t="s">
        <v>2049</v>
      </c>
      <c r="R562" s="7">
        <v>30317</v>
      </c>
      <c r="S562" s="8">
        <f t="shared" si="72"/>
        <v>1983</v>
      </c>
      <c r="T562" s="8">
        <v>1983</v>
      </c>
      <c r="U562" s="8">
        <f t="shared" si="73"/>
        <v>39</v>
      </c>
      <c r="V562" s="7">
        <v>30376</v>
      </c>
      <c r="W562" t="s">
        <v>618</v>
      </c>
      <c r="X562" s="2">
        <v>1.6519999999999999</v>
      </c>
      <c r="Y562" s="6">
        <f t="shared" si="70"/>
        <v>4.409919649769093E-2</v>
      </c>
      <c r="AA562" t="s">
        <v>617</v>
      </c>
      <c r="AB562">
        <v>17337</v>
      </c>
      <c r="AC562">
        <v>15582221</v>
      </c>
      <c r="AD562" t="s">
        <v>5</v>
      </c>
      <c r="AE562">
        <v>31</v>
      </c>
      <c r="AF562">
        <v>2</v>
      </c>
      <c r="AH562" t="s">
        <v>2048</v>
      </c>
      <c r="AI562" t="s">
        <v>2047</v>
      </c>
      <c r="AK562" t="s">
        <v>2046</v>
      </c>
      <c r="AL562">
        <v>22</v>
      </c>
      <c r="AM562" s="5">
        <f t="shared" si="74"/>
        <v>0.5641025641025641</v>
      </c>
      <c r="AN562" s="4">
        <f t="shared" si="71"/>
        <v>8.5437722696336859E-4</v>
      </c>
      <c r="AO562" s="3"/>
      <c r="AP562">
        <v>0</v>
      </c>
      <c r="AR562" t="s">
        <v>1</v>
      </c>
      <c r="AT562" s="2" t="s">
        <v>0</v>
      </c>
      <c r="AU562" s="1">
        <f t="shared" si="75"/>
        <v>3.112575071647266</v>
      </c>
      <c r="AV562" s="1">
        <f t="shared" si="76"/>
        <v>2.2476786862327147</v>
      </c>
      <c r="AW562" s="1">
        <f t="shared" si="77"/>
        <v>1.3827823008181634</v>
      </c>
    </row>
    <row r="563" spans="1:49" x14ac:dyDescent="0.2">
      <c r="A563">
        <v>561</v>
      </c>
      <c r="B563" t="s">
        <v>2045</v>
      </c>
      <c r="F563" t="s">
        <v>2044</v>
      </c>
      <c r="G563" t="s">
        <v>15</v>
      </c>
      <c r="H563" t="s">
        <v>14</v>
      </c>
      <c r="I563" t="s">
        <v>2043</v>
      </c>
      <c r="N563">
        <v>2</v>
      </c>
      <c r="O563" t="s">
        <v>2042</v>
      </c>
      <c r="P563" t="s">
        <v>2041</v>
      </c>
      <c r="Q563" t="s">
        <v>342</v>
      </c>
      <c r="R563" s="7">
        <v>30317</v>
      </c>
      <c r="S563" s="8">
        <f t="shared" si="72"/>
        <v>1983</v>
      </c>
      <c r="T563" s="8">
        <v>1983</v>
      </c>
      <c r="U563" s="8">
        <f t="shared" si="73"/>
        <v>39</v>
      </c>
      <c r="V563" s="7" t="s">
        <v>1909</v>
      </c>
      <c r="W563" t="s">
        <v>536</v>
      </c>
      <c r="X563" s="2">
        <v>0.14099999999999999</v>
      </c>
      <c r="Y563" s="6">
        <f t="shared" si="70"/>
        <v>3.7639144710498915E-3</v>
      </c>
      <c r="AA563">
        <v>402508</v>
      </c>
      <c r="AB563">
        <v>20868</v>
      </c>
      <c r="AD563" t="s">
        <v>5</v>
      </c>
      <c r="AE563" t="s">
        <v>535</v>
      </c>
      <c r="AF563">
        <v>3</v>
      </c>
      <c r="AH563" s="9">
        <v>44474</v>
      </c>
      <c r="AI563" t="s">
        <v>2040</v>
      </c>
      <c r="AK563" t="s">
        <v>2039</v>
      </c>
      <c r="AL563">
        <v>0</v>
      </c>
      <c r="AM563" s="5">
        <f t="shared" si="74"/>
        <v>0</v>
      </c>
      <c r="AN563" s="4">
        <f t="shared" si="71"/>
        <v>0</v>
      </c>
      <c r="AO563" s="3"/>
      <c r="AP563">
        <v>0</v>
      </c>
      <c r="AR563" t="s">
        <v>1</v>
      </c>
      <c r="AT563" s="2" t="s">
        <v>0</v>
      </c>
      <c r="AU563" s="1">
        <f t="shared" si="75"/>
        <v>0.26347401297349238</v>
      </c>
      <c r="AV563" s="1">
        <f t="shared" si="76"/>
        <v>0.18819572355249459</v>
      </c>
      <c r="AW563" s="1">
        <f t="shared" si="77"/>
        <v>0.11291743413149673</v>
      </c>
    </row>
    <row r="564" spans="1:49" x14ac:dyDescent="0.2">
      <c r="A564">
        <v>562</v>
      </c>
      <c r="B564" t="s">
        <v>2038</v>
      </c>
      <c r="F564" t="s">
        <v>2037</v>
      </c>
      <c r="G564" t="s">
        <v>15</v>
      </c>
      <c r="H564" t="s">
        <v>14</v>
      </c>
      <c r="I564" t="s">
        <v>2036</v>
      </c>
      <c r="N564">
        <v>4</v>
      </c>
      <c r="O564" t="s">
        <v>2035</v>
      </c>
      <c r="P564" t="s">
        <v>2034</v>
      </c>
      <c r="Q564" t="s">
        <v>575</v>
      </c>
      <c r="R564" s="7">
        <v>30317</v>
      </c>
      <c r="S564" s="8">
        <f t="shared" si="72"/>
        <v>1983</v>
      </c>
      <c r="T564" s="8">
        <v>1983</v>
      </c>
      <c r="U564" s="8">
        <f t="shared" si="73"/>
        <v>39</v>
      </c>
      <c r="V564" s="7" t="s">
        <v>1909</v>
      </c>
      <c r="W564" t="s">
        <v>536</v>
      </c>
      <c r="X564" s="2">
        <v>0.14099999999999999</v>
      </c>
      <c r="Y564" s="6">
        <f t="shared" si="70"/>
        <v>3.7639144710498915E-3</v>
      </c>
      <c r="AA564">
        <v>402508</v>
      </c>
      <c r="AB564">
        <v>20868</v>
      </c>
      <c r="AD564" t="s">
        <v>5</v>
      </c>
      <c r="AE564" t="s">
        <v>535</v>
      </c>
      <c r="AF564">
        <v>3</v>
      </c>
      <c r="AH564" t="s">
        <v>2033</v>
      </c>
      <c r="AI564" t="s">
        <v>2032</v>
      </c>
      <c r="AK564" t="s">
        <v>2031</v>
      </c>
      <c r="AL564">
        <v>0</v>
      </c>
      <c r="AM564" s="5">
        <f t="shared" si="74"/>
        <v>0</v>
      </c>
      <c r="AN564" s="4">
        <f t="shared" si="71"/>
        <v>0</v>
      </c>
      <c r="AO564" s="3"/>
      <c r="AP564">
        <v>0</v>
      </c>
      <c r="AR564" t="s">
        <v>1</v>
      </c>
      <c r="AT564" s="2" t="s">
        <v>0</v>
      </c>
      <c r="AU564" s="1">
        <f t="shared" si="75"/>
        <v>0.26347401297349238</v>
      </c>
      <c r="AV564" s="1">
        <f t="shared" si="76"/>
        <v>0.18819572355249459</v>
      </c>
      <c r="AW564" s="1">
        <f t="shared" si="77"/>
        <v>0.11291743413149673</v>
      </c>
    </row>
    <row r="565" spans="1:49" x14ac:dyDescent="0.2">
      <c r="A565">
        <v>563</v>
      </c>
      <c r="B565" t="s">
        <v>2030</v>
      </c>
      <c r="F565" t="s">
        <v>2029</v>
      </c>
      <c r="G565" t="s">
        <v>15</v>
      </c>
      <c r="H565" t="s">
        <v>14</v>
      </c>
      <c r="I565" t="s">
        <v>2028</v>
      </c>
      <c r="N565">
        <v>11</v>
      </c>
      <c r="O565" t="s">
        <v>2027</v>
      </c>
      <c r="P565" t="s">
        <v>2026</v>
      </c>
      <c r="Q565" t="s">
        <v>2025</v>
      </c>
      <c r="R565" s="7">
        <v>30317</v>
      </c>
      <c r="S565" s="8">
        <f t="shared" si="72"/>
        <v>1983</v>
      </c>
      <c r="T565" s="8">
        <v>1983</v>
      </c>
      <c r="U565" s="8">
        <f t="shared" si="73"/>
        <v>39</v>
      </c>
      <c r="V565" s="7" t="s">
        <v>2024</v>
      </c>
      <c r="W565" t="s">
        <v>2023</v>
      </c>
      <c r="X565" s="2" t="s">
        <v>0</v>
      </c>
      <c r="Y565" s="6" t="e">
        <f t="shared" si="70"/>
        <v>#VALUE!</v>
      </c>
      <c r="AA565">
        <v>109525</v>
      </c>
      <c r="AB565">
        <v>13876</v>
      </c>
      <c r="AD565" t="s">
        <v>5</v>
      </c>
      <c r="AE565">
        <v>21</v>
      </c>
      <c r="AF565">
        <v>2</v>
      </c>
      <c r="AH565" t="s">
        <v>2022</v>
      </c>
      <c r="AI565" t="s">
        <v>2021</v>
      </c>
      <c r="AK565" t="s">
        <v>2020</v>
      </c>
      <c r="AL565">
        <v>1</v>
      </c>
      <c r="AM565" s="5">
        <f t="shared" si="74"/>
        <v>2.564102564102564E-2</v>
      </c>
      <c r="AN565" s="4">
        <f t="shared" si="71"/>
        <v>3.8835328498334935E-5</v>
      </c>
      <c r="AO565" s="3"/>
      <c r="AP565">
        <v>0</v>
      </c>
      <c r="AR565" t="s">
        <v>1</v>
      </c>
      <c r="AT565" s="2" t="s">
        <v>0</v>
      </c>
      <c r="AU565" s="1" t="e">
        <f t="shared" si="75"/>
        <v>#VALUE!</v>
      </c>
      <c r="AV565" s="1" t="e">
        <f t="shared" si="76"/>
        <v>#VALUE!</v>
      </c>
      <c r="AW565" s="1" t="e">
        <f t="shared" si="77"/>
        <v>#VALUE!</v>
      </c>
    </row>
    <row r="566" spans="1:49" x14ac:dyDescent="0.2">
      <c r="A566">
        <v>564</v>
      </c>
      <c r="B566" t="s">
        <v>2019</v>
      </c>
      <c r="F566" t="s">
        <v>2018</v>
      </c>
      <c r="G566" t="s">
        <v>15</v>
      </c>
      <c r="H566" t="s">
        <v>14</v>
      </c>
      <c r="I566" t="s">
        <v>2017</v>
      </c>
      <c r="N566">
        <v>1</v>
      </c>
      <c r="O566" t="s">
        <v>2016</v>
      </c>
      <c r="P566">
        <v>7401566638</v>
      </c>
      <c r="R566" s="7">
        <v>30317</v>
      </c>
      <c r="S566" s="8">
        <f t="shared" si="72"/>
        <v>1983</v>
      </c>
      <c r="T566" s="8">
        <v>1983</v>
      </c>
      <c r="U566" s="8">
        <f t="shared" si="73"/>
        <v>39</v>
      </c>
      <c r="V566" s="7" t="s">
        <v>1909</v>
      </c>
      <c r="W566" t="s">
        <v>560</v>
      </c>
      <c r="X566" s="2" t="s">
        <v>0</v>
      </c>
      <c r="Y566" s="6" t="e">
        <f t="shared" si="70"/>
        <v>#VALUE!</v>
      </c>
      <c r="AA566">
        <v>337889</v>
      </c>
      <c r="AB566">
        <v>40920</v>
      </c>
      <c r="AD566" t="s">
        <v>5</v>
      </c>
      <c r="AE566">
        <v>28</v>
      </c>
      <c r="AF566">
        <v>3</v>
      </c>
      <c r="AH566" s="9">
        <v>44287</v>
      </c>
      <c r="AI566" t="s">
        <v>2015</v>
      </c>
      <c r="AK566" t="s">
        <v>2014</v>
      </c>
      <c r="AL566">
        <v>0</v>
      </c>
      <c r="AM566" s="5">
        <f t="shared" si="74"/>
        <v>0</v>
      </c>
      <c r="AN566" s="4">
        <f t="shared" si="71"/>
        <v>0</v>
      </c>
      <c r="AO566" s="3"/>
      <c r="AP566">
        <v>0</v>
      </c>
      <c r="AR566" t="s">
        <v>1</v>
      </c>
      <c r="AT566" s="2" t="s">
        <v>0</v>
      </c>
      <c r="AU566" s="1" t="e">
        <f t="shared" si="75"/>
        <v>#VALUE!</v>
      </c>
      <c r="AV566" s="1" t="e">
        <f t="shared" si="76"/>
        <v>#VALUE!</v>
      </c>
      <c r="AW566" s="1" t="e">
        <f t="shared" si="77"/>
        <v>#VALUE!</v>
      </c>
    </row>
    <row r="567" spans="1:49" x14ac:dyDescent="0.2">
      <c r="A567">
        <v>565</v>
      </c>
      <c r="B567" t="s">
        <v>2013</v>
      </c>
      <c r="F567" t="s">
        <v>2012</v>
      </c>
      <c r="G567" t="s">
        <v>15</v>
      </c>
      <c r="H567" t="s">
        <v>14</v>
      </c>
      <c r="I567" t="s">
        <v>2011</v>
      </c>
      <c r="N567">
        <v>3</v>
      </c>
      <c r="O567" t="s">
        <v>2010</v>
      </c>
      <c r="P567" t="s">
        <v>2009</v>
      </c>
      <c r="Q567" t="s">
        <v>510</v>
      </c>
      <c r="R567" s="7">
        <v>30317</v>
      </c>
      <c r="S567" s="8">
        <f t="shared" si="72"/>
        <v>1983</v>
      </c>
      <c r="T567" s="8">
        <v>1983</v>
      </c>
      <c r="U567" s="8">
        <f t="shared" si="73"/>
        <v>39</v>
      </c>
      <c r="V567" s="7" t="s">
        <v>1909</v>
      </c>
      <c r="W567" t="s">
        <v>536</v>
      </c>
      <c r="X567" s="2">
        <v>0.14099999999999999</v>
      </c>
      <c r="Y567" s="6">
        <f t="shared" si="70"/>
        <v>3.7639144710498915E-3</v>
      </c>
      <c r="AA567">
        <v>402508</v>
      </c>
      <c r="AB567">
        <v>20868</v>
      </c>
      <c r="AD567" t="s">
        <v>5</v>
      </c>
      <c r="AE567" t="s">
        <v>535</v>
      </c>
      <c r="AF567">
        <v>3</v>
      </c>
      <c r="AH567" t="s">
        <v>2008</v>
      </c>
      <c r="AI567" t="s">
        <v>2007</v>
      </c>
      <c r="AK567" t="s">
        <v>2006</v>
      </c>
      <c r="AL567">
        <v>0</v>
      </c>
      <c r="AM567" s="5">
        <f t="shared" si="74"/>
        <v>0</v>
      </c>
      <c r="AN567" s="4">
        <f t="shared" si="71"/>
        <v>0</v>
      </c>
      <c r="AO567" s="3"/>
      <c r="AP567">
        <v>0</v>
      </c>
      <c r="AR567" t="s">
        <v>1</v>
      </c>
      <c r="AT567" s="2" t="s">
        <v>0</v>
      </c>
      <c r="AU567" s="1">
        <f t="shared" si="75"/>
        <v>0.26347401297349238</v>
      </c>
      <c r="AV567" s="1">
        <f t="shared" si="76"/>
        <v>0.18819572355249459</v>
      </c>
      <c r="AW567" s="1">
        <f t="shared" si="77"/>
        <v>0.11291743413149673</v>
      </c>
    </row>
    <row r="568" spans="1:49" x14ac:dyDescent="0.2">
      <c r="A568">
        <v>566</v>
      </c>
      <c r="B568" t="s">
        <v>2005</v>
      </c>
      <c r="F568" t="s">
        <v>2004</v>
      </c>
      <c r="G568" t="s">
        <v>15</v>
      </c>
      <c r="H568" t="s">
        <v>14</v>
      </c>
      <c r="I568" t="s">
        <v>2003</v>
      </c>
      <c r="N568">
        <v>1</v>
      </c>
      <c r="O568" t="s">
        <v>2002</v>
      </c>
      <c r="P568">
        <v>6508173032</v>
      </c>
      <c r="R568" s="7">
        <v>30317</v>
      </c>
      <c r="S568" s="8">
        <f t="shared" si="72"/>
        <v>1983</v>
      </c>
      <c r="T568" s="8">
        <v>1983</v>
      </c>
      <c r="U568" s="8">
        <f t="shared" si="73"/>
        <v>39</v>
      </c>
      <c r="V568" s="7" t="s">
        <v>1909</v>
      </c>
      <c r="W568" t="s">
        <v>536</v>
      </c>
      <c r="X568" s="2">
        <v>0.14099999999999999</v>
      </c>
      <c r="Y568" s="6">
        <f t="shared" si="70"/>
        <v>3.7639144710498915E-3</v>
      </c>
      <c r="AA568">
        <v>402508</v>
      </c>
      <c r="AB568">
        <v>20868</v>
      </c>
      <c r="AD568" t="s">
        <v>5</v>
      </c>
      <c r="AE568" t="s">
        <v>535</v>
      </c>
      <c r="AF568">
        <v>3</v>
      </c>
      <c r="AH568" t="s">
        <v>2001</v>
      </c>
      <c r="AI568" t="s">
        <v>2000</v>
      </c>
      <c r="AK568" t="s">
        <v>1999</v>
      </c>
      <c r="AL568">
        <v>0</v>
      </c>
      <c r="AM568" s="5">
        <f t="shared" si="74"/>
        <v>0</v>
      </c>
      <c r="AN568" s="4">
        <f t="shared" si="71"/>
        <v>0</v>
      </c>
      <c r="AO568" s="3"/>
      <c r="AP568">
        <v>0</v>
      </c>
      <c r="AR568" t="s">
        <v>1</v>
      </c>
      <c r="AT568" s="2" t="s">
        <v>0</v>
      </c>
      <c r="AU568" s="1">
        <f t="shared" si="75"/>
        <v>0.26347401297349238</v>
      </c>
      <c r="AV568" s="1">
        <f t="shared" si="76"/>
        <v>0.18819572355249459</v>
      </c>
      <c r="AW568" s="1">
        <f t="shared" si="77"/>
        <v>0.11291743413149673</v>
      </c>
    </row>
    <row r="569" spans="1:49" x14ac:dyDescent="0.2">
      <c r="A569">
        <v>567</v>
      </c>
      <c r="B569" t="s">
        <v>1998</v>
      </c>
      <c r="F569" t="s">
        <v>1997</v>
      </c>
      <c r="G569" t="s">
        <v>15</v>
      </c>
      <c r="H569" t="s">
        <v>14</v>
      </c>
      <c r="I569" t="s">
        <v>1996</v>
      </c>
      <c r="N569">
        <v>1</v>
      </c>
      <c r="O569" t="s">
        <v>1995</v>
      </c>
      <c r="P569">
        <v>6506595995</v>
      </c>
      <c r="R569" s="7">
        <v>30317</v>
      </c>
      <c r="S569" s="8">
        <f t="shared" si="72"/>
        <v>1983</v>
      </c>
      <c r="T569" s="8">
        <v>1983</v>
      </c>
      <c r="U569" s="8">
        <f t="shared" si="73"/>
        <v>39</v>
      </c>
      <c r="V569" s="7" t="s">
        <v>1909</v>
      </c>
      <c r="W569" t="s">
        <v>536</v>
      </c>
      <c r="X569" s="2">
        <v>0.14099999999999999</v>
      </c>
      <c r="Y569" s="6">
        <f t="shared" si="70"/>
        <v>3.7639144710498915E-3</v>
      </c>
      <c r="AA569">
        <v>402508</v>
      </c>
      <c r="AB569">
        <v>20868</v>
      </c>
      <c r="AD569" t="s">
        <v>5</v>
      </c>
      <c r="AE569" t="s">
        <v>535</v>
      </c>
      <c r="AF569">
        <v>3</v>
      </c>
      <c r="AH569" t="s">
        <v>1994</v>
      </c>
      <c r="AI569" t="s">
        <v>1993</v>
      </c>
      <c r="AK569" t="s">
        <v>1992</v>
      </c>
      <c r="AL569">
        <v>0</v>
      </c>
      <c r="AM569" s="5">
        <f t="shared" si="74"/>
        <v>0</v>
      </c>
      <c r="AN569" s="4">
        <f t="shared" si="71"/>
        <v>0</v>
      </c>
      <c r="AO569" s="3"/>
      <c r="AP569">
        <v>0</v>
      </c>
      <c r="AR569" t="s">
        <v>1</v>
      </c>
      <c r="AT569" s="2" t="s">
        <v>0</v>
      </c>
      <c r="AU569" s="1">
        <f t="shared" si="75"/>
        <v>0.26347401297349238</v>
      </c>
      <c r="AV569" s="1">
        <f t="shared" si="76"/>
        <v>0.18819572355249459</v>
      </c>
      <c r="AW569" s="1">
        <f t="shared" si="77"/>
        <v>0.11291743413149673</v>
      </c>
    </row>
    <row r="570" spans="1:49" x14ac:dyDescent="0.2">
      <c r="A570">
        <v>568</v>
      </c>
      <c r="B570" t="s">
        <v>1991</v>
      </c>
      <c r="F570" t="s">
        <v>1990</v>
      </c>
      <c r="G570" t="s">
        <v>15</v>
      </c>
      <c r="H570" t="s">
        <v>14</v>
      </c>
      <c r="I570" t="s">
        <v>1989</v>
      </c>
      <c r="N570">
        <v>3</v>
      </c>
      <c r="O570" t="s">
        <v>1988</v>
      </c>
      <c r="P570" t="s">
        <v>1987</v>
      </c>
      <c r="Q570" t="s">
        <v>510</v>
      </c>
      <c r="R570" s="7">
        <v>30317</v>
      </c>
      <c r="S570" s="8">
        <f t="shared" si="72"/>
        <v>1983</v>
      </c>
      <c r="T570" s="8">
        <v>1983</v>
      </c>
      <c r="U570" s="8">
        <f t="shared" si="73"/>
        <v>39</v>
      </c>
      <c r="V570" s="7" t="s">
        <v>1909</v>
      </c>
      <c r="W570" t="s">
        <v>536</v>
      </c>
      <c r="X570" s="2">
        <v>0.14099999999999999</v>
      </c>
      <c r="Y570" s="6">
        <f t="shared" si="70"/>
        <v>3.7639144710498915E-3</v>
      </c>
      <c r="AA570">
        <v>402508</v>
      </c>
      <c r="AB570">
        <v>20868</v>
      </c>
      <c r="AD570" t="s">
        <v>5</v>
      </c>
      <c r="AE570" t="s">
        <v>535</v>
      </c>
      <c r="AF570">
        <v>3</v>
      </c>
      <c r="AH570" t="s">
        <v>1986</v>
      </c>
      <c r="AI570" t="s">
        <v>1985</v>
      </c>
      <c r="AK570" t="s">
        <v>1984</v>
      </c>
      <c r="AL570">
        <v>0</v>
      </c>
      <c r="AM570" s="5">
        <f t="shared" si="74"/>
        <v>0</v>
      </c>
      <c r="AN570" s="4">
        <f t="shared" si="71"/>
        <v>0</v>
      </c>
      <c r="AO570" s="3"/>
      <c r="AP570">
        <v>0</v>
      </c>
      <c r="AR570" t="s">
        <v>1</v>
      </c>
      <c r="AT570" s="2" t="s">
        <v>0</v>
      </c>
      <c r="AU570" s="1">
        <f t="shared" si="75"/>
        <v>0.26347401297349238</v>
      </c>
      <c r="AV570" s="1">
        <f t="shared" si="76"/>
        <v>0.18819572355249459</v>
      </c>
      <c r="AW570" s="1">
        <f t="shared" si="77"/>
        <v>0.11291743413149673</v>
      </c>
    </row>
    <row r="571" spans="1:49" x14ac:dyDescent="0.2">
      <c r="A571">
        <v>569</v>
      </c>
      <c r="B571" t="s">
        <v>1983</v>
      </c>
      <c r="F571" t="s">
        <v>1982</v>
      </c>
      <c r="G571" t="s">
        <v>15</v>
      </c>
      <c r="H571" t="s">
        <v>14</v>
      </c>
      <c r="I571" t="s">
        <v>1981</v>
      </c>
      <c r="N571">
        <v>2</v>
      </c>
      <c r="O571" t="s">
        <v>1980</v>
      </c>
      <c r="P571" t="s">
        <v>1979</v>
      </c>
      <c r="Q571" t="s">
        <v>342</v>
      </c>
      <c r="R571" s="7">
        <v>30317</v>
      </c>
      <c r="S571" s="8">
        <f t="shared" si="72"/>
        <v>1983</v>
      </c>
      <c r="T571" s="8">
        <v>1983</v>
      </c>
      <c r="U571" s="8">
        <f t="shared" si="73"/>
        <v>39</v>
      </c>
      <c r="V571" s="7" t="s">
        <v>1909</v>
      </c>
      <c r="W571" t="s">
        <v>560</v>
      </c>
      <c r="X571" s="2" t="s">
        <v>0</v>
      </c>
      <c r="Y571" s="6" t="e">
        <f t="shared" si="70"/>
        <v>#VALUE!</v>
      </c>
      <c r="AA571">
        <v>337889</v>
      </c>
      <c r="AB571">
        <v>40920</v>
      </c>
      <c r="AD571" t="s">
        <v>5</v>
      </c>
      <c r="AE571">
        <v>28</v>
      </c>
      <c r="AF571">
        <v>3</v>
      </c>
      <c r="AH571" t="s">
        <v>1978</v>
      </c>
      <c r="AI571" t="s">
        <v>1977</v>
      </c>
      <c r="AK571" t="s">
        <v>1976</v>
      </c>
      <c r="AL571">
        <v>0</v>
      </c>
      <c r="AM571" s="5">
        <f t="shared" si="74"/>
        <v>0</v>
      </c>
      <c r="AN571" s="4">
        <f t="shared" si="71"/>
        <v>0</v>
      </c>
      <c r="AO571" s="3"/>
      <c r="AP571">
        <v>0</v>
      </c>
      <c r="AR571" t="s">
        <v>1</v>
      </c>
      <c r="AT571" s="2" t="s">
        <v>0</v>
      </c>
      <c r="AU571" s="1" t="e">
        <f t="shared" si="75"/>
        <v>#VALUE!</v>
      </c>
      <c r="AV571" s="1" t="e">
        <f t="shared" si="76"/>
        <v>#VALUE!</v>
      </c>
      <c r="AW571" s="1" t="e">
        <f t="shared" si="77"/>
        <v>#VALUE!</v>
      </c>
    </row>
    <row r="572" spans="1:49" x14ac:dyDescent="0.2">
      <c r="A572">
        <v>570</v>
      </c>
      <c r="B572" t="s">
        <v>1975</v>
      </c>
      <c r="F572" t="s">
        <v>1974</v>
      </c>
      <c r="G572" t="s">
        <v>15</v>
      </c>
      <c r="H572" t="s">
        <v>14</v>
      </c>
      <c r="I572" t="s">
        <v>1912</v>
      </c>
      <c r="N572">
        <v>3</v>
      </c>
      <c r="O572" t="s">
        <v>1911</v>
      </c>
      <c r="P572" t="s">
        <v>1910</v>
      </c>
      <c r="Q572" t="s">
        <v>510</v>
      </c>
      <c r="R572" s="7">
        <v>30317</v>
      </c>
      <c r="S572" s="8">
        <f t="shared" si="72"/>
        <v>1983</v>
      </c>
      <c r="T572" s="8">
        <v>1983</v>
      </c>
      <c r="U572" s="8">
        <f t="shared" si="73"/>
        <v>39</v>
      </c>
      <c r="V572" s="7" t="s">
        <v>1909</v>
      </c>
      <c r="W572" t="s">
        <v>1908</v>
      </c>
      <c r="X572" s="2" t="s">
        <v>0</v>
      </c>
      <c r="Y572" s="6" t="e">
        <f t="shared" si="70"/>
        <v>#VALUE!</v>
      </c>
      <c r="AA572">
        <v>385662</v>
      </c>
      <c r="AB572">
        <v>36170</v>
      </c>
      <c r="AD572" t="s">
        <v>5</v>
      </c>
      <c r="AE572">
        <v>28</v>
      </c>
      <c r="AF572">
        <v>3</v>
      </c>
      <c r="AH572" t="s">
        <v>1973</v>
      </c>
      <c r="AI572" t="s">
        <v>1972</v>
      </c>
      <c r="AK572" t="s">
        <v>1971</v>
      </c>
      <c r="AL572">
        <v>0</v>
      </c>
      <c r="AM572" s="5">
        <f t="shared" si="74"/>
        <v>0</v>
      </c>
      <c r="AN572" s="4">
        <f t="shared" si="71"/>
        <v>0</v>
      </c>
      <c r="AO572" s="3"/>
      <c r="AP572">
        <v>0</v>
      </c>
      <c r="AR572" t="s">
        <v>1</v>
      </c>
      <c r="AT572" s="2" t="s">
        <v>0</v>
      </c>
      <c r="AU572" s="1" t="e">
        <f t="shared" si="75"/>
        <v>#VALUE!</v>
      </c>
      <c r="AV572" s="1" t="e">
        <f t="shared" si="76"/>
        <v>#VALUE!</v>
      </c>
      <c r="AW572" s="1" t="e">
        <f t="shared" si="77"/>
        <v>#VALUE!</v>
      </c>
    </row>
    <row r="573" spans="1:49" x14ac:dyDescent="0.2">
      <c r="A573">
        <v>571</v>
      </c>
      <c r="B573" t="s">
        <v>1970</v>
      </c>
      <c r="F573" t="s">
        <v>1969</v>
      </c>
      <c r="G573" t="s">
        <v>15</v>
      </c>
      <c r="H573" t="s">
        <v>14</v>
      </c>
      <c r="I573" t="s">
        <v>1968</v>
      </c>
      <c r="N573">
        <v>1</v>
      </c>
      <c r="O573" t="s">
        <v>1967</v>
      </c>
      <c r="P573">
        <v>7102913956</v>
      </c>
      <c r="R573" s="7">
        <v>30317</v>
      </c>
      <c r="S573" s="8">
        <f t="shared" si="72"/>
        <v>1983</v>
      </c>
      <c r="T573" s="8">
        <v>1983</v>
      </c>
      <c r="U573" s="8">
        <f t="shared" si="73"/>
        <v>39</v>
      </c>
      <c r="V573" s="7" t="s">
        <v>1909</v>
      </c>
      <c r="W573" t="s">
        <v>1966</v>
      </c>
      <c r="X573" s="2" t="s">
        <v>0</v>
      </c>
      <c r="Y573" s="6" t="e">
        <f t="shared" si="70"/>
        <v>#VALUE!</v>
      </c>
      <c r="AA573">
        <v>338001</v>
      </c>
      <c r="AB573">
        <v>32587</v>
      </c>
      <c r="AD573" t="s">
        <v>5</v>
      </c>
      <c r="AE573">
        <v>30</v>
      </c>
      <c r="AF573">
        <v>129</v>
      </c>
      <c r="AH573" t="s">
        <v>1965</v>
      </c>
      <c r="AI573" t="s">
        <v>1964</v>
      </c>
      <c r="AK573" t="s">
        <v>1963</v>
      </c>
      <c r="AL573">
        <v>19</v>
      </c>
      <c r="AM573" s="5">
        <f t="shared" si="74"/>
        <v>0.48717948717948717</v>
      </c>
      <c r="AN573" s="4">
        <f t="shared" si="71"/>
        <v>7.3787124146836372E-4</v>
      </c>
      <c r="AO573" s="3"/>
      <c r="AP573">
        <v>0</v>
      </c>
      <c r="AR573" t="s">
        <v>1</v>
      </c>
      <c r="AT573" s="2" t="s">
        <v>0</v>
      </c>
      <c r="AU573" s="1" t="e">
        <f t="shared" si="75"/>
        <v>#VALUE!</v>
      </c>
      <c r="AV573" s="1" t="e">
        <f t="shared" si="76"/>
        <v>#VALUE!</v>
      </c>
      <c r="AW573" s="1" t="e">
        <f t="shared" si="77"/>
        <v>#VALUE!</v>
      </c>
    </row>
    <row r="574" spans="1:49" x14ac:dyDescent="0.2">
      <c r="A574">
        <v>572</v>
      </c>
      <c r="B574" t="s">
        <v>1962</v>
      </c>
      <c r="C574" t="s">
        <v>1961</v>
      </c>
      <c r="F574" t="s">
        <v>1960</v>
      </c>
      <c r="G574" t="s">
        <v>15</v>
      </c>
      <c r="H574" t="s">
        <v>14</v>
      </c>
      <c r="I574" t="s">
        <v>1959</v>
      </c>
      <c r="J574">
        <v>60014652</v>
      </c>
      <c r="K574" t="s">
        <v>674</v>
      </c>
      <c r="L574" t="s">
        <v>673</v>
      </c>
      <c r="M574" t="s">
        <v>55</v>
      </c>
      <c r="N574">
        <v>3</v>
      </c>
      <c r="O574" t="s">
        <v>1958</v>
      </c>
      <c r="P574" t="s">
        <v>1957</v>
      </c>
      <c r="Q574" t="s">
        <v>670</v>
      </c>
      <c r="R574" s="7">
        <v>30317</v>
      </c>
      <c r="S574" s="8">
        <f t="shared" si="72"/>
        <v>1983</v>
      </c>
      <c r="T574" s="8">
        <v>1983</v>
      </c>
      <c r="U574" s="8">
        <f t="shared" si="73"/>
        <v>39</v>
      </c>
      <c r="V574" s="7">
        <v>1983</v>
      </c>
      <c r="W574" t="s">
        <v>227</v>
      </c>
      <c r="X574" s="2">
        <v>0.111</v>
      </c>
      <c r="Y574" s="6">
        <f t="shared" si="70"/>
        <v>2.9630816048690639E-3</v>
      </c>
      <c r="AA574">
        <v>87566621</v>
      </c>
      <c r="AB574">
        <v>24890</v>
      </c>
      <c r="AC574">
        <v>15206424</v>
      </c>
      <c r="AD574" t="s">
        <v>5</v>
      </c>
      <c r="AE574">
        <v>66</v>
      </c>
      <c r="AF574">
        <v>3</v>
      </c>
      <c r="AH574" t="s">
        <v>1956</v>
      </c>
      <c r="AI574" t="s">
        <v>1955</v>
      </c>
      <c r="AK574" t="s">
        <v>1954</v>
      </c>
      <c r="AL574">
        <v>0</v>
      </c>
      <c r="AM574" s="5">
        <f t="shared" si="74"/>
        <v>0</v>
      </c>
      <c r="AN574" s="4">
        <f t="shared" si="71"/>
        <v>0</v>
      </c>
      <c r="AO574" s="3"/>
      <c r="AP574">
        <v>0</v>
      </c>
      <c r="AR574" t="s">
        <v>1</v>
      </c>
      <c r="AT574" s="2" t="s">
        <v>0</v>
      </c>
      <c r="AU574" s="1">
        <f t="shared" si="75"/>
        <v>0.20741571234083445</v>
      </c>
      <c r="AV574" s="1">
        <f t="shared" si="76"/>
        <v>0.1481540802434532</v>
      </c>
      <c r="AW574" s="1">
        <f t="shared" si="77"/>
        <v>8.8892448146071903E-2</v>
      </c>
    </row>
    <row r="575" spans="1:49" x14ac:dyDescent="0.2">
      <c r="A575">
        <v>573</v>
      </c>
      <c r="B575" t="s">
        <v>1953</v>
      </c>
      <c r="C575" t="s">
        <v>1952</v>
      </c>
      <c r="F575" t="s">
        <v>1951</v>
      </c>
      <c r="G575" t="s">
        <v>15</v>
      </c>
      <c r="H575" t="s">
        <v>14</v>
      </c>
      <c r="I575" t="s">
        <v>1950</v>
      </c>
      <c r="J575">
        <v>60024322</v>
      </c>
      <c r="K575" t="s">
        <v>1949</v>
      </c>
      <c r="L575" t="s">
        <v>1948</v>
      </c>
      <c r="M575" t="s">
        <v>55</v>
      </c>
      <c r="N575">
        <v>4</v>
      </c>
      <c r="O575" t="s">
        <v>1947</v>
      </c>
      <c r="P575" t="s">
        <v>1946</v>
      </c>
      <c r="Q575" t="s">
        <v>1945</v>
      </c>
      <c r="R575" s="7">
        <v>30317</v>
      </c>
      <c r="S575" s="8">
        <f t="shared" si="72"/>
        <v>1983</v>
      </c>
      <c r="T575" s="8">
        <v>1983</v>
      </c>
      <c r="U575" s="8">
        <f t="shared" si="73"/>
        <v>39</v>
      </c>
      <c r="V575" s="7">
        <v>1983</v>
      </c>
      <c r="W575" t="s">
        <v>227</v>
      </c>
      <c r="X575" s="2">
        <v>0.111</v>
      </c>
      <c r="Y575" s="6">
        <f t="shared" si="70"/>
        <v>2.9630816048690639E-3</v>
      </c>
      <c r="AA575">
        <v>87566621</v>
      </c>
      <c r="AB575">
        <v>24890</v>
      </c>
      <c r="AC575">
        <v>15206424</v>
      </c>
      <c r="AD575" t="s">
        <v>5</v>
      </c>
      <c r="AE575">
        <v>66</v>
      </c>
      <c r="AF575">
        <v>3</v>
      </c>
      <c r="AH575" t="s">
        <v>1944</v>
      </c>
      <c r="AI575" t="s">
        <v>1943</v>
      </c>
      <c r="AK575" t="s">
        <v>1942</v>
      </c>
      <c r="AL575">
        <v>0</v>
      </c>
      <c r="AM575" s="5">
        <f t="shared" si="74"/>
        <v>0</v>
      </c>
      <c r="AN575" s="4">
        <f t="shared" si="71"/>
        <v>0</v>
      </c>
      <c r="AO575" s="3"/>
      <c r="AP575">
        <v>0</v>
      </c>
      <c r="AR575" t="s">
        <v>1</v>
      </c>
      <c r="AT575" s="2" t="s">
        <v>0</v>
      </c>
      <c r="AU575" s="1">
        <f t="shared" si="75"/>
        <v>0.20741571234083445</v>
      </c>
      <c r="AV575" s="1">
        <f t="shared" si="76"/>
        <v>0.1481540802434532</v>
      </c>
      <c r="AW575" s="1">
        <f t="shared" si="77"/>
        <v>8.8892448146071903E-2</v>
      </c>
    </row>
    <row r="576" spans="1:49" x14ac:dyDescent="0.2">
      <c r="A576">
        <v>574</v>
      </c>
      <c r="B576" t="s">
        <v>1941</v>
      </c>
      <c r="F576" t="s">
        <v>1940</v>
      </c>
      <c r="G576" t="s">
        <v>15</v>
      </c>
      <c r="H576" t="s">
        <v>14</v>
      </c>
      <c r="I576" t="s">
        <v>1939</v>
      </c>
      <c r="N576">
        <v>2</v>
      </c>
      <c r="O576" t="s">
        <v>1938</v>
      </c>
      <c r="P576" t="s">
        <v>1937</v>
      </c>
      <c r="Q576" t="s">
        <v>342</v>
      </c>
      <c r="R576" s="7">
        <v>30317</v>
      </c>
      <c r="S576" s="8">
        <f t="shared" si="72"/>
        <v>1983</v>
      </c>
      <c r="T576" s="8">
        <v>1983</v>
      </c>
      <c r="U576" s="8">
        <f t="shared" si="73"/>
        <v>39</v>
      </c>
      <c r="V576" s="7" t="s">
        <v>1909</v>
      </c>
      <c r="W576" t="s">
        <v>560</v>
      </c>
      <c r="X576" s="2" t="s">
        <v>0</v>
      </c>
      <c r="Y576" s="6" t="e">
        <f t="shared" si="70"/>
        <v>#VALUE!</v>
      </c>
      <c r="AA576">
        <v>337889</v>
      </c>
      <c r="AB576">
        <v>40920</v>
      </c>
      <c r="AD576" t="s">
        <v>5</v>
      </c>
      <c r="AE576">
        <v>28</v>
      </c>
      <c r="AF576">
        <v>3</v>
      </c>
      <c r="AH576" t="s">
        <v>1936</v>
      </c>
      <c r="AI576" t="s">
        <v>1935</v>
      </c>
      <c r="AK576" t="s">
        <v>1934</v>
      </c>
      <c r="AL576">
        <v>0</v>
      </c>
      <c r="AM576" s="5">
        <f t="shared" si="74"/>
        <v>0</v>
      </c>
      <c r="AN576" s="4">
        <f t="shared" si="71"/>
        <v>0</v>
      </c>
      <c r="AO576" s="3"/>
      <c r="AP576">
        <v>0</v>
      </c>
      <c r="AR576" t="s">
        <v>1</v>
      </c>
      <c r="AT576" s="2" t="s">
        <v>0</v>
      </c>
      <c r="AU576" s="1" t="e">
        <f t="shared" si="75"/>
        <v>#VALUE!</v>
      </c>
      <c r="AV576" s="1" t="e">
        <f t="shared" si="76"/>
        <v>#VALUE!</v>
      </c>
      <c r="AW576" s="1" t="e">
        <f t="shared" si="77"/>
        <v>#VALUE!</v>
      </c>
    </row>
    <row r="577" spans="1:49" x14ac:dyDescent="0.2">
      <c r="A577">
        <v>575</v>
      </c>
      <c r="B577" t="s">
        <v>1933</v>
      </c>
      <c r="F577" t="s">
        <v>1932</v>
      </c>
      <c r="G577" t="s">
        <v>15</v>
      </c>
      <c r="H577" t="s">
        <v>14</v>
      </c>
      <c r="I577" t="s">
        <v>1931</v>
      </c>
      <c r="N577">
        <v>1</v>
      </c>
      <c r="O577" t="s">
        <v>1930</v>
      </c>
      <c r="P577">
        <v>6507658755</v>
      </c>
      <c r="R577" s="7">
        <v>30317</v>
      </c>
      <c r="S577" s="8">
        <f t="shared" si="72"/>
        <v>1983</v>
      </c>
      <c r="T577" s="8">
        <v>1983</v>
      </c>
      <c r="U577" s="8">
        <f t="shared" si="73"/>
        <v>39</v>
      </c>
      <c r="V577" s="7" t="s">
        <v>1909</v>
      </c>
      <c r="W577" t="s">
        <v>536</v>
      </c>
      <c r="X577" s="2">
        <v>0.14099999999999999</v>
      </c>
      <c r="Y577" s="6">
        <f t="shared" si="70"/>
        <v>3.7639144710498915E-3</v>
      </c>
      <c r="AA577">
        <v>402508</v>
      </c>
      <c r="AB577">
        <v>20868</v>
      </c>
      <c r="AD577" t="s">
        <v>5</v>
      </c>
      <c r="AE577" t="s">
        <v>535</v>
      </c>
      <c r="AF577">
        <v>3</v>
      </c>
      <c r="AH577" s="10">
        <v>43405</v>
      </c>
      <c r="AI577" t="s">
        <v>1929</v>
      </c>
      <c r="AK577" t="s">
        <v>1928</v>
      </c>
      <c r="AL577">
        <v>0</v>
      </c>
      <c r="AM577" s="5">
        <f t="shared" si="74"/>
        <v>0</v>
      </c>
      <c r="AN577" s="4">
        <f t="shared" si="71"/>
        <v>0</v>
      </c>
      <c r="AO577" s="3"/>
      <c r="AP577">
        <v>0</v>
      </c>
      <c r="AR577" t="s">
        <v>1</v>
      </c>
      <c r="AT577" s="2" t="s">
        <v>0</v>
      </c>
      <c r="AU577" s="1">
        <f t="shared" si="75"/>
        <v>0.26347401297349238</v>
      </c>
      <c r="AV577" s="1">
        <f t="shared" si="76"/>
        <v>0.18819572355249459</v>
      </c>
      <c r="AW577" s="1">
        <f t="shared" si="77"/>
        <v>0.11291743413149673</v>
      </c>
    </row>
    <row r="578" spans="1:49" x14ac:dyDescent="0.2">
      <c r="A578">
        <v>576</v>
      </c>
      <c r="B578" t="s">
        <v>1927</v>
      </c>
      <c r="F578" t="s">
        <v>1926</v>
      </c>
      <c r="G578" t="s">
        <v>15</v>
      </c>
      <c r="H578" t="s">
        <v>14</v>
      </c>
      <c r="I578" t="s">
        <v>1925</v>
      </c>
      <c r="N578">
        <v>3</v>
      </c>
      <c r="O578" t="s">
        <v>1924</v>
      </c>
      <c r="P578" t="s">
        <v>1923</v>
      </c>
      <c r="Q578" t="s">
        <v>510</v>
      </c>
      <c r="R578" s="7">
        <v>30317</v>
      </c>
      <c r="S578" s="8">
        <f t="shared" si="72"/>
        <v>1983</v>
      </c>
      <c r="T578" s="8">
        <v>1983</v>
      </c>
      <c r="U578" s="8">
        <f t="shared" si="73"/>
        <v>39</v>
      </c>
      <c r="V578" s="7" t="s">
        <v>1909</v>
      </c>
      <c r="W578" t="s">
        <v>536</v>
      </c>
      <c r="X578" s="2">
        <v>0.14099999999999999</v>
      </c>
      <c r="Y578" s="6">
        <f t="shared" ref="Y578:Y641" si="78">(X578-$Z$4)/($Z$3-$Z$4)</f>
        <v>3.7639144710498915E-3</v>
      </c>
      <c r="AA578">
        <v>402508</v>
      </c>
      <c r="AB578">
        <v>20868</v>
      </c>
      <c r="AD578" t="s">
        <v>5</v>
      </c>
      <c r="AE578" t="s">
        <v>535</v>
      </c>
      <c r="AF578">
        <v>3</v>
      </c>
      <c r="AH578" s="9">
        <v>44317</v>
      </c>
      <c r="AI578" t="s">
        <v>1922</v>
      </c>
      <c r="AK578" t="s">
        <v>1921</v>
      </c>
      <c r="AL578">
        <v>0</v>
      </c>
      <c r="AM578" s="5">
        <f t="shared" si="74"/>
        <v>0</v>
      </c>
      <c r="AN578" s="4">
        <f t="shared" ref="AN578:AN641" si="79">(AM578-$AO$4)/($AO$3-$AO$4)</f>
        <v>0</v>
      </c>
      <c r="AO578" s="3"/>
      <c r="AP578">
        <v>0</v>
      </c>
      <c r="AR578" t="s">
        <v>1</v>
      </c>
      <c r="AT578" s="2" t="s">
        <v>0</v>
      </c>
      <c r="AU578" s="1">
        <f t="shared" si="75"/>
        <v>0.26347401297349238</v>
      </c>
      <c r="AV578" s="1">
        <f t="shared" si="76"/>
        <v>0.18819572355249459</v>
      </c>
      <c r="AW578" s="1">
        <f t="shared" si="77"/>
        <v>0.11291743413149673</v>
      </c>
    </row>
    <row r="579" spans="1:49" x14ac:dyDescent="0.2">
      <c r="A579">
        <v>577</v>
      </c>
      <c r="B579" t="s">
        <v>1920</v>
      </c>
      <c r="F579" t="s">
        <v>1919</v>
      </c>
      <c r="G579" t="s">
        <v>15</v>
      </c>
      <c r="H579" t="s">
        <v>14</v>
      </c>
      <c r="I579" t="s">
        <v>1918</v>
      </c>
      <c r="N579">
        <v>1</v>
      </c>
      <c r="O579" t="s">
        <v>1917</v>
      </c>
      <c r="P579">
        <v>57213252759</v>
      </c>
      <c r="R579" s="7">
        <v>30317</v>
      </c>
      <c r="S579" s="8">
        <f t="shared" si="72"/>
        <v>1983</v>
      </c>
      <c r="T579" s="8">
        <v>1983</v>
      </c>
      <c r="U579" s="8">
        <f t="shared" si="73"/>
        <v>39</v>
      </c>
      <c r="V579" s="7" t="s">
        <v>1909</v>
      </c>
      <c r="W579" t="s">
        <v>560</v>
      </c>
      <c r="X579" s="2" t="s">
        <v>0</v>
      </c>
      <c r="Y579" s="6" t="e">
        <f t="shared" si="78"/>
        <v>#VALUE!</v>
      </c>
      <c r="AA579">
        <v>337889</v>
      </c>
      <c r="AB579">
        <v>40920</v>
      </c>
      <c r="AD579" t="s">
        <v>5</v>
      </c>
      <c r="AE579">
        <v>28</v>
      </c>
      <c r="AF579">
        <v>3</v>
      </c>
      <c r="AH579" t="s">
        <v>1089</v>
      </c>
      <c r="AI579" t="s">
        <v>1916</v>
      </c>
      <c r="AK579" t="s">
        <v>1915</v>
      </c>
      <c r="AL579">
        <v>3</v>
      </c>
      <c r="AM579" s="5">
        <f t="shared" si="74"/>
        <v>7.6923076923076927E-2</v>
      </c>
      <c r="AN579" s="4">
        <f t="shared" si="79"/>
        <v>1.1650598549500481E-4</v>
      </c>
      <c r="AO579" s="3"/>
      <c r="AP579">
        <v>0</v>
      </c>
      <c r="AR579" t="s">
        <v>1</v>
      </c>
      <c r="AT579" s="2" t="s">
        <v>0</v>
      </c>
      <c r="AU579" s="1" t="e">
        <f t="shared" si="75"/>
        <v>#VALUE!</v>
      </c>
      <c r="AV579" s="1" t="e">
        <f t="shared" si="76"/>
        <v>#VALUE!</v>
      </c>
      <c r="AW579" s="1" t="e">
        <f t="shared" si="77"/>
        <v>#VALUE!</v>
      </c>
    </row>
    <row r="580" spans="1:49" x14ac:dyDescent="0.2">
      <c r="A580">
        <v>578</v>
      </c>
      <c r="B580" t="s">
        <v>1914</v>
      </c>
      <c r="F580" t="s">
        <v>1913</v>
      </c>
      <c r="G580" t="s">
        <v>15</v>
      </c>
      <c r="H580" t="s">
        <v>14</v>
      </c>
      <c r="I580" t="s">
        <v>1912</v>
      </c>
      <c r="N580">
        <v>3</v>
      </c>
      <c r="O580" t="s">
        <v>1911</v>
      </c>
      <c r="P580" t="s">
        <v>1910</v>
      </c>
      <c r="Q580" t="s">
        <v>510</v>
      </c>
      <c r="R580" s="7">
        <v>30317</v>
      </c>
      <c r="S580" s="8">
        <f t="shared" si="72"/>
        <v>1983</v>
      </c>
      <c r="T580" s="8">
        <v>1983</v>
      </c>
      <c r="U580" s="8">
        <f t="shared" si="73"/>
        <v>39</v>
      </c>
      <c r="V580" s="7" t="s">
        <v>1909</v>
      </c>
      <c r="W580" t="s">
        <v>1908</v>
      </c>
      <c r="X580" s="2" t="s">
        <v>0</v>
      </c>
      <c r="Y580" s="6" t="e">
        <f t="shared" si="78"/>
        <v>#VALUE!</v>
      </c>
      <c r="AA580">
        <v>385662</v>
      </c>
      <c r="AB580">
        <v>36170</v>
      </c>
      <c r="AD580" t="s">
        <v>5</v>
      </c>
      <c r="AE580">
        <v>28</v>
      </c>
      <c r="AF580">
        <v>3</v>
      </c>
      <c r="AH580" t="s">
        <v>1907</v>
      </c>
      <c r="AI580" t="s">
        <v>1906</v>
      </c>
      <c r="AK580" t="s">
        <v>1905</v>
      </c>
      <c r="AL580">
        <v>0</v>
      </c>
      <c r="AM580" s="5">
        <f t="shared" si="74"/>
        <v>0</v>
      </c>
      <c r="AN580" s="4">
        <f t="shared" si="79"/>
        <v>0</v>
      </c>
      <c r="AO580" s="3"/>
      <c r="AP580">
        <v>0</v>
      </c>
      <c r="AR580" t="s">
        <v>1</v>
      </c>
      <c r="AT580" s="2" t="s">
        <v>0</v>
      </c>
      <c r="AU580" s="1" t="e">
        <f t="shared" si="75"/>
        <v>#VALUE!</v>
      </c>
      <c r="AV580" s="1" t="e">
        <f t="shared" si="76"/>
        <v>#VALUE!</v>
      </c>
      <c r="AW580" s="1" t="e">
        <f t="shared" si="77"/>
        <v>#VALUE!</v>
      </c>
    </row>
    <row r="581" spans="1:49" x14ac:dyDescent="0.2">
      <c r="A581">
        <v>579</v>
      </c>
      <c r="B581" t="s">
        <v>1904</v>
      </c>
      <c r="C581" t="s">
        <v>1903</v>
      </c>
      <c r="E581">
        <v>6838726</v>
      </c>
      <c r="F581" t="s">
        <v>1902</v>
      </c>
      <c r="G581" t="s">
        <v>15</v>
      </c>
      <c r="H581" t="s">
        <v>14</v>
      </c>
      <c r="I581" t="s">
        <v>1901</v>
      </c>
      <c r="N581">
        <v>2</v>
      </c>
      <c r="O581" t="s">
        <v>1900</v>
      </c>
      <c r="P581" t="s">
        <v>1899</v>
      </c>
      <c r="Q581" t="s">
        <v>342</v>
      </c>
      <c r="R581" s="7">
        <v>30317</v>
      </c>
      <c r="S581" s="8">
        <f t="shared" si="72"/>
        <v>1983</v>
      </c>
      <c r="T581" s="8">
        <v>1983</v>
      </c>
      <c r="U581" s="8">
        <f t="shared" si="73"/>
        <v>39</v>
      </c>
      <c r="V581" s="7">
        <v>30348</v>
      </c>
      <c r="W581" t="s">
        <v>1898</v>
      </c>
      <c r="X581" s="2" t="s">
        <v>0</v>
      </c>
      <c r="Y581" s="6" t="e">
        <f t="shared" si="78"/>
        <v>#VALUE!</v>
      </c>
      <c r="AA581">
        <v>7357044</v>
      </c>
      <c r="AB581">
        <v>12122</v>
      </c>
      <c r="AD581" t="s">
        <v>5</v>
      </c>
      <c r="AE581">
        <v>97</v>
      </c>
      <c r="AF581">
        <v>1</v>
      </c>
      <c r="AH581" t="s">
        <v>1897</v>
      </c>
      <c r="AI581" t="s">
        <v>1896</v>
      </c>
      <c r="AK581" t="s">
        <v>1895</v>
      </c>
      <c r="AL581">
        <v>13</v>
      </c>
      <c r="AM581" s="5">
        <f t="shared" si="74"/>
        <v>0.33333333333333331</v>
      </c>
      <c r="AN581" s="4">
        <f t="shared" si="79"/>
        <v>5.048592704783541E-4</v>
      </c>
      <c r="AO581" s="3"/>
      <c r="AP581">
        <v>0</v>
      </c>
      <c r="AR581" t="s">
        <v>1</v>
      </c>
      <c r="AT581" s="2">
        <v>1.9119999999999999</v>
      </c>
      <c r="AU581" s="1" t="e">
        <f t="shared" si="75"/>
        <v>#VALUE!</v>
      </c>
      <c r="AV581" s="1" t="e">
        <f t="shared" si="76"/>
        <v>#VALUE!</v>
      </c>
      <c r="AW581" s="1" t="e">
        <f t="shared" si="77"/>
        <v>#VALUE!</v>
      </c>
    </row>
    <row r="582" spans="1:49" x14ac:dyDescent="0.2">
      <c r="A582">
        <v>580</v>
      </c>
      <c r="B582" t="s">
        <v>1894</v>
      </c>
      <c r="C582" t="s">
        <v>1893</v>
      </c>
      <c r="F582" t="s">
        <v>1892</v>
      </c>
      <c r="G582" t="s">
        <v>15</v>
      </c>
      <c r="H582" t="s">
        <v>14</v>
      </c>
      <c r="I582" t="s">
        <v>1891</v>
      </c>
      <c r="N582">
        <v>2</v>
      </c>
      <c r="O582" t="s">
        <v>1890</v>
      </c>
      <c r="P582" t="s">
        <v>1889</v>
      </c>
      <c r="Q582" t="s">
        <v>342</v>
      </c>
      <c r="R582" s="7">
        <v>30317</v>
      </c>
      <c r="S582" s="8">
        <f t="shared" si="72"/>
        <v>1983</v>
      </c>
      <c r="T582" s="8">
        <v>1983</v>
      </c>
      <c r="U582" s="8">
        <f t="shared" si="73"/>
        <v>39</v>
      </c>
      <c r="V582" s="7" t="s">
        <v>1453</v>
      </c>
      <c r="W582" t="s">
        <v>798</v>
      </c>
      <c r="X582" s="2">
        <v>0.218</v>
      </c>
      <c r="Y582" s="6">
        <f t="shared" si="78"/>
        <v>5.8193854942473512E-3</v>
      </c>
      <c r="AA582">
        <v>3772063</v>
      </c>
      <c r="AB582">
        <v>130012</v>
      </c>
      <c r="AD582" t="s">
        <v>5</v>
      </c>
      <c r="AE582">
        <v>29</v>
      </c>
      <c r="AF582">
        <v>2</v>
      </c>
      <c r="AH582" t="s">
        <v>1888</v>
      </c>
      <c r="AI582" t="s">
        <v>1887</v>
      </c>
      <c r="AK582" t="s">
        <v>1886</v>
      </c>
      <c r="AL582">
        <v>1</v>
      </c>
      <c r="AM582" s="5">
        <f t="shared" si="74"/>
        <v>2.564102564102564E-2</v>
      </c>
      <c r="AN582" s="4">
        <f t="shared" si="79"/>
        <v>3.8835328498334935E-5</v>
      </c>
      <c r="AO582" s="3"/>
      <c r="AP582">
        <v>0</v>
      </c>
      <c r="AR582" t="s">
        <v>1</v>
      </c>
      <c r="AT582" s="2">
        <v>2.3330000000000002</v>
      </c>
      <c r="AU582" s="1">
        <f t="shared" si="75"/>
        <v>0.40852204445226459</v>
      </c>
      <c r="AV582" s="1">
        <f t="shared" si="76"/>
        <v>0.29291104113728428</v>
      </c>
      <c r="AW582" s="1">
        <f t="shared" si="77"/>
        <v>0.17730003782230397</v>
      </c>
    </row>
    <row r="583" spans="1:49" x14ac:dyDescent="0.2">
      <c r="A583">
        <v>581</v>
      </c>
      <c r="B583" t="s">
        <v>1885</v>
      </c>
      <c r="C583" t="s">
        <v>1884</v>
      </c>
      <c r="F583" t="s">
        <v>1883</v>
      </c>
      <c r="G583" t="s">
        <v>15</v>
      </c>
      <c r="H583" t="s">
        <v>14</v>
      </c>
      <c r="I583" t="s">
        <v>1882</v>
      </c>
      <c r="J583">
        <v>60018829</v>
      </c>
      <c r="K583" t="s">
        <v>1714</v>
      </c>
      <c r="L583" t="s">
        <v>1713</v>
      </c>
      <c r="M583" t="s">
        <v>271</v>
      </c>
      <c r="N583">
        <v>1</v>
      </c>
      <c r="O583" t="s">
        <v>1881</v>
      </c>
      <c r="P583">
        <v>6601961535</v>
      </c>
      <c r="Q583">
        <v>60018829</v>
      </c>
      <c r="R583" s="7">
        <v>30317</v>
      </c>
      <c r="S583" s="8">
        <f t="shared" si="72"/>
        <v>1983</v>
      </c>
      <c r="T583" s="8">
        <v>1983</v>
      </c>
      <c r="U583" s="8">
        <f t="shared" si="73"/>
        <v>39</v>
      </c>
      <c r="V583" s="7">
        <v>30348</v>
      </c>
      <c r="W583" s="11" t="s">
        <v>1577</v>
      </c>
      <c r="X583" s="2">
        <v>2.383</v>
      </c>
      <c r="Y583" s="6">
        <f t="shared" si="78"/>
        <v>6.3612824003630442E-2</v>
      </c>
      <c r="AA583">
        <v>1437070</v>
      </c>
      <c r="AB583">
        <v>39742</v>
      </c>
      <c r="AD583" t="s">
        <v>5</v>
      </c>
      <c r="AE583">
        <v>130</v>
      </c>
      <c r="AF583">
        <v>1</v>
      </c>
      <c r="AH583" t="s">
        <v>1880</v>
      </c>
      <c r="AI583" t="s">
        <v>1879</v>
      </c>
      <c r="AJ583" t="s">
        <v>1574</v>
      </c>
      <c r="AK583" t="s">
        <v>1878</v>
      </c>
      <c r="AL583">
        <v>0</v>
      </c>
      <c r="AM583" s="5">
        <f t="shared" si="74"/>
        <v>0</v>
      </c>
      <c r="AN583" s="4">
        <f t="shared" si="79"/>
        <v>0</v>
      </c>
      <c r="AO583" s="3"/>
      <c r="AP583">
        <v>0</v>
      </c>
      <c r="AR583" t="s">
        <v>1</v>
      </c>
      <c r="AT583" s="2" t="s">
        <v>0</v>
      </c>
      <c r="AU583" s="1">
        <f t="shared" si="75"/>
        <v>4.4528976802541305</v>
      </c>
      <c r="AV583" s="1">
        <f t="shared" si="76"/>
        <v>3.1806412001815221</v>
      </c>
      <c r="AW583" s="1">
        <f t="shared" si="77"/>
        <v>1.9083847201089132</v>
      </c>
    </row>
    <row r="584" spans="1:49" x14ac:dyDescent="0.2">
      <c r="A584">
        <v>582</v>
      </c>
      <c r="B584" t="s">
        <v>1877</v>
      </c>
      <c r="C584" t="s">
        <v>1876</v>
      </c>
      <c r="F584" t="s">
        <v>1875</v>
      </c>
      <c r="G584" t="s">
        <v>15</v>
      </c>
      <c r="H584" t="s">
        <v>14</v>
      </c>
      <c r="I584" t="s">
        <v>1012</v>
      </c>
      <c r="J584">
        <v>60022148</v>
      </c>
      <c r="K584" t="s">
        <v>1011</v>
      </c>
      <c r="L584" t="s">
        <v>1010</v>
      </c>
      <c r="M584" t="s">
        <v>271</v>
      </c>
      <c r="N584">
        <v>2</v>
      </c>
      <c r="O584" t="s">
        <v>1009</v>
      </c>
      <c r="P584" t="s">
        <v>1008</v>
      </c>
      <c r="Q584" t="s">
        <v>1007</v>
      </c>
      <c r="R584" s="7">
        <v>30317</v>
      </c>
      <c r="S584" s="8">
        <f t="shared" si="72"/>
        <v>1983</v>
      </c>
      <c r="T584" s="8">
        <v>1983</v>
      </c>
      <c r="U584" s="8">
        <f t="shared" si="73"/>
        <v>39</v>
      </c>
      <c r="V584" s="7">
        <v>30348</v>
      </c>
      <c r="W584" s="11" t="s">
        <v>1577</v>
      </c>
      <c r="X584" s="2">
        <v>2.383</v>
      </c>
      <c r="Y584" s="6">
        <f t="shared" si="78"/>
        <v>6.3612824003630442E-2</v>
      </c>
      <c r="AA584">
        <v>1437070</v>
      </c>
      <c r="AB584">
        <v>39742</v>
      </c>
      <c r="AD584" t="s">
        <v>5</v>
      </c>
      <c r="AE584">
        <v>130</v>
      </c>
      <c r="AF584">
        <v>1</v>
      </c>
      <c r="AH584" t="s">
        <v>1874</v>
      </c>
      <c r="AI584" t="s">
        <v>1873</v>
      </c>
      <c r="AJ584" t="s">
        <v>1872</v>
      </c>
      <c r="AK584" t="s">
        <v>1871</v>
      </c>
      <c r="AL584">
        <v>6</v>
      </c>
      <c r="AM584" s="5">
        <f t="shared" si="74"/>
        <v>0.15384615384615385</v>
      </c>
      <c r="AN584" s="4">
        <f t="shared" si="79"/>
        <v>2.3301197099000962E-4</v>
      </c>
      <c r="AO584" s="3"/>
      <c r="AP584">
        <v>0</v>
      </c>
      <c r="AR584" t="s">
        <v>1</v>
      </c>
      <c r="AT584" s="2" t="s">
        <v>0</v>
      </c>
      <c r="AU584" s="1">
        <f t="shared" si="75"/>
        <v>4.4598880393838307</v>
      </c>
      <c r="AV584" s="1">
        <f t="shared" si="76"/>
        <v>3.1922917987310226</v>
      </c>
      <c r="AW584" s="1">
        <f t="shared" si="77"/>
        <v>1.9246955580782141</v>
      </c>
    </row>
    <row r="585" spans="1:49" x14ac:dyDescent="0.2">
      <c r="A585">
        <v>583</v>
      </c>
      <c r="B585" t="s">
        <v>1870</v>
      </c>
      <c r="C585" t="s">
        <v>1869</v>
      </c>
      <c r="F585" t="s">
        <v>1868</v>
      </c>
      <c r="G585" t="s">
        <v>15</v>
      </c>
      <c r="H585" t="s">
        <v>14</v>
      </c>
      <c r="I585" t="s">
        <v>1867</v>
      </c>
      <c r="J585">
        <v>60082676</v>
      </c>
      <c r="K585" t="s">
        <v>1805</v>
      </c>
      <c r="L585" t="s">
        <v>1804</v>
      </c>
      <c r="M585" t="s">
        <v>271</v>
      </c>
      <c r="N585">
        <v>2</v>
      </c>
      <c r="O585" t="s">
        <v>1866</v>
      </c>
      <c r="P585" t="s">
        <v>1865</v>
      </c>
      <c r="Q585" t="s">
        <v>1847</v>
      </c>
      <c r="R585" s="7">
        <v>30317</v>
      </c>
      <c r="S585" s="8">
        <f t="shared" si="72"/>
        <v>1983</v>
      </c>
      <c r="T585" s="8">
        <v>1983</v>
      </c>
      <c r="U585" s="8">
        <f t="shared" si="73"/>
        <v>39</v>
      </c>
      <c r="V585" s="7">
        <v>30348</v>
      </c>
      <c r="W585" s="11" t="s">
        <v>1577</v>
      </c>
      <c r="X585" s="2">
        <v>2.383</v>
      </c>
      <c r="Y585" s="6">
        <f t="shared" si="78"/>
        <v>6.3612824003630442E-2</v>
      </c>
      <c r="AA585">
        <v>1437070</v>
      </c>
      <c r="AB585">
        <v>39742</v>
      </c>
      <c r="AD585" t="s">
        <v>5</v>
      </c>
      <c r="AE585">
        <v>130</v>
      </c>
      <c r="AF585">
        <v>1</v>
      </c>
      <c r="AH585" t="s">
        <v>1864</v>
      </c>
      <c r="AI585" t="s">
        <v>1863</v>
      </c>
      <c r="AJ585" t="s">
        <v>1622</v>
      </c>
      <c r="AK585" t="s">
        <v>1862</v>
      </c>
      <c r="AL585">
        <v>3</v>
      </c>
      <c r="AM585" s="5">
        <f t="shared" si="74"/>
        <v>7.6923076923076927E-2</v>
      </c>
      <c r="AN585" s="4">
        <f t="shared" si="79"/>
        <v>1.1650598549500481E-4</v>
      </c>
      <c r="AO585" s="3"/>
      <c r="AP585">
        <v>0</v>
      </c>
      <c r="AR585" t="s">
        <v>1</v>
      </c>
      <c r="AT585" s="2" t="s">
        <v>0</v>
      </c>
      <c r="AU585" s="1">
        <f t="shared" si="75"/>
        <v>4.4563928598189815</v>
      </c>
      <c r="AV585" s="1">
        <f t="shared" si="76"/>
        <v>3.1864664994562726</v>
      </c>
      <c r="AW585" s="1">
        <f t="shared" si="77"/>
        <v>1.9165401390935637</v>
      </c>
    </row>
    <row r="586" spans="1:49" x14ac:dyDescent="0.2">
      <c r="A586">
        <v>584</v>
      </c>
      <c r="B586" t="s">
        <v>1861</v>
      </c>
      <c r="C586" t="s">
        <v>1860</v>
      </c>
      <c r="F586" t="s">
        <v>1859</v>
      </c>
      <c r="G586" t="s">
        <v>15</v>
      </c>
      <c r="H586" t="s">
        <v>14</v>
      </c>
      <c r="I586" t="s">
        <v>1858</v>
      </c>
      <c r="J586">
        <v>60028673</v>
      </c>
      <c r="K586" t="s">
        <v>1580</v>
      </c>
      <c r="L586" t="s">
        <v>1579</v>
      </c>
      <c r="M586" t="s">
        <v>80</v>
      </c>
      <c r="N586">
        <v>1</v>
      </c>
      <c r="O586" t="s">
        <v>1857</v>
      </c>
      <c r="P586">
        <v>7402391878</v>
      </c>
      <c r="Q586">
        <v>60028673</v>
      </c>
      <c r="R586" s="7">
        <v>30317</v>
      </c>
      <c r="S586" s="8">
        <f t="shared" si="72"/>
        <v>1983</v>
      </c>
      <c r="T586" s="8">
        <v>1983</v>
      </c>
      <c r="U586" s="8">
        <f t="shared" si="73"/>
        <v>39</v>
      </c>
      <c r="V586" s="7">
        <v>30348</v>
      </c>
      <c r="W586" s="11" t="s">
        <v>1577</v>
      </c>
      <c r="X586" s="2">
        <v>2.383</v>
      </c>
      <c r="Y586" s="6">
        <f t="shared" si="78"/>
        <v>6.3612824003630442E-2</v>
      </c>
      <c r="AA586">
        <v>1437070</v>
      </c>
      <c r="AB586">
        <v>39742</v>
      </c>
      <c r="AD586" t="s">
        <v>5</v>
      </c>
      <c r="AE586">
        <v>130</v>
      </c>
      <c r="AF586">
        <v>1</v>
      </c>
      <c r="AH586" t="s">
        <v>1856</v>
      </c>
      <c r="AI586" t="s">
        <v>1855</v>
      </c>
      <c r="AJ586" t="s">
        <v>1622</v>
      </c>
      <c r="AK586" t="s">
        <v>1854</v>
      </c>
      <c r="AL586">
        <v>9</v>
      </c>
      <c r="AM586" s="5">
        <f t="shared" si="74"/>
        <v>0.23076923076923078</v>
      </c>
      <c r="AN586" s="4">
        <f t="shared" si="79"/>
        <v>3.4951795648501444E-4</v>
      </c>
      <c r="AO586" s="3"/>
      <c r="AP586">
        <v>0</v>
      </c>
      <c r="AR586" t="s">
        <v>1</v>
      </c>
      <c r="AT586" s="2" t="s">
        <v>0</v>
      </c>
      <c r="AU586" s="1">
        <f t="shared" si="75"/>
        <v>4.4633832189486817</v>
      </c>
      <c r="AV586" s="1">
        <f t="shared" si="76"/>
        <v>3.1981170980057727</v>
      </c>
      <c r="AW586" s="1">
        <f t="shared" si="77"/>
        <v>1.9328509770628641</v>
      </c>
    </row>
    <row r="587" spans="1:49" x14ac:dyDescent="0.2">
      <c r="A587">
        <v>585</v>
      </c>
      <c r="B587" t="s">
        <v>1853</v>
      </c>
      <c r="C587" t="s">
        <v>1852</v>
      </c>
      <c r="F587" t="s">
        <v>1851</v>
      </c>
      <c r="G587" t="s">
        <v>15</v>
      </c>
      <c r="H587" t="s">
        <v>14</v>
      </c>
      <c r="I587" t="s">
        <v>1850</v>
      </c>
      <c r="J587">
        <v>60082676</v>
      </c>
      <c r="K587" t="s">
        <v>1805</v>
      </c>
      <c r="L587" t="s">
        <v>1804</v>
      </c>
      <c r="M587" t="s">
        <v>271</v>
      </c>
      <c r="N587">
        <v>2</v>
      </c>
      <c r="O587" t="s">
        <v>1849</v>
      </c>
      <c r="P587" t="s">
        <v>1848</v>
      </c>
      <c r="Q587" t="s">
        <v>1847</v>
      </c>
      <c r="R587" s="7">
        <v>30317</v>
      </c>
      <c r="S587" s="8">
        <f t="shared" si="72"/>
        <v>1983</v>
      </c>
      <c r="T587" s="8">
        <v>1983</v>
      </c>
      <c r="U587" s="8">
        <f t="shared" si="73"/>
        <v>39</v>
      </c>
      <c r="V587" s="7">
        <v>30348</v>
      </c>
      <c r="W587" s="11" t="s">
        <v>1577</v>
      </c>
      <c r="X587" s="2">
        <v>2.383</v>
      </c>
      <c r="Y587" s="6">
        <f t="shared" si="78"/>
        <v>6.3612824003630442E-2</v>
      </c>
      <c r="AA587">
        <v>1437070</v>
      </c>
      <c r="AB587">
        <v>39742</v>
      </c>
      <c r="AD587" t="s">
        <v>5</v>
      </c>
      <c r="AE587">
        <v>130</v>
      </c>
      <c r="AF587">
        <v>1</v>
      </c>
      <c r="AH587" t="s">
        <v>1846</v>
      </c>
      <c r="AI587" t="s">
        <v>1845</v>
      </c>
      <c r="AJ587" t="s">
        <v>1622</v>
      </c>
      <c r="AK587" t="s">
        <v>1844</v>
      </c>
      <c r="AL587">
        <v>2</v>
      </c>
      <c r="AM587" s="5">
        <f t="shared" si="74"/>
        <v>5.128205128205128E-2</v>
      </c>
      <c r="AN587" s="4">
        <f t="shared" si="79"/>
        <v>7.767065699666987E-5</v>
      </c>
      <c r="AO587" s="3"/>
      <c r="AP587">
        <v>0</v>
      </c>
      <c r="AR587" t="s">
        <v>1</v>
      </c>
      <c r="AT587" s="2" t="s">
        <v>0</v>
      </c>
      <c r="AU587" s="1">
        <f t="shared" si="75"/>
        <v>4.4552277999640308</v>
      </c>
      <c r="AV587" s="1">
        <f t="shared" si="76"/>
        <v>3.1845247330313553</v>
      </c>
      <c r="AW587" s="1">
        <f t="shared" si="77"/>
        <v>1.9138216660986802</v>
      </c>
    </row>
    <row r="588" spans="1:49" x14ac:dyDescent="0.2">
      <c r="A588">
        <v>586</v>
      </c>
      <c r="B588" t="s">
        <v>1843</v>
      </c>
      <c r="C588" t="s">
        <v>1842</v>
      </c>
      <c r="F588" t="s">
        <v>1841</v>
      </c>
      <c r="G588" t="s">
        <v>15</v>
      </c>
      <c r="H588" t="s">
        <v>14</v>
      </c>
      <c r="I588" t="s">
        <v>1840</v>
      </c>
      <c r="J588">
        <v>60011561</v>
      </c>
      <c r="K588" t="s">
        <v>1839</v>
      </c>
      <c r="L588" t="s">
        <v>1713</v>
      </c>
      <c r="M588" t="s">
        <v>271</v>
      </c>
      <c r="N588">
        <v>1</v>
      </c>
      <c r="O588" t="s">
        <v>1838</v>
      </c>
      <c r="P588">
        <v>6603131814</v>
      </c>
      <c r="Q588">
        <v>60011561</v>
      </c>
      <c r="R588" s="7">
        <v>30317</v>
      </c>
      <c r="S588" s="8">
        <f t="shared" si="72"/>
        <v>1983</v>
      </c>
      <c r="T588" s="8">
        <v>1983</v>
      </c>
      <c r="U588" s="8">
        <f t="shared" si="73"/>
        <v>39</v>
      </c>
      <c r="V588" s="7">
        <v>30348</v>
      </c>
      <c r="W588" s="11" t="s">
        <v>1577</v>
      </c>
      <c r="X588" s="2">
        <v>2.383</v>
      </c>
      <c r="Y588" s="6">
        <f t="shared" si="78"/>
        <v>6.3612824003630442E-2</v>
      </c>
      <c r="AA588">
        <v>1437070</v>
      </c>
      <c r="AB588">
        <v>39742</v>
      </c>
      <c r="AD588" t="s">
        <v>5</v>
      </c>
      <c r="AE588">
        <v>130</v>
      </c>
      <c r="AF588">
        <v>1</v>
      </c>
      <c r="AH588" t="s">
        <v>1837</v>
      </c>
      <c r="AI588" t="s">
        <v>1836</v>
      </c>
      <c r="AJ588" t="s">
        <v>1800</v>
      </c>
      <c r="AK588" t="s">
        <v>1835</v>
      </c>
      <c r="AL588">
        <v>2</v>
      </c>
      <c r="AM588" s="5">
        <f t="shared" si="74"/>
        <v>5.128205128205128E-2</v>
      </c>
      <c r="AN588" s="4">
        <f t="shared" si="79"/>
        <v>7.767065699666987E-5</v>
      </c>
      <c r="AO588" s="3"/>
      <c r="AP588">
        <v>0</v>
      </c>
      <c r="AR588" t="s">
        <v>1</v>
      </c>
      <c r="AT588" s="2" t="s">
        <v>0</v>
      </c>
      <c r="AU588" s="1">
        <f t="shared" si="75"/>
        <v>4.4552277999640308</v>
      </c>
      <c r="AV588" s="1">
        <f t="shared" si="76"/>
        <v>3.1845247330313553</v>
      </c>
      <c r="AW588" s="1">
        <f t="shared" si="77"/>
        <v>1.9138216660986802</v>
      </c>
    </row>
    <row r="589" spans="1:49" x14ac:dyDescent="0.2">
      <c r="A589">
        <v>587</v>
      </c>
      <c r="B589" t="s">
        <v>1834</v>
      </c>
      <c r="C589" t="s">
        <v>1833</v>
      </c>
      <c r="F589" t="s">
        <v>1832</v>
      </c>
      <c r="G589" t="s">
        <v>15</v>
      </c>
      <c r="H589" t="s">
        <v>14</v>
      </c>
      <c r="I589" t="s">
        <v>1831</v>
      </c>
      <c r="J589">
        <v>60025225</v>
      </c>
      <c r="K589" t="s">
        <v>1704</v>
      </c>
      <c r="L589" t="s">
        <v>1703</v>
      </c>
      <c r="M589" t="s">
        <v>271</v>
      </c>
      <c r="N589">
        <v>2</v>
      </c>
      <c r="O589" t="s">
        <v>1830</v>
      </c>
      <c r="P589" t="s">
        <v>1829</v>
      </c>
      <c r="Q589" t="s">
        <v>1828</v>
      </c>
      <c r="R589" s="7">
        <v>30317</v>
      </c>
      <c r="S589" s="8">
        <f t="shared" si="72"/>
        <v>1983</v>
      </c>
      <c r="T589" s="8">
        <v>1983</v>
      </c>
      <c r="U589" s="8">
        <f t="shared" si="73"/>
        <v>39</v>
      </c>
      <c r="V589" s="7">
        <v>30348</v>
      </c>
      <c r="W589" s="11" t="s">
        <v>1577</v>
      </c>
      <c r="X589" s="2">
        <v>2.383</v>
      </c>
      <c r="Y589" s="6">
        <f t="shared" si="78"/>
        <v>6.3612824003630442E-2</v>
      </c>
      <c r="AA589">
        <v>1437070</v>
      </c>
      <c r="AB589">
        <v>39742</v>
      </c>
      <c r="AD589" t="s">
        <v>5</v>
      </c>
      <c r="AE589">
        <v>130</v>
      </c>
      <c r="AF589">
        <v>1</v>
      </c>
      <c r="AH589" t="s">
        <v>1827</v>
      </c>
      <c r="AI589" t="s">
        <v>1826</v>
      </c>
      <c r="AJ589" t="s">
        <v>1699</v>
      </c>
      <c r="AK589" t="s">
        <v>1825</v>
      </c>
      <c r="AL589">
        <v>1</v>
      </c>
      <c r="AM589" s="5">
        <f t="shared" si="74"/>
        <v>2.564102564102564E-2</v>
      </c>
      <c r="AN589" s="4">
        <f t="shared" si="79"/>
        <v>3.8835328498334935E-5</v>
      </c>
      <c r="AO589" s="3"/>
      <c r="AP589">
        <v>0</v>
      </c>
      <c r="AR589" t="s">
        <v>1</v>
      </c>
      <c r="AT589" s="2" t="s">
        <v>0</v>
      </c>
      <c r="AU589" s="1">
        <f t="shared" si="75"/>
        <v>4.4540627401090811</v>
      </c>
      <c r="AV589" s="1">
        <f t="shared" si="76"/>
        <v>3.1825829666064389</v>
      </c>
      <c r="AW589" s="1">
        <f t="shared" si="77"/>
        <v>1.9111031931037965</v>
      </c>
    </row>
    <row r="590" spans="1:49" x14ac:dyDescent="0.2">
      <c r="A590">
        <v>588</v>
      </c>
      <c r="B590" t="s">
        <v>1824</v>
      </c>
      <c r="C590" t="s">
        <v>1823</v>
      </c>
      <c r="F590" t="s">
        <v>1822</v>
      </c>
      <c r="G590" t="s">
        <v>15</v>
      </c>
      <c r="H590" t="s">
        <v>14</v>
      </c>
      <c r="I590" t="s">
        <v>1821</v>
      </c>
      <c r="J590" t="s">
        <v>1820</v>
      </c>
      <c r="K590" t="s">
        <v>1819</v>
      </c>
      <c r="L590" t="s">
        <v>1818</v>
      </c>
      <c r="M590" t="s">
        <v>1817</v>
      </c>
      <c r="N590">
        <v>3</v>
      </c>
      <c r="O590" t="s">
        <v>1816</v>
      </c>
      <c r="P590" t="s">
        <v>1815</v>
      </c>
      <c r="Q590" t="s">
        <v>1814</v>
      </c>
      <c r="R590" s="7">
        <v>30317</v>
      </c>
      <c r="S590" s="8">
        <f t="shared" si="72"/>
        <v>1983</v>
      </c>
      <c r="T590" s="8">
        <v>1983</v>
      </c>
      <c r="U590" s="8">
        <f t="shared" si="73"/>
        <v>39</v>
      </c>
      <c r="V590" s="7">
        <v>30348</v>
      </c>
      <c r="W590" s="11" t="s">
        <v>1577</v>
      </c>
      <c r="X590" s="2">
        <v>2.383</v>
      </c>
      <c r="Y590" s="6">
        <f t="shared" si="78"/>
        <v>6.3612824003630442E-2</v>
      </c>
      <c r="AA590">
        <v>1437070</v>
      </c>
      <c r="AB590">
        <v>39742</v>
      </c>
      <c r="AD590" t="s">
        <v>5</v>
      </c>
      <c r="AE590">
        <v>130</v>
      </c>
      <c r="AF590">
        <v>1</v>
      </c>
      <c r="AH590" t="s">
        <v>1813</v>
      </c>
      <c r="AI590" t="s">
        <v>1812</v>
      </c>
      <c r="AJ590" t="s">
        <v>1811</v>
      </c>
      <c r="AK590" t="s">
        <v>1810</v>
      </c>
      <c r="AL590">
        <v>3</v>
      </c>
      <c r="AM590" s="5">
        <f t="shared" si="74"/>
        <v>7.6923076923076927E-2</v>
      </c>
      <c r="AN590" s="4">
        <f t="shared" si="79"/>
        <v>1.1650598549500481E-4</v>
      </c>
      <c r="AO590" s="3"/>
      <c r="AP590">
        <v>0</v>
      </c>
      <c r="AR590" t="s">
        <v>1</v>
      </c>
      <c r="AT590" s="2" t="s">
        <v>0</v>
      </c>
      <c r="AU590" s="1">
        <f t="shared" si="75"/>
        <v>4.4563928598189815</v>
      </c>
      <c r="AV590" s="1">
        <f t="shared" si="76"/>
        <v>3.1864664994562726</v>
      </c>
      <c r="AW590" s="1">
        <f t="shared" si="77"/>
        <v>1.9165401390935637</v>
      </c>
    </row>
    <row r="591" spans="1:49" x14ac:dyDescent="0.2">
      <c r="A591">
        <v>589</v>
      </c>
      <c r="B591" t="s">
        <v>1809</v>
      </c>
      <c r="C591" t="s">
        <v>1808</v>
      </c>
      <c r="F591" t="s">
        <v>1807</v>
      </c>
      <c r="G591" t="s">
        <v>15</v>
      </c>
      <c r="H591" t="s">
        <v>14</v>
      </c>
      <c r="I591" t="s">
        <v>1806</v>
      </c>
      <c r="J591">
        <v>60082676</v>
      </c>
      <c r="K591" t="s">
        <v>1805</v>
      </c>
      <c r="L591" t="s">
        <v>1804</v>
      </c>
      <c r="M591" t="s">
        <v>271</v>
      </c>
      <c r="N591">
        <v>1</v>
      </c>
      <c r="O591" t="s">
        <v>1803</v>
      </c>
      <c r="P591">
        <v>7102864095</v>
      </c>
      <c r="Q591">
        <v>60082676</v>
      </c>
      <c r="R591" s="7">
        <v>30317</v>
      </c>
      <c r="S591" s="8">
        <f t="shared" si="72"/>
        <v>1983</v>
      </c>
      <c r="T591" s="8">
        <v>1983</v>
      </c>
      <c r="U591" s="8">
        <f t="shared" si="73"/>
        <v>39</v>
      </c>
      <c r="V591" s="7">
        <v>30348</v>
      </c>
      <c r="W591" s="11" t="s">
        <v>1577</v>
      </c>
      <c r="X591" s="2">
        <v>2.383</v>
      </c>
      <c r="Y591" s="6">
        <f t="shared" si="78"/>
        <v>6.3612824003630442E-2</v>
      </c>
      <c r="AA591">
        <v>1437070</v>
      </c>
      <c r="AB591">
        <v>39742</v>
      </c>
      <c r="AD591" t="s">
        <v>5</v>
      </c>
      <c r="AE591">
        <v>130</v>
      </c>
      <c r="AF591">
        <v>1</v>
      </c>
      <c r="AH591" t="s">
        <v>1802</v>
      </c>
      <c r="AI591" t="s">
        <v>1801</v>
      </c>
      <c r="AJ591" t="s">
        <v>1800</v>
      </c>
      <c r="AK591" t="s">
        <v>1799</v>
      </c>
      <c r="AL591">
        <v>2</v>
      </c>
      <c r="AM591" s="5">
        <f t="shared" si="74"/>
        <v>5.128205128205128E-2</v>
      </c>
      <c r="AN591" s="4">
        <f t="shared" si="79"/>
        <v>7.767065699666987E-5</v>
      </c>
      <c r="AO591" s="3"/>
      <c r="AP591">
        <v>0</v>
      </c>
      <c r="AR591" t="s">
        <v>1</v>
      </c>
      <c r="AT591" s="2" t="s">
        <v>0</v>
      </c>
      <c r="AU591" s="1">
        <f t="shared" si="75"/>
        <v>4.4552277999640308</v>
      </c>
      <c r="AV591" s="1">
        <f t="shared" si="76"/>
        <v>3.1845247330313553</v>
      </c>
      <c r="AW591" s="1">
        <f t="shared" si="77"/>
        <v>1.9138216660986802</v>
      </c>
    </row>
    <row r="592" spans="1:49" x14ac:dyDescent="0.2">
      <c r="A592">
        <v>590</v>
      </c>
      <c r="B592" t="s">
        <v>1798</v>
      </c>
      <c r="C592" t="s">
        <v>1797</v>
      </c>
      <c r="F592" t="s">
        <v>1796</v>
      </c>
      <c r="G592" t="s">
        <v>15</v>
      </c>
      <c r="H592" t="s">
        <v>14</v>
      </c>
      <c r="I592" t="s">
        <v>1795</v>
      </c>
      <c r="J592">
        <v>100571086</v>
      </c>
      <c r="K592" t="s">
        <v>1679</v>
      </c>
      <c r="L592" t="s">
        <v>822</v>
      </c>
      <c r="M592" t="s">
        <v>821</v>
      </c>
      <c r="N592">
        <v>1</v>
      </c>
      <c r="O592" t="s">
        <v>1794</v>
      </c>
      <c r="P592">
        <v>57213700192</v>
      </c>
      <c r="Q592">
        <v>100571086</v>
      </c>
      <c r="R592" s="7">
        <v>30317</v>
      </c>
      <c r="S592" s="8">
        <f t="shared" si="72"/>
        <v>1983</v>
      </c>
      <c r="T592" s="8">
        <v>1983</v>
      </c>
      <c r="U592" s="8">
        <f t="shared" si="73"/>
        <v>39</v>
      </c>
      <c r="V592" s="7">
        <v>30348</v>
      </c>
      <c r="W592" s="11" t="s">
        <v>1577</v>
      </c>
      <c r="X592" s="2">
        <v>2.383</v>
      </c>
      <c r="Y592" s="6">
        <f t="shared" si="78"/>
        <v>6.3612824003630442E-2</v>
      </c>
      <c r="AA592">
        <v>1437070</v>
      </c>
      <c r="AB592">
        <v>39742</v>
      </c>
      <c r="AD592" t="s">
        <v>5</v>
      </c>
      <c r="AE592">
        <v>130</v>
      </c>
      <c r="AF592">
        <v>1</v>
      </c>
      <c r="AH592" t="s">
        <v>1793</v>
      </c>
      <c r="AI592" t="s">
        <v>1792</v>
      </c>
      <c r="AJ592" t="s">
        <v>1699</v>
      </c>
      <c r="AK592" t="s">
        <v>1791</v>
      </c>
      <c r="AL592">
        <v>4</v>
      </c>
      <c r="AM592" s="5">
        <f t="shared" si="74"/>
        <v>0.10256410256410256</v>
      </c>
      <c r="AN592" s="4">
        <f t="shared" si="79"/>
        <v>1.5534131399333974E-4</v>
      </c>
      <c r="AO592" s="3"/>
      <c r="AP592">
        <v>0</v>
      </c>
      <c r="AR592" t="s">
        <v>1</v>
      </c>
      <c r="AT592" s="2" t="s">
        <v>0</v>
      </c>
      <c r="AU592" s="1">
        <f t="shared" si="75"/>
        <v>4.4575579196739312</v>
      </c>
      <c r="AV592" s="1">
        <f t="shared" si="76"/>
        <v>3.188408265881189</v>
      </c>
      <c r="AW592" s="1">
        <f t="shared" si="77"/>
        <v>1.9192586120884469</v>
      </c>
    </row>
    <row r="593" spans="1:49" x14ac:dyDescent="0.2">
      <c r="A593">
        <v>591</v>
      </c>
      <c r="B593" t="s">
        <v>1790</v>
      </c>
      <c r="C593" t="s">
        <v>1789</v>
      </c>
      <c r="F593" t="s">
        <v>1788</v>
      </c>
      <c r="G593" t="s">
        <v>15</v>
      </c>
      <c r="H593" t="s">
        <v>14</v>
      </c>
      <c r="I593" t="s">
        <v>1787</v>
      </c>
      <c r="J593">
        <v>60014313</v>
      </c>
      <c r="K593" t="s">
        <v>1786</v>
      </c>
      <c r="L593" t="s">
        <v>1785</v>
      </c>
      <c r="M593" t="s">
        <v>10</v>
      </c>
      <c r="N593">
        <v>1</v>
      </c>
      <c r="O593" t="s">
        <v>1784</v>
      </c>
      <c r="P593">
        <v>7006061921</v>
      </c>
      <c r="Q593">
        <v>60014313</v>
      </c>
      <c r="R593" s="7">
        <v>30317</v>
      </c>
      <c r="S593" s="8">
        <f t="shared" si="72"/>
        <v>1983</v>
      </c>
      <c r="T593" s="8">
        <v>1983</v>
      </c>
      <c r="U593" s="8">
        <f t="shared" si="73"/>
        <v>39</v>
      </c>
      <c r="V593" s="7">
        <v>30348</v>
      </c>
      <c r="W593" t="s">
        <v>1783</v>
      </c>
      <c r="X593" s="2">
        <v>0.91600000000000004</v>
      </c>
      <c r="Y593" s="6">
        <f t="shared" si="78"/>
        <v>2.4452096847387951E-2</v>
      </c>
      <c r="AA593">
        <v>189359</v>
      </c>
      <c r="AB593">
        <v>17344</v>
      </c>
      <c r="AC593">
        <v>15579638</v>
      </c>
      <c r="AD593" t="s">
        <v>5</v>
      </c>
      <c r="AE593">
        <v>26</v>
      </c>
      <c r="AF593">
        <v>1</v>
      </c>
      <c r="AH593" t="s">
        <v>1782</v>
      </c>
      <c r="AI593" t="s">
        <v>1781</v>
      </c>
      <c r="AK593" t="s">
        <v>1780</v>
      </c>
      <c r="AL593">
        <v>3</v>
      </c>
      <c r="AM593" s="5">
        <f t="shared" si="74"/>
        <v>7.6923076923076927E-2</v>
      </c>
      <c r="AN593" s="4">
        <f t="shared" si="79"/>
        <v>1.1650598549500481E-4</v>
      </c>
      <c r="AO593" s="3"/>
      <c r="AP593">
        <v>0</v>
      </c>
      <c r="AR593" t="s">
        <v>1</v>
      </c>
      <c r="AT593" s="2">
        <v>2.1160000000000001</v>
      </c>
      <c r="AU593" s="1">
        <f t="shared" si="75"/>
        <v>1.7151419588820063</v>
      </c>
      <c r="AV593" s="1">
        <f t="shared" si="76"/>
        <v>1.2284301416441479</v>
      </c>
      <c r="AW593" s="1">
        <f t="shared" si="77"/>
        <v>0.74171832440628882</v>
      </c>
    </row>
    <row r="594" spans="1:49" x14ac:dyDescent="0.2">
      <c r="A594">
        <v>592</v>
      </c>
      <c r="B594" t="s">
        <v>1779</v>
      </c>
      <c r="C594" t="s">
        <v>1778</v>
      </c>
      <c r="F594" t="s">
        <v>1777</v>
      </c>
      <c r="G594" t="s">
        <v>15</v>
      </c>
      <c r="H594" t="s">
        <v>14</v>
      </c>
      <c r="I594" t="s">
        <v>1776</v>
      </c>
      <c r="J594">
        <v>60009982</v>
      </c>
      <c r="K594" t="s">
        <v>447</v>
      </c>
      <c r="L594" t="s">
        <v>446</v>
      </c>
      <c r="M594" t="s">
        <v>10</v>
      </c>
      <c r="N594">
        <v>1</v>
      </c>
      <c r="O594" t="s">
        <v>1775</v>
      </c>
      <c r="P594">
        <v>35586046100</v>
      </c>
      <c r="Q594">
        <v>60009982</v>
      </c>
      <c r="R594" s="7">
        <v>30317</v>
      </c>
      <c r="S594" s="8">
        <f t="shared" si="72"/>
        <v>1983</v>
      </c>
      <c r="T594" s="8">
        <v>1983</v>
      </c>
      <c r="U594" s="8">
        <f t="shared" si="73"/>
        <v>39</v>
      </c>
      <c r="V594" s="7">
        <v>30348</v>
      </c>
      <c r="W594" t="s">
        <v>1531</v>
      </c>
      <c r="X594" s="2">
        <v>0.65500000000000003</v>
      </c>
      <c r="Y594" s="6">
        <f t="shared" si="78"/>
        <v>1.7484850911614749E-2</v>
      </c>
      <c r="AA594">
        <v>189375</v>
      </c>
      <c r="AB594">
        <v>26051</v>
      </c>
      <c r="AC594" t="s">
        <v>1530</v>
      </c>
      <c r="AD594" t="s">
        <v>5</v>
      </c>
      <c r="AE594" t="s">
        <v>1529</v>
      </c>
      <c r="AF594">
        <v>1</v>
      </c>
      <c r="AH594" s="10">
        <v>41487</v>
      </c>
      <c r="AI594" t="s">
        <v>1774</v>
      </c>
      <c r="AJ594" t="s">
        <v>1773</v>
      </c>
      <c r="AK594" t="s">
        <v>1772</v>
      </c>
      <c r="AL594">
        <v>7</v>
      </c>
      <c r="AM594" s="5">
        <f t="shared" si="74"/>
        <v>0.17948717948717949</v>
      </c>
      <c r="AN594" s="4">
        <f t="shared" si="79"/>
        <v>2.7184729948834453E-4</v>
      </c>
      <c r="AO594" s="3"/>
      <c r="AP594">
        <v>0</v>
      </c>
      <c r="AR594" t="s">
        <v>1</v>
      </c>
      <c r="AT594" s="2" t="s">
        <v>0</v>
      </c>
      <c r="AU594" s="1">
        <f t="shared" si="75"/>
        <v>1.2320949827976828</v>
      </c>
      <c r="AV594" s="1">
        <f t="shared" si="76"/>
        <v>0.88783491055515473</v>
      </c>
      <c r="AW594" s="1">
        <f t="shared" si="77"/>
        <v>0.54357483831262654</v>
      </c>
    </row>
    <row r="595" spans="1:49" x14ac:dyDescent="0.2">
      <c r="A595">
        <v>593</v>
      </c>
      <c r="B595" t="s">
        <v>1771</v>
      </c>
      <c r="F595" t="s">
        <v>1770</v>
      </c>
      <c r="G595" t="s">
        <v>15</v>
      </c>
      <c r="H595" t="s">
        <v>14</v>
      </c>
      <c r="I595" t="s">
        <v>1769</v>
      </c>
      <c r="N595">
        <v>2</v>
      </c>
      <c r="O595" t="s">
        <v>1768</v>
      </c>
      <c r="P595" t="s">
        <v>1767</v>
      </c>
      <c r="Q595" t="s">
        <v>342</v>
      </c>
      <c r="R595" s="7">
        <v>30317</v>
      </c>
      <c r="S595" s="8">
        <f t="shared" si="72"/>
        <v>1983</v>
      </c>
      <c r="T595" s="8">
        <v>1983</v>
      </c>
      <c r="U595" s="8">
        <f t="shared" si="73"/>
        <v>39</v>
      </c>
      <c r="V595" s="7" t="s">
        <v>1453</v>
      </c>
      <c r="W595" t="s">
        <v>1766</v>
      </c>
      <c r="X595" s="2" t="s">
        <v>0</v>
      </c>
      <c r="Y595" s="6" t="e">
        <f t="shared" si="78"/>
        <v>#VALUE!</v>
      </c>
      <c r="AA595">
        <v>46213</v>
      </c>
      <c r="AB595">
        <v>31818</v>
      </c>
      <c r="AD595" t="s">
        <v>5</v>
      </c>
      <c r="AE595">
        <v>21</v>
      </c>
      <c r="AF595">
        <v>2</v>
      </c>
      <c r="AI595" t="s">
        <v>1765</v>
      </c>
      <c r="AK595" t="s">
        <v>1764</v>
      </c>
      <c r="AL595">
        <v>2</v>
      </c>
      <c r="AM595" s="5">
        <f t="shared" si="74"/>
        <v>5.128205128205128E-2</v>
      </c>
      <c r="AN595" s="4">
        <f t="shared" si="79"/>
        <v>7.767065699666987E-5</v>
      </c>
      <c r="AO595" s="3"/>
      <c r="AP595">
        <v>0</v>
      </c>
      <c r="AR595" t="s">
        <v>1</v>
      </c>
      <c r="AT595" s="2" t="s">
        <v>0</v>
      </c>
      <c r="AU595" s="1" t="e">
        <f t="shared" si="75"/>
        <v>#VALUE!</v>
      </c>
      <c r="AV595" s="1" t="e">
        <f t="shared" si="76"/>
        <v>#VALUE!</v>
      </c>
      <c r="AW595" s="1" t="e">
        <f t="shared" si="77"/>
        <v>#VALUE!</v>
      </c>
    </row>
    <row r="596" spans="1:49" x14ac:dyDescent="0.2">
      <c r="A596">
        <v>594</v>
      </c>
      <c r="B596" t="s">
        <v>1763</v>
      </c>
      <c r="C596" t="s">
        <v>1762</v>
      </c>
      <c r="F596" t="s">
        <v>1761</v>
      </c>
      <c r="G596" t="s">
        <v>15</v>
      </c>
      <c r="H596" t="s">
        <v>14</v>
      </c>
      <c r="I596" t="s">
        <v>1723</v>
      </c>
      <c r="J596">
        <v>60028673</v>
      </c>
      <c r="K596" t="s">
        <v>1580</v>
      </c>
      <c r="L596" t="s">
        <v>1579</v>
      </c>
      <c r="M596" t="s">
        <v>80</v>
      </c>
      <c r="N596">
        <v>1</v>
      </c>
      <c r="O596" t="s">
        <v>1722</v>
      </c>
      <c r="P596">
        <v>6603820020</v>
      </c>
      <c r="Q596">
        <v>60028673</v>
      </c>
      <c r="R596" s="7">
        <v>30317</v>
      </c>
      <c r="S596" s="8">
        <f t="shared" si="72"/>
        <v>1983</v>
      </c>
      <c r="T596" s="8">
        <v>1983</v>
      </c>
      <c r="U596" s="8">
        <f t="shared" si="73"/>
        <v>39</v>
      </c>
      <c r="V596" s="7">
        <v>30348</v>
      </c>
      <c r="W596" s="11" t="s">
        <v>1577</v>
      </c>
      <c r="X596" s="2">
        <v>2.383</v>
      </c>
      <c r="Y596" s="6">
        <f t="shared" si="78"/>
        <v>6.3612824003630442E-2</v>
      </c>
      <c r="AA596">
        <v>1437070</v>
      </c>
      <c r="AB596">
        <v>39742</v>
      </c>
      <c r="AD596" t="s">
        <v>5</v>
      </c>
      <c r="AE596">
        <v>130</v>
      </c>
      <c r="AF596">
        <v>1</v>
      </c>
      <c r="AH596" s="10">
        <v>42675</v>
      </c>
      <c r="AI596" t="s">
        <v>1760</v>
      </c>
      <c r="AJ596" t="s">
        <v>1759</v>
      </c>
      <c r="AK596" t="s">
        <v>1758</v>
      </c>
      <c r="AL596">
        <v>564</v>
      </c>
      <c r="AM596" s="5">
        <f t="shared" si="74"/>
        <v>14.461538461538462</v>
      </c>
      <c r="AN596" s="4">
        <f t="shared" si="79"/>
        <v>2.1903125273060903E-2</v>
      </c>
      <c r="AO596" s="3"/>
      <c r="AP596">
        <v>0</v>
      </c>
      <c r="AR596" t="s">
        <v>1</v>
      </c>
      <c r="AT596" s="2" t="s">
        <v>0</v>
      </c>
      <c r="AU596" s="1">
        <f t="shared" si="75"/>
        <v>5.1099914384459577</v>
      </c>
      <c r="AV596" s="1">
        <f t="shared" si="76"/>
        <v>4.275797463834567</v>
      </c>
      <c r="AW596" s="1">
        <f t="shared" si="77"/>
        <v>3.4416034892231764</v>
      </c>
    </row>
    <row r="597" spans="1:49" x14ac:dyDescent="0.2">
      <c r="A597">
        <v>595</v>
      </c>
      <c r="B597" t="s">
        <v>1757</v>
      </c>
      <c r="C597" t="s">
        <v>1756</v>
      </c>
      <c r="F597" t="s">
        <v>1755</v>
      </c>
      <c r="G597" t="s">
        <v>15</v>
      </c>
      <c r="H597" t="s">
        <v>14</v>
      </c>
      <c r="I597" t="s">
        <v>1754</v>
      </c>
      <c r="N597">
        <v>2</v>
      </c>
      <c r="O597" t="s">
        <v>1753</v>
      </c>
      <c r="P597" t="s">
        <v>1752</v>
      </c>
      <c r="Q597" t="s">
        <v>342</v>
      </c>
      <c r="R597" s="7">
        <v>30317</v>
      </c>
      <c r="S597" s="8">
        <f t="shared" si="72"/>
        <v>1983</v>
      </c>
      <c r="T597" s="8">
        <v>1983</v>
      </c>
      <c r="U597" s="8">
        <f t="shared" si="73"/>
        <v>39</v>
      </c>
      <c r="V597" s="7">
        <v>30348</v>
      </c>
      <c r="W597" s="11" t="s">
        <v>1577</v>
      </c>
      <c r="X597" s="2">
        <v>2.383</v>
      </c>
      <c r="Y597" s="6">
        <f t="shared" si="78"/>
        <v>6.3612824003630442E-2</v>
      </c>
      <c r="AA597">
        <v>1437070</v>
      </c>
      <c r="AB597">
        <v>39742</v>
      </c>
      <c r="AD597" t="s">
        <v>5</v>
      </c>
      <c r="AE597">
        <v>130</v>
      </c>
      <c r="AF597">
        <v>1</v>
      </c>
      <c r="AH597" t="s">
        <v>1751</v>
      </c>
      <c r="AI597" t="s">
        <v>1750</v>
      </c>
      <c r="AJ597" t="s">
        <v>1622</v>
      </c>
      <c r="AK597" t="s">
        <v>1749</v>
      </c>
      <c r="AL597">
        <v>28</v>
      </c>
      <c r="AM597" s="5">
        <f t="shared" si="74"/>
        <v>0.71794871794871795</v>
      </c>
      <c r="AN597" s="4">
        <f t="shared" si="79"/>
        <v>1.0873891979533781E-3</v>
      </c>
      <c r="AO597" s="3"/>
      <c r="AP597">
        <v>0</v>
      </c>
      <c r="AR597" t="s">
        <v>1</v>
      </c>
      <c r="AT597" s="2" t="s">
        <v>0</v>
      </c>
      <c r="AU597" s="1">
        <f t="shared" si="75"/>
        <v>4.4855193561927322</v>
      </c>
      <c r="AV597" s="1">
        <f t="shared" si="76"/>
        <v>3.2350106600791912</v>
      </c>
      <c r="AW597" s="1">
        <f t="shared" si="77"/>
        <v>1.9845019639656496</v>
      </c>
    </row>
    <row r="598" spans="1:49" x14ac:dyDescent="0.2">
      <c r="A598">
        <v>596</v>
      </c>
      <c r="B598" t="s">
        <v>1748</v>
      </c>
      <c r="C598" t="s">
        <v>1747</v>
      </c>
      <c r="F598" t="s">
        <v>1746</v>
      </c>
      <c r="G598" t="s">
        <v>15</v>
      </c>
      <c r="H598" t="s">
        <v>14</v>
      </c>
      <c r="I598" t="s">
        <v>1745</v>
      </c>
      <c r="J598">
        <v>60026242</v>
      </c>
      <c r="K598" t="s">
        <v>1744</v>
      </c>
      <c r="L598" t="s">
        <v>1743</v>
      </c>
      <c r="M598" t="s">
        <v>271</v>
      </c>
      <c r="N598">
        <v>2</v>
      </c>
      <c r="O598" t="s">
        <v>1742</v>
      </c>
      <c r="P598" t="s">
        <v>1741</v>
      </c>
      <c r="Q598" t="s">
        <v>1740</v>
      </c>
      <c r="R598" s="7">
        <v>30317</v>
      </c>
      <c r="S598" s="8">
        <f t="shared" si="72"/>
        <v>1983</v>
      </c>
      <c r="T598" s="8">
        <v>1983</v>
      </c>
      <c r="U598" s="8">
        <f t="shared" si="73"/>
        <v>39</v>
      </c>
      <c r="V598" s="7">
        <v>30348</v>
      </c>
      <c r="W598" s="11" t="s">
        <v>1577</v>
      </c>
      <c r="X598" s="2">
        <v>2.383</v>
      </c>
      <c r="Y598" s="6">
        <f t="shared" si="78"/>
        <v>6.3612824003630442E-2</v>
      </c>
      <c r="AA598">
        <v>1437070</v>
      </c>
      <c r="AB598">
        <v>39742</v>
      </c>
      <c r="AD598" t="s">
        <v>5</v>
      </c>
      <c r="AE598">
        <v>130</v>
      </c>
      <c r="AF598">
        <v>1</v>
      </c>
      <c r="AH598" t="s">
        <v>1739</v>
      </c>
      <c r="AI598" t="s">
        <v>1738</v>
      </c>
      <c r="AJ598" t="s">
        <v>1622</v>
      </c>
      <c r="AK598" t="s">
        <v>1737</v>
      </c>
      <c r="AL598">
        <v>7</v>
      </c>
      <c r="AM598" s="5">
        <f t="shared" si="74"/>
        <v>0.17948717948717949</v>
      </c>
      <c r="AN598" s="4">
        <f t="shared" si="79"/>
        <v>2.7184729948834453E-4</v>
      </c>
      <c r="AO598" s="3"/>
      <c r="AP598">
        <v>0</v>
      </c>
      <c r="AR598" t="s">
        <v>1</v>
      </c>
      <c r="AT598" s="2" t="s">
        <v>0</v>
      </c>
      <c r="AU598" s="1">
        <f t="shared" si="75"/>
        <v>4.4610530992387813</v>
      </c>
      <c r="AV598" s="1">
        <f t="shared" si="76"/>
        <v>3.194233565155939</v>
      </c>
      <c r="AW598" s="1">
        <f t="shared" si="77"/>
        <v>1.9274140310730974</v>
      </c>
    </row>
    <row r="599" spans="1:49" x14ac:dyDescent="0.2">
      <c r="A599">
        <v>597</v>
      </c>
      <c r="B599" t="s">
        <v>1736</v>
      </c>
      <c r="C599" t="s">
        <v>1735</v>
      </c>
      <c r="F599" t="s">
        <v>1734</v>
      </c>
      <c r="G599" t="s">
        <v>15</v>
      </c>
      <c r="H599" t="s">
        <v>14</v>
      </c>
      <c r="I599" t="s">
        <v>1733</v>
      </c>
      <c r="J599">
        <v>60013372</v>
      </c>
      <c r="K599" t="s">
        <v>312</v>
      </c>
      <c r="L599" t="s">
        <v>311</v>
      </c>
      <c r="M599" t="s">
        <v>10</v>
      </c>
      <c r="N599">
        <v>3</v>
      </c>
      <c r="O599" t="s">
        <v>1732</v>
      </c>
      <c r="P599" t="s">
        <v>1731</v>
      </c>
      <c r="Q599" t="s">
        <v>1730</v>
      </c>
      <c r="R599" s="7">
        <v>30317</v>
      </c>
      <c r="S599" s="8">
        <f t="shared" si="72"/>
        <v>1983</v>
      </c>
      <c r="T599" s="8">
        <v>1983</v>
      </c>
      <c r="U599" s="8">
        <f t="shared" si="73"/>
        <v>39</v>
      </c>
      <c r="V599" s="7">
        <v>30348</v>
      </c>
      <c r="W599" t="s">
        <v>1687</v>
      </c>
      <c r="X599" s="2">
        <v>1.3720000000000001</v>
      </c>
      <c r="Y599" s="6">
        <f t="shared" si="78"/>
        <v>3.662475641333654E-2</v>
      </c>
      <c r="AA599">
        <v>189480</v>
      </c>
      <c r="AB599">
        <v>17366</v>
      </c>
      <c r="AC599">
        <v>15579670</v>
      </c>
      <c r="AD599" t="s">
        <v>5</v>
      </c>
      <c r="AE599">
        <v>31</v>
      </c>
      <c r="AF599">
        <v>2</v>
      </c>
      <c r="AH599" t="s">
        <v>1729</v>
      </c>
      <c r="AI599" t="s">
        <v>1728</v>
      </c>
      <c r="AK599" t="s">
        <v>1727</v>
      </c>
      <c r="AL599">
        <v>47</v>
      </c>
      <c r="AM599" s="5">
        <f t="shared" si="74"/>
        <v>1.2051282051282051</v>
      </c>
      <c r="AN599" s="4">
        <f t="shared" si="79"/>
        <v>1.8252604394217418E-3</v>
      </c>
      <c r="AO599" s="3"/>
      <c r="AP599">
        <v>0</v>
      </c>
      <c r="AR599" t="s">
        <v>1</v>
      </c>
      <c r="AT599" s="2" t="s">
        <v>0</v>
      </c>
      <c r="AU599" s="1">
        <f t="shared" si="75"/>
        <v>2.6184907621162097</v>
      </c>
      <c r="AV599" s="1">
        <f t="shared" si="76"/>
        <v>1.9225008426379142</v>
      </c>
      <c r="AW599" s="1">
        <f t="shared" si="77"/>
        <v>1.2265109231596181</v>
      </c>
    </row>
    <row r="600" spans="1:49" x14ac:dyDescent="0.2">
      <c r="A600">
        <v>598</v>
      </c>
      <c r="B600" t="s">
        <v>1726</v>
      </c>
      <c r="C600" t="s">
        <v>1725</v>
      </c>
      <c r="F600" t="s">
        <v>1724</v>
      </c>
      <c r="G600" t="s">
        <v>15</v>
      </c>
      <c r="H600" t="s">
        <v>14</v>
      </c>
      <c r="I600" t="s">
        <v>1723</v>
      </c>
      <c r="J600">
        <v>60028673</v>
      </c>
      <c r="K600" t="s">
        <v>1580</v>
      </c>
      <c r="L600" t="s">
        <v>1579</v>
      </c>
      <c r="M600" t="s">
        <v>80</v>
      </c>
      <c r="N600">
        <v>1</v>
      </c>
      <c r="O600" t="s">
        <v>1722</v>
      </c>
      <c r="P600">
        <v>6603820020</v>
      </c>
      <c r="Q600">
        <v>60028673</v>
      </c>
      <c r="R600" s="7">
        <v>30317</v>
      </c>
      <c r="S600" s="8">
        <f t="shared" si="72"/>
        <v>1983</v>
      </c>
      <c r="T600" s="8">
        <v>1983</v>
      </c>
      <c r="U600" s="8">
        <f t="shared" si="73"/>
        <v>39</v>
      </c>
      <c r="V600" s="7">
        <v>30348</v>
      </c>
      <c r="W600" s="11" t="s">
        <v>1577</v>
      </c>
      <c r="X600" s="2">
        <v>2.383</v>
      </c>
      <c r="Y600" s="6">
        <f t="shared" si="78"/>
        <v>6.3612824003630442E-2</v>
      </c>
      <c r="AA600">
        <v>1437070</v>
      </c>
      <c r="AB600">
        <v>39742</v>
      </c>
      <c r="AD600" t="s">
        <v>5</v>
      </c>
      <c r="AE600">
        <v>130</v>
      </c>
      <c r="AF600">
        <v>1</v>
      </c>
      <c r="AH600" t="s">
        <v>1721</v>
      </c>
      <c r="AI600" t="s">
        <v>1720</v>
      </c>
      <c r="AJ600" t="s">
        <v>1622</v>
      </c>
      <c r="AK600" t="s">
        <v>1719</v>
      </c>
      <c r="AL600">
        <v>2</v>
      </c>
      <c r="AM600" s="5">
        <f t="shared" si="74"/>
        <v>5.128205128205128E-2</v>
      </c>
      <c r="AN600" s="4">
        <f t="shared" si="79"/>
        <v>7.767065699666987E-5</v>
      </c>
      <c r="AO600" s="3"/>
      <c r="AP600">
        <v>0</v>
      </c>
      <c r="AR600" t="s">
        <v>1</v>
      </c>
      <c r="AT600" s="2" t="s">
        <v>0</v>
      </c>
      <c r="AU600" s="1">
        <f t="shared" si="75"/>
        <v>4.4552277999640308</v>
      </c>
      <c r="AV600" s="1">
        <f t="shared" si="76"/>
        <v>3.1845247330313553</v>
      </c>
      <c r="AW600" s="1">
        <f t="shared" si="77"/>
        <v>1.9138216660986802</v>
      </c>
    </row>
    <row r="601" spans="1:49" x14ac:dyDescent="0.2">
      <c r="A601">
        <v>599</v>
      </c>
      <c r="B601" t="s">
        <v>1718</v>
      </c>
      <c r="C601" t="s">
        <v>1717</v>
      </c>
      <c r="F601" t="s">
        <v>1716</v>
      </c>
      <c r="G601" t="s">
        <v>15</v>
      </c>
      <c r="H601" t="s">
        <v>14</v>
      </c>
      <c r="I601" t="s">
        <v>1715</v>
      </c>
      <c r="J601">
        <v>60018829</v>
      </c>
      <c r="K601" t="s">
        <v>1714</v>
      </c>
      <c r="L601" t="s">
        <v>1713</v>
      </c>
      <c r="M601" t="s">
        <v>271</v>
      </c>
      <c r="N601">
        <v>1</v>
      </c>
      <c r="O601" t="s">
        <v>1712</v>
      </c>
      <c r="P601">
        <v>7403159495</v>
      </c>
      <c r="Q601">
        <v>60018829</v>
      </c>
      <c r="R601" s="7">
        <v>30317</v>
      </c>
      <c r="S601" s="8">
        <f t="shared" si="72"/>
        <v>1983</v>
      </c>
      <c r="T601" s="8">
        <v>1983</v>
      </c>
      <c r="U601" s="8">
        <f t="shared" si="73"/>
        <v>39</v>
      </c>
      <c r="V601" s="7">
        <v>30348</v>
      </c>
      <c r="W601" s="11" t="s">
        <v>1577</v>
      </c>
      <c r="X601" s="2">
        <v>2.383</v>
      </c>
      <c r="Y601" s="6">
        <f t="shared" si="78"/>
        <v>6.3612824003630442E-2</v>
      </c>
      <c r="AA601">
        <v>1437070</v>
      </c>
      <c r="AB601">
        <v>39742</v>
      </c>
      <c r="AD601" t="s">
        <v>5</v>
      </c>
      <c r="AE601">
        <v>130</v>
      </c>
      <c r="AF601">
        <v>1</v>
      </c>
      <c r="AH601" t="s">
        <v>1711</v>
      </c>
      <c r="AI601" t="s">
        <v>1710</v>
      </c>
      <c r="AJ601" t="s">
        <v>1574</v>
      </c>
      <c r="AK601" t="s">
        <v>1709</v>
      </c>
      <c r="AL601">
        <v>1</v>
      </c>
      <c r="AM601" s="5">
        <f t="shared" si="74"/>
        <v>2.564102564102564E-2</v>
      </c>
      <c r="AN601" s="4">
        <f t="shared" si="79"/>
        <v>3.8835328498334935E-5</v>
      </c>
      <c r="AO601" s="3"/>
      <c r="AP601">
        <v>0</v>
      </c>
      <c r="AR601" t="s">
        <v>1</v>
      </c>
      <c r="AT601" s="2" t="s">
        <v>0</v>
      </c>
      <c r="AU601" s="1">
        <f t="shared" si="75"/>
        <v>4.4540627401090811</v>
      </c>
      <c r="AV601" s="1">
        <f t="shared" si="76"/>
        <v>3.1825829666064389</v>
      </c>
      <c r="AW601" s="1">
        <f t="shared" si="77"/>
        <v>1.9111031931037965</v>
      </c>
    </row>
    <row r="602" spans="1:49" x14ac:dyDescent="0.2">
      <c r="A602">
        <v>600</v>
      </c>
      <c r="B602" t="s">
        <v>1708</v>
      </c>
      <c r="C602" t="s">
        <v>1707</v>
      </c>
      <c r="F602" t="s">
        <v>1706</v>
      </c>
      <c r="G602" t="s">
        <v>15</v>
      </c>
      <c r="H602" t="s">
        <v>14</v>
      </c>
      <c r="I602" t="s">
        <v>1705</v>
      </c>
      <c r="J602">
        <v>60025225</v>
      </c>
      <c r="K602" t="s">
        <v>1704</v>
      </c>
      <c r="L602" t="s">
        <v>1703</v>
      </c>
      <c r="M602" t="s">
        <v>271</v>
      </c>
      <c r="N602">
        <v>1</v>
      </c>
      <c r="O602" t="s">
        <v>1702</v>
      </c>
      <c r="P602">
        <v>7005229420</v>
      </c>
      <c r="Q602">
        <v>60025225</v>
      </c>
      <c r="R602" s="7">
        <v>30317</v>
      </c>
      <c r="S602" s="8">
        <f t="shared" si="72"/>
        <v>1983</v>
      </c>
      <c r="T602" s="8">
        <v>1983</v>
      </c>
      <c r="U602" s="8">
        <f t="shared" si="73"/>
        <v>39</v>
      </c>
      <c r="V602" s="7">
        <v>30348</v>
      </c>
      <c r="W602" s="11" t="s">
        <v>1577</v>
      </c>
      <c r="X602" s="2">
        <v>2.383</v>
      </c>
      <c r="Y602" s="6">
        <f t="shared" si="78"/>
        <v>6.3612824003630442E-2</v>
      </c>
      <c r="AA602">
        <v>1437070</v>
      </c>
      <c r="AB602">
        <v>39742</v>
      </c>
      <c r="AD602" t="s">
        <v>5</v>
      </c>
      <c r="AE602">
        <v>130</v>
      </c>
      <c r="AF602">
        <v>1</v>
      </c>
      <c r="AH602" t="s">
        <v>1701</v>
      </c>
      <c r="AI602" t="s">
        <v>1700</v>
      </c>
      <c r="AJ602" t="s">
        <v>1699</v>
      </c>
      <c r="AK602" t="s">
        <v>1698</v>
      </c>
      <c r="AL602">
        <v>20</v>
      </c>
      <c r="AM602" s="5">
        <f t="shared" si="74"/>
        <v>0.51282051282051277</v>
      </c>
      <c r="AN602" s="4">
        <f t="shared" si="79"/>
        <v>7.7670656996669868E-4</v>
      </c>
      <c r="AO602" s="3"/>
      <c r="AP602">
        <v>0</v>
      </c>
      <c r="AR602" t="s">
        <v>1</v>
      </c>
      <c r="AT602" s="2" t="s">
        <v>0</v>
      </c>
      <c r="AU602" s="1">
        <f t="shared" si="75"/>
        <v>4.4761988773531316</v>
      </c>
      <c r="AV602" s="1">
        <f t="shared" si="76"/>
        <v>3.219476528679857</v>
      </c>
      <c r="AW602" s="1">
        <f t="shared" si="77"/>
        <v>1.9627541800065822</v>
      </c>
    </row>
    <row r="603" spans="1:49" x14ac:dyDescent="0.2">
      <c r="A603">
        <v>601</v>
      </c>
      <c r="B603" t="s">
        <v>1697</v>
      </c>
      <c r="C603" t="s">
        <v>1696</v>
      </c>
      <c r="F603" t="s">
        <v>1695</v>
      </c>
      <c r="G603" t="s">
        <v>15</v>
      </c>
      <c r="H603" t="s">
        <v>14</v>
      </c>
      <c r="I603" t="s">
        <v>1694</v>
      </c>
      <c r="J603" t="s">
        <v>1693</v>
      </c>
      <c r="K603" t="s">
        <v>1692</v>
      </c>
      <c r="L603" t="s">
        <v>1691</v>
      </c>
      <c r="M603" t="s">
        <v>91</v>
      </c>
      <c r="N603">
        <v>2</v>
      </c>
      <c r="O603" t="s">
        <v>1690</v>
      </c>
      <c r="P603" t="s">
        <v>1689</v>
      </c>
      <c r="Q603" t="s">
        <v>1688</v>
      </c>
      <c r="R603" s="7">
        <v>30317</v>
      </c>
      <c r="S603" s="8">
        <f t="shared" si="72"/>
        <v>1983</v>
      </c>
      <c r="T603" s="8">
        <v>1983</v>
      </c>
      <c r="U603" s="8">
        <f t="shared" si="73"/>
        <v>39</v>
      </c>
      <c r="V603" s="7">
        <v>30348</v>
      </c>
      <c r="W603" t="s">
        <v>1687</v>
      </c>
      <c r="X603" s="2">
        <v>1.3720000000000001</v>
      </c>
      <c r="Y603" s="6">
        <f t="shared" si="78"/>
        <v>3.662475641333654E-2</v>
      </c>
      <c r="AA603">
        <v>189480</v>
      </c>
      <c r="AB603">
        <v>17366</v>
      </c>
      <c r="AC603">
        <v>15579670</v>
      </c>
      <c r="AD603" t="s">
        <v>5</v>
      </c>
      <c r="AE603">
        <v>31</v>
      </c>
      <c r="AF603">
        <v>2</v>
      </c>
      <c r="AH603" t="s">
        <v>1686</v>
      </c>
      <c r="AI603" t="s">
        <v>1685</v>
      </c>
      <c r="AK603" t="s">
        <v>1684</v>
      </c>
      <c r="AL603">
        <v>120</v>
      </c>
      <c r="AM603" s="5">
        <f t="shared" si="74"/>
        <v>3.0769230769230771</v>
      </c>
      <c r="AN603" s="4">
        <f t="shared" si="79"/>
        <v>4.6602394198001929E-3</v>
      </c>
      <c r="AO603" s="3"/>
      <c r="AP603">
        <v>0</v>
      </c>
      <c r="AR603" t="s">
        <v>1</v>
      </c>
      <c r="AT603" s="2" t="s">
        <v>0</v>
      </c>
      <c r="AU603" s="1">
        <f t="shared" si="75"/>
        <v>2.7035401315275633</v>
      </c>
      <c r="AV603" s="1">
        <f t="shared" si="76"/>
        <v>2.0642497916568368</v>
      </c>
      <c r="AW603" s="1">
        <f t="shared" si="77"/>
        <v>1.4249594517861097</v>
      </c>
    </row>
    <row r="604" spans="1:49" x14ac:dyDescent="0.2">
      <c r="A604">
        <v>602</v>
      </c>
      <c r="B604" t="s">
        <v>1683</v>
      </c>
      <c r="C604" t="s">
        <v>1682</v>
      </c>
      <c r="F604" t="s">
        <v>1681</v>
      </c>
      <c r="G604" t="s">
        <v>15</v>
      </c>
      <c r="H604" t="s">
        <v>14</v>
      </c>
      <c r="I604" t="s">
        <v>1680</v>
      </c>
      <c r="J604">
        <v>100571086</v>
      </c>
      <c r="K604" t="s">
        <v>1679</v>
      </c>
      <c r="L604" t="s">
        <v>822</v>
      </c>
      <c r="M604" t="s">
        <v>821</v>
      </c>
      <c r="N604">
        <v>1</v>
      </c>
      <c r="O604" t="s">
        <v>1678</v>
      </c>
      <c r="P604">
        <v>57214555907</v>
      </c>
      <c r="Q604">
        <v>100571086</v>
      </c>
      <c r="R604" s="7">
        <v>30317</v>
      </c>
      <c r="S604" s="8">
        <f t="shared" si="72"/>
        <v>1983</v>
      </c>
      <c r="T604" s="8">
        <v>1983</v>
      </c>
      <c r="U604" s="8">
        <f t="shared" si="73"/>
        <v>39</v>
      </c>
      <c r="V604" s="7">
        <v>30348</v>
      </c>
      <c r="W604" s="11" t="s">
        <v>1577</v>
      </c>
      <c r="X604" s="2">
        <v>2.383</v>
      </c>
      <c r="Y604" s="6">
        <f t="shared" si="78"/>
        <v>6.3612824003630442E-2</v>
      </c>
      <c r="AA604">
        <v>1437070</v>
      </c>
      <c r="AB604">
        <v>39742</v>
      </c>
      <c r="AD604" t="s">
        <v>5</v>
      </c>
      <c r="AE604">
        <v>130</v>
      </c>
      <c r="AF604">
        <v>1</v>
      </c>
      <c r="AH604" t="s">
        <v>1677</v>
      </c>
      <c r="AI604" t="s">
        <v>1676</v>
      </c>
      <c r="AJ604" t="s">
        <v>1622</v>
      </c>
      <c r="AK604" t="s">
        <v>1675</v>
      </c>
      <c r="AL604">
        <v>46</v>
      </c>
      <c r="AM604" s="5">
        <f t="shared" si="74"/>
        <v>1.1794871794871795</v>
      </c>
      <c r="AN604" s="4">
        <f t="shared" si="79"/>
        <v>1.7864251109234071E-3</v>
      </c>
      <c r="AO604" s="3"/>
      <c r="AP604">
        <v>0</v>
      </c>
      <c r="AR604" t="s">
        <v>1</v>
      </c>
      <c r="AT604" s="2" t="s">
        <v>0</v>
      </c>
      <c r="AU604" s="1">
        <f t="shared" si="75"/>
        <v>4.506490433581833</v>
      </c>
      <c r="AV604" s="1">
        <f t="shared" si="76"/>
        <v>3.2699624557276921</v>
      </c>
      <c r="AW604" s="1">
        <f t="shared" si="77"/>
        <v>2.0334344778735516</v>
      </c>
    </row>
    <row r="605" spans="1:49" x14ac:dyDescent="0.2">
      <c r="A605">
        <v>603</v>
      </c>
      <c r="B605" t="s">
        <v>1674</v>
      </c>
      <c r="C605" t="s">
        <v>1673</v>
      </c>
      <c r="F605" t="s">
        <v>1672</v>
      </c>
      <c r="G605" t="s">
        <v>15</v>
      </c>
      <c r="H605" t="s">
        <v>14</v>
      </c>
      <c r="I605" t="s">
        <v>1671</v>
      </c>
      <c r="J605">
        <v>60005465</v>
      </c>
      <c r="K605" t="s">
        <v>1670</v>
      </c>
      <c r="L605" t="s">
        <v>1669</v>
      </c>
      <c r="M605" t="s">
        <v>1668</v>
      </c>
      <c r="N605">
        <v>1</v>
      </c>
      <c r="O605" t="s">
        <v>1667</v>
      </c>
      <c r="P605">
        <v>6507991132</v>
      </c>
      <c r="Q605">
        <v>60005465</v>
      </c>
      <c r="R605" s="7">
        <v>30317</v>
      </c>
      <c r="S605" s="8">
        <f t="shared" si="72"/>
        <v>1983</v>
      </c>
      <c r="T605" s="8">
        <v>1983</v>
      </c>
      <c r="U605" s="8">
        <f t="shared" si="73"/>
        <v>39</v>
      </c>
      <c r="V605" s="7">
        <v>30348</v>
      </c>
      <c r="W605" t="s">
        <v>1531</v>
      </c>
      <c r="X605" s="2">
        <v>0.65500000000000003</v>
      </c>
      <c r="Y605" s="6">
        <f t="shared" si="78"/>
        <v>1.7484850911614749E-2</v>
      </c>
      <c r="AA605">
        <v>189375</v>
      </c>
      <c r="AB605">
        <v>26051</v>
      </c>
      <c r="AC605" t="s">
        <v>1530</v>
      </c>
      <c r="AD605" t="s">
        <v>5</v>
      </c>
      <c r="AE605" t="s">
        <v>1529</v>
      </c>
      <c r="AF605">
        <v>1</v>
      </c>
      <c r="AH605" t="s">
        <v>1666</v>
      </c>
      <c r="AI605" t="s">
        <v>1665</v>
      </c>
      <c r="AJ605" t="s">
        <v>1664</v>
      </c>
      <c r="AK605" t="s">
        <v>1663</v>
      </c>
      <c r="AL605">
        <v>16</v>
      </c>
      <c r="AM605" s="5">
        <f t="shared" si="74"/>
        <v>0.41025641025641024</v>
      </c>
      <c r="AN605" s="4">
        <f t="shared" si="79"/>
        <v>6.2136525597335896E-4</v>
      </c>
      <c r="AO605" s="3"/>
      <c r="AP605">
        <v>0</v>
      </c>
      <c r="AR605" t="s">
        <v>1</v>
      </c>
      <c r="AT605" s="2" t="s">
        <v>0</v>
      </c>
      <c r="AU605" s="1">
        <f t="shared" si="75"/>
        <v>1.2425805214922332</v>
      </c>
      <c r="AV605" s="1">
        <f t="shared" si="76"/>
        <v>0.90531080837940536</v>
      </c>
      <c r="AW605" s="1">
        <f t="shared" si="77"/>
        <v>0.56804109526657764</v>
      </c>
    </row>
    <row r="606" spans="1:49" x14ac:dyDescent="0.2">
      <c r="A606">
        <v>604</v>
      </c>
      <c r="B606" t="s">
        <v>1662</v>
      </c>
      <c r="F606" t="s">
        <v>1661</v>
      </c>
      <c r="G606" t="s">
        <v>15</v>
      </c>
      <c r="H606" t="s">
        <v>14</v>
      </c>
      <c r="I606" t="s">
        <v>1660</v>
      </c>
      <c r="N606">
        <v>1</v>
      </c>
      <c r="O606" t="s">
        <v>1659</v>
      </c>
      <c r="P606">
        <v>7102847307</v>
      </c>
      <c r="R606" s="7">
        <v>30317</v>
      </c>
      <c r="S606" s="8">
        <f t="shared" si="72"/>
        <v>1983</v>
      </c>
      <c r="T606" s="8">
        <v>1983</v>
      </c>
      <c r="U606" s="8">
        <f t="shared" si="73"/>
        <v>39</v>
      </c>
      <c r="V606" s="7" t="s">
        <v>1453</v>
      </c>
      <c r="W606" t="s">
        <v>1658</v>
      </c>
      <c r="X606" s="2" t="s">
        <v>0</v>
      </c>
      <c r="Y606" s="6" t="e">
        <f t="shared" si="78"/>
        <v>#VALUE!</v>
      </c>
      <c r="AB606">
        <v>34646</v>
      </c>
      <c r="AD606" t="s">
        <v>5</v>
      </c>
      <c r="AE606">
        <v>8</v>
      </c>
      <c r="AF606">
        <v>2</v>
      </c>
      <c r="AH606" t="s">
        <v>1657</v>
      </c>
      <c r="AI606" t="s">
        <v>1656</v>
      </c>
      <c r="AK606" t="s">
        <v>1655</v>
      </c>
      <c r="AL606">
        <v>0</v>
      </c>
      <c r="AM606" s="5">
        <f t="shared" si="74"/>
        <v>0</v>
      </c>
      <c r="AN606" s="4">
        <f t="shared" si="79"/>
        <v>0</v>
      </c>
      <c r="AO606" s="3"/>
      <c r="AP606">
        <v>0</v>
      </c>
      <c r="AR606" t="s">
        <v>1</v>
      </c>
      <c r="AT606" s="2" t="s">
        <v>0</v>
      </c>
      <c r="AU606" s="1" t="e">
        <f t="shared" si="75"/>
        <v>#VALUE!</v>
      </c>
      <c r="AV606" s="1" t="e">
        <f t="shared" si="76"/>
        <v>#VALUE!</v>
      </c>
      <c r="AW606" s="1" t="e">
        <f t="shared" si="77"/>
        <v>#VALUE!</v>
      </c>
    </row>
    <row r="607" spans="1:49" x14ac:dyDescent="0.2">
      <c r="A607">
        <v>605</v>
      </c>
      <c r="B607" t="s">
        <v>1654</v>
      </c>
      <c r="C607" t="s">
        <v>1653</v>
      </c>
      <c r="F607" t="s">
        <v>1652</v>
      </c>
      <c r="G607" t="s">
        <v>15</v>
      </c>
      <c r="H607" t="s">
        <v>14</v>
      </c>
      <c r="I607" t="s">
        <v>1651</v>
      </c>
      <c r="J607" t="s">
        <v>1650</v>
      </c>
      <c r="K607" t="s">
        <v>1649</v>
      </c>
      <c r="L607" t="s">
        <v>1648</v>
      </c>
      <c r="M607" t="s">
        <v>1647</v>
      </c>
      <c r="N607">
        <v>3</v>
      </c>
      <c r="O607" t="s">
        <v>1646</v>
      </c>
      <c r="P607" t="s">
        <v>1645</v>
      </c>
      <c r="Q607" t="s">
        <v>1644</v>
      </c>
      <c r="R607" s="7">
        <v>30317</v>
      </c>
      <c r="S607" s="8">
        <f t="shared" ref="S607:S670" si="80">YEAR(R607)</f>
        <v>1983</v>
      </c>
      <c r="T607" s="8">
        <v>1983</v>
      </c>
      <c r="U607" s="8">
        <f t="shared" ref="U607:U670" si="81">2022-T607</f>
        <v>39</v>
      </c>
      <c r="V607" s="7">
        <v>30348</v>
      </c>
      <c r="W607" t="s">
        <v>1006</v>
      </c>
      <c r="X607" s="2" t="s">
        <v>0</v>
      </c>
      <c r="Y607" s="6" t="e">
        <f t="shared" si="78"/>
        <v>#VALUE!</v>
      </c>
      <c r="AA607">
        <v>337722</v>
      </c>
      <c r="AB607">
        <v>35312</v>
      </c>
      <c r="AD607" t="s">
        <v>5</v>
      </c>
      <c r="AE607">
        <v>53</v>
      </c>
      <c r="AF607">
        <v>2</v>
      </c>
      <c r="AH607" t="s">
        <v>1643</v>
      </c>
      <c r="AI607" t="s">
        <v>1642</v>
      </c>
      <c r="AJ607" t="s">
        <v>1641</v>
      </c>
      <c r="AK607" t="s">
        <v>1640</v>
      </c>
      <c r="AL607">
        <v>0</v>
      </c>
      <c r="AM607" s="5">
        <f t="shared" ref="AM607:AM670" si="82">AL607/U607</f>
        <v>0</v>
      </c>
      <c r="AN607" s="4">
        <f t="shared" si="79"/>
        <v>0</v>
      </c>
      <c r="AO607" s="3"/>
      <c r="AP607">
        <v>0</v>
      </c>
      <c r="AR607" t="s">
        <v>1</v>
      </c>
      <c r="AT607" s="2" t="s">
        <v>0</v>
      </c>
      <c r="AU607" s="1" t="e">
        <f t="shared" ref="AU607:AU670" si="83">(Y607*0.7+AN607*0.3)*100</f>
        <v>#VALUE!</v>
      </c>
      <c r="AV607" s="1" t="e">
        <f t="shared" ref="AV607:AV670" si="84">(Y607*0.5+AN607*0.5)*100</f>
        <v>#VALUE!</v>
      </c>
      <c r="AW607" s="1" t="e">
        <f t="shared" ref="AW607:AW670" si="85">(Y607*0.3+AN607*0.7)*100</f>
        <v>#VALUE!</v>
      </c>
    </row>
    <row r="608" spans="1:49" x14ac:dyDescent="0.2">
      <c r="A608">
        <v>606</v>
      </c>
      <c r="B608" t="s">
        <v>1639</v>
      </c>
      <c r="C608" t="s">
        <v>1638</v>
      </c>
      <c r="F608" t="s">
        <v>1637</v>
      </c>
      <c r="G608" t="s">
        <v>15</v>
      </c>
      <c r="H608" t="s">
        <v>14</v>
      </c>
      <c r="I608" t="s">
        <v>1636</v>
      </c>
      <c r="J608">
        <v>60021378</v>
      </c>
      <c r="K608" t="s">
        <v>1635</v>
      </c>
      <c r="L608" t="s">
        <v>1634</v>
      </c>
      <c r="M608" t="s">
        <v>10</v>
      </c>
      <c r="N608">
        <v>1</v>
      </c>
      <c r="O608" t="s">
        <v>1633</v>
      </c>
      <c r="P608">
        <v>7102662778</v>
      </c>
      <c r="Q608">
        <v>60021378</v>
      </c>
      <c r="R608" s="7">
        <v>30317</v>
      </c>
      <c r="S608" s="8">
        <f t="shared" si="80"/>
        <v>1983</v>
      </c>
      <c r="T608" s="8">
        <v>1983</v>
      </c>
      <c r="U608" s="8">
        <f t="shared" si="81"/>
        <v>39</v>
      </c>
      <c r="V608" s="7">
        <v>30348</v>
      </c>
      <c r="W608" t="s">
        <v>1632</v>
      </c>
      <c r="X608" s="2">
        <v>1.365</v>
      </c>
      <c r="Y608" s="6">
        <f t="shared" si="78"/>
        <v>3.6437895411227675E-2</v>
      </c>
      <c r="AA608">
        <v>189545</v>
      </c>
      <c r="AB608">
        <v>17393</v>
      </c>
      <c r="AC608">
        <v>19399359</v>
      </c>
      <c r="AD608" t="s">
        <v>5</v>
      </c>
      <c r="AE608">
        <v>32</v>
      </c>
      <c r="AF608">
        <v>1</v>
      </c>
      <c r="AH608" t="s">
        <v>1631</v>
      </c>
      <c r="AI608" t="s">
        <v>1630</v>
      </c>
      <c r="AK608" t="s">
        <v>1629</v>
      </c>
      <c r="AL608">
        <v>47</v>
      </c>
      <c r="AM608" s="5">
        <f t="shared" si="82"/>
        <v>1.2051282051282051</v>
      </c>
      <c r="AN608" s="4">
        <f t="shared" si="79"/>
        <v>1.8252604394217418E-3</v>
      </c>
      <c r="AO608" s="3"/>
      <c r="AP608">
        <v>0</v>
      </c>
      <c r="AR608" t="s">
        <v>1</v>
      </c>
      <c r="AT608" s="2" t="s">
        <v>0</v>
      </c>
      <c r="AU608" s="1">
        <f t="shared" si="83"/>
        <v>2.605410491968589</v>
      </c>
      <c r="AV608" s="1">
        <f t="shared" si="84"/>
        <v>1.913157792532471</v>
      </c>
      <c r="AW608" s="1">
        <f t="shared" si="85"/>
        <v>1.2209050930963521</v>
      </c>
    </row>
    <row r="609" spans="1:49" x14ac:dyDescent="0.2">
      <c r="A609">
        <v>607</v>
      </c>
      <c r="B609" t="s">
        <v>1628</v>
      </c>
      <c r="C609" t="s">
        <v>1627</v>
      </c>
      <c r="F609" t="s">
        <v>1626</v>
      </c>
      <c r="G609" t="s">
        <v>15</v>
      </c>
      <c r="H609" t="s">
        <v>14</v>
      </c>
      <c r="I609" t="s">
        <v>1589</v>
      </c>
      <c r="J609">
        <v>60000891</v>
      </c>
      <c r="K609" t="s">
        <v>1625</v>
      </c>
      <c r="L609" t="s">
        <v>1624</v>
      </c>
      <c r="M609" t="s">
        <v>271</v>
      </c>
      <c r="N609">
        <v>1</v>
      </c>
      <c r="O609" t="s">
        <v>1588</v>
      </c>
      <c r="P609">
        <v>7401482074</v>
      </c>
      <c r="Q609">
        <v>60000891</v>
      </c>
      <c r="R609" s="7">
        <v>30317</v>
      </c>
      <c r="S609" s="8">
        <f t="shared" si="80"/>
        <v>1983</v>
      </c>
      <c r="T609" s="8">
        <v>1983</v>
      </c>
      <c r="U609" s="8">
        <f t="shared" si="81"/>
        <v>39</v>
      </c>
      <c r="V609" s="7">
        <v>30348</v>
      </c>
      <c r="W609" s="11" t="s">
        <v>1577</v>
      </c>
      <c r="X609" s="2">
        <v>2.383</v>
      </c>
      <c r="Y609" s="6">
        <f t="shared" si="78"/>
        <v>6.3612824003630442E-2</v>
      </c>
      <c r="AA609">
        <v>1437070</v>
      </c>
      <c r="AB609">
        <v>39742</v>
      </c>
      <c r="AD609" t="s">
        <v>5</v>
      </c>
      <c r="AE609">
        <v>130</v>
      </c>
      <c r="AF609">
        <v>1</v>
      </c>
      <c r="AH609" s="9">
        <v>44472</v>
      </c>
      <c r="AI609" t="s">
        <v>1623</v>
      </c>
      <c r="AJ609" t="s">
        <v>1622</v>
      </c>
      <c r="AK609" t="s">
        <v>1621</v>
      </c>
      <c r="AL609">
        <v>42</v>
      </c>
      <c r="AM609" s="5">
        <f t="shared" si="82"/>
        <v>1.0769230769230769</v>
      </c>
      <c r="AN609" s="4">
        <f t="shared" si="79"/>
        <v>1.6310837969300673E-3</v>
      </c>
      <c r="AO609" s="3"/>
      <c r="AP609">
        <v>0</v>
      </c>
      <c r="AR609" t="s">
        <v>1</v>
      </c>
      <c r="AT609" s="2" t="s">
        <v>0</v>
      </c>
      <c r="AU609" s="1">
        <f t="shared" si="83"/>
        <v>4.5018301941620331</v>
      </c>
      <c r="AV609" s="1">
        <f t="shared" si="84"/>
        <v>3.2621953900280256</v>
      </c>
      <c r="AW609" s="1">
        <f t="shared" si="85"/>
        <v>2.0225605858940181</v>
      </c>
    </row>
    <row r="610" spans="1:49" x14ac:dyDescent="0.2">
      <c r="A610">
        <v>608</v>
      </c>
      <c r="B610" t="s">
        <v>1620</v>
      </c>
      <c r="C610" t="s">
        <v>1619</v>
      </c>
      <c r="F610" t="s">
        <v>1618</v>
      </c>
      <c r="G610" t="s">
        <v>15</v>
      </c>
      <c r="H610" t="s">
        <v>14</v>
      </c>
      <c r="I610" t="s">
        <v>1617</v>
      </c>
      <c r="J610">
        <v>60005811</v>
      </c>
      <c r="K610" t="s">
        <v>1597</v>
      </c>
      <c r="L610" t="s">
        <v>1579</v>
      </c>
      <c r="M610" t="s">
        <v>80</v>
      </c>
      <c r="N610">
        <v>1</v>
      </c>
      <c r="O610" t="s">
        <v>1616</v>
      </c>
      <c r="P610">
        <v>56796734000</v>
      </c>
      <c r="Q610">
        <v>60005811</v>
      </c>
      <c r="R610" s="7">
        <v>30317</v>
      </c>
      <c r="S610" s="8">
        <f t="shared" si="80"/>
        <v>1983</v>
      </c>
      <c r="T610" s="8">
        <v>1983</v>
      </c>
      <c r="U610" s="8">
        <f t="shared" si="81"/>
        <v>39</v>
      </c>
      <c r="V610" s="7">
        <v>30348</v>
      </c>
      <c r="W610" s="11" t="s">
        <v>1577</v>
      </c>
      <c r="X610" s="2">
        <v>2.383</v>
      </c>
      <c r="Y610" s="6">
        <f t="shared" si="78"/>
        <v>6.3612824003630442E-2</v>
      </c>
      <c r="AA610">
        <v>1437070</v>
      </c>
      <c r="AB610">
        <v>39742</v>
      </c>
      <c r="AD610" t="s">
        <v>5</v>
      </c>
      <c r="AE610">
        <v>130</v>
      </c>
      <c r="AF610">
        <v>1</v>
      </c>
      <c r="AH610" t="s">
        <v>1615</v>
      </c>
      <c r="AI610" t="s">
        <v>1614</v>
      </c>
      <c r="AJ610" t="s">
        <v>1613</v>
      </c>
      <c r="AK610" t="s">
        <v>1612</v>
      </c>
      <c r="AL610">
        <v>5</v>
      </c>
      <c r="AM610" s="5">
        <f t="shared" si="82"/>
        <v>0.12820512820512819</v>
      </c>
      <c r="AN610" s="4">
        <f t="shared" si="79"/>
        <v>1.9417664249167467E-4</v>
      </c>
      <c r="AO610" s="3"/>
      <c r="AP610">
        <v>0</v>
      </c>
      <c r="AR610" t="s">
        <v>1</v>
      </c>
      <c r="AT610" s="2" t="s">
        <v>0</v>
      </c>
      <c r="AU610" s="1">
        <f t="shared" si="83"/>
        <v>4.458722979528881</v>
      </c>
      <c r="AV610" s="1">
        <f t="shared" si="84"/>
        <v>3.1903500323061058</v>
      </c>
      <c r="AW610" s="1">
        <f t="shared" si="85"/>
        <v>1.9219770850833304</v>
      </c>
    </row>
    <row r="611" spans="1:49" x14ac:dyDescent="0.2">
      <c r="A611">
        <v>609</v>
      </c>
      <c r="B611" t="s">
        <v>1611</v>
      </c>
      <c r="C611" t="s">
        <v>1610</v>
      </c>
      <c r="F611" t="s">
        <v>1609</v>
      </c>
      <c r="G611" t="s">
        <v>15</v>
      </c>
      <c r="H611" t="s">
        <v>14</v>
      </c>
      <c r="I611" t="s">
        <v>1608</v>
      </c>
      <c r="J611">
        <v>60022195</v>
      </c>
      <c r="K611" t="s">
        <v>1607</v>
      </c>
      <c r="L611" t="s">
        <v>446</v>
      </c>
      <c r="M611" t="s">
        <v>10</v>
      </c>
      <c r="N611">
        <v>1</v>
      </c>
      <c r="O611" t="s">
        <v>1606</v>
      </c>
      <c r="P611">
        <v>6701726484</v>
      </c>
      <c r="Q611">
        <v>60022195</v>
      </c>
      <c r="R611" s="7">
        <v>30317</v>
      </c>
      <c r="S611" s="8">
        <f t="shared" si="80"/>
        <v>1983</v>
      </c>
      <c r="T611" s="8">
        <v>1983</v>
      </c>
      <c r="U611" s="8">
        <f t="shared" si="81"/>
        <v>39</v>
      </c>
      <c r="V611" s="7">
        <v>30348</v>
      </c>
      <c r="W611" s="11" t="s">
        <v>1577</v>
      </c>
      <c r="X611" s="2">
        <v>2.383</v>
      </c>
      <c r="Y611" s="6">
        <f t="shared" si="78"/>
        <v>6.3612824003630442E-2</v>
      </c>
      <c r="AA611">
        <v>1437070</v>
      </c>
      <c r="AB611">
        <v>39742</v>
      </c>
      <c r="AD611" t="s">
        <v>5</v>
      </c>
      <c r="AE611">
        <v>130</v>
      </c>
      <c r="AF611">
        <v>1</v>
      </c>
      <c r="AH611" t="s">
        <v>1605</v>
      </c>
      <c r="AI611" t="s">
        <v>1604</v>
      </c>
      <c r="AJ611" t="s">
        <v>1603</v>
      </c>
      <c r="AK611" t="s">
        <v>1602</v>
      </c>
      <c r="AL611">
        <v>3</v>
      </c>
      <c r="AM611" s="5">
        <f t="shared" si="82"/>
        <v>7.6923076923076927E-2</v>
      </c>
      <c r="AN611" s="4">
        <f t="shared" si="79"/>
        <v>1.1650598549500481E-4</v>
      </c>
      <c r="AO611" s="3"/>
      <c r="AP611">
        <v>0</v>
      </c>
      <c r="AR611" t="s">
        <v>1</v>
      </c>
      <c r="AT611" s="2" t="s">
        <v>0</v>
      </c>
      <c r="AU611" s="1">
        <f t="shared" si="83"/>
        <v>4.4563928598189815</v>
      </c>
      <c r="AV611" s="1">
        <f t="shared" si="84"/>
        <v>3.1864664994562726</v>
      </c>
      <c r="AW611" s="1">
        <f t="shared" si="85"/>
        <v>1.9165401390935637</v>
      </c>
    </row>
    <row r="612" spans="1:49" x14ac:dyDescent="0.2">
      <c r="A612">
        <v>610</v>
      </c>
      <c r="B612" t="s">
        <v>1601</v>
      </c>
      <c r="C612" t="s">
        <v>1600</v>
      </c>
      <c r="F612" t="s">
        <v>1599</v>
      </c>
      <c r="G612" t="s">
        <v>15</v>
      </c>
      <c r="H612" t="s">
        <v>14</v>
      </c>
      <c r="I612" t="s">
        <v>1598</v>
      </c>
      <c r="J612">
        <v>60005811</v>
      </c>
      <c r="K612" t="s">
        <v>1597</v>
      </c>
      <c r="L612" t="s">
        <v>1579</v>
      </c>
      <c r="M612" t="s">
        <v>80</v>
      </c>
      <c r="N612">
        <v>1</v>
      </c>
      <c r="O612" t="s">
        <v>1596</v>
      </c>
      <c r="P612">
        <v>7004311323</v>
      </c>
      <c r="Q612">
        <v>60005811</v>
      </c>
      <c r="R612" s="7">
        <v>30317</v>
      </c>
      <c r="S612" s="8">
        <f t="shared" si="80"/>
        <v>1983</v>
      </c>
      <c r="T612" s="8">
        <v>1983</v>
      </c>
      <c r="U612" s="8">
        <f t="shared" si="81"/>
        <v>39</v>
      </c>
      <c r="V612" s="7">
        <v>30348</v>
      </c>
      <c r="W612" s="11" t="s">
        <v>1577</v>
      </c>
      <c r="X612" s="2">
        <v>2.383</v>
      </c>
      <c r="Y612" s="6">
        <f t="shared" si="78"/>
        <v>6.3612824003630442E-2</v>
      </c>
      <c r="AA612">
        <v>1437070</v>
      </c>
      <c r="AB612">
        <v>39742</v>
      </c>
      <c r="AD612" t="s">
        <v>5</v>
      </c>
      <c r="AE612">
        <v>130</v>
      </c>
      <c r="AF612">
        <v>1</v>
      </c>
      <c r="AH612" t="s">
        <v>1595</v>
      </c>
      <c r="AI612" t="s">
        <v>1594</v>
      </c>
      <c r="AJ612" t="s">
        <v>1574</v>
      </c>
      <c r="AK612" t="s">
        <v>1593</v>
      </c>
      <c r="AL612">
        <v>77</v>
      </c>
      <c r="AM612" s="5">
        <f t="shared" si="82"/>
        <v>1.9743589743589745</v>
      </c>
      <c r="AN612" s="4">
        <f t="shared" si="79"/>
        <v>2.9903202943717903E-3</v>
      </c>
      <c r="AO612" s="3"/>
      <c r="AP612">
        <v>0</v>
      </c>
      <c r="AR612" t="s">
        <v>1</v>
      </c>
      <c r="AT612" s="2" t="s">
        <v>0</v>
      </c>
      <c r="AU612" s="1">
        <f t="shared" si="83"/>
        <v>4.5426072890852849</v>
      </c>
      <c r="AV612" s="1">
        <f t="shared" si="84"/>
        <v>3.3301572149001117</v>
      </c>
      <c r="AW612" s="1">
        <f t="shared" si="85"/>
        <v>2.1177071407149386</v>
      </c>
    </row>
    <row r="613" spans="1:49" x14ac:dyDescent="0.2">
      <c r="A613">
        <v>611</v>
      </c>
      <c r="B613" t="s">
        <v>1592</v>
      </c>
      <c r="C613" t="s">
        <v>1591</v>
      </c>
      <c r="F613" t="s">
        <v>1590</v>
      </c>
      <c r="G613" t="s">
        <v>15</v>
      </c>
      <c r="H613" t="s">
        <v>14</v>
      </c>
      <c r="I613" t="s">
        <v>1589</v>
      </c>
      <c r="N613">
        <v>1</v>
      </c>
      <c r="O613" t="s">
        <v>1588</v>
      </c>
      <c r="P613">
        <v>57196639218</v>
      </c>
      <c r="R613" s="7">
        <v>30317</v>
      </c>
      <c r="S613" s="8">
        <f t="shared" si="80"/>
        <v>1983</v>
      </c>
      <c r="T613" s="8">
        <v>1983</v>
      </c>
      <c r="U613" s="8">
        <f t="shared" si="81"/>
        <v>39</v>
      </c>
      <c r="V613" s="7" t="s">
        <v>1453</v>
      </c>
      <c r="W613" s="11" t="s">
        <v>1587</v>
      </c>
      <c r="X613" s="2">
        <v>2.383</v>
      </c>
      <c r="Y613" s="6">
        <f t="shared" si="78"/>
        <v>6.3612824003630442E-2</v>
      </c>
      <c r="AA613">
        <v>1437097</v>
      </c>
      <c r="AB613">
        <v>101236</v>
      </c>
      <c r="AD613" t="s">
        <v>5</v>
      </c>
      <c r="AE613">
        <v>130</v>
      </c>
      <c r="AF613">
        <v>1</v>
      </c>
      <c r="AH613" s="9">
        <v>44472</v>
      </c>
      <c r="AI613" t="s">
        <v>1586</v>
      </c>
      <c r="AK613" t="s">
        <v>1585</v>
      </c>
      <c r="AL613">
        <v>5</v>
      </c>
      <c r="AM613" s="5">
        <f t="shared" si="82"/>
        <v>0.12820512820512819</v>
      </c>
      <c r="AN613" s="4">
        <f t="shared" si="79"/>
        <v>1.9417664249167467E-4</v>
      </c>
      <c r="AO613" s="3"/>
      <c r="AP613">
        <v>0</v>
      </c>
      <c r="AR613" t="s">
        <v>1</v>
      </c>
      <c r="AT613" s="2" t="s">
        <v>0</v>
      </c>
      <c r="AU613" s="1">
        <f t="shared" si="83"/>
        <v>4.458722979528881</v>
      </c>
      <c r="AV613" s="1">
        <f t="shared" si="84"/>
        <v>3.1903500323061058</v>
      </c>
      <c r="AW613" s="1">
        <f t="shared" si="85"/>
        <v>1.9219770850833304</v>
      </c>
    </row>
    <row r="614" spans="1:49" x14ac:dyDescent="0.2">
      <c r="A614">
        <v>612</v>
      </c>
      <c r="B614" t="s">
        <v>1584</v>
      </c>
      <c r="C614" t="s">
        <v>1583</v>
      </c>
      <c r="F614" t="s">
        <v>1582</v>
      </c>
      <c r="G614" t="s">
        <v>15</v>
      </c>
      <c r="H614" t="s">
        <v>14</v>
      </c>
      <c r="I614" t="s">
        <v>1581</v>
      </c>
      <c r="J614">
        <v>60028673</v>
      </c>
      <c r="K614" t="s">
        <v>1580</v>
      </c>
      <c r="L614" t="s">
        <v>1579</v>
      </c>
      <c r="M614" t="s">
        <v>80</v>
      </c>
      <c r="N614">
        <v>1</v>
      </c>
      <c r="O614" t="s">
        <v>1578</v>
      </c>
      <c r="P614">
        <v>6603355766</v>
      </c>
      <c r="Q614">
        <v>60028673</v>
      </c>
      <c r="R614" s="7">
        <v>30317</v>
      </c>
      <c r="S614" s="8">
        <f t="shared" si="80"/>
        <v>1983</v>
      </c>
      <c r="T614" s="8">
        <v>1983</v>
      </c>
      <c r="U614" s="8">
        <f t="shared" si="81"/>
        <v>39</v>
      </c>
      <c r="V614" s="7">
        <v>30348</v>
      </c>
      <c r="W614" s="11" t="s">
        <v>1577</v>
      </c>
      <c r="X614" s="2">
        <v>2.383</v>
      </c>
      <c r="Y614" s="6">
        <f t="shared" si="78"/>
        <v>6.3612824003630442E-2</v>
      </c>
      <c r="AA614">
        <v>1437070</v>
      </c>
      <c r="AB614">
        <v>39742</v>
      </c>
      <c r="AD614" t="s">
        <v>5</v>
      </c>
      <c r="AE614">
        <v>130</v>
      </c>
      <c r="AF614">
        <v>1</v>
      </c>
      <c r="AH614" t="s">
        <v>1576</v>
      </c>
      <c r="AI614" t="s">
        <v>1575</v>
      </c>
      <c r="AJ614" t="s">
        <v>1574</v>
      </c>
      <c r="AK614" t="s">
        <v>1573</v>
      </c>
      <c r="AL614">
        <v>0</v>
      </c>
      <c r="AM614" s="5">
        <f t="shared" si="82"/>
        <v>0</v>
      </c>
      <c r="AN614" s="4">
        <f t="shared" si="79"/>
        <v>0</v>
      </c>
      <c r="AO614" s="3"/>
      <c r="AP614">
        <v>0</v>
      </c>
      <c r="AR614" t="s">
        <v>1</v>
      </c>
      <c r="AT614" s="2" t="s">
        <v>0</v>
      </c>
      <c r="AU614" s="1">
        <f t="shared" si="83"/>
        <v>4.4528976802541305</v>
      </c>
      <c r="AV614" s="1">
        <f t="shared" si="84"/>
        <v>3.1806412001815221</v>
      </c>
      <c r="AW614" s="1">
        <f t="shared" si="85"/>
        <v>1.9083847201089132</v>
      </c>
    </row>
    <row r="615" spans="1:49" x14ac:dyDescent="0.2">
      <c r="A615">
        <v>613</v>
      </c>
      <c r="B615" t="s">
        <v>1572</v>
      </c>
      <c r="C615" t="s">
        <v>1571</v>
      </c>
      <c r="F615" t="s">
        <v>1570</v>
      </c>
      <c r="G615" t="s">
        <v>15</v>
      </c>
      <c r="H615" t="s">
        <v>14</v>
      </c>
      <c r="I615" t="s">
        <v>1569</v>
      </c>
      <c r="N615">
        <v>4</v>
      </c>
      <c r="O615" t="s">
        <v>1568</v>
      </c>
      <c r="P615" t="s">
        <v>1567</v>
      </c>
      <c r="Q615" t="s">
        <v>575</v>
      </c>
      <c r="R615" s="7">
        <v>30317</v>
      </c>
      <c r="S615" s="8">
        <f t="shared" si="80"/>
        <v>1983</v>
      </c>
      <c r="T615" s="8">
        <v>1983</v>
      </c>
      <c r="U615" s="8">
        <f t="shared" si="81"/>
        <v>39</v>
      </c>
      <c r="V615" s="7" t="s">
        <v>1453</v>
      </c>
      <c r="W615" t="s">
        <v>1566</v>
      </c>
      <c r="X615" s="2">
        <v>0.251</v>
      </c>
      <c r="Y615" s="6">
        <f t="shared" si="78"/>
        <v>6.7003016470462617E-3</v>
      </c>
      <c r="AA615">
        <v>207217</v>
      </c>
      <c r="AB615">
        <v>26145</v>
      </c>
      <c r="AD615" t="s">
        <v>5</v>
      </c>
      <c r="AE615">
        <v>54</v>
      </c>
      <c r="AF615">
        <v>2</v>
      </c>
      <c r="AH615" t="s">
        <v>1565</v>
      </c>
      <c r="AI615" t="s">
        <v>1564</v>
      </c>
      <c r="AK615" t="s">
        <v>1563</v>
      </c>
      <c r="AL615">
        <v>4</v>
      </c>
      <c r="AM615" s="5">
        <f t="shared" si="82"/>
        <v>0.10256410256410256</v>
      </c>
      <c r="AN615" s="4">
        <f t="shared" si="79"/>
        <v>1.5534131399333974E-4</v>
      </c>
      <c r="AO615" s="3"/>
      <c r="AP615">
        <v>0</v>
      </c>
      <c r="AR615" t="s">
        <v>1</v>
      </c>
      <c r="AT615" s="2">
        <v>1.3360000000000001</v>
      </c>
      <c r="AU615" s="1">
        <f t="shared" si="83"/>
        <v>0.47368135471303846</v>
      </c>
      <c r="AV615" s="1">
        <f t="shared" si="84"/>
        <v>0.3427821480519801</v>
      </c>
      <c r="AW615" s="1">
        <f t="shared" si="85"/>
        <v>0.21188294139092159</v>
      </c>
    </row>
    <row r="616" spans="1:49" x14ac:dyDescent="0.2">
      <c r="A616">
        <v>614</v>
      </c>
      <c r="B616" t="s">
        <v>1562</v>
      </c>
      <c r="C616" t="s">
        <v>1561</v>
      </c>
      <c r="F616" t="s">
        <v>1560</v>
      </c>
      <c r="G616" t="s">
        <v>15</v>
      </c>
      <c r="H616" t="s">
        <v>14</v>
      </c>
      <c r="I616" t="s">
        <v>1559</v>
      </c>
      <c r="J616">
        <v>60031806</v>
      </c>
      <c r="K616" t="s">
        <v>1558</v>
      </c>
      <c r="L616" t="s">
        <v>1557</v>
      </c>
      <c r="M616" t="s">
        <v>821</v>
      </c>
      <c r="N616">
        <v>2</v>
      </c>
      <c r="O616" t="s">
        <v>1556</v>
      </c>
      <c r="P616" t="s">
        <v>1555</v>
      </c>
      <c r="Q616" t="s">
        <v>1554</v>
      </c>
      <c r="R616" s="7">
        <v>30317</v>
      </c>
      <c r="S616" s="8">
        <f t="shared" si="80"/>
        <v>1983</v>
      </c>
      <c r="T616" s="8">
        <v>1983</v>
      </c>
      <c r="U616" s="8">
        <f t="shared" si="81"/>
        <v>39</v>
      </c>
      <c r="V616" s="7">
        <v>1983</v>
      </c>
      <c r="W616" t="s">
        <v>1553</v>
      </c>
      <c r="X616" s="2">
        <v>0.85699999999999998</v>
      </c>
      <c r="Y616" s="6">
        <f t="shared" si="78"/>
        <v>2.287712554389899E-2</v>
      </c>
      <c r="AA616">
        <v>223727</v>
      </c>
      <c r="AB616">
        <v>28570</v>
      </c>
      <c r="AD616" t="s">
        <v>5</v>
      </c>
      <c r="AE616">
        <v>16</v>
      </c>
      <c r="AF616">
        <v>2</v>
      </c>
      <c r="AG616">
        <v>8</v>
      </c>
      <c r="AH616" t="s">
        <v>1552</v>
      </c>
      <c r="AI616" t="s">
        <v>1551</v>
      </c>
      <c r="AK616" t="s">
        <v>1550</v>
      </c>
      <c r="AL616">
        <v>12</v>
      </c>
      <c r="AM616" s="5">
        <f t="shared" si="82"/>
        <v>0.30769230769230771</v>
      </c>
      <c r="AN616" s="4">
        <f t="shared" si="79"/>
        <v>4.6602394198001925E-4</v>
      </c>
      <c r="AO616" s="3"/>
      <c r="AP616">
        <v>0</v>
      </c>
      <c r="AR616" t="s">
        <v>1</v>
      </c>
      <c r="AT616" s="2" t="s">
        <v>0</v>
      </c>
      <c r="AU616" s="1">
        <f t="shared" si="83"/>
        <v>1.6153795063323297</v>
      </c>
      <c r="AV616" s="1">
        <f t="shared" si="84"/>
        <v>1.1671574742939503</v>
      </c>
      <c r="AW616" s="1">
        <f t="shared" si="85"/>
        <v>0.71893544225557104</v>
      </c>
    </row>
    <row r="617" spans="1:49" x14ac:dyDescent="0.2">
      <c r="A617">
        <v>615</v>
      </c>
      <c r="B617" t="s">
        <v>1549</v>
      </c>
      <c r="F617" t="s">
        <v>1548</v>
      </c>
      <c r="G617" t="s">
        <v>15</v>
      </c>
      <c r="H617" t="s">
        <v>14</v>
      </c>
      <c r="I617" t="s">
        <v>1547</v>
      </c>
      <c r="N617">
        <v>2</v>
      </c>
      <c r="O617" t="s">
        <v>1546</v>
      </c>
      <c r="P617" t="s">
        <v>1545</v>
      </c>
      <c r="Q617" t="s">
        <v>342</v>
      </c>
      <c r="R617" s="7">
        <v>30317</v>
      </c>
      <c r="S617" s="8">
        <f t="shared" si="80"/>
        <v>1983</v>
      </c>
      <c r="T617" s="8">
        <v>1983</v>
      </c>
      <c r="U617" s="8">
        <f t="shared" si="81"/>
        <v>39</v>
      </c>
      <c r="V617" s="7" t="s">
        <v>1453</v>
      </c>
      <c r="W617" t="s">
        <v>1117</v>
      </c>
      <c r="X617" s="2" t="s">
        <v>0</v>
      </c>
      <c r="Y617" s="6" t="e">
        <f t="shared" si="78"/>
        <v>#VALUE!</v>
      </c>
      <c r="AA617" t="s">
        <v>1116</v>
      </c>
      <c r="AB617">
        <v>33832</v>
      </c>
      <c r="AD617" t="s">
        <v>5</v>
      </c>
      <c r="AE617">
        <v>17</v>
      </c>
      <c r="AF617">
        <v>2</v>
      </c>
      <c r="AH617" t="s">
        <v>1544</v>
      </c>
      <c r="AI617" t="s">
        <v>1543</v>
      </c>
      <c r="AK617" t="s">
        <v>1542</v>
      </c>
      <c r="AL617">
        <v>0</v>
      </c>
      <c r="AM617" s="5">
        <f t="shared" si="82"/>
        <v>0</v>
      </c>
      <c r="AN617" s="4">
        <f t="shared" si="79"/>
        <v>0</v>
      </c>
      <c r="AO617" s="3"/>
      <c r="AP617">
        <v>0</v>
      </c>
      <c r="AR617" t="s">
        <v>1</v>
      </c>
      <c r="AT617" s="2" t="s">
        <v>0</v>
      </c>
      <c r="AU617" s="1" t="e">
        <f t="shared" si="83"/>
        <v>#VALUE!</v>
      </c>
      <c r="AV617" s="1" t="e">
        <f t="shared" si="84"/>
        <v>#VALUE!</v>
      </c>
      <c r="AW617" s="1" t="e">
        <f t="shared" si="85"/>
        <v>#VALUE!</v>
      </c>
    </row>
    <row r="618" spans="1:49" x14ac:dyDescent="0.2">
      <c r="A618">
        <v>616</v>
      </c>
      <c r="B618" t="s">
        <v>1541</v>
      </c>
      <c r="C618" t="s">
        <v>1540</v>
      </c>
      <c r="F618" t="s">
        <v>1539</v>
      </c>
      <c r="G618" t="s">
        <v>15</v>
      </c>
      <c r="H618" t="s">
        <v>14</v>
      </c>
      <c r="I618" t="s">
        <v>1538</v>
      </c>
      <c r="J618" t="s">
        <v>1532</v>
      </c>
      <c r="K618" t="s">
        <v>1537</v>
      </c>
      <c r="L618" t="s">
        <v>1536</v>
      </c>
      <c r="M618" t="s">
        <v>1535</v>
      </c>
      <c r="N618">
        <v>2</v>
      </c>
      <c r="O618" t="s">
        <v>1534</v>
      </c>
      <c r="P618" t="s">
        <v>1533</v>
      </c>
      <c r="Q618" t="s">
        <v>1532</v>
      </c>
      <c r="R618" s="7">
        <v>30317</v>
      </c>
      <c r="S618" s="8">
        <f t="shared" si="80"/>
        <v>1983</v>
      </c>
      <c r="T618" s="8">
        <v>1983</v>
      </c>
      <c r="U618" s="8">
        <f t="shared" si="81"/>
        <v>39</v>
      </c>
      <c r="V618" s="7">
        <v>30348</v>
      </c>
      <c r="W618" t="s">
        <v>1531</v>
      </c>
      <c r="X618" s="2">
        <v>0.65500000000000003</v>
      </c>
      <c r="Y618" s="6">
        <f t="shared" si="78"/>
        <v>1.7484850911614749E-2</v>
      </c>
      <c r="AA618">
        <v>189375</v>
      </c>
      <c r="AB618">
        <v>26051</v>
      </c>
      <c r="AC618" t="s">
        <v>1530</v>
      </c>
      <c r="AD618" t="s">
        <v>5</v>
      </c>
      <c r="AE618" t="s">
        <v>1529</v>
      </c>
      <c r="AF618">
        <v>1</v>
      </c>
      <c r="AH618" t="s">
        <v>1528</v>
      </c>
      <c r="AI618" t="s">
        <v>1527</v>
      </c>
      <c r="AJ618" t="s">
        <v>1526</v>
      </c>
      <c r="AK618" t="s">
        <v>1525</v>
      </c>
      <c r="AL618">
        <v>37</v>
      </c>
      <c r="AM618" s="5">
        <f t="shared" si="82"/>
        <v>0.94871794871794868</v>
      </c>
      <c r="AN618" s="4">
        <f t="shared" si="79"/>
        <v>1.4369071544383925E-3</v>
      </c>
      <c r="AO618" s="3"/>
      <c r="AP618">
        <v>0</v>
      </c>
      <c r="AR618" t="s">
        <v>1</v>
      </c>
      <c r="AT618" s="2" t="s">
        <v>0</v>
      </c>
      <c r="AU618" s="1">
        <f t="shared" si="83"/>
        <v>1.2670467784461841</v>
      </c>
      <c r="AV618" s="1">
        <f t="shared" si="84"/>
        <v>0.94608790330265713</v>
      </c>
      <c r="AW618" s="1">
        <f t="shared" si="85"/>
        <v>0.62512902815912996</v>
      </c>
    </row>
    <row r="619" spans="1:49" x14ac:dyDescent="0.2">
      <c r="A619">
        <v>617</v>
      </c>
      <c r="B619" t="s">
        <v>1524</v>
      </c>
      <c r="F619" t="s">
        <v>1523</v>
      </c>
      <c r="G619" t="s">
        <v>15</v>
      </c>
      <c r="H619" t="s">
        <v>14</v>
      </c>
      <c r="I619" t="s">
        <v>1522</v>
      </c>
      <c r="N619">
        <v>2</v>
      </c>
      <c r="O619" t="s">
        <v>1521</v>
      </c>
      <c r="P619" t="s">
        <v>1520</v>
      </c>
      <c r="Q619" t="s">
        <v>342</v>
      </c>
      <c r="R619" s="7">
        <v>30317</v>
      </c>
      <c r="S619" s="8">
        <f t="shared" si="80"/>
        <v>1983</v>
      </c>
      <c r="T619" s="8">
        <v>1983</v>
      </c>
      <c r="U619" s="8">
        <f t="shared" si="81"/>
        <v>39</v>
      </c>
      <c r="V619" s="7" t="s">
        <v>1453</v>
      </c>
      <c r="W619" t="s">
        <v>1519</v>
      </c>
      <c r="X619" s="2" t="s">
        <v>0</v>
      </c>
      <c r="Y619" s="6" t="e">
        <f t="shared" si="78"/>
        <v>#VALUE!</v>
      </c>
      <c r="AA619" t="s">
        <v>1518</v>
      </c>
      <c r="AB619">
        <v>30906</v>
      </c>
      <c r="AD619" t="s">
        <v>5</v>
      </c>
      <c r="AE619" t="s">
        <v>1517</v>
      </c>
      <c r="AF619">
        <v>2</v>
      </c>
      <c r="AH619" t="s">
        <v>1516</v>
      </c>
      <c r="AI619" t="s">
        <v>1515</v>
      </c>
      <c r="AK619" t="s">
        <v>1514</v>
      </c>
      <c r="AL619">
        <v>12</v>
      </c>
      <c r="AM619" s="5">
        <f t="shared" si="82"/>
        <v>0.30769230769230771</v>
      </c>
      <c r="AN619" s="4">
        <f t="shared" si="79"/>
        <v>4.6602394198001925E-4</v>
      </c>
      <c r="AO619" s="3"/>
      <c r="AP619">
        <v>0</v>
      </c>
      <c r="AR619" t="s">
        <v>1</v>
      </c>
      <c r="AT619" s="2" t="s">
        <v>0</v>
      </c>
      <c r="AU619" s="1" t="e">
        <f t="shared" si="83"/>
        <v>#VALUE!</v>
      </c>
      <c r="AV619" s="1" t="e">
        <f t="shared" si="84"/>
        <v>#VALUE!</v>
      </c>
      <c r="AW619" s="1" t="e">
        <f t="shared" si="85"/>
        <v>#VALUE!</v>
      </c>
    </row>
    <row r="620" spans="1:49" x14ac:dyDescent="0.2">
      <c r="A620">
        <v>618</v>
      </c>
      <c r="B620" t="s">
        <v>1513</v>
      </c>
      <c r="F620" t="s">
        <v>1512</v>
      </c>
      <c r="G620" t="s">
        <v>15</v>
      </c>
      <c r="H620" t="s">
        <v>14</v>
      </c>
      <c r="I620" t="s">
        <v>1511</v>
      </c>
      <c r="N620">
        <v>2</v>
      </c>
      <c r="O620" t="s">
        <v>1510</v>
      </c>
      <c r="P620" t="s">
        <v>1509</v>
      </c>
      <c r="Q620" t="s">
        <v>342</v>
      </c>
      <c r="R620" s="7">
        <v>30317</v>
      </c>
      <c r="S620" s="8">
        <f t="shared" si="80"/>
        <v>1983</v>
      </c>
      <c r="T620" s="8">
        <v>1983</v>
      </c>
      <c r="U620" s="8">
        <f t="shared" si="81"/>
        <v>39</v>
      </c>
      <c r="V620" s="7" t="s">
        <v>1453</v>
      </c>
      <c r="W620" t="s">
        <v>536</v>
      </c>
      <c r="X620" s="2">
        <v>0.14099999999999999</v>
      </c>
      <c r="Y620" s="6">
        <f t="shared" si="78"/>
        <v>3.7639144710498915E-3</v>
      </c>
      <c r="AA620">
        <v>402508</v>
      </c>
      <c r="AB620">
        <v>20868</v>
      </c>
      <c r="AD620" t="s">
        <v>5</v>
      </c>
      <c r="AE620" t="s">
        <v>535</v>
      </c>
      <c r="AF620">
        <v>2</v>
      </c>
      <c r="AH620" t="s">
        <v>1508</v>
      </c>
      <c r="AI620" t="s">
        <v>1507</v>
      </c>
      <c r="AK620" t="s">
        <v>1506</v>
      </c>
      <c r="AL620">
        <v>0</v>
      </c>
      <c r="AM620" s="5">
        <f t="shared" si="82"/>
        <v>0</v>
      </c>
      <c r="AN620" s="4">
        <f t="shared" si="79"/>
        <v>0</v>
      </c>
      <c r="AO620" s="3"/>
      <c r="AP620">
        <v>0</v>
      </c>
      <c r="AR620" t="s">
        <v>1</v>
      </c>
      <c r="AT620" s="2" t="s">
        <v>0</v>
      </c>
      <c r="AU620" s="1">
        <f t="shared" si="83"/>
        <v>0.26347401297349238</v>
      </c>
      <c r="AV620" s="1">
        <f t="shared" si="84"/>
        <v>0.18819572355249459</v>
      </c>
      <c r="AW620" s="1">
        <f t="shared" si="85"/>
        <v>0.11291743413149673</v>
      </c>
    </row>
    <row r="621" spans="1:49" x14ac:dyDescent="0.2">
      <c r="A621">
        <v>619</v>
      </c>
      <c r="B621" t="s">
        <v>1505</v>
      </c>
      <c r="F621" t="s">
        <v>1504</v>
      </c>
      <c r="G621" t="s">
        <v>15</v>
      </c>
      <c r="H621" t="s">
        <v>14</v>
      </c>
      <c r="I621" t="s">
        <v>1503</v>
      </c>
      <c r="N621">
        <v>2</v>
      </c>
      <c r="O621" t="s">
        <v>1502</v>
      </c>
      <c r="P621" t="s">
        <v>1501</v>
      </c>
      <c r="Q621" t="s">
        <v>342</v>
      </c>
      <c r="R621" s="7">
        <v>30317</v>
      </c>
      <c r="S621" s="8">
        <f t="shared" si="80"/>
        <v>1983</v>
      </c>
      <c r="T621" s="8">
        <v>1983</v>
      </c>
      <c r="U621" s="8">
        <f t="shared" si="81"/>
        <v>39</v>
      </c>
      <c r="V621" s="7" t="s">
        <v>1453</v>
      </c>
      <c r="W621" t="s">
        <v>536</v>
      </c>
      <c r="X621" s="2">
        <v>0.14099999999999999</v>
      </c>
      <c r="Y621" s="6">
        <f t="shared" si="78"/>
        <v>3.7639144710498915E-3</v>
      </c>
      <c r="AA621">
        <v>402508</v>
      </c>
      <c r="AB621">
        <v>20868</v>
      </c>
      <c r="AD621" t="s">
        <v>5</v>
      </c>
      <c r="AE621" t="s">
        <v>535</v>
      </c>
      <c r="AF621">
        <v>2</v>
      </c>
      <c r="AH621" s="10">
        <v>42705</v>
      </c>
      <c r="AI621" t="s">
        <v>1500</v>
      </c>
      <c r="AK621" t="s">
        <v>1499</v>
      </c>
      <c r="AL621">
        <v>0</v>
      </c>
      <c r="AM621" s="5">
        <f t="shared" si="82"/>
        <v>0</v>
      </c>
      <c r="AN621" s="4">
        <f t="shared" si="79"/>
        <v>0</v>
      </c>
      <c r="AO621" s="3"/>
      <c r="AP621">
        <v>0</v>
      </c>
      <c r="AR621" t="s">
        <v>1</v>
      </c>
      <c r="AT621" s="2" t="s">
        <v>0</v>
      </c>
      <c r="AU621" s="1">
        <f t="shared" si="83"/>
        <v>0.26347401297349238</v>
      </c>
      <c r="AV621" s="1">
        <f t="shared" si="84"/>
        <v>0.18819572355249459</v>
      </c>
      <c r="AW621" s="1">
        <f t="shared" si="85"/>
        <v>0.11291743413149673</v>
      </c>
    </row>
    <row r="622" spans="1:49" x14ac:dyDescent="0.2">
      <c r="A622">
        <v>620</v>
      </c>
      <c r="B622" t="s">
        <v>1498</v>
      </c>
      <c r="F622" t="s">
        <v>1497</v>
      </c>
      <c r="G622" t="s">
        <v>15</v>
      </c>
      <c r="H622" t="s">
        <v>14</v>
      </c>
      <c r="I622" t="s">
        <v>1496</v>
      </c>
      <c r="N622">
        <v>2</v>
      </c>
      <c r="O622" t="s">
        <v>1495</v>
      </c>
      <c r="P622" t="s">
        <v>1494</v>
      </c>
      <c r="Q622" t="s">
        <v>342</v>
      </c>
      <c r="R622" s="7">
        <v>30317</v>
      </c>
      <c r="S622" s="8">
        <f t="shared" si="80"/>
        <v>1983</v>
      </c>
      <c r="T622" s="8">
        <v>1983</v>
      </c>
      <c r="U622" s="8">
        <f t="shared" si="81"/>
        <v>39</v>
      </c>
      <c r="V622" s="7" t="s">
        <v>1453</v>
      </c>
      <c r="W622" t="s">
        <v>536</v>
      </c>
      <c r="X622" s="2">
        <v>0.14099999999999999</v>
      </c>
      <c r="Y622" s="6">
        <f t="shared" si="78"/>
        <v>3.7639144710498915E-3</v>
      </c>
      <c r="AA622">
        <v>402508</v>
      </c>
      <c r="AB622">
        <v>20868</v>
      </c>
      <c r="AD622" t="s">
        <v>5</v>
      </c>
      <c r="AE622" t="s">
        <v>535</v>
      </c>
      <c r="AF622">
        <v>2</v>
      </c>
      <c r="AH622" t="s">
        <v>1493</v>
      </c>
      <c r="AI622" t="s">
        <v>1492</v>
      </c>
      <c r="AK622" t="s">
        <v>1491</v>
      </c>
      <c r="AL622">
        <v>0</v>
      </c>
      <c r="AM622" s="5">
        <f t="shared" si="82"/>
        <v>0</v>
      </c>
      <c r="AN622" s="4">
        <f t="shared" si="79"/>
        <v>0</v>
      </c>
      <c r="AO622" s="3"/>
      <c r="AP622">
        <v>0</v>
      </c>
      <c r="AR622" t="s">
        <v>1</v>
      </c>
      <c r="AT622" s="2" t="s">
        <v>0</v>
      </c>
      <c r="AU622" s="1">
        <f t="shared" si="83"/>
        <v>0.26347401297349238</v>
      </c>
      <c r="AV622" s="1">
        <f t="shared" si="84"/>
        <v>0.18819572355249459</v>
      </c>
      <c r="AW622" s="1">
        <f t="shared" si="85"/>
        <v>0.11291743413149673</v>
      </c>
    </row>
    <row r="623" spans="1:49" x14ac:dyDescent="0.2">
      <c r="A623">
        <v>621</v>
      </c>
      <c r="B623" t="s">
        <v>1490</v>
      </c>
      <c r="F623" t="s">
        <v>1489</v>
      </c>
      <c r="G623" t="s">
        <v>15</v>
      </c>
      <c r="H623" t="s">
        <v>14</v>
      </c>
      <c r="I623" t="s">
        <v>1488</v>
      </c>
      <c r="N623">
        <v>3</v>
      </c>
      <c r="O623" t="s">
        <v>1487</v>
      </c>
      <c r="P623" t="s">
        <v>1486</v>
      </c>
      <c r="Q623" t="s">
        <v>510</v>
      </c>
      <c r="R623" s="7">
        <v>30317</v>
      </c>
      <c r="S623" s="8">
        <f t="shared" si="80"/>
        <v>1983</v>
      </c>
      <c r="T623" s="8">
        <v>1983</v>
      </c>
      <c r="U623" s="8">
        <f t="shared" si="81"/>
        <v>39</v>
      </c>
      <c r="V623" s="7" t="s">
        <v>1453</v>
      </c>
      <c r="W623" t="s">
        <v>560</v>
      </c>
      <c r="X623" s="2" t="s">
        <v>0</v>
      </c>
      <c r="Y623" s="6" t="e">
        <f t="shared" si="78"/>
        <v>#VALUE!</v>
      </c>
      <c r="AA623">
        <v>337889</v>
      </c>
      <c r="AB623">
        <v>40920</v>
      </c>
      <c r="AD623" t="s">
        <v>5</v>
      </c>
      <c r="AE623">
        <v>28</v>
      </c>
      <c r="AF623">
        <v>2</v>
      </c>
      <c r="AH623" t="s">
        <v>1485</v>
      </c>
      <c r="AI623" t="s">
        <v>1484</v>
      </c>
      <c r="AK623" t="s">
        <v>1483</v>
      </c>
      <c r="AL623">
        <v>0</v>
      </c>
      <c r="AM623" s="5">
        <f t="shared" si="82"/>
        <v>0</v>
      </c>
      <c r="AN623" s="4">
        <f t="shared" si="79"/>
        <v>0</v>
      </c>
      <c r="AO623" s="3"/>
      <c r="AP623">
        <v>0</v>
      </c>
      <c r="AR623" t="s">
        <v>1</v>
      </c>
      <c r="AT623" s="2" t="s">
        <v>0</v>
      </c>
      <c r="AU623" s="1" t="e">
        <f t="shared" si="83"/>
        <v>#VALUE!</v>
      </c>
      <c r="AV623" s="1" t="e">
        <f t="shared" si="84"/>
        <v>#VALUE!</v>
      </c>
      <c r="AW623" s="1" t="e">
        <f t="shared" si="85"/>
        <v>#VALUE!</v>
      </c>
    </row>
    <row r="624" spans="1:49" x14ac:dyDescent="0.2">
      <c r="A624">
        <v>622</v>
      </c>
      <c r="B624" t="s">
        <v>1482</v>
      </c>
      <c r="F624" t="s">
        <v>1481</v>
      </c>
      <c r="G624" t="s">
        <v>15</v>
      </c>
      <c r="H624" t="s">
        <v>14</v>
      </c>
      <c r="I624" t="s">
        <v>1480</v>
      </c>
      <c r="N624">
        <v>2</v>
      </c>
      <c r="O624" t="s">
        <v>1479</v>
      </c>
      <c r="P624" t="s">
        <v>1478</v>
      </c>
      <c r="Q624" t="s">
        <v>342</v>
      </c>
      <c r="R624" s="7">
        <v>30317</v>
      </c>
      <c r="S624" s="8">
        <f t="shared" si="80"/>
        <v>1983</v>
      </c>
      <c r="T624" s="8">
        <v>1983</v>
      </c>
      <c r="U624" s="8">
        <f t="shared" si="81"/>
        <v>39</v>
      </c>
      <c r="V624" s="7" t="s">
        <v>1453</v>
      </c>
      <c r="W624" t="s">
        <v>536</v>
      </c>
      <c r="X624" s="2">
        <v>0.14099999999999999</v>
      </c>
      <c r="Y624" s="6">
        <f t="shared" si="78"/>
        <v>3.7639144710498915E-3</v>
      </c>
      <c r="AA624">
        <v>402508</v>
      </c>
      <c r="AB624">
        <v>20868</v>
      </c>
      <c r="AD624" t="s">
        <v>5</v>
      </c>
      <c r="AE624" t="s">
        <v>535</v>
      </c>
      <c r="AF624">
        <v>2</v>
      </c>
      <c r="AH624" t="s">
        <v>1477</v>
      </c>
      <c r="AI624" t="s">
        <v>1476</v>
      </c>
      <c r="AK624" t="s">
        <v>1475</v>
      </c>
      <c r="AL624">
        <v>0</v>
      </c>
      <c r="AM624" s="5">
        <f t="shared" si="82"/>
        <v>0</v>
      </c>
      <c r="AN624" s="4">
        <f t="shared" si="79"/>
        <v>0</v>
      </c>
      <c r="AO624" s="3"/>
      <c r="AP624">
        <v>0</v>
      </c>
      <c r="AR624" t="s">
        <v>1</v>
      </c>
      <c r="AT624" s="2" t="s">
        <v>0</v>
      </c>
      <c r="AU624" s="1">
        <f t="shared" si="83"/>
        <v>0.26347401297349238</v>
      </c>
      <c r="AV624" s="1">
        <f t="shared" si="84"/>
        <v>0.18819572355249459</v>
      </c>
      <c r="AW624" s="1">
        <f t="shared" si="85"/>
        <v>0.11291743413149673</v>
      </c>
    </row>
    <row r="625" spans="1:49" x14ac:dyDescent="0.2">
      <c r="A625">
        <v>623</v>
      </c>
      <c r="B625" t="s">
        <v>1474</v>
      </c>
      <c r="F625" t="s">
        <v>1473</v>
      </c>
      <c r="G625" t="s">
        <v>15</v>
      </c>
      <c r="H625" t="s">
        <v>14</v>
      </c>
      <c r="I625" t="s">
        <v>1472</v>
      </c>
      <c r="N625">
        <v>4</v>
      </c>
      <c r="O625" t="s">
        <v>1471</v>
      </c>
      <c r="P625" t="s">
        <v>1470</v>
      </c>
      <c r="Q625" t="s">
        <v>575</v>
      </c>
      <c r="R625" s="7">
        <v>30317</v>
      </c>
      <c r="S625" s="8">
        <f t="shared" si="80"/>
        <v>1983</v>
      </c>
      <c r="T625" s="8">
        <v>1983</v>
      </c>
      <c r="U625" s="8">
        <f t="shared" si="81"/>
        <v>39</v>
      </c>
      <c r="V625" s="7" t="s">
        <v>1453</v>
      </c>
      <c r="W625" t="s">
        <v>536</v>
      </c>
      <c r="X625" s="2">
        <v>0.14099999999999999</v>
      </c>
      <c r="Y625" s="6">
        <f t="shared" si="78"/>
        <v>3.7639144710498915E-3</v>
      </c>
      <c r="AA625">
        <v>402508</v>
      </c>
      <c r="AB625">
        <v>20868</v>
      </c>
      <c r="AD625" t="s">
        <v>5</v>
      </c>
      <c r="AE625" t="s">
        <v>535</v>
      </c>
      <c r="AF625">
        <v>2</v>
      </c>
      <c r="AH625" t="s">
        <v>1469</v>
      </c>
      <c r="AI625" t="s">
        <v>1468</v>
      </c>
      <c r="AK625" t="s">
        <v>1467</v>
      </c>
      <c r="AL625">
        <v>0</v>
      </c>
      <c r="AM625" s="5">
        <f t="shared" si="82"/>
        <v>0</v>
      </c>
      <c r="AN625" s="4">
        <f t="shared" si="79"/>
        <v>0</v>
      </c>
      <c r="AO625" s="3"/>
      <c r="AP625">
        <v>0</v>
      </c>
      <c r="AR625" t="s">
        <v>1</v>
      </c>
      <c r="AT625" s="2" t="s">
        <v>0</v>
      </c>
      <c r="AU625" s="1">
        <f t="shared" si="83"/>
        <v>0.26347401297349238</v>
      </c>
      <c r="AV625" s="1">
        <f t="shared" si="84"/>
        <v>0.18819572355249459</v>
      </c>
      <c r="AW625" s="1">
        <f t="shared" si="85"/>
        <v>0.11291743413149673</v>
      </c>
    </row>
    <row r="626" spans="1:49" x14ac:dyDescent="0.2">
      <c r="A626">
        <v>624</v>
      </c>
      <c r="B626" t="s">
        <v>1466</v>
      </c>
      <c r="F626" t="s">
        <v>1465</v>
      </c>
      <c r="G626" t="s">
        <v>15</v>
      </c>
      <c r="H626" t="s">
        <v>14</v>
      </c>
      <c r="I626" t="s">
        <v>1464</v>
      </c>
      <c r="N626">
        <v>3</v>
      </c>
      <c r="O626" t="s">
        <v>1463</v>
      </c>
      <c r="P626" t="s">
        <v>1462</v>
      </c>
      <c r="Q626" t="s">
        <v>510</v>
      </c>
      <c r="R626" s="7">
        <v>30317</v>
      </c>
      <c r="S626" s="8">
        <f t="shared" si="80"/>
        <v>1983</v>
      </c>
      <c r="T626" s="8">
        <v>1983</v>
      </c>
      <c r="U626" s="8">
        <f t="shared" si="81"/>
        <v>39</v>
      </c>
      <c r="V626" s="7" t="s">
        <v>1453</v>
      </c>
      <c r="W626" t="s">
        <v>536</v>
      </c>
      <c r="X626" s="2">
        <v>0.14099999999999999</v>
      </c>
      <c r="Y626" s="6">
        <f t="shared" si="78"/>
        <v>3.7639144710498915E-3</v>
      </c>
      <c r="AA626">
        <v>402508</v>
      </c>
      <c r="AB626">
        <v>20868</v>
      </c>
      <c r="AD626" t="s">
        <v>5</v>
      </c>
      <c r="AE626" t="s">
        <v>535</v>
      </c>
      <c r="AF626">
        <v>2</v>
      </c>
      <c r="AH626" t="s">
        <v>1461</v>
      </c>
      <c r="AI626" t="s">
        <v>1460</v>
      </c>
      <c r="AK626" t="s">
        <v>1459</v>
      </c>
      <c r="AL626">
        <v>0</v>
      </c>
      <c r="AM626" s="5">
        <f t="shared" si="82"/>
        <v>0</v>
      </c>
      <c r="AN626" s="4">
        <f t="shared" si="79"/>
        <v>0</v>
      </c>
      <c r="AO626" s="3"/>
      <c r="AP626">
        <v>0</v>
      </c>
      <c r="AR626" t="s">
        <v>1</v>
      </c>
      <c r="AT626" s="2" t="s">
        <v>0</v>
      </c>
      <c r="AU626" s="1">
        <f t="shared" si="83"/>
        <v>0.26347401297349238</v>
      </c>
      <c r="AV626" s="1">
        <f t="shared" si="84"/>
        <v>0.18819572355249459</v>
      </c>
      <c r="AW626" s="1">
        <f t="shared" si="85"/>
        <v>0.11291743413149673</v>
      </c>
    </row>
    <row r="627" spans="1:49" x14ac:dyDescent="0.2">
      <c r="A627">
        <v>625</v>
      </c>
      <c r="B627" t="s">
        <v>1458</v>
      </c>
      <c r="F627" t="s">
        <v>1457</v>
      </c>
      <c r="G627" t="s">
        <v>15</v>
      </c>
      <c r="H627" t="s">
        <v>14</v>
      </c>
      <c r="I627" t="s">
        <v>1456</v>
      </c>
      <c r="N627">
        <v>2</v>
      </c>
      <c r="O627" t="s">
        <v>1455</v>
      </c>
      <c r="P627" t="s">
        <v>1454</v>
      </c>
      <c r="Q627" t="s">
        <v>342</v>
      </c>
      <c r="R627" s="7">
        <v>30317</v>
      </c>
      <c r="S627" s="8">
        <f t="shared" si="80"/>
        <v>1983</v>
      </c>
      <c r="T627" s="8">
        <v>1983</v>
      </c>
      <c r="U627" s="8">
        <f t="shared" si="81"/>
        <v>39</v>
      </c>
      <c r="V627" s="7" t="s">
        <v>1453</v>
      </c>
      <c r="W627" t="s">
        <v>1452</v>
      </c>
      <c r="X627" s="2" t="s">
        <v>0</v>
      </c>
      <c r="Y627" s="6" t="e">
        <f t="shared" si="78"/>
        <v>#VALUE!</v>
      </c>
      <c r="AA627">
        <v>188689</v>
      </c>
      <c r="AB627">
        <v>99388</v>
      </c>
      <c r="AD627" t="s">
        <v>5</v>
      </c>
      <c r="AE627">
        <v>25</v>
      </c>
      <c r="AF627">
        <v>9</v>
      </c>
      <c r="AH627" t="s">
        <v>1451</v>
      </c>
      <c r="AI627" t="s">
        <v>1450</v>
      </c>
      <c r="AK627" t="s">
        <v>1449</v>
      </c>
      <c r="AL627">
        <v>0</v>
      </c>
      <c r="AM627" s="5">
        <f t="shared" si="82"/>
        <v>0</v>
      </c>
      <c r="AN627" s="4">
        <f t="shared" si="79"/>
        <v>0</v>
      </c>
      <c r="AO627" s="3"/>
      <c r="AP627">
        <v>0</v>
      </c>
      <c r="AR627" t="s">
        <v>1</v>
      </c>
      <c r="AT627" s="2" t="s">
        <v>0</v>
      </c>
      <c r="AU627" s="1" t="e">
        <f t="shared" si="83"/>
        <v>#VALUE!</v>
      </c>
      <c r="AV627" s="1" t="e">
        <f t="shared" si="84"/>
        <v>#VALUE!</v>
      </c>
      <c r="AW627" s="1" t="e">
        <f t="shared" si="85"/>
        <v>#VALUE!</v>
      </c>
    </row>
    <row r="628" spans="1:49" x14ac:dyDescent="0.2">
      <c r="A628">
        <v>626</v>
      </c>
      <c r="B628" t="s">
        <v>1448</v>
      </c>
      <c r="E628">
        <v>6401720</v>
      </c>
      <c r="F628" t="s">
        <v>1447</v>
      </c>
      <c r="G628" t="s">
        <v>15</v>
      </c>
      <c r="H628" t="s">
        <v>14</v>
      </c>
      <c r="I628" t="s">
        <v>1408</v>
      </c>
      <c r="J628">
        <v>60025038</v>
      </c>
      <c r="K628" t="s">
        <v>1257</v>
      </c>
      <c r="L628" t="s">
        <v>1256</v>
      </c>
      <c r="M628" t="s">
        <v>10</v>
      </c>
      <c r="N628">
        <v>2</v>
      </c>
      <c r="O628" t="s">
        <v>1407</v>
      </c>
      <c r="P628" t="s">
        <v>1406</v>
      </c>
      <c r="Q628" t="s">
        <v>1405</v>
      </c>
      <c r="R628" s="7">
        <v>30317</v>
      </c>
      <c r="S628" s="8">
        <f t="shared" si="80"/>
        <v>1983</v>
      </c>
      <c r="T628" s="8">
        <v>1983</v>
      </c>
      <c r="U628" s="8">
        <f t="shared" si="81"/>
        <v>39</v>
      </c>
      <c r="V628" s="7">
        <v>1983</v>
      </c>
      <c r="W628" t="s">
        <v>1404</v>
      </c>
      <c r="X628" s="2">
        <v>2.3610000000000002</v>
      </c>
      <c r="Y628" s="6">
        <f t="shared" si="78"/>
        <v>6.3025546568431179E-2</v>
      </c>
      <c r="AA628">
        <v>219258</v>
      </c>
      <c r="AB628">
        <v>17592</v>
      </c>
      <c r="AD628" t="s">
        <v>5</v>
      </c>
      <c r="AE628">
        <v>258</v>
      </c>
      <c r="AF628">
        <v>2</v>
      </c>
      <c r="AH628" t="s">
        <v>1446</v>
      </c>
      <c r="AL628">
        <v>61</v>
      </c>
      <c r="AM628" s="5">
        <f t="shared" si="82"/>
        <v>1.5641025641025641</v>
      </c>
      <c r="AN628" s="4">
        <f t="shared" si="79"/>
        <v>2.368955038398431E-3</v>
      </c>
      <c r="AO628" s="3"/>
      <c r="AP628">
        <v>0</v>
      </c>
      <c r="AR628" t="s">
        <v>1</v>
      </c>
      <c r="AT628" s="2">
        <v>5.157</v>
      </c>
      <c r="AU628" s="1">
        <f t="shared" si="83"/>
        <v>4.482856910942135</v>
      </c>
      <c r="AV628" s="1">
        <f t="shared" si="84"/>
        <v>3.2697250803414803</v>
      </c>
      <c r="AW628" s="1">
        <f t="shared" si="85"/>
        <v>2.0565932497408257</v>
      </c>
    </row>
    <row r="629" spans="1:49" x14ac:dyDescent="0.2">
      <c r="A629">
        <v>627</v>
      </c>
      <c r="B629" t="s">
        <v>1445</v>
      </c>
      <c r="C629" t="s">
        <v>1444</v>
      </c>
      <c r="D629" t="s">
        <v>1443</v>
      </c>
      <c r="E629">
        <v>6827054</v>
      </c>
      <c r="F629" t="s">
        <v>1442</v>
      </c>
      <c r="G629" t="s">
        <v>15</v>
      </c>
      <c r="H629" t="s">
        <v>14</v>
      </c>
      <c r="I629" t="s">
        <v>1441</v>
      </c>
      <c r="J629">
        <v>60022286</v>
      </c>
      <c r="K629" t="s">
        <v>1440</v>
      </c>
      <c r="L629" t="s">
        <v>1439</v>
      </c>
      <c r="M629" t="s">
        <v>10</v>
      </c>
      <c r="N629">
        <v>3</v>
      </c>
      <c r="O629" t="s">
        <v>1438</v>
      </c>
      <c r="P629" t="s">
        <v>1437</v>
      </c>
      <c r="Q629" t="s">
        <v>1436</v>
      </c>
      <c r="R629" s="7">
        <v>30317</v>
      </c>
      <c r="S629" s="8">
        <f t="shared" si="80"/>
        <v>1983</v>
      </c>
      <c r="T629" s="8">
        <v>1983</v>
      </c>
      <c r="U629" s="8">
        <f t="shared" si="81"/>
        <v>39</v>
      </c>
      <c r="V629" s="7">
        <v>1983</v>
      </c>
      <c r="W629" t="s">
        <v>1435</v>
      </c>
      <c r="X629" s="2">
        <v>1.8819999999999999</v>
      </c>
      <c r="Y629" s="6">
        <f t="shared" si="78"/>
        <v>5.0238915138410611E-2</v>
      </c>
      <c r="AA629">
        <v>3635023</v>
      </c>
      <c r="AB629">
        <v>21680</v>
      </c>
      <c r="AD629" t="s">
        <v>5</v>
      </c>
      <c r="AE629">
        <v>8</v>
      </c>
      <c r="AF629">
        <v>1</v>
      </c>
      <c r="AH629" t="s">
        <v>1434</v>
      </c>
      <c r="AI629" t="s">
        <v>1433</v>
      </c>
      <c r="AK629" t="s">
        <v>1432</v>
      </c>
      <c r="AL629">
        <v>25</v>
      </c>
      <c r="AM629" s="5">
        <f t="shared" si="82"/>
        <v>0.64102564102564108</v>
      </c>
      <c r="AN629" s="4">
        <f t="shared" si="79"/>
        <v>9.7088321245837345E-4</v>
      </c>
      <c r="AO629" s="3"/>
      <c r="AP629">
        <v>0</v>
      </c>
      <c r="AR629" t="s">
        <v>1</v>
      </c>
      <c r="AT629" s="2" t="s">
        <v>0</v>
      </c>
      <c r="AU629" s="1">
        <f t="shared" si="83"/>
        <v>3.5458505560624936</v>
      </c>
      <c r="AV629" s="1">
        <f t="shared" si="84"/>
        <v>2.5604899175434492</v>
      </c>
      <c r="AW629" s="1">
        <f t="shared" si="85"/>
        <v>1.5751292790244045</v>
      </c>
    </row>
    <row r="630" spans="1:49" x14ac:dyDescent="0.2">
      <c r="A630">
        <v>628</v>
      </c>
      <c r="B630" t="s">
        <v>1431</v>
      </c>
      <c r="C630" t="s">
        <v>1430</v>
      </c>
      <c r="F630" t="s">
        <v>1429</v>
      </c>
      <c r="G630" t="s">
        <v>15</v>
      </c>
      <c r="H630" t="s">
        <v>14</v>
      </c>
      <c r="I630" t="s">
        <v>1385</v>
      </c>
      <c r="N630">
        <v>2</v>
      </c>
      <c r="O630" t="s">
        <v>1428</v>
      </c>
      <c r="P630" t="s">
        <v>1427</v>
      </c>
      <c r="Q630" t="s">
        <v>342</v>
      </c>
      <c r="R630" s="7">
        <v>30317</v>
      </c>
      <c r="S630" s="8">
        <f t="shared" si="80"/>
        <v>1983</v>
      </c>
      <c r="T630" s="8">
        <v>1983</v>
      </c>
      <c r="U630" s="8">
        <f t="shared" si="81"/>
        <v>39</v>
      </c>
      <c r="V630" s="7">
        <v>30317</v>
      </c>
      <c r="W630" t="s">
        <v>1382</v>
      </c>
      <c r="X630" s="2">
        <v>0.318</v>
      </c>
      <c r="Y630" s="6">
        <f t="shared" si="78"/>
        <v>8.4888283815167786E-3</v>
      </c>
      <c r="AA630">
        <v>338443</v>
      </c>
      <c r="AB630">
        <v>27160</v>
      </c>
      <c r="AC630">
        <v>15739120</v>
      </c>
      <c r="AD630" t="s">
        <v>5</v>
      </c>
      <c r="AE630">
        <v>26</v>
      </c>
      <c r="AF630">
        <v>1</v>
      </c>
      <c r="AH630" t="s">
        <v>1426</v>
      </c>
      <c r="AI630" t="s">
        <v>1425</v>
      </c>
      <c r="AK630" t="s">
        <v>1424</v>
      </c>
      <c r="AL630">
        <v>0</v>
      </c>
      <c r="AM630" s="5">
        <f t="shared" si="82"/>
        <v>0</v>
      </c>
      <c r="AN630" s="4">
        <f t="shared" si="79"/>
        <v>0</v>
      </c>
      <c r="AO630" s="3"/>
      <c r="AP630">
        <v>0</v>
      </c>
      <c r="AR630" t="s">
        <v>1</v>
      </c>
      <c r="AT630" s="2">
        <v>0.77</v>
      </c>
      <c r="AU630" s="1">
        <f t="shared" si="83"/>
        <v>0.59421798670617454</v>
      </c>
      <c r="AV630" s="1">
        <f t="shared" si="84"/>
        <v>0.42444141907583893</v>
      </c>
      <c r="AW630" s="1">
        <f t="shared" si="85"/>
        <v>0.25466485144550338</v>
      </c>
    </row>
    <row r="631" spans="1:49" x14ac:dyDescent="0.2">
      <c r="A631">
        <v>629</v>
      </c>
      <c r="B631" t="s">
        <v>1423</v>
      </c>
      <c r="C631" t="s">
        <v>1422</v>
      </c>
      <c r="F631" t="s">
        <v>1421</v>
      </c>
      <c r="G631" t="s">
        <v>15</v>
      </c>
      <c r="H631" t="s">
        <v>14</v>
      </c>
      <c r="I631" t="s">
        <v>1420</v>
      </c>
      <c r="J631">
        <v>60026175</v>
      </c>
      <c r="K631" t="s">
        <v>1419</v>
      </c>
      <c r="L631" t="s">
        <v>1418</v>
      </c>
      <c r="M631" t="s">
        <v>10</v>
      </c>
      <c r="N631">
        <v>3</v>
      </c>
      <c r="O631" t="s">
        <v>1417</v>
      </c>
      <c r="P631" t="s">
        <v>1416</v>
      </c>
      <c r="Q631" t="s">
        <v>1415</v>
      </c>
      <c r="R631" s="7">
        <v>30317</v>
      </c>
      <c r="S631" s="8">
        <f t="shared" si="80"/>
        <v>1983</v>
      </c>
      <c r="T631" s="8">
        <v>1983</v>
      </c>
      <c r="U631" s="8">
        <f t="shared" si="81"/>
        <v>39</v>
      </c>
      <c r="V631" s="7">
        <v>30317</v>
      </c>
      <c r="W631" t="s">
        <v>1414</v>
      </c>
      <c r="X631" s="2">
        <v>2.383</v>
      </c>
      <c r="Y631" s="6">
        <f t="shared" si="78"/>
        <v>6.3612824003630442E-2</v>
      </c>
      <c r="AA631">
        <v>189219</v>
      </c>
      <c r="AB631">
        <v>17915</v>
      </c>
      <c r="AC631">
        <v>15582256</v>
      </c>
      <c r="AD631" t="s">
        <v>5</v>
      </c>
      <c r="AE631">
        <v>71</v>
      </c>
      <c r="AF631">
        <v>1</v>
      </c>
      <c r="AH631" t="s">
        <v>1413</v>
      </c>
      <c r="AI631" t="s">
        <v>1412</v>
      </c>
      <c r="AK631" t="s">
        <v>1411</v>
      </c>
      <c r="AL631">
        <v>15</v>
      </c>
      <c r="AM631" s="5">
        <f t="shared" si="82"/>
        <v>0.38461538461538464</v>
      </c>
      <c r="AN631" s="4">
        <f t="shared" si="79"/>
        <v>5.8252992747502411E-4</v>
      </c>
      <c r="AO631" s="3"/>
      <c r="AP631">
        <v>0</v>
      </c>
      <c r="AR631" t="s">
        <v>1</v>
      </c>
      <c r="AT631" s="2">
        <v>10.961</v>
      </c>
      <c r="AU631" s="1">
        <f t="shared" si="83"/>
        <v>4.4703735780783811</v>
      </c>
      <c r="AV631" s="1">
        <f t="shared" si="84"/>
        <v>3.2097676965552733</v>
      </c>
      <c r="AW631" s="1">
        <f t="shared" si="85"/>
        <v>1.949161815032165</v>
      </c>
    </row>
    <row r="632" spans="1:49" x14ac:dyDescent="0.2">
      <c r="A632">
        <v>630</v>
      </c>
      <c r="B632" t="s">
        <v>1410</v>
      </c>
      <c r="E632">
        <v>6401721</v>
      </c>
      <c r="F632" t="s">
        <v>1409</v>
      </c>
      <c r="G632" t="s">
        <v>15</v>
      </c>
      <c r="H632" t="s">
        <v>14</v>
      </c>
      <c r="I632" t="s">
        <v>1408</v>
      </c>
      <c r="J632">
        <v>60025038</v>
      </c>
      <c r="K632" t="s">
        <v>1257</v>
      </c>
      <c r="L632" t="s">
        <v>1256</v>
      </c>
      <c r="M632" t="s">
        <v>10</v>
      </c>
      <c r="N632">
        <v>2</v>
      </c>
      <c r="O632" t="s">
        <v>1407</v>
      </c>
      <c r="P632" t="s">
        <v>1406</v>
      </c>
      <c r="Q632" t="s">
        <v>1405</v>
      </c>
      <c r="R632" s="7">
        <v>30317</v>
      </c>
      <c r="S632" s="8">
        <f t="shared" si="80"/>
        <v>1983</v>
      </c>
      <c r="T632" s="8">
        <v>1983</v>
      </c>
      <c r="U632" s="8">
        <f t="shared" si="81"/>
        <v>39</v>
      </c>
      <c r="V632" s="7">
        <v>1983</v>
      </c>
      <c r="W632" t="s">
        <v>1404</v>
      </c>
      <c r="X632" s="2">
        <v>2.3610000000000002</v>
      </c>
      <c r="Y632" s="6">
        <f t="shared" si="78"/>
        <v>6.3025546568431179E-2</v>
      </c>
      <c r="AA632">
        <v>219258</v>
      </c>
      <c r="AB632">
        <v>17592</v>
      </c>
      <c r="AD632" t="s">
        <v>5</v>
      </c>
      <c r="AE632">
        <v>258</v>
      </c>
      <c r="AF632">
        <v>2</v>
      </c>
      <c r="AH632" t="s">
        <v>1403</v>
      </c>
      <c r="AL632">
        <v>65</v>
      </c>
      <c r="AM632" s="5">
        <f t="shared" si="82"/>
        <v>1.6666666666666667</v>
      </c>
      <c r="AN632" s="4">
        <f t="shared" si="79"/>
        <v>2.5242963523917708E-3</v>
      </c>
      <c r="AO632" s="3"/>
      <c r="AP632">
        <v>0</v>
      </c>
      <c r="AR632" t="s">
        <v>1</v>
      </c>
      <c r="AT632" s="2">
        <v>5.157</v>
      </c>
      <c r="AU632" s="1">
        <f t="shared" si="83"/>
        <v>4.4875171503619349</v>
      </c>
      <c r="AV632" s="1">
        <f t="shared" si="84"/>
        <v>3.2774921460411472</v>
      </c>
      <c r="AW632" s="1">
        <f t="shared" si="85"/>
        <v>2.0674671417203592</v>
      </c>
    </row>
    <row r="633" spans="1:49" x14ac:dyDescent="0.2">
      <c r="A633">
        <v>631</v>
      </c>
      <c r="B633" t="s">
        <v>1402</v>
      </c>
      <c r="C633" t="s">
        <v>1401</v>
      </c>
      <c r="E633">
        <v>6831538</v>
      </c>
      <c r="F633" t="s">
        <v>1400</v>
      </c>
      <c r="G633" t="s">
        <v>15</v>
      </c>
      <c r="H633" t="s">
        <v>14</v>
      </c>
      <c r="I633" t="s">
        <v>1399</v>
      </c>
      <c r="J633">
        <v>60030807</v>
      </c>
      <c r="K633" t="s">
        <v>1398</v>
      </c>
      <c r="L633" t="s">
        <v>1397</v>
      </c>
      <c r="M633" t="s">
        <v>80</v>
      </c>
      <c r="N633">
        <v>2</v>
      </c>
      <c r="O633" t="s">
        <v>1396</v>
      </c>
      <c r="P633" t="s">
        <v>1395</v>
      </c>
      <c r="Q633" t="s">
        <v>1394</v>
      </c>
      <c r="R633" s="7">
        <v>30317</v>
      </c>
      <c r="S633" s="8">
        <f t="shared" si="80"/>
        <v>1983</v>
      </c>
      <c r="T633" s="8">
        <v>1983</v>
      </c>
      <c r="U633" s="8">
        <f t="shared" si="81"/>
        <v>39</v>
      </c>
      <c r="V633" s="7">
        <v>30317</v>
      </c>
      <c r="W633" t="s">
        <v>1393</v>
      </c>
      <c r="X633" s="2">
        <v>1.64</v>
      </c>
      <c r="Y633" s="6">
        <f t="shared" si="78"/>
        <v>4.3778863351218597E-2</v>
      </c>
      <c r="AA633" t="s">
        <v>1392</v>
      </c>
      <c r="AB633">
        <v>18446</v>
      </c>
      <c r="AC633">
        <v>14320878</v>
      </c>
      <c r="AD633" t="s">
        <v>5</v>
      </c>
      <c r="AE633">
        <v>229</v>
      </c>
      <c r="AF633">
        <v>1</v>
      </c>
      <c r="AH633" s="10">
        <v>44562</v>
      </c>
      <c r="AI633" t="s">
        <v>1391</v>
      </c>
      <c r="AJ633" t="s">
        <v>1390</v>
      </c>
      <c r="AK633" t="s">
        <v>1389</v>
      </c>
      <c r="AL633">
        <v>100</v>
      </c>
      <c r="AM633" s="5">
        <f t="shared" si="82"/>
        <v>2.5641025641025643</v>
      </c>
      <c r="AN633" s="4">
        <f t="shared" si="79"/>
        <v>3.8835328498334938E-3</v>
      </c>
      <c r="AO633" s="3"/>
      <c r="AP633">
        <v>0</v>
      </c>
      <c r="AR633" t="s">
        <v>1</v>
      </c>
      <c r="AT633" s="2">
        <v>5.2489999999999997</v>
      </c>
      <c r="AU633" s="1">
        <f t="shared" si="83"/>
        <v>3.1810264200803067</v>
      </c>
      <c r="AV633" s="1">
        <f t="shared" si="84"/>
        <v>2.3831198100526043</v>
      </c>
      <c r="AW633" s="1">
        <f t="shared" si="85"/>
        <v>1.5852132000249024</v>
      </c>
    </row>
    <row r="634" spans="1:49" x14ac:dyDescent="0.2">
      <c r="A634">
        <v>632</v>
      </c>
      <c r="B634" t="s">
        <v>1388</v>
      </c>
      <c r="C634" t="s">
        <v>1387</v>
      </c>
      <c r="F634" t="s">
        <v>1386</v>
      </c>
      <c r="G634" t="s">
        <v>15</v>
      </c>
      <c r="H634" t="s">
        <v>14</v>
      </c>
      <c r="I634" t="s">
        <v>1385</v>
      </c>
      <c r="N634">
        <v>2</v>
      </c>
      <c r="O634" t="s">
        <v>1384</v>
      </c>
      <c r="P634" t="s">
        <v>1383</v>
      </c>
      <c r="Q634" t="s">
        <v>342</v>
      </c>
      <c r="R634" s="7">
        <v>30317</v>
      </c>
      <c r="S634" s="8">
        <f t="shared" si="80"/>
        <v>1983</v>
      </c>
      <c r="T634" s="8">
        <v>1983</v>
      </c>
      <c r="U634" s="8">
        <f t="shared" si="81"/>
        <v>39</v>
      </c>
      <c r="V634" s="7">
        <v>30317</v>
      </c>
      <c r="W634" t="s">
        <v>1382</v>
      </c>
      <c r="X634" s="2">
        <v>0.318</v>
      </c>
      <c r="Y634" s="6">
        <f t="shared" si="78"/>
        <v>8.4888283815167786E-3</v>
      </c>
      <c r="AA634">
        <v>338443</v>
      </c>
      <c r="AB634">
        <v>27160</v>
      </c>
      <c r="AC634">
        <v>15739120</v>
      </c>
      <c r="AD634" t="s">
        <v>5</v>
      </c>
      <c r="AE634">
        <v>26</v>
      </c>
      <c r="AF634">
        <v>1</v>
      </c>
      <c r="AH634" t="s">
        <v>1381</v>
      </c>
      <c r="AI634" t="s">
        <v>1380</v>
      </c>
      <c r="AK634" t="s">
        <v>1379</v>
      </c>
      <c r="AL634">
        <v>0</v>
      </c>
      <c r="AM634" s="5">
        <f t="shared" si="82"/>
        <v>0</v>
      </c>
      <c r="AN634" s="4">
        <f t="shared" si="79"/>
        <v>0</v>
      </c>
      <c r="AO634" s="3"/>
      <c r="AP634">
        <v>0</v>
      </c>
      <c r="AR634" t="s">
        <v>1</v>
      </c>
      <c r="AT634" s="2">
        <v>0.77</v>
      </c>
      <c r="AU634" s="1">
        <f t="shared" si="83"/>
        <v>0.59421798670617454</v>
      </c>
      <c r="AV634" s="1">
        <f t="shared" si="84"/>
        <v>0.42444141907583893</v>
      </c>
      <c r="AW634" s="1">
        <f t="shared" si="85"/>
        <v>0.25466485144550338</v>
      </c>
    </row>
    <row r="635" spans="1:49" x14ac:dyDescent="0.2">
      <c r="A635">
        <v>633</v>
      </c>
      <c r="B635" t="s">
        <v>1378</v>
      </c>
      <c r="F635" t="s">
        <v>1377</v>
      </c>
      <c r="G635" t="s">
        <v>15</v>
      </c>
      <c r="H635" t="s">
        <v>14</v>
      </c>
      <c r="I635" t="s">
        <v>1376</v>
      </c>
      <c r="N635">
        <v>1</v>
      </c>
      <c r="O635" t="s">
        <v>1375</v>
      </c>
      <c r="P635">
        <v>57217439573</v>
      </c>
      <c r="R635" s="7">
        <v>30317</v>
      </c>
      <c r="S635" s="8">
        <f t="shared" si="80"/>
        <v>1983</v>
      </c>
      <c r="T635" s="8">
        <v>1983</v>
      </c>
      <c r="U635" s="8">
        <f t="shared" si="81"/>
        <v>39</v>
      </c>
      <c r="V635" s="7">
        <v>1983</v>
      </c>
      <c r="W635" t="s">
        <v>1164</v>
      </c>
      <c r="X635" s="2" t="s">
        <v>0</v>
      </c>
      <c r="Y635" s="6" t="e">
        <f t="shared" si="78"/>
        <v>#VALUE!</v>
      </c>
      <c r="AB635">
        <v>34899</v>
      </c>
      <c r="AD635" t="s">
        <v>5</v>
      </c>
      <c r="AE635">
        <v>7</v>
      </c>
      <c r="AF635">
        <v>2</v>
      </c>
      <c r="AH635" t="s">
        <v>1374</v>
      </c>
      <c r="AI635" t="s">
        <v>1373</v>
      </c>
      <c r="AK635" t="s">
        <v>1372</v>
      </c>
      <c r="AL635">
        <v>0</v>
      </c>
      <c r="AM635" s="5">
        <f t="shared" si="82"/>
        <v>0</v>
      </c>
      <c r="AN635" s="4">
        <f t="shared" si="79"/>
        <v>0</v>
      </c>
      <c r="AO635" s="3"/>
      <c r="AP635">
        <v>0</v>
      </c>
      <c r="AR635" t="s">
        <v>1</v>
      </c>
      <c r="AT635" s="2" t="s">
        <v>0</v>
      </c>
      <c r="AU635" s="1" t="e">
        <f t="shared" si="83"/>
        <v>#VALUE!</v>
      </c>
      <c r="AV635" s="1" t="e">
        <f t="shared" si="84"/>
        <v>#VALUE!</v>
      </c>
      <c r="AW635" s="1" t="e">
        <f t="shared" si="85"/>
        <v>#VALUE!</v>
      </c>
    </row>
    <row r="636" spans="1:49" x14ac:dyDescent="0.2">
      <c r="A636">
        <v>634</v>
      </c>
      <c r="B636" t="s">
        <v>1371</v>
      </c>
      <c r="C636" t="s">
        <v>1370</v>
      </c>
      <c r="D636" t="s">
        <v>1369</v>
      </c>
      <c r="E636">
        <v>6825735</v>
      </c>
      <c r="F636" t="s">
        <v>1368</v>
      </c>
      <c r="G636" t="s">
        <v>15</v>
      </c>
      <c r="H636" t="s">
        <v>14</v>
      </c>
      <c r="I636" t="s">
        <v>1367</v>
      </c>
      <c r="J636" t="s">
        <v>1366</v>
      </c>
      <c r="K636" t="s">
        <v>1365</v>
      </c>
      <c r="L636" t="s">
        <v>1364</v>
      </c>
      <c r="M636" t="s">
        <v>1363</v>
      </c>
      <c r="N636">
        <v>9</v>
      </c>
      <c r="O636" t="s">
        <v>1362</v>
      </c>
      <c r="P636" t="s">
        <v>1361</v>
      </c>
      <c r="Q636" t="s">
        <v>1360</v>
      </c>
      <c r="R636" s="7">
        <v>30317</v>
      </c>
      <c r="S636" s="8">
        <f t="shared" si="80"/>
        <v>1983</v>
      </c>
      <c r="T636" s="8">
        <v>1983</v>
      </c>
      <c r="U636" s="8">
        <f t="shared" si="81"/>
        <v>39</v>
      </c>
      <c r="V636" s="7">
        <v>30317</v>
      </c>
      <c r="W636" t="s">
        <v>1359</v>
      </c>
      <c r="X636" s="2">
        <v>1.2170000000000001</v>
      </c>
      <c r="Y636" s="6">
        <f t="shared" si="78"/>
        <v>3.248711993806893E-2</v>
      </c>
      <c r="AA636">
        <v>144835</v>
      </c>
      <c r="AB636">
        <v>13866</v>
      </c>
      <c r="AD636" t="s">
        <v>5</v>
      </c>
      <c r="AE636">
        <v>36</v>
      </c>
      <c r="AF636">
        <v>1</v>
      </c>
      <c r="AH636" t="s">
        <v>1358</v>
      </c>
      <c r="AI636" t="s">
        <v>1357</v>
      </c>
      <c r="AJ636" t="s">
        <v>1356</v>
      </c>
      <c r="AK636" t="s">
        <v>1355</v>
      </c>
      <c r="AL636">
        <v>34</v>
      </c>
      <c r="AM636" s="5">
        <f t="shared" si="82"/>
        <v>0.87179487179487181</v>
      </c>
      <c r="AN636" s="4">
        <f t="shared" si="79"/>
        <v>1.3204011689433878E-3</v>
      </c>
      <c r="AO636" s="3"/>
      <c r="AP636">
        <v>0</v>
      </c>
      <c r="AR636" t="s">
        <v>1</v>
      </c>
      <c r="AT636" s="2">
        <v>3.4670000000000001</v>
      </c>
      <c r="AU636" s="1">
        <f t="shared" si="83"/>
        <v>2.3137104307331269</v>
      </c>
      <c r="AV636" s="1">
        <f t="shared" si="84"/>
        <v>1.6903760553506157</v>
      </c>
      <c r="AW636" s="1">
        <f t="shared" si="85"/>
        <v>1.0670416799681051</v>
      </c>
    </row>
    <row r="637" spans="1:49" x14ac:dyDescent="0.2">
      <c r="A637">
        <v>635</v>
      </c>
      <c r="B637" t="s">
        <v>1354</v>
      </c>
      <c r="C637" t="s">
        <v>1353</v>
      </c>
      <c r="F637" t="s">
        <v>1352</v>
      </c>
      <c r="G637" t="s">
        <v>15</v>
      </c>
      <c r="H637" t="s">
        <v>14</v>
      </c>
      <c r="I637" t="s">
        <v>1351</v>
      </c>
      <c r="J637">
        <v>60009037</v>
      </c>
      <c r="K637" t="s">
        <v>720</v>
      </c>
      <c r="L637" t="s">
        <v>719</v>
      </c>
      <c r="M637" t="s">
        <v>10</v>
      </c>
      <c r="N637">
        <v>3</v>
      </c>
      <c r="O637" t="s">
        <v>1350</v>
      </c>
      <c r="P637" t="s">
        <v>1349</v>
      </c>
      <c r="Q637" t="s">
        <v>1348</v>
      </c>
      <c r="R637" s="7">
        <v>30317</v>
      </c>
      <c r="S637" s="8">
        <f t="shared" si="80"/>
        <v>1983</v>
      </c>
      <c r="T637" s="8">
        <v>1983</v>
      </c>
      <c r="U637" s="8">
        <f t="shared" si="81"/>
        <v>39</v>
      </c>
      <c r="V637" s="7">
        <v>30317</v>
      </c>
      <c r="W637" t="s">
        <v>1347</v>
      </c>
      <c r="X637" s="2">
        <v>1.468</v>
      </c>
      <c r="Y637" s="6">
        <f t="shared" si="78"/>
        <v>3.9187421585115186E-2</v>
      </c>
      <c r="AA637">
        <v>906778</v>
      </c>
      <c r="AB637">
        <v>18931</v>
      </c>
      <c r="AD637" t="s">
        <v>5</v>
      </c>
      <c r="AE637">
        <v>31</v>
      </c>
      <c r="AF637">
        <v>1</v>
      </c>
      <c r="AH637" t="s">
        <v>1346</v>
      </c>
      <c r="AI637" t="s">
        <v>1345</v>
      </c>
      <c r="AK637" t="s">
        <v>1344</v>
      </c>
      <c r="AL637">
        <v>0</v>
      </c>
      <c r="AM637" s="5">
        <f t="shared" si="82"/>
        <v>0</v>
      </c>
      <c r="AN637" s="4">
        <f t="shared" si="79"/>
        <v>0</v>
      </c>
      <c r="AO637" s="3"/>
      <c r="AP637">
        <v>0</v>
      </c>
      <c r="AR637" t="s">
        <v>1</v>
      </c>
      <c r="AT637" s="2">
        <v>5.0830000000000002</v>
      </c>
      <c r="AU637" s="1">
        <f t="shared" si="83"/>
        <v>2.7431195109580626</v>
      </c>
      <c r="AV637" s="1">
        <f t="shared" si="84"/>
        <v>1.9593710792557593</v>
      </c>
      <c r="AW637" s="1">
        <f t="shared" si="85"/>
        <v>1.1756226475534557</v>
      </c>
    </row>
    <row r="638" spans="1:49" x14ac:dyDescent="0.2">
      <c r="A638">
        <v>636</v>
      </c>
      <c r="B638" t="s">
        <v>1343</v>
      </c>
      <c r="C638" t="s">
        <v>1342</v>
      </c>
      <c r="F638" t="s">
        <v>1341</v>
      </c>
      <c r="G638" t="s">
        <v>15</v>
      </c>
      <c r="H638" t="s">
        <v>14</v>
      </c>
      <c r="I638" t="s">
        <v>1340</v>
      </c>
      <c r="J638" t="s">
        <v>1339</v>
      </c>
      <c r="K638" t="s">
        <v>1338</v>
      </c>
      <c r="L638" t="s">
        <v>1337</v>
      </c>
      <c r="M638" t="s">
        <v>1336</v>
      </c>
      <c r="N638">
        <v>3</v>
      </c>
      <c r="O638" t="s">
        <v>1335</v>
      </c>
      <c r="P638" t="s">
        <v>1334</v>
      </c>
      <c r="Q638" t="s">
        <v>1333</v>
      </c>
      <c r="R638" s="7">
        <v>30317</v>
      </c>
      <c r="S638" s="8">
        <f t="shared" si="80"/>
        <v>1983</v>
      </c>
      <c r="T638" s="8">
        <v>1983</v>
      </c>
      <c r="U638" s="8">
        <f t="shared" si="81"/>
        <v>39</v>
      </c>
      <c r="V638" s="7">
        <v>1983</v>
      </c>
      <c r="W638" t="s">
        <v>1332</v>
      </c>
      <c r="X638" s="2">
        <v>0.91800000000000004</v>
      </c>
      <c r="Y638" s="6">
        <f t="shared" si="78"/>
        <v>2.4505485705133341E-2</v>
      </c>
      <c r="AA638">
        <v>1431161</v>
      </c>
      <c r="AB638">
        <v>22674</v>
      </c>
      <c r="AC638">
        <v>13665901</v>
      </c>
      <c r="AD638" t="s">
        <v>5</v>
      </c>
      <c r="AE638">
        <v>4</v>
      </c>
      <c r="AF638">
        <v>2</v>
      </c>
      <c r="AH638" t="s">
        <v>1331</v>
      </c>
      <c r="AI638" t="s">
        <v>1330</v>
      </c>
      <c r="AK638" t="s">
        <v>1329</v>
      </c>
      <c r="AL638">
        <v>6</v>
      </c>
      <c r="AM638" s="5">
        <f t="shared" si="82"/>
        <v>0.15384615384615385</v>
      </c>
      <c r="AN638" s="4">
        <f t="shared" si="79"/>
        <v>2.3301197099000962E-4</v>
      </c>
      <c r="AO638" s="3"/>
      <c r="AP638">
        <v>0</v>
      </c>
      <c r="AQ638" t="s">
        <v>415</v>
      </c>
      <c r="AR638" t="s">
        <v>1</v>
      </c>
      <c r="AS638" t="s">
        <v>414</v>
      </c>
      <c r="AT638" s="2" t="s">
        <v>0</v>
      </c>
      <c r="AU638" s="1">
        <f t="shared" si="83"/>
        <v>1.7223743584890341</v>
      </c>
      <c r="AV638" s="1">
        <f t="shared" si="84"/>
        <v>1.2369248838061675</v>
      </c>
      <c r="AW638" s="1">
        <f t="shared" si="85"/>
        <v>0.7514754091233008</v>
      </c>
    </row>
    <row r="639" spans="1:49" x14ac:dyDescent="0.2">
      <c r="A639">
        <v>637</v>
      </c>
      <c r="B639" t="s">
        <v>1328</v>
      </c>
      <c r="C639" t="s">
        <v>1327</v>
      </c>
      <c r="F639" t="s">
        <v>1326</v>
      </c>
      <c r="G639" t="s">
        <v>15</v>
      </c>
      <c r="H639" t="s">
        <v>14</v>
      </c>
      <c r="I639" t="s">
        <v>1325</v>
      </c>
      <c r="J639">
        <v>60015009</v>
      </c>
      <c r="K639" t="s">
        <v>1324</v>
      </c>
      <c r="L639" t="s">
        <v>1323</v>
      </c>
      <c r="M639" t="s">
        <v>10</v>
      </c>
      <c r="N639">
        <v>4</v>
      </c>
      <c r="O639" t="s">
        <v>1322</v>
      </c>
      <c r="P639" t="s">
        <v>1321</v>
      </c>
      <c r="Q639" t="s">
        <v>1320</v>
      </c>
      <c r="R639" s="7">
        <v>30317</v>
      </c>
      <c r="S639" s="8">
        <f t="shared" si="80"/>
        <v>1983</v>
      </c>
      <c r="T639" s="8">
        <v>1983</v>
      </c>
      <c r="U639" s="8">
        <f t="shared" si="81"/>
        <v>39</v>
      </c>
      <c r="V639" s="7">
        <v>1983</v>
      </c>
      <c r="W639" t="s">
        <v>1319</v>
      </c>
      <c r="X639" s="2">
        <v>1.67</v>
      </c>
      <c r="Y639" s="6">
        <f t="shared" si="78"/>
        <v>4.4579696217399427E-2</v>
      </c>
      <c r="AA639">
        <v>1480227</v>
      </c>
      <c r="AB639">
        <v>28428</v>
      </c>
      <c r="AD639" t="s">
        <v>5</v>
      </c>
      <c r="AE639">
        <v>88</v>
      </c>
      <c r="AF639" t="s">
        <v>1318</v>
      </c>
      <c r="AH639" t="s">
        <v>1317</v>
      </c>
      <c r="AI639" t="s">
        <v>1316</v>
      </c>
      <c r="AK639" t="s">
        <v>1315</v>
      </c>
      <c r="AL639">
        <v>9</v>
      </c>
      <c r="AM639" s="5">
        <f t="shared" si="82"/>
        <v>0.23076923076923078</v>
      </c>
      <c r="AN639" s="4">
        <f t="shared" si="79"/>
        <v>3.4951795648501444E-4</v>
      </c>
      <c r="AO639" s="3"/>
      <c r="AP639">
        <v>0</v>
      </c>
      <c r="AR639" t="s">
        <v>1</v>
      </c>
      <c r="AT639" s="2" t="s">
        <v>0</v>
      </c>
      <c r="AU639" s="1">
        <f t="shared" si="83"/>
        <v>3.1310642739125103</v>
      </c>
      <c r="AV639" s="1">
        <f t="shared" si="84"/>
        <v>2.2464607086942223</v>
      </c>
      <c r="AW639" s="1">
        <f t="shared" si="85"/>
        <v>1.3618571434759339</v>
      </c>
    </row>
    <row r="640" spans="1:49" x14ac:dyDescent="0.2">
      <c r="A640">
        <v>638</v>
      </c>
      <c r="B640" t="s">
        <v>1314</v>
      </c>
      <c r="C640" t="s">
        <v>1313</v>
      </c>
      <c r="F640" t="s">
        <v>1312</v>
      </c>
      <c r="G640" t="s">
        <v>15</v>
      </c>
      <c r="H640" t="s">
        <v>14</v>
      </c>
      <c r="I640" t="s">
        <v>1311</v>
      </c>
      <c r="J640">
        <v>100357046</v>
      </c>
      <c r="K640" t="s">
        <v>1310</v>
      </c>
      <c r="L640" t="s">
        <v>1309</v>
      </c>
      <c r="M640" t="s">
        <v>431</v>
      </c>
      <c r="N640">
        <v>2</v>
      </c>
      <c r="O640" t="s">
        <v>1308</v>
      </c>
      <c r="P640" t="s">
        <v>1307</v>
      </c>
      <c r="Q640" t="s">
        <v>1306</v>
      </c>
      <c r="R640" s="7">
        <v>30317</v>
      </c>
      <c r="S640" s="8">
        <f t="shared" si="80"/>
        <v>1983</v>
      </c>
      <c r="T640" s="8">
        <v>1983</v>
      </c>
      <c r="U640" s="8">
        <f t="shared" si="81"/>
        <v>39</v>
      </c>
      <c r="V640" s="7">
        <v>1983</v>
      </c>
      <c r="W640" t="s">
        <v>1305</v>
      </c>
      <c r="X640" s="2" t="s">
        <v>0</v>
      </c>
      <c r="Y640" s="6" t="e">
        <f t="shared" si="78"/>
        <v>#VALUE!</v>
      </c>
      <c r="AA640">
        <v>9628452</v>
      </c>
      <c r="AB640">
        <v>130030</v>
      </c>
      <c r="AD640" t="s">
        <v>5</v>
      </c>
      <c r="AE640">
        <v>218</v>
      </c>
      <c r="AF640">
        <v>1210</v>
      </c>
      <c r="AH640" t="s">
        <v>1304</v>
      </c>
      <c r="AL640">
        <v>5</v>
      </c>
      <c r="AM640" s="5">
        <f t="shared" si="82"/>
        <v>0.12820512820512819</v>
      </c>
      <c r="AN640" s="4">
        <f t="shared" si="79"/>
        <v>1.9417664249167467E-4</v>
      </c>
      <c r="AO640" s="3"/>
      <c r="AP640">
        <v>0</v>
      </c>
      <c r="AR640" t="s">
        <v>1</v>
      </c>
      <c r="AT640" s="2" t="s">
        <v>0</v>
      </c>
      <c r="AU640" s="1" t="e">
        <f t="shared" si="83"/>
        <v>#VALUE!</v>
      </c>
      <c r="AV640" s="1" t="e">
        <f t="shared" si="84"/>
        <v>#VALUE!</v>
      </c>
      <c r="AW640" s="1" t="e">
        <f t="shared" si="85"/>
        <v>#VALUE!</v>
      </c>
    </row>
    <row r="641" spans="1:49" x14ac:dyDescent="0.2">
      <c r="A641">
        <v>639</v>
      </c>
      <c r="B641" t="s">
        <v>1303</v>
      </c>
      <c r="C641" t="s">
        <v>1302</v>
      </c>
      <c r="D641" t="s">
        <v>1301</v>
      </c>
      <c r="E641">
        <v>6871020</v>
      </c>
      <c r="F641" t="s">
        <v>1300</v>
      </c>
      <c r="G641" t="s">
        <v>15</v>
      </c>
      <c r="H641" t="s">
        <v>14</v>
      </c>
      <c r="I641" t="s">
        <v>1299</v>
      </c>
      <c r="J641">
        <v>60012614</v>
      </c>
      <c r="K641" t="s">
        <v>1298</v>
      </c>
      <c r="L641" t="s">
        <v>1297</v>
      </c>
      <c r="M641" t="s">
        <v>1296</v>
      </c>
      <c r="N641">
        <v>1</v>
      </c>
      <c r="O641" t="s">
        <v>1295</v>
      </c>
      <c r="P641">
        <v>57204373226</v>
      </c>
      <c r="Q641">
        <v>60012614</v>
      </c>
      <c r="R641" s="7">
        <v>30317</v>
      </c>
      <c r="S641" s="8">
        <f t="shared" si="80"/>
        <v>1983</v>
      </c>
      <c r="T641" s="8">
        <v>1983</v>
      </c>
      <c r="U641" s="8">
        <f t="shared" si="81"/>
        <v>39</v>
      </c>
      <c r="V641" s="7">
        <v>30468</v>
      </c>
      <c r="W641" t="s">
        <v>1294</v>
      </c>
      <c r="X641" s="2">
        <v>1.113</v>
      </c>
      <c r="Y641" s="6">
        <f t="shared" si="78"/>
        <v>2.9710899335308721E-2</v>
      </c>
      <c r="AA641">
        <v>1664328</v>
      </c>
      <c r="AB641">
        <v>14285</v>
      </c>
      <c r="AD641" t="s">
        <v>5</v>
      </c>
      <c r="AE641">
        <v>8</v>
      </c>
      <c r="AF641">
        <v>3</v>
      </c>
      <c r="AH641" t="s">
        <v>1293</v>
      </c>
      <c r="AI641" t="s">
        <v>1292</v>
      </c>
      <c r="AJ641" t="s">
        <v>1291</v>
      </c>
      <c r="AK641" t="s">
        <v>1290</v>
      </c>
      <c r="AL641">
        <v>86</v>
      </c>
      <c r="AM641" s="5">
        <f t="shared" si="82"/>
        <v>2.2051282051282053</v>
      </c>
      <c r="AN641" s="4">
        <f t="shared" si="79"/>
        <v>3.3398382508568049E-3</v>
      </c>
      <c r="AO641" s="3"/>
      <c r="AP641">
        <v>0</v>
      </c>
      <c r="AR641" t="s">
        <v>1</v>
      </c>
      <c r="AT641" s="2">
        <v>3.3319999999999999</v>
      </c>
      <c r="AU641" s="1">
        <f t="shared" si="83"/>
        <v>2.1799581009973146</v>
      </c>
      <c r="AV641" s="1">
        <f t="shared" si="84"/>
        <v>1.6525368793082762</v>
      </c>
      <c r="AW641" s="1">
        <f t="shared" si="85"/>
        <v>1.125115657619238</v>
      </c>
    </row>
    <row r="642" spans="1:49" x14ac:dyDescent="0.2">
      <c r="A642">
        <v>640</v>
      </c>
      <c r="B642" t="s">
        <v>1289</v>
      </c>
      <c r="C642" t="s">
        <v>1288</v>
      </c>
      <c r="F642" t="s">
        <v>1287</v>
      </c>
      <c r="G642" t="s">
        <v>15</v>
      </c>
      <c r="H642" t="s">
        <v>14</v>
      </c>
      <c r="I642" t="s">
        <v>1286</v>
      </c>
      <c r="J642">
        <v>60025555</v>
      </c>
      <c r="K642" t="s">
        <v>878</v>
      </c>
      <c r="L642" t="s">
        <v>56</v>
      </c>
      <c r="M642" t="s">
        <v>55</v>
      </c>
      <c r="N642">
        <v>5</v>
      </c>
      <c r="O642" t="s">
        <v>1285</v>
      </c>
      <c r="P642" t="s">
        <v>1284</v>
      </c>
      <c r="Q642" t="s">
        <v>1283</v>
      </c>
      <c r="R642" s="7">
        <v>30317</v>
      </c>
      <c r="S642" s="8">
        <f t="shared" si="80"/>
        <v>1983</v>
      </c>
      <c r="T642" s="8">
        <v>1983</v>
      </c>
      <c r="U642" s="8">
        <f t="shared" si="81"/>
        <v>39</v>
      </c>
      <c r="V642" s="7">
        <v>30317</v>
      </c>
      <c r="W642" t="s">
        <v>817</v>
      </c>
      <c r="X642" s="2">
        <v>2.9860000000000002</v>
      </c>
      <c r="Y642" s="6">
        <f t="shared" ref="Y642:Y705" si="86">(X642-$Z$4)/($Z$3-$Z$4)</f>
        <v>7.9709564613865094E-2</v>
      </c>
      <c r="AA642">
        <v>7338716</v>
      </c>
      <c r="AB642">
        <v>18902</v>
      </c>
      <c r="AD642" t="s">
        <v>5</v>
      </c>
      <c r="AE642">
        <v>1</v>
      </c>
      <c r="AF642">
        <v>1</v>
      </c>
      <c r="AH642" t="s">
        <v>1282</v>
      </c>
      <c r="AI642" t="s">
        <v>1281</v>
      </c>
      <c r="AK642" t="s">
        <v>1280</v>
      </c>
      <c r="AL642">
        <v>0</v>
      </c>
      <c r="AM642" s="5">
        <f t="shared" si="82"/>
        <v>0</v>
      </c>
      <c r="AN642" s="4">
        <f t="shared" ref="AN642:AN705" si="87">(AM642-$AO$4)/($AO$3-$AO$4)</f>
        <v>0</v>
      </c>
      <c r="AO642" s="3"/>
      <c r="AP642">
        <v>0</v>
      </c>
      <c r="AR642" t="s">
        <v>1</v>
      </c>
      <c r="AT642" s="2" t="s">
        <v>0</v>
      </c>
      <c r="AU642" s="1">
        <f t="shared" si="83"/>
        <v>5.5796695229705557</v>
      </c>
      <c r="AV642" s="1">
        <f t="shared" si="84"/>
        <v>3.9854782306932548</v>
      </c>
      <c r="AW642" s="1">
        <f t="shared" si="85"/>
        <v>2.3912869384159525</v>
      </c>
    </row>
    <row r="643" spans="1:49" x14ac:dyDescent="0.2">
      <c r="A643">
        <v>641</v>
      </c>
      <c r="B643" t="s">
        <v>1279</v>
      </c>
      <c r="C643" t="s">
        <v>1278</v>
      </c>
      <c r="F643" t="s">
        <v>1277</v>
      </c>
      <c r="G643" t="s">
        <v>15</v>
      </c>
      <c r="H643" t="s">
        <v>14</v>
      </c>
      <c r="I643" t="s">
        <v>980</v>
      </c>
      <c r="J643">
        <v>60027271</v>
      </c>
      <c r="K643" t="s">
        <v>979</v>
      </c>
      <c r="L643" t="s">
        <v>978</v>
      </c>
      <c r="M643" t="s">
        <v>10</v>
      </c>
      <c r="N643">
        <v>1</v>
      </c>
      <c r="O643" t="s">
        <v>977</v>
      </c>
      <c r="P643">
        <v>7006017795</v>
      </c>
      <c r="Q643">
        <v>60027271</v>
      </c>
      <c r="R643" s="7">
        <v>30317</v>
      </c>
      <c r="S643" s="8">
        <f t="shared" si="80"/>
        <v>1983</v>
      </c>
      <c r="T643" s="8">
        <v>1983</v>
      </c>
      <c r="U643" s="8">
        <f t="shared" si="81"/>
        <v>39</v>
      </c>
      <c r="V643" s="7">
        <v>30317</v>
      </c>
      <c r="W643" t="s">
        <v>618</v>
      </c>
      <c r="X643" s="2">
        <v>1.6519999999999999</v>
      </c>
      <c r="Y643" s="6">
        <f t="shared" si="86"/>
        <v>4.409919649769093E-2</v>
      </c>
      <c r="AA643" t="s">
        <v>617</v>
      </c>
      <c r="AB643">
        <v>17337</v>
      </c>
      <c r="AC643">
        <v>15582221</v>
      </c>
      <c r="AD643" t="s">
        <v>5</v>
      </c>
      <c r="AE643">
        <v>31</v>
      </c>
      <c r="AF643">
        <v>1</v>
      </c>
      <c r="AH643" t="s">
        <v>1276</v>
      </c>
      <c r="AI643" t="s">
        <v>1275</v>
      </c>
      <c r="AK643" t="s">
        <v>1274</v>
      </c>
      <c r="AL643">
        <v>23</v>
      </c>
      <c r="AM643" s="5">
        <f t="shared" si="82"/>
        <v>0.58974358974358976</v>
      </c>
      <c r="AN643" s="4">
        <f t="shared" si="87"/>
        <v>8.9321255546170354E-4</v>
      </c>
      <c r="AO643" s="3"/>
      <c r="AP643">
        <v>0</v>
      </c>
      <c r="AR643" t="s">
        <v>1</v>
      </c>
      <c r="AT643" s="2" t="s">
        <v>0</v>
      </c>
      <c r="AU643" s="1">
        <f t="shared" si="83"/>
        <v>3.1137401315022162</v>
      </c>
      <c r="AV643" s="1">
        <f t="shared" si="84"/>
        <v>2.2496204526576316</v>
      </c>
      <c r="AW643" s="1">
        <f t="shared" si="85"/>
        <v>1.3855007738130471</v>
      </c>
    </row>
    <row r="644" spans="1:49" x14ac:dyDescent="0.2">
      <c r="A644">
        <v>642</v>
      </c>
      <c r="B644" t="s">
        <v>1273</v>
      </c>
      <c r="C644" t="s">
        <v>1272</v>
      </c>
      <c r="D644">
        <v>300962983903675</v>
      </c>
      <c r="F644" t="s">
        <v>1271</v>
      </c>
      <c r="G644" t="s">
        <v>15</v>
      </c>
      <c r="H644" t="s">
        <v>14</v>
      </c>
      <c r="I644" t="s">
        <v>1270</v>
      </c>
      <c r="J644">
        <v>60002443</v>
      </c>
      <c r="K644" t="s">
        <v>1269</v>
      </c>
      <c r="L644" t="s">
        <v>1268</v>
      </c>
      <c r="M644" t="s">
        <v>55</v>
      </c>
      <c r="N644">
        <v>2</v>
      </c>
      <c r="O644" t="s">
        <v>1267</v>
      </c>
      <c r="P644" t="s">
        <v>1266</v>
      </c>
      <c r="Q644" t="s">
        <v>1265</v>
      </c>
      <c r="R644" s="7">
        <v>30317</v>
      </c>
      <c r="S644" s="8">
        <f t="shared" si="80"/>
        <v>1983</v>
      </c>
      <c r="T644" s="8">
        <v>1983</v>
      </c>
      <c r="U644" s="8">
        <f t="shared" si="81"/>
        <v>39</v>
      </c>
      <c r="V644" s="7">
        <v>1983</v>
      </c>
      <c r="W644" t="s">
        <v>1264</v>
      </c>
      <c r="X644" s="2">
        <v>0.64600000000000002</v>
      </c>
      <c r="Y644" s="6">
        <f t="shared" si="86"/>
        <v>1.72446010517605E-2</v>
      </c>
      <c r="AA644">
        <v>3009629</v>
      </c>
      <c r="AB644">
        <v>23398</v>
      </c>
      <c r="AD644" t="s">
        <v>5</v>
      </c>
      <c r="AE644">
        <v>74</v>
      </c>
      <c r="AF644">
        <v>4</v>
      </c>
      <c r="AH644" t="s">
        <v>1263</v>
      </c>
      <c r="AI644" t="s">
        <v>1262</v>
      </c>
      <c r="AK644" t="s">
        <v>1261</v>
      </c>
      <c r="AL644">
        <v>12</v>
      </c>
      <c r="AM644" s="5">
        <f t="shared" si="82"/>
        <v>0.30769230769230771</v>
      </c>
      <c r="AN644" s="4">
        <f t="shared" si="87"/>
        <v>4.6602394198001925E-4</v>
      </c>
      <c r="AO644" s="3"/>
      <c r="AP644">
        <v>0</v>
      </c>
      <c r="AR644" t="s">
        <v>1</v>
      </c>
      <c r="AT644" s="2" t="s">
        <v>0</v>
      </c>
      <c r="AU644" s="1">
        <f t="shared" si="83"/>
        <v>1.2211027918826356</v>
      </c>
      <c r="AV644" s="1">
        <f t="shared" si="84"/>
        <v>0.8855312496870259</v>
      </c>
      <c r="AW644" s="1">
        <f t="shared" si="85"/>
        <v>0.54995970749141632</v>
      </c>
    </row>
    <row r="645" spans="1:49" x14ac:dyDescent="0.2">
      <c r="A645">
        <v>643</v>
      </c>
      <c r="B645" t="s">
        <v>1260</v>
      </c>
      <c r="E645">
        <v>6341361</v>
      </c>
      <c r="F645" t="s">
        <v>1259</v>
      </c>
      <c r="G645" t="s">
        <v>15</v>
      </c>
      <c r="H645" t="s">
        <v>14</v>
      </c>
      <c r="I645" t="s">
        <v>1258</v>
      </c>
      <c r="J645">
        <v>60025038</v>
      </c>
      <c r="K645" t="s">
        <v>1257</v>
      </c>
      <c r="L645" t="s">
        <v>1256</v>
      </c>
      <c r="M645" t="s">
        <v>10</v>
      </c>
      <c r="N645">
        <v>3</v>
      </c>
      <c r="O645" t="s">
        <v>1255</v>
      </c>
      <c r="P645" t="s">
        <v>1254</v>
      </c>
      <c r="Q645" t="s">
        <v>1253</v>
      </c>
      <c r="R645" s="7">
        <v>30317</v>
      </c>
      <c r="S645" s="8">
        <f t="shared" si="80"/>
        <v>1983</v>
      </c>
      <c r="T645" s="8">
        <v>1983</v>
      </c>
      <c r="U645" s="8">
        <f t="shared" si="81"/>
        <v>39</v>
      </c>
      <c r="V645" s="7">
        <v>1983</v>
      </c>
      <c r="W645" t="s">
        <v>1252</v>
      </c>
      <c r="X645" s="2">
        <v>1.6519999999999999</v>
      </c>
      <c r="Y645" s="6">
        <f t="shared" si="86"/>
        <v>4.409919649769093E-2</v>
      </c>
      <c r="AA645">
        <v>219193</v>
      </c>
      <c r="AB645">
        <v>20220</v>
      </c>
      <c r="AD645" t="s">
        <v>5</v>
      </c>
      <c r="AE645">
        <v>154</v>
      </c>
      <c r="AF645">
        <v>2</v>
      </c>
      <c r="AH645" t="s">
        <v>1251</v>
      </c>
      <c r="AI645" t="s">
        <v>1250</v>
      </c>
      <c r="AK645" t="s">
        <v>1249</v>
      </c>
      <c r="AL645">
        <v>21</v>
      </c>
      <c r="AM645" s="5">
        <f t="shared" si="82"/>
        <v>0.53846153846153844</v>
      </c>
      <c r="AN645" s="4">
        <f t="shared" si="87"/>
        <v>8.1554189846503363E-4</v>
      </c>
      <c r="AO645" s="3"/>
      <c r="AP645">
        <v>0</v>
      </c>
      <c r="AR645" t="s">
        <v>1</v>
      </c>
      <c r="AT645" s="2">
        <v>3.49</v>
      </c>
      <c r="AU645" s="1">
        <f t="shared" si="83"/>
        <v>3.1114100117923158</v>
      </c>
      <c r="AV645" s="1">
        <f t="shared" si="84"/>
        <v>2.2457369198077983</v>
      </c>
      <c r="AW645" s="1">
        <f t="shared" si="85"/>
        <v>1.3800638278232802</v>
      </c>
    </row>
    <row r="646" spans="1:49" x14ac:dyDescent="0.2">
      <c r="A646">
        <v>644</v>
      </c>
      <c r="B646" t="s">
        <v>1248</v>
      </c>
      <c r="C646" t="s">
        <v>1247</v>
      </c>
      <c r="F646" t="s">
        <v>1246</v>
      </c>
      <c r="G646" t="s">
        <v>15</v>
      </c>
      <c r="H646" t="s">
        <v>14</v>
      </c>
      <c r="I646" t="s">
        <v>164</v>
      </c>
      <c r="J646">
        <v>60005460</v>
      </c>
      <c r="K646" t="s">
        <v>1245</v>
      </c>
      <c r="L646" t="s">
        <v>1244</v>
      </c>
      <c r="M646" t="s">
        <v>80</v>
      </c>
      <c r="N646">
        <v>4</v>
      </c>
      <c r="O646" t="s">
        <v>1243</v>
      </c>
      <c r="P646" t="s">
        <v>1242</v>
      </c>
      <c r="Q646" t="s">
        <v>1241</v>
      </c>
      <c r="R646" s="7">
        <v>30317</v>
      </c>
      <c r="S646" s="8">
        <f t="shared" si="80"/>
        <v>1983</v>
      </c>
      <c r="T646" s="8">
        <v>1983</v>
      </c>
      <c r="U646" s="8">
        <f t="shared" si="81"/>
        <v>39</v>
      </c>
      <c r="V646" s="7">
        <v>30590</v>
      </c>
      <c r="W646" t="s">
        <v>1240</v>
      </c>
      <c r="X646" s="2" t="s">
        <v>0</v>
      </c>
      <c r="Y646" s="6" t="e">
        <f t="shared" si="86"/>
        <v>#VALUE!</v>
      </c>
      <c r="AA646">
        <v>144754</v>
      </c>
      <c r="AB646">
        <v>74305</v>
      </c>
      <c r="AC646">
        <v>14209071</v>
      </c>
      <c r="AD646" t="s">
        <v>5</v>
      </c>
      <c r="AE646">
        <v>39</v>
      </c>
      <c r="AF646">
        <v>10</v>
      </c>
      <c r="AH646" t="s">
        <v>1239</v>
      </c>
      <c r="AI646" t="s">
        <v>1238</v>
      </c>
      <c r="AK646" t="s">
        <v>1237</v>
      </c>
      <c r="AL646">
        <v>18</v>
      </c>
      <c r="AM646" s="5">
        <f t="shared" si="82"/>
        <v>0.46153846153846156</v>
      </c>
      <c r="AN646" s="4">
        <f t="shared" si="87"/>
        <v>6.9903591297002887E-4</v>
      </c>
      <c r="AO646" s="3"/>
      <c r="AP646">
        <v>0</v>
      </c>
      <c r="AR646" t="s">
        <v>1</v>
      </c>
      <c r="AT646" s="2" t="s">
        <v>0</v>
      </c>
      <c r="AU646" s="1" t="e">
        <f t="shared" si="83"/>
        <v>#VALUE!</v>
      </c>
      <c r="AV646" s="1" t="e">
        <f t="shared" si="84"/>
        <v>#VALUE!</v>
      </c>
      <c r="AW646" s="1" t="e">
        <f t="shared" si="85"/>
        <v>#VALUE!</v>
      </c>
    </row>
    <row r="647" spans="1:49" x14ac:dyDescent="0.2">
      <c r="A647">
        <v>645</v>
      </c>
      <c r="B647" t="s">
        <v>1236</v>
      </c>
      <c r="C647" t="s">
        <v>1235</v>
      </c>
      <c r="D647" t="s">
        <v>1234</v>
      </c>
      <c r="F647" t="s">
        <v>1233</v>
      </c>
      <c r="G647" t="s">
        <v>15</v>
      </c>
      <c r="H647" t="s">
        <v>14</v>
      </c>
      <c r="I647" t="s">
        <v>1232</v>
      </c>
      <c r="J647">
        <v>60010365</v>
      </c>
      <c r="K647" t="s">
        <v>1231</v>
      </c>
      <c r="L647" t="s">
        <v>1230</v>
      </c>
      <c r="M647" t="s">
        <v>1229</v>
      </c>
      <c r="N647">
        <v>2</v>
      </c>
      <c r="O647" t="s">
        <v>1228</v>
      </c>
      <c r="P647" t="s">
        <v>1227</v>
      </c>
      <c r="Q647" t="s">
        <v>1226</v>
      </c>
      <c r="R647" s="7">
        <v>30317</v>
      </c>
      <c r="S647" s="8">
        <f t="shared" si="80"/>
        <v>1983</v>
      </c>
      <c r="T647" s="8">
        <v>1983</v>
      </c>
      <c r="U647" s="8">
        <f t="shared" si="81"/>
        <v>39</v>
      </c>
      <c r="V647" s="7">
        <v>30437</v>
      </c>
      <c r="W647" t="s">
        <v>1225</v>
      </c>
      <c r="X647" s="2">
        <v>1.1359999999999999</v>
      </c>
      <c r="Y647" s="6">
        <f t="shared" si="86"/>
        <v>3.0324871199380689E-2</v>
      </c>
      <c r="AA647">
        <v>1676105</v>
      </c>
      <c r="AB647">
        <v>110486</v>
      </c>
      <c r="AD647" t="s">
        <v>5</v>
      </c>
      <c r="AE647">
        <v>11</v>
      </c>
      <c r="AF647" s="9">
        <v>44256</v>
      </c>
      <c r="AH647" t="s">
        <v>1224</v>
      </c>
      <c r="AI647" t="s">
        <v>1223</v>
      </c>
      <c r="AK647" t="s">
        <v>1222</v>
      </c>
      <c r="AL647">
        <v>15</v>
      </c>
      <c r="AM647" s="5">
        <f t="shared" si="82"/>
        <v>0.38461538461538464</v>
      </c>
      <c r="AN647" s="4">
        <f t="shared" si="87"/>
        <v>5.8252992747502411E-4</v>
      </c>
      <c r="AO647" s="3"/>
      <c r="AP647">
        <v>0</v>
      </c>
      <c r="AQ647" t="s">
        <v>1221</v>
      </c>
      <c r="AR647" t="s">
        <v>1220</v>
      </c>
      <c r="AS647" t="s">
        <v>1219</v>
      </c>
      <c r="AT647" s="2" t="s">
        <v>0</v>
      </c>
      <c r="AU647" s="1">
        <f t="shared" si="83"/>
        <v>2.1402168817808991</v>
      </c>
      <c r="AV647" s="1">
        <f t="shared" si="84"/>
        <v>1.5453700563427857</v>
      </c>
      <c r="AW647" s="1">
        <f t="shared" si="85"/>
        <v>0.95052323090467228</v>
      </c>
    </row>
    <row r="648" spans="1:49" x14ac:dyDescent="0.2">
      <c r="A648">
        <v>646</v>
      </c>
      <c r="B648" t="s">
        <v>1218</v>
      </c>
      <c r="F648" t="s">
        <v>1217</v>
      </c>
      <c r="G648" t="s">
        <v>15</v>
      </c>
      <c r="H648" t="s">
        <v>14</v>
      </c>
      <c r="I648" t="s">
        <v>1216</v>
      </c>
      <c r="N648">
        <v>1</v>
      </c>
      <c r="O648" t="s">
        <v>1215</v>
      </c>
      <c r="P648">
        <v>57198994221</v>
      </c>
      <c r="R648" s="7">
        <v>30317</v>
      </c>
      <c r="S648" s="8">
        <f t="shared" si="80"/>
        <v>1983</v>
      </c>
      <c r="T648" s="8">
        <v>1983</v>
      </c>
      <c r="U648" s="8">
        <f t="shared" si="81"/>
        <v>39</v>
      </c>
      <c r="V648" s="7">
        <v>1983</v>
      </c>
      <c r="W648" t="s">
        <v>1214</v>
      </c>
      <c r="X648" s="2" t="s">
        <v>0</v>
      </c>
      <c r="Y648" s="6" t="e">
        <f t="shared" si="86"/>
        <v>#VALUE!</v>
      </c>
      <c r="AB648">
        <v>39087</v>
      </c>
      <c r="AD648" t="s">
        <v>5</v>
      </c>
      <c r="AE648">
        <v>17</v>
      </c>
      <c r="AF648">
        <v>1</v>
      </c>
      <c r="AH648" t="s">
        <v>1213</v>
      </c>
      <c r="AI648" t="s">
        <v>1212</v>
      </c>
      <c r="AK648" t="s">
        <v>1211</v>
      </c>
      <c r="AL648">
        <v>0</v>
      </c>
      <c r="AM648" s="5">
        <f t="shared" si="82"/>
        <v>0</v>
      </c>
      <c r="AN648" s="4">
        <f t="shared" si="87"/>
        <v>0</v>
      </c>
      <c r="AO648" s="3"/>
      <c r="AP648">
        <v>0</v>
      </c>
      <c r="AR648" t="s">
        <v>1</v>
      </c>
      <c r="AT648" s="2" t="s">
        <v>0</v>
      </c>
      <c r="AU648" s="1" t="e">
        <f t="shared" si="83"/>
        <v>#VALUE!</v>
      </c>
      <c r="AV648" s="1" t="e">
        <f t="shared" si="84"/>
        <v>#VALUE!</v>
      </c>
      <c r="AW648" s="1" t="e">
        <f t="shared" si="85"/>
        <v>#VALUE!</v>
      </c>
    </row>
    <row r="649" spans="1:49" x14ac:dyDescent="0.2">
      <c r="A649">
        <v>647</v>
      </c>
      <c r="B649" t="s">
        <v>1210</v>
      </c>
      <c r="C649" t="s">
        <v>1209</v>
      </c>
      <c r="F649" t="s">
        <v>1208</v>
      </c>
      <c r="G649" t="s">
        <v>15</v>
      </c>
      <c r="H649" t="s">
        <v>14</v>
      </c>
      <c r="I649" t="s">
        <v>1207</v>
      </c>
      <c r="J649">
        <v>60010244</v>
      </c>
      <c r="K649" t="s">
        <v>1206</v>
      </c>
      <c r="L649" t="s">
        <v>1205</v>
      </c>
      <c r="M649" t="s">
        <v>10</v>
      </c>
      <c r="N649">
        <v>1</v>
      </c>
      <c r="O649" t="s">
        <v>1204</v>
      </c>
      <c r="P649">
        <v>7004613036</v>
      </c>
      <c r="Q649">
        <v>60010244</v>
      </c>
      <c r="R649" s="7">
        <v>30317</v>
      </c>
      <c r="S649" s="8">
        <f t="shared" si="80"/>
        <v>1983</v>
      </c>
      <c r="T649" s="8">
        <v>1983</v>
      </c>
      <c r="U649" s="8">
        <f t="shared" si="81"/>
        <v>39</v>
      </c>
      <c r="V649" s="7">
        <v>30317</v>
      </c>
      <c r="W649" t="s">
        <v>470</v>
      </c>
      <c r="X649" s="2">
        <v>2.141</v>
      </c>
      <c r="Y649" s="6">
        <f t="shared" si="86"/>
        <v>5.7152772216438434E-2</v>
      </c>
      <c r="AA649">
        <v>1962892</v>
      </c>
      <c r="AB649">
        <v>17360</v>
      </c>
      <c r="AC649">
        <v>15580644</v>
      </c>
      <c r="AD649" t="s">
        <v>5</v>
      </c>
      <c r="AE649" t="s">
        <v>469</v>
      </c>
      <c r="AF649">
        <v>1</v>
      </c>
      <c r="AH649" t="s">
        <v>1203</v>
      </c>
      <c r="AI649" t="s">
        <v>1202</v>
      </c>
      <c r="AK649" t="s">
        <v>1201</v>
      </c>
      <c r="AL649">
        <v>1</v>
      </c>
      <c r="AM649" s="5">
        <f t="shared" si="82"/>
        <v>2.564102564102564E-2</v>
      </c>
      <c r="AN649" s="4">
        <f t="shared" si="87"/>
        <v>3.8835328498334935E-5</v>
      </c>
      <c r="AO649" s="3"/>
      <c r="AP649">
        <v>0</v>
      </c>
      <c r="AR649" t="s">
        <v>1</v>
      </c>
      <c r="AT649" s="2" t="s">
        <v>0</v>
      </c>
      <c r="AU649" s="1">
        <f t="shared" si="83"/>
        <v>4.0018591150056402</v>
      </c>
      <c r="AV649" s="1">
        <f t="shared" si="84"/>
        <v>2.8595803772468384</v>
      </c>
      <c r="AW649" s="1">
        <f t="shared" si="85"/>
        <v>1.7173016394880363</v>
      </c>
    </row>
    <row r="650" spans="1:49" x14ac:dyDescent="0.2">
      <c r="A650">
        <v>648</v>
      </c>
      <c r="B650" t="s">
        <v>1200</v>
      </c>
      <c r="C650" t="s">
        <v>1199</v>
      </c>
      <c r="F650" t="s">
        <v>1198</v>
      </c>
      <c r="G650" t="s">
        <v>15</v>
      </c>
      <c r="H650" t="s">
        <v>14</v>
      </c>
      <c r="I650" t="s">
        <v>1197</v>
      </c>
      <c r="J650">
        <v>60007843</v>
      </c>
      <c r="K650" t="s">
        <v>1196</v>
      </c>
      <c r="L650" t="s">
        <v>1195</v>
      </c>
      <c r="M650" t="s">
        <v>10</v>
      </c>
      <c r="N650">
        <v>1</v>
      </c>
      <c r="O650" t="s">
        <v>1194</v>
      </c>
      <c r="P650">
        <v>7410237435</v>
      </c>
      <c r="Q650">
        <v>60007843</v>
      </c>
      <c r="R650" s="7">
        <v>30317</v>
      </c>
      <c r="S650" s="8">
        <f t="shared" si="80"/>
        <v>1983</v>
      </c>
      <c r="T650" s="8">
        <v>1983</v>
      </c>
      <c r="U650" s="8">
        <f t="shared" si="81"/>
        <v>39</v>
      </c>
      <c r="V650" s="7">
        <v>30317</v>
      </c>
      <c r="W650" t="s">
        <v>618</v>
      </c>
      <c r="X650" s="2">
        <v>1.6519999999999999</v>
      </c>
      <c r="Y650" s="6">
        <f t="shared" si="86"/>
        <v>4.409919649769093E-2</v>
      </c>
      <c r="AA650" t="s">
        <v>617</v>
      </c>
      <c r="AB650">
        <v>17337</v>
      </c>
      <c r="AC650">
        <v>15582221</v>
      </c>
      <c r="AD650" t="s">
        <v>5</v>
      </c>
      <c r="AE650">
        <v>31</v>
      </c>
      <c r="AF650">
        <v>1</v>
      </c>
      <c r="AH650" t="s">
        <v>1193</v>
      </c>
      <c r="AI650" t="s">
        <v>1192</v>
      </c>
      <c r="AK650" t="s">
        <v>1191</v>
      </c>
      <c r="AL650">
        <v>16</v>
      </c>
      <c r="AM650" s="5">
        <f t="shared" si="82"/>
        <v>0.41025641025641024</v>
      </c>
      <c r="AN650" s="4">
        <f t="shared" si="87"/>
        <v>6.2136525597335896E-4</v>
      </c>
      <c r="AO650" s="3"/>
      <c r="AP650">
        <v>0</v>
      </c>
      <c r="AR650" t="s">
        <v>1</v>
      </c>
      <c r="AT650" s="2" t="s">
        <v>0</v>
      </c>
      <c r="AU650" s="1">
        <f t="shared" si="83"/>
        <v>3.1055847125175657</v>
      </c>
      <c r="AV650" s="1">
        <f t="shared" si="84"/>
        <v>2.2360280876832146</v>
      </c>
      <c r="AW650" s="1">
        <f t="shared" si="85"/>
        <v>1.3664714628488628</v>
      </c>
    </row>
    <row r="651" spans="1:49" x14ac:dyDescent="0.2">
      <c r="A651">
        <v>649</v>
      </c>
      <c r="B651" t="s">
        <v>1190</v>
      </c>
      <c r="C651" t="s">
        <v>1189</v>
      </c>
      <c r="F651" t="s">
        <v>1188</v>
      </c>
      <c r="G651" t="s">
        <v>15</v>
      </c>
      <c r="H651" t="s">
        <v>14</v>
      </c>
      <c r="I651" t="s">
        <v>1187</v>
      </c>
      <c r="J651">
        <v>60000745</v>
      </c>
      <c r="K651" t="s">
        <v>1186</v>
      </c>
      <c r="L651" t="s">
        <v>1185</v>
      </c>
      <c r="M651" t="s">
        <v>10</v>
      </c>
      <c r="N651">
        <v>2</v>
      </c>
      <c r="O651" t="s">
        <v>1184</v>
      </c>
      <c r="P651" t="s">
        <v>1183</v>
      </c>
      <c r="Q651" t="s">
        <v>1182</v>
      </c>
      <c r="R651" s="7">
        <v>30317</v>
      </c>
      <c r="S651" s="8">
        <f t="shared" si="80"/>
        <v>1983</v>
      </c>
      <c r="T651" s="8">
        <v>1983</v>
      </c>
      <c r="U651" s="8">
        <f t="shared" si="81"/>
        <v>39</v>
      </c>
      <c r="V651" s="7">
        <v>30317</v>
      </c>
      <c r="W651" t="s">
        <v>618</v>
      </c>
      <c r="X651" s="2">
        <v>1.6519999999999999</v>
      </c>
      <c r="Y651" s="6">
        <f t="shared" si="86"/>
        <v>4.409919649769093E-2</v>
      </c>
      <c r="AA651" t="s">
        <v>617</v>
      </c>
      <c r="AB651">
        <v>17337</v>
      </c>
      <c r="AC651">
        <v>15582221</v>
      </c>
      <c r="AD651" t="s">
        <v>5</v>
      </c>
      <c r="AE651">
        <v>31</v>
      </c>
      <c r="AF651">
        <v>1</v>
      </c>
      <c r="AH651" t="s">
        <v>1181</v>
      </c>
      <c r="AI651" t="s">
        <v>1180</v>
      </c>
      <c r="AK651" t="s">
        <v>1179</v>
      </c>
      <c r="AL651">
        <v>79</v>
      </c>
      <c r="AM651" s="5">
        <f t="shared" si="82"/>
        <v>2.0256410256410255</v>
      </c>
      <c r="AN651" s="4">
        <f t="shared" si="87"/>
        <v>3.0679909513684597E-3</v>
      </c>
      <c r="AO651" s="3"/>
      <c r="AP651">
        <v>0</v>
      </c>
      <c r="AR651" t="s">
        <v>1</v>
      </c>
      <c r="AT651" s="2" t="s">
        <v>0</v>
      </c>
      <c r="AU651" s="1">
        <f t="shared" si="83"/>
        <v>3.1789834833794188</v>
      </c>
      <c r="AV651" s="1">
        <f t="shared" si="84"/>
        <v>2.3583593724529694</v>
      </c>
      <c r="AW651" s="1">
        <f t="shared" si="85"/>
        <v>1.5377352615265201</v>
      </c>
    </row>
    <row r="652" spans="1:49" x14ac:dyDescent="0.2">
      <c r="A652">
        <v>650</v>
      </c>
      <c r="B652" t="s">
        <v>1178</v>
      </c>
      <c r="C652" t="s">
        <v>1177</v>
      </c>
      <c r="F652" t="s">
        <v>1176</v>
      </c>
      <c r="G652" t="s">
        <v>15</v>
      </c>
      <c r="H652" t="s">
        <v>14</v>
      </c>
      <c r="I652" t="s">
        <v>1175</v>
      </c>
      <c r="J652">
        <v>60020825</v>
      </c>
      <c r="K652" t="s">
        <v>969</v>
      </c>
      <c r="L652" t="s">
        <v>968</v>
      </c>
      <c r="M652" t="s">
        <v>175</v>
      </c>
      <c r="N652">
        <v>3</v>
      </c>
      <c r="O652" t="s">
        <v>1174</v>
      </c>
      <c r="P652" t="s">
        <v>1173</v>
      </c>
      <c r="Q652" t="s">
        <v>965</v>
      </c>
      <c r="R652" s="7">
        <v>30317</v>
      </c>
      <c r="S652" s="8">
        <f t="shared" si="80"/>
        <v>1983</v>
      </c>
      <c r="T652" s="8">
        <v>1983</v>
      </c>
      <c r="U652" s="8">
        <f t="shared" si="81"/>
        <v>39</v>
      </c>
      <c r="V652" s="7">
        <v>30317</v>
      </c>
      <c r="W652" t="s">
        <v>618</v>
      </c>
      <c r="X652" s="2">
        <v>1.6519999999999999</v>
      </c>
      <c r="Y652" s="6">
        <f t="shared" si="86"/>
        <v>4.409919649769093E-2</v>
      </c>
      <c r="AA652" t="s">
        <v>617</v>
      </c>
      <c r="AB652">
        <v>17337</v>
      </c>
      <c r="AC652">
        <v>15582221</v>
      </c>
      <c r="AD652" t="s">
        <v>5</v>
      </c>
      <c r="AE652">
        <v>31</v>
      </c>
      <c r="AF652">
        <v>1</v>
      </c>
      <c r="AH652" t="s">
        <v>1172</v>
      </c>
      <c r="AI652" t="s">
        <v>1171</v>
      </c>
      <c r="AK652" t="s">
        <v>1170</v>
      </c>
      <c r="AL652">
        <v>17</v>
      </c>
      <c r="AM652" s="5">
        <f t="shared" si="82"/>
        <v>0.4358974358974359</v>
      </c>
      <c r="AN652" s="4">
        <f t="shared" si="87"/>
        <v>6.6020058447169392E-4</v>
      </c>
      <c r="AO652" s="3"/>
      <c r="AP652">
        <v>0</v>
      </c>
      <c r="AR652" t="s">
        <v>1</v>
      </c>
      <c r="AT652" s="2" t="s">
        <v>0</v>
      </c>
      <c r="AU652" s="1">
        <f t="shared" si="83"/>
        <v>3.1067497723725159</v>
      </c>
      <c r="AV652" s="1">
        <f t="shared" si="84"/>
        <v>2.237969854108131</v>
      </c>
      <c r="AW652" s="1">
        <f t="shared" si="85"/>
        <v>1.3691899358437465</v>
      </c>
    </row>
    <row r="653" spans="1:49" x14ac:dyDescent="0.2">
      <c r="A653">
        <v>651</v>
      </c>
      <c r="B653" t="s">
        <v>1169</v>
      </c>
      <c r="F653" t="s">
        <v>1168</v>
      </c>
      <c r="G653" t="s">
        <v>15</v>
      </c>
      <c r="H653" t="s">
        <v>14</v>
      </c>
      <c r="I653" t="s">
        <v>1167</v>
      </c>
      <c r="N653">
        <v>3</v>
      </c>
      <c r="O653" t="s">
        <v>1166</v>
      </c>
      <c r="P653" t="s">
        <v>1165</v>
      </c>
      <c r="Q653" t="s">
        <v>510</v>
      </c>
      <c r="R653" s="7">
        <v>30317</v>
      </c>
      <c r="S653" s="8">
        <f t="shared" si="80"/>
        <v>1983</v>
      </c>
      <c r="T653" s="8">
        <v>1983</v>
      </c>
      <c r="U653" s="8">
        <f t="shared" si="81"/>
        <v>39</v>
      </c>
      <c r="V653" s="7">
        <v>1983</v>
      </c>
      <c r="W653" t="s">
        <v>1164</v>
      </c>
      <c r="X653" s="2" t="s">
        <v>0</v>
      </c>
      <c r="Y653" s="6" t="e">
        <f t="shared" si="86"/>
        <v>#VALUE!</v>
      </c>
      <c r="AB653">
        <v>34899</v>
      </c>
      <c r="AD653" t="s">
        <v>5</v>
      </c>
      <c r="AE653">
        <v>7</v>
      </c>
      <c r="AF653">
        <v>1</v>
      </c>
      <c r="AH653" t="s">
        <v>1163</v>
      </c>
      <c r="AI653" t="s">
        <v>1162</v>
      </c>
      <c r="AK653" t="s">
        <v>1161</v>
      </c>
      <c r="AL653">
        <v>18</v>
      </c>
      <c r="AM653" s="5">
        <f t="shared" si="82"/>
        <v>0.46153846153846156</v>
      </c>
      <c r="AN653" s="4">
        <f t="shared" si="87"/>
        <v>6.9903591297002887E-4</v>
      </c>
      <c r="AO653" s="3"/>
      <c r="AP653">
        <v>0</v>
      </c>
      <c r="AR653" t="s">
        <v>1</v>
      </c>
      <c r="AT653" s="2" t="s">
        <v>0</v>
      </c>
      <c r="AU653" s="1" t="e">
        <f t="shared" si="83"/>
        <v>#VALUE!</v>
      </c>
      <c r="AV653" s="1" t="e">
        <f t="shared" si="84"/>
        <v>#VALUE!</v>
      </c>
      <c r="AW653" s="1" t="e">
        <f t="shared" si="85"/>
        <v>#VALUE!</v>
      </c>
    </row>
    <row r="654" spans="1:49" x14ac:dyDescent="0.2">
      <c r="A654">
        <v>652</v>
      </c>
      <c r="B654" t="s">
        <v>1160</v>
      </c>
      <c r="F654" t="s">
        <v>1159</v>
      </c>
      <c r="G654" t="s">
        <v>15</v>
      </c>
      <c r="H654" t="s">
        <v>14</v>
      </c>
      <c r="I654" t="s">
        <v>1158</v>
      </c>
      <c r="N654">
        <v>2</v>
      </c>
      <c r="O654" t="s">
        <v>1157</v>
      </c>
      <c r="P654" t="s">
        <v>1156</v>
      </c>
      <c r="Q654" t="s">
        <v>342</v>
      </c>
      <c r="R654" s="7">
        <v>30317</v>
      </c>
      <c r="S654" s="8">
        <f t="shared" si="80"/>
        <v>1983</v>
      </c>
      <c r="T654" s="8">
        <v>1983</v>
      </c>
      <c r="U654" s="8">
        <f t="shared" si="81"/>
        <v>39</v>
      </c>
      <c r="V654" s="7" t="s">
        <v>738</v>
      </c>
      <c r="W654" t="s">
        <v>737</v>
      </c>
      <c r="X654" s="2">
        <v>0.125</v>
      </c>
      <c r="Y654" s="6">
        <f t="shared" si="86"/>
        <v>3.3368036090867838E-3</v>
      </c>
      <c r="AA654">
        <v>26557</v>
      </c>
      <c r="AB654">
        <v>40401</v>
      </c>
      <c r="AD654" t="s">
        <v>5</v>
      </c>
      <c r="AE654">
        <v>52</v>
      </c>
      <c r="AF654">
        <v>1</v>
      </c>
      <c r="AH654" t="s">
        <v>1155</v>
      </c>
      <c r="AI654" t="s">
        <v>1154</v>
      </c>
      <c r="AK654" t="s">
        <v>1153</v>
      </c>
      <c r="AL654">
        <v>2</v>
      </c>
      <c r="AM654" s="5">
        <f t="shared" si="82"/>
        <v>5.128205128205128E-2</v>
      </c>
      <c r="AN654" s="4">
        <f t="shared" si="87"/>
        <v>7.767065699666987E-5</v>
      </c>
      <c r="AO654" s="3"/>
      <c r="AP654">
        <v>0</v>
      </c>
      <c r="AR654" t="s">
        <v>1</v>
      </c>
      <c r="AT654" s="2" t="s">
        <v>0</v>
      </c>
      <c r="AU654" s="1">
        <f t="shared" si="83"/>
        <v>0.23590637234597495</v>
      </c>
      <c r="AV654" s="1">
        <f t="shared" si="84"/>
        <v>0.17072371330417269</v>
      </c>
      <c r="AW654" s="1">
        <f t="shared" si="85"/>
        <v>0.10554105426237038</v>
      </c>
    </row>
    <row r="655" spans="1:49" x14ac:dyDescent="0.2">
      <c r="A655">
        <v>653</v>
      </c>
      <c r="B655" t="s">
        <v>1152</v>
      </c>
      <c r="C655" t="s">
        <v>1151</v>
      </c>
      <c r="F655" t="s">
        <v>1150</v>
      </c>
      <c r="G655" t="s">
        <v>15</v>
      </c>
      <c r="H655" t="s">
        <v>14</v>
      </c>
      <c r="I655" t="s">
        <v>1149</v>
      </c>
      <c r="J655">
        <v>60032121</v>
      </c>
      <c r="K655" t="s">
        <v>499</v>
      </c>
      <c r="L655" t="s">
        <v>498</v>
      </c>
      <c r="M655" t="s">
        <v>10</v>
      </c>
      <c r="N655">
        <v>2</v>
      </c>
      <c r="O655" t="s">
        <v>1148</v>
      </c>
      <c r="P655" t="s">
        <v>1147</v>
      </c>
      <c r="Q655" t="s">
        <v>1146</v>
      </c>
      <c r="R655" s="7">
        <v>30317</v>
      </c>
      <c r="S655" s="8">
        <f t="shared" si="80"/>
        <v>1983</v>
      </c>
      <c r="T655" s="8">
        <v>1983</v>
      </c>
      <c r="U655" s="8">
        <f t="shared" si="81"/>
        <v>39</v>
      </c>
      <c r="V655" s="7">
        <v>30317</v>
      </c>
      <c r="W655" t="s">
        <v>618</v>
      </c>
      <c r="X655" s="2">
        <v>1.6519999999999999</v>
      </c>
      <c r="Y655" s="6">
        <f t="shared" si="86"/>
        <v>4.409919649769093E-2</v>
      </c>
      <c r="AA655" t="s">
        <v>617</v>
      </c>
      <c r="AB655">
        <v>17337</v>
      </c>
      <c r="AC655">
        <v>15582221</v>
      </c>
      <c r="AD655" t="s">
        <v>5</v>
      </c>
      <c r="AE655">
        <v>31</v>
      </c>
      <c r="AF655">
        <v>1</v>
      </c>
      <c r="AH655" t="s">
        <v>1145</v>
      </c>
      <c r="AI655" t="s">
        <v>1144</v>
      </c>
      <c r="AK655" t="s">
        <v>1143</v>
      </c>
      <c r="AL655">
        <v>78</v>
      </c>
      <c r="AM655" s="5">
        <f t="shared" si="82"/>
        <v>2</v>
      </c>
      <c r="AN655" s="4">
        <f t="shared" si="87"/>
        <v>3.0291556228701248E-3</v>
      </c>
      <c r="AO655" s="3"/>
      <c r="AP655">
        <v>0</v>
      </c>
      <c r="AR655" t="s">
        <v>1</v>
      </c>
      <c r="AT655" s="2" t="s">
        <v>0</v>
      </c>
      <c r="AU655" s="1">
        <f t="shared" si="83"/>
        <v>3.1778184235244686</v>
      </c>
      <c r="AV655" s="1">
        <f t="shared" si="84"/>
        <v>2.3564176060280526</v>
      </c>
      <c r="AW655" s="1">
        <f t="shared" si="85"/>
        <v>1.5350167885316366</v>
      </c>
    </row>
    <row r="656" spans="1:49" x14ac:dyDescent="0.2">
      <c r="A656">
        <v>654</v>
      </c>
      <c r="B656" t="s">
        <v>1142</v>
      </c>
      <c r="C656" t="s">
        <v>1141</v>
      </c>
      <c r="F656" t="s">
        <v>1140</v>
      </c>
      <c r="G656" t="s">
        <v>15</v>
      </c>
      <c r="H656" t="s">
        <v>14</v>
      </c>
      <c r="I656" t="s">
        <v>1139</v>
      </c>
      <c r="N656">
        <v>2</v>
      </c>
      <c r="O656" t="s">
        <v>1138</v>
      </c>
      <c r="P656" t="s">
        <v>1137</v>
      </c>
      <c r="Q656" t="s">
        <v>342</v>
      </c>
      <c r="R656" s="7">
        <v>30317</v>
      </c>
      <c r="S656" s="8">
        <f t="shared" si="80"/>
        <v>1983</v>
      </c>
      <c r="T656" s="8">
        <v>1983</v>
      </c>
      <c r="U656" s="8">
        <f t="shared" si="81"/>
        <v>39</v>
      </c>
      <c r="V656" s="7" t="s">
        <v>1090</v>
      </c>
      <c r="W656" t="s">
        <v>508</v>
      </c>
      <c r="X656" s="2">
        <v>0.371</v>
      </c>
      <c r="Y656" s="6">
        <f t="shared" si="86"/>
        <v>9.9036331117695747E-3</v>
      </c>
      <c r="AA656">
        <v>486604</v>
      </c>
      <c r="AB656">
        <v>28580</v>
      </c>
      <c r="AC656" t="s">
        <v>507</v>
      </c>
      <c r="AD656" t="s">
        <v>5</v>
      </c>
      <c r="AE656">
        <v>18</v>
      </c>
      <c r="AF656">
        <v>1</v>
      </c>
      <c r="AH656" t="s">
        <v>1136</v>
      </c>
      <c r="AI656" t="s">
        <v>1135</v>
      </c>
      <c r="AK656" t="s">
        <v>1134</v>
      </c>
      <c r="AL656">
        <v>22</v>
      </c>
      <c r="AM656" s="5">
        <f t="shared" si="82"/>
        <v>0.5641025641025641</v>
      </c>
      <c r="AN656" s="4">
        <f t="shared" si="87"/>
        <v>8.5437722696336859E-4</v>
      </c>
      <c r="AO656" s="3"/>
      <c r="AP656">
        <v>0</v>
      </c>
      <c r="AR656" t="s">
        <v>1</v>
      </c>
      <c r="AT656" s="2">
        <v>1.431</v>
      </c>
      <c r="AU656" s="1">
        <f t="shared" si="83"/>
        <v>0.71888563463277122</v>
      </c>
      <c r="AV656" s="1">
        <f t="shared" si="84"/>
        <v>0.53790051693664709</v>
      </c>
      <c r="AW656" s="1">
        <f t="shared" si="85"/>
        <v>0.35691539924052301</v>
      </c>
    </row>
    <row r="657" spans="1:49" x14ac:dyDescent="0.2">
      <c r="A657">
        <v>655</v>
      </c>
      <c r="B657" t="s">
        <v>1133</v>
      </c>
      <c r="C657" t="s">
        <v>1132</v>
      </c>
      <c r="F657" t="s">
        <v>1131</v>
      </c>
      <c r="G657" t="s">
        <v>15</v>
      </c>
      <c r="H657" t="s">
        <v>14</v>
      </c>
      <c r="I657" t="s">
        <v>1130</v>
      </c>
      <c r="J657">
        <v>60000221</v>
      </c>
      <c r="K657" t="s">
        <v>1129</v>
      </c>
      <c r="L657" t="s">
        <v>1128</v>
      </c>
      <c r="M657" t="s">
        <v>10</v>
      </c>
      <c r="N657">
        <v>2</v>
      </c>
      <c r="O657" t="s">
        <v>1127</v>
      </c>
      <c r="P657" t="s">
        <v>1126</v>
      </c>
      <c r="Q657" t="s">
        <v>1125</v>
      </c>
      <c r="R657" s="7">
        <v>30317</v>
      </c>
      <c r="S657" s="8">
        <f t="shared" si="80"/>
        <v>1983</v>
      </c>
      <c r="T657" s="8">
        <v>1983</v>
      </c>
      <c r="U657" s="8">
        <f t="shared" si="81"/>
        <v>39</v>
      </c>
      <c r="V657" s="7">
        <v>30317</v>
      </c>
      <c r="W657" t="s">
        <v>618</v>
      </c>
      <c r="X657" s="2">
        <v>1.6519999999999999</v>
      </c>
      <c r="Y657" s="6">
        <f t="shared" si="86"/>
        <v>4.409919649769093E-2</v>
      </c>
      <c r="AA657" t="s">
        <v>617</v>
      </c>
      <c r="AB657">
        <v>17337</v>
      </c>
      <c r="AC657">
        <v>15582221</v>
      </c>
      <c r="AD657" t="s">
        <v>5</v>
      </c>
      <c r="AE657">
        <v>31</v>
      </c>
      <c r="AF657">
        <v>1</v>
      </c>
      <c r="AH657" t="s">
        <v>1124</v>
      </c>
      <c r="AI657" t="s">
        <v>1123</v>
      </c>
      <c r="AK657" t="s">
        <v>1122</v>
      </c>
      <c r="AL657">
        <v>23</v>
      </c>
      <c r="AM657" s="5">
        <f t="shared" si="82"/>
        <v>0.58974358974358976</v>
      </c>
      <c r="AN657" s="4">
        <f t="shared" si="87"/>
        <v>8.9321255546170354E-4</v>
      </c>
      <c r="AO657" s="3"/>
      <c r="AP657">
        <v>0</v>
      </c>
      <c r="AR657" t="s">
        <v>1</v>
      </c>
      <c r="AT657" s="2" t="s">
        <v>0</v>
      </c>
      <c r="AU657" s="1">
        <f t="shared" si="83"/>
        <v>3.1137401315022162</v>
      </c>
      <c r="AV657" s="1">
        <f t="shared" si="84"/>
        <v>2.2496204526576316</v>
      </c>
      <c r="AW657" s="1">
        <f t="shared" si="85"/>
        <v>1.3855007738130471</v>
      </c>
    </row>
    <row r="658" spans="1:49" x14ac:dyDescent="0.2">
      <c r="A658">
        <v>656</v>
      </c>
      <c r="B658" t="s">
        <v>1121</v>
      </c>
      <c r="F658" t="s">
        <v>1120</v>
      </c>
      <c r="G658" t="s">
        <v>15</v>
      </c>
      <c r="H658" t="s">
        <v>14</v>
      </c>
      <c r="I658" t="s">
        <v>1119</v>
      </c>
      <c r="N658">
        <v>1</v>
      </c>
      <c r="O658" t="s">
        <v>1118</v>
      </c>
      <c r="P658">
        <v>6507546199</v>
      </c>
      <c r="R658" s="7">
        <v>30317</v>
      </c>
      <c r="S658" s="8">
        <f t="shared" si="80"/>
        <v>1983</v>
      </c>
      <c r="T658" s="8">
        <v>1983</v>
      </c>
      <c r="U658" s="8">
        <f t="shared" si="81"/>
        <v>39</v>
      </c>
      <c r="V658" s="7" t="s">
        <v>537</v>
      </c>
      <c r="W658" t="s">
        <v>1117</v>
      </c>
      <c r="X658" s="2" t="s">
        <v>0</v>
      </c>
      <c r="Y658" s="6" t="e">
        <f t="shared" si="86"/>
        <v>#VALUE!</v>
      </c>
      <c r="AA658" t="s">
        <v>1116</v>
      </c>
      <c r="AB658">
        <v>33832</v>
      </c>
      <c r="AD658" t="s">
        <v>5</v>
      </c>
      <c r="AE658">
        <v>17</v>
      </c>
      <c r="AF658">
        <v>1</v>
      </c>
      <c r="AH658" t="s">
        <v>1115</v>
      </c>
      <c r="AI658" t="s">
        <v>1114</v>
      </c>
      <c r="AK658" t="s">
        <v>1113</v>
      </c>
      <c r="AL658">
        <v>0</v>
      </c>
      <c r="AM658" s="5">
        <f t="shared" si="82"/>
        <v>0</v>
      </c>
      <c r="AN658" s="4">
        <f t="shared" si="87"/>
        <v>0</v>
      </c>
      <c r="AO658" s="3"/>
      <c r="AP658">
        <v>0</v>
      </c>
      <c r="AR658" t="s">
        <v>1</v>
      </c>
      <c r="AT658" s="2" t="s">
        <v>0</v>
      </c>
      <c r="AU658" s="1" t="e">
        <f t="shared" si="83"/>
        <v>#VALUE!</v>
      </c>
      <c r="AV658" s="1" t="e">
        <f t="shared" si="84"/>
        <v>#VALUE!</v>
      </c>
      <c r="AW658" s="1" t="e">
        <f t="shared" si="85"/>
        <v>#VALUE!</v>
      </c>
    </row>
    <row r="659" spans="1:49" x14ac:dyDescent="0.2">
      <c r="A659">
        <v>657</v>
      </c>
      <c r="B659" t="s">
        <v>1112</v>
      </c>
      <c r="C659" t="s">
        <v>1111</v>
      </c>
      <c r="F659" t="s">
        <v>1110</v>
      </c>
      <c r="G659" t="s">
        <v>15</v>
      </c>
      <c r="H659" t="s">
        <v>14</v>
      </c>
      <c r="I659" t="s">
        <v>1109</v>
      </c>
      <c r="J659">
        <v>60033316</v>
      </c>
      <c r="K659" t="s">
        <v>108</v>
      </c>
      <c r="L659" t="s">
        <v>107</v>
      </c>
      <c r="M659" t="s">
        <v>106</v>
      </c>
      <c r="N659">
        <v>1</v>
      </c>
      <c r="O659" t="s">
        <v>1108</v>
      </c>
      <c r="P659">
        <v>7005517580</v>
      </c>
      <c r="Q659">
        <v>60033316</v>
      </c>
      <c r="R659" s="7">
        <v>30317</v>
      </c>
      <c r="S659" s="8">
        <f t="shared" si="80"/>
        <v>1983</v>
      </c>
      <c r="T659" s="8">
        <v>1983</v>
      </c>
      <c r="U659" s="8">
        <f t="shared" si="81"/>
        <v>39</v>
      </c>
      <c r="V659" s="7">
        <v>30317</v>
      </c>
      <c r="W659" t="s">
        <v>618</v>
      </c>
      <c r="X659" s="2">
        <v>1.6519999999999999</v>
      </c>
      <c r="Y659" s="6">
        <f t="shared" si="86"/>
        <v>4.409919649769093E-2</v>
      </c>
      <c r="AA659" t="s">
        <v>617</v>
      </c>
      <c r="AB659">
        <v>17337</v>
      </c>
      <c r="AC659">
        <v>15582221</v>
      </c>
      <c r="AD659" t="s">
        <v>5</v>
      </c>
      <c r="AE659">
        <v>31</v>
      </c>
      <c r="AF659">
        <v>1</v>
      </c>
      <c r="AH659" t="s">
        <v>1107</v>
      </c>
      <c r="AI659" t="s">
        <v>1106</v>
      </c>
      <c r="AK659" t="s">
        <v>1105</v>
      </c>
      <c r="AL659">
        <v>34</v>
      </c>
      <c r="AM659" s="5">
        <f t="shared" si="82"/>
        <v>0.87179487179487181</v>
      </c>
      <c r="AN659" s="4">
        <f t="shared" si="87"/>
        <v>1.3204011689433878E-3</v>
      </c>
      <c r="AO659" s="3"/>
      <c r="AP659">
        <v>0</v>
      </c>
      <c r="AR659" t="s">
        <v>1</v>
      </c>
      <c r="AT659" s="2" t="s">
        <v>0</v>
      </c>
      <c r="AU659" s="1">
        <f t="shared" si="83"/>
        <v>3.1265557899066669</v>
      </c>
      <c r="AV659" s="1">
        <f t="shared" si="84"/>
        <v>2.2709798833317159</v>
      </c>
      <c r="AW659" s="1">
        <f t="shared" si="85"/>
        <v>1.415403976756765</v>
      </c>
    </row>
    <row r="660" spans="1:49" x14ac:dyDescent="0.2">
      <c r="A660">
        <v>658</v>
      </c>
      <c r="B660" t="s">
        <v>1104</v>
      </c>
      <c r="C660" t="s">
        <v>1103</v>
      </c>
      <c r="F660" t="s">
        <v>1102</v>
      </c>
      <c r="G660" t="s">
        <v>15</v>
      </c>
      <c r="H660" t="s">
        <v>14</v>
      </c>
      <c r="I660" t="s">
        <v>1101</v>
      </c>
      <c r="N660">
        <v>1</v>
      </c>
      <c r="O660" t="s">
        <v>1100</v>
      </c>
      <c r="P660">
        <v>6603362226</v>
      </c>
      <c r="R660" s="7">
        <v>30317</v>
      </c>
      <c r="S660" s="8">
        <f t="shared" si="80"/>
        <v>1983</v>
      </c>
      <c r="T660" s="8">
        <v>1983</v>
      </c>
      <c r="U660" s="8">
        <f t="shared" si="81"/>
        <v>39</v>
      </c>
      <c r="V660" s="7">
        <v>30317</v>
      </c>
      <c r="W660" t="s">
        <v>1099</v>
      </c>
      <c r="X660" s="2">
        <v>0.32300000000000001</v>
      </c>
      <c r="Y660" s="6">
        <f t="shared" si="86"/>
        <v>8.6223005258802502E-3</v>
      </c>
      <c r="AA660">
        <v>58580</v>
      </c>
      <c r="AB660">
        <v>36492</v>
      </c>
      <c r="AC660">
        <v>15387305</v>
      </c>
      <c r="AD660" t="s">
        <v>5</v>
      </c>
      <c r="AE660">
        <v>62</v>
      </c>
      <c r="AF660">
        <v>1</v>
      </c>
      <c r="AH660" t="s">
        <v>1098</v>
      </c>
      <c r="AI660" t="s">
        <v>1097</v>
      </c>
      <c r="AK660" t="s">
        <v>1096</v>
      </c>
      <c r="AL660">
        <v>0</v>
      </c>
      <c r="AM660" s="5">
        <f t="shared" si="82"/>
        <v>0</v>
      </c>
      <c r="AN660" s="4">
        <f t="shared" si="87"/>
        <v>0</v>
      </c>
      <c r="AO660" s="3"/>
      <c r="AP660">
        <v>0</v>
      </c>
      <c r="AR660" t="s">
        <v>1</v>
      </c>
      <c r="AT660" s="2" t="s">
        <v>0</v>
      </c>
      <c r="AU660" s="1">
        <f t="shared" si="83"/>
        <v>0.60356103681161755</v>
      </c>
      <c r="AV660" s="1">
        <f t="shared" si="84"/>
        <v>0.43111502629401249</v>
      </c>
      <c r="AW660" s="1">
        <f t="shared" si="85"/>
        <v>0.2586690157764075</v>
      </c>
    </row>
    <row r="661" spans="1:49" x14ac:dyDescent="0.2">
      <c r="A661">
        <v>659</v>
      </c>
      <c r="B661" t="s">
        <v>1095</v>
      </c>
      <c r="C661" t="s">
        <v>1094</v>
      </c>
      <c r="F661" t="s">
        <v>1093</v>
      </c>
      <c r="G661" t="s">
        <v>15</v>
      </c>
      <c r="H661" t="s">
        <v>14</v>
      </c>
      <c r="I661" t="s">
        <v>1092</v>
      </c>
      <c r="N661">
        <v>1</v>
      </c>
      <c r="O661" t="s">
        <v>1091</v>
      </c>
      <c r="P661">
        <v>55650323300</v>
      </c>
      <c r="R661" s="7">
        <v>30317</v>
      </c>
      <c r="S661" s="8">
        <f t="shared" si="80"/>
        <v>1983</v>
      </c>
      <c r="T661" s="8">
        <v>1983</v>
      </c>
      <c r="U661" s="8">
        <f t="shared" si="81"/>
        <v>39</v>
      </c>
      <c r="V661" s="7" t="s">
        <v>1090</v>
      </c>
      <c r="W661" t="s">
        <v>508</v>
      </c>
      <c r="X661" s="2">
        <v>0.371</v>
      </c>
      <c r="Y661" s="6">
        <f t="shared" si="86"/>
        <v>9.9036331117695747E-3</v>
      </c>
      <c r="AA661">
        <v>486604</v>
      </c>
      <c r="AB661">
        <v>28580</v>
      </c>
      <c r="AC661" t="s">
        <v>507</v>
      </c>
      <c r="AD661" t="s">
        <v>5</v>
      </c>
      <c r="AE661">
        <v>18</v>
      </c>
      <c r="AF661">
        <v>1</v>
      </c>
      <c r="AH661" t="s">
        <v>1089</v>
      </c>
      <c r="AI661" t="s">
        <v>1088</v>
      </c>
      <c r="AK661" t="s">
        <v>1087</v>
      </c>
      <c r="AL661">
        <v>31</v>
      </c>
      <c r="AM661" s="5">
        <f t="shared" si="82"/>
        <v>0.79487179487179482</v>
      </c>
      <c r="AN661" s="4">
        <f t="shared" si="87"/>
        <v>1.203895183448383E-3</v>
      </c>
      <c r="AO661" s="3"/>
      <c r="AP661">
        <v>0</v>
      </c>
      <c r="AR661" t="s">
        <v>1</v>
      </c>
      <c r="AT661" s="2">
        <v>1.431</v>
      </c>
      <c r="AU661" s="1">
        <f t="shared" si="83"/>
        <v>0.72937117332732171</v>
      </c>
      <c r="AV661" s="1">
        <f t="shared" si="84"/>
        <v>0.55537641476089794</v>
      </c>
      <c r="AW661" s="1">
        <f t="shared" si="85"/>
        <v>0.38138165619447406</v>
      </c>
    </row>
    <row r="662" spans="1:49" x14ac:dyDescent="0.2">
      <c r="A662">
        <v>660</v>
      </c>
      <c r="B662" t="s">
        <v>1086</v>
      </c>
      <c r="C662" t="s">
        <v>1085</v>
      </c>
      <c r="F662" t="s">
        <v>1084</v>
      </c>
      <c r="G662" t="s">
        <v>15</v>
      </c>
      <c r="H662" t="s">
        <v>14</v>
      </c>
      <c r="I662" t="s">
        <v>1083</v>
      </c>
      <c r="J662">
        <v>60092258</v>
      </c>
      <c r="K662" t="s">
        <v>1082</v>
      </c>
      <c r="L662" t="s">
        <v>1081</v>
      </c>
      <c r="M662" t="s">
        <v>55</v>
      </c>
      <c r="N662">
        <v>2</v>
      </c>
      <c r="O662" t="s">
        <v>1080</v>
      </c>
      <c r="P662" t="s">
        <v>1079</v>
      </c>
      <c r="Q662" t="s">
        <v>1078</v>
      </c>
      <c r="R662" s="7">
        <v>30317</v>
      </c>
      <c r="S662" s="8">
        <f t="shared" si="80"/>
        <v>1983</v>
      </c>
      <c r="T662" s="8">
        <v>1983</v>
      </c>
      <c r="U662" s="8">
        <f t="shared" si="81"/>
        <v>39</v>
      </c>
      <c r="V662" s="7">
        <v>30317</v>
      </c>
      <c r="W662" t="s">
        <v>618</v>
      </c>
      <c r="X662" s="2">
        <v>1.6519999999999999</v>
      </c>
      <c r="Y662" s="6">
        <f t="shared" si="86"/>
        <v>4.409919649769093E-2</v>
      </c>
      <c r="AA662" t="s">
        <v>617</v>
      </c>
      <c r="AB662">
        <v>17337</v>
      </c>
      <c r="AC662">
        <v>15582221</v>
      </c>
      <c r="AD662" t="s">
        <v>5</v>
      </c>
      <c r="AE662">
        <v>31</v>
      </c>
      <c r="AF662">
        <v>1</v>
      </c>
      <c r="AH662" t="s">
        <v>1077</v>
      </c>
      <c r="AI662" t="s">
        <v>1076</v>
      </c>
      <c r="AK662" t="s">
        <v>1075</v>
      </c>
      <c r="AL662">
        <v>12</v>
      </c>
      <c r="AM662" s="5">
        <f t="shared" si="82"/>
        <v>0.30769230769230771</v>
      </c>
      <c r="AN662" s="4">
        <f t="shared" si="87"/>
        <v>4.6602394198001925E-4</v>
      </c>
      <c r="AO662" s="3"/>
      <c r="AP662">
        <v>0</v>
      </c>
      <c r="AR662" t="s">
        <v>1</v>
      </c>
      <c r="AT662" s="2" t="s">
        <v>0</v>
      </c>
      <c r="AU662" s="1">
        <f t="shared" si="83"/>
        <v>3.1009244730977654</v>
      </c>
      <c r="AV662" s="1">
        <f t="shared" si="84"/>
        <v>2.2282610219835473</v>
      </c>
      <c r="AW662" s="1">
        <f t="shared" si="85"/>
        <v>1.3555975708693291</v>
      </c>
    </row>
    <row r="663" spans="1:49" x14ac:dyDescent="0.2">
      <c r="A663">
        <v>661</v>
      </c>
      <c r="B663" t="s">
        <v>1074</v>
      </c>
      <c r="C663" t="s">
        <v>1073</v>
      </c>
      <c r="F663" t="s">
        <v>1072</v>
      </c>
      <c r="G663" t="s">
        <v>15</v>
      </c>
      <c r="H663" t="s">
        <v>14</v>
      </c>
      <c r="I663" t="s">
        <v>1071</v>
      </c>
      <c r="J663">
        <v>60003500</v>
      </c>
      <c r="K663" t="s">
        <v>1070</v>
      </c>
      <c r="L663" t="s">
        <v>1069</v>
      </c>
      <c r="M663" t="s">
        <v>10</v>
      </c>
      <c r="N663">
        <v>2</v>
      </c>
      <c r="O663" t="s">
        <v>1068</v>
      </c>
      <c r="P663" t="s">
        <v>1067</v>
      </c>
      <c r="Q663" t="s">
        <v>1066</v>
      </c>
      <c r="R663" s="7">
        <v>30317</v>
      </c>
      <c r="S663" s="8">
        <f t="shared" si="80"/>
        <v>1983</v>
      </c>
      <c r="T663" s="8">
        <v>1983</v>
      </c>
      <c r="U663" s="8">
        <f t="shared" si="81"/>
        <v>39</v>
      </c>
      <c r="V663" s="7">
        <v>30317</v>
      </c>
      <c r="W663" t="s">
        <v>618</v>
      </c>
      <c r="X663" s="2">
        <v>1.6519999999999999</v>
      </c>
      <c r="Y663" s="6">
        <f t="shared" si="86"/>
        <v>4.409919649769093E-2</v>
      </c>
      <c r="AA663" t="s">
        <v>617</v>
      </c>
      <c r="AB663">
        <v>17337</v>
      </c>
      <c r="AC663">
        <v>15582221</v>
      </c>
      <c r="AD663" t="s">
        <v>5</v>
      </c>
      <c r="AE663">
        <v>31</v>
      </c>
      <c r="AF663">
        <v>1</v>
      </c>
      <c r="AH663" t="s">
        <v>1065</v>
      </c>
      <c r="AI663" t="s">
        <v>1064</v>
      </c>
      <c r="AK663" t="s">
        <v>1063</v>
      </c>
      <c r="AL663">
        <v>19</v>
      </c>
      <c r="AM663" s="5">
        <f t="shared" si="82"/>
        <v>0.48717948717948717</v>
      </c>
      <c r="AN663" s="4">
        <f t="shared" si="87"/>
        <v>7.3787124146836372E-4</v>
      </c>
      <c r="AO663" s="3"/>
      <c r="AP663">
        <v>0</v>
      </c>
      <c r="AR663" t="s">
        <v>1</v>
      </c>
      <c r="AT663" s="2" t="s">
        <v>0</v>
      </c>
      <c r="AU663" s="1">
        <f t="shared" si="83"/>
        <v>3.1090798920824159</v>
      </c>
      <c r="AV663" s="1">
        <f t="shared" si="84"/>
        <v>2.2418533869579651</v>
      </c>
      <c r="AW663" s="1">
        <f t="shared" si="85"/>
        <v>1.3746268818335132</v>
      </c>
    </row>
    <row r="664" spans="1:49" x14ac:dyDescent="0.2">
      <c r="A664">
        <v>662</v>
      </c>
      <c r="B664" t="s">
        <v>1062</v>
      </c>
      <c r="C664" t="s">
        <v>1061</v>
      </c>
      <c r="F664" t="s">
        <v>1060</v>
      </c>
      <c r="G664" t="s">
        <v>15</v>
      </c>
      <c r="H664" t="s">
        <v>14</v>
      </c>
      <c r="I664" t="s">
        <v>760</v>
      </c>
      <c r="J664">
        <v>60001247</v>
      </c>
      <c r="K664" t="s">
        <v>759</v>
      </c>
      <c r="M664" t="s">
        <v>10</v>
      </c>
      <c r="N664">
        <v>1</v>
      </c>
      <c r="O664" t="s">
        <v>758</v>
      </c>
      <c r="P664">
        <v>7004004036</v>
      </c>
      <c r="Q664">
        <v>60001247</v>
      </c>
      <c r="R664" s="7">
        <v>30317</v>
      </c>
      <c r="S664" s="8">
        <f t="shared" si="80"/>
        <v>1983</v>
      </c>
      <c r="T664" s="8">
        <v>1983</v>
      </c>
      <c r="U664" s="8">
        <f t="shared" si="81"/>
        <v>39</v>
      </c>
      <c r="V664" s="7">
        <v>30317</v>
      </c>
      <c r="W664" t="s">
        <v>618</v>
      </c>
      <c r="X664" s="2">
        <v>1.6519999999999999</v>
      </c>
      <c r="Y664" s="6">
        <f t="shared" si="86"/>
        <v>4.409919649769093E-2</v>
      </c>
      <c r="AA664" t="s">
        <v>617</v>
      </c>
      <c r="AB664">
        <v>17337</v>
      </c>
      <c r="AC664">
        <v>15582221</v>
      </c>
      <c r="AD664" t="s">
        <v>5</v>
      </c>
      <c r="AE664">
        <v>31</v>
      </c>
      <c r="AF664">
        <v>1</v>
      </c>
      <c r="AH664" t="s">
        <v>1059</v>
      </c>
      <c r="AI664" t="s">
        <v>1058</v>
      </c>
      <c r="AK664" t="s">
        <v>1057</v>
      </c>
      <c r="AL664">
        <v>137</v>
      </c>
      <c r="AM664" s="5">
        <f t="shared" si="82"/>
        <v>3.5128205128205128</v>
      </c>
      <c r="AN664" s="4">
        <f t="shared" si="87"/>
        <v>5.3204400042718859E-3</v>
      </c>
      <c r="AO664" s="3"/>
      <c r="AP664">
        <v>0</v>
      </c>
      <c r="AR664" t="s">
        <v>1</v>
      </c>
      <c r="AT664" s="2" t="s">
        <v>0</v>
      </c>
      <c r="AU664" s="1">
        <f t="shared" si="83"/>
        <v>3.2465569549665214</v>
      </c>
      <c r="AV664" s="1">
        <f t="shared" si="84"/>
        <v>2.4709818250981406</v>
      </c>
      <c r="AW664" s="1">
        <f t="shared" si="85"/>
        <v>1.69540669522976</v>
      </c>
    </row>
    <row r="665" spans="1:49" x14ac:dyDescent="0.2">
      <c r="A665">
        <v>663</v>
      </c>
      <c r="B665" t="s">
        <v>1056</v>
      </c>
      <c r="C665" t="s">
        <v>1055</v>
      </c>
      <c r="F665" t="s">
        <v>1054</v>
      </c>
      <c r="G665" t="s">
        <v>15</v>
      </c>
      <c r="H665" t="s">
        <v>14</v>
      </c>
      <c r="I665" t="s">
        <v>1053</v>
      </c>
      <c r="J665">
        <v>60017563</v>
      </c>
      <c r="K665" t="s">
        <v>1052</v>
      </c>
      <c r="L665" t="s">
        <v>1051</v>
      </c>
      <c r="M665" t="s">
        <v>1050</v>
      </c>
      <c r="N665">
        <v>3</v>
      </c>
      <c r="O665" t="s">
        <v>1049</v>
      </c>
      <c r="P665" t="s">
        <v>1048</v>
      </c>
      <c r="Q665" t="s">
        <v>1047</v>
      </c>
      <c r="R665" s="7">
        <v>30317</v>
      </c>
      <c r="S665" s="8">
        <f t="shared" si="80"/>
        <v>1983</v>
      </c>
      <c r="T665" s="8">
        <v>1983</v>
      </c>
      <c r="U665" s="8">
        <f t="shared" si="81"/>
        <v>39</v>
      </c>
      <c r="V665" s="7">
        <v>30317</v>
      </c>
      <c r="W665" t="s">
        <v>618</v>
      </c>
      <c r="X665" s="2">
        <v>1.6519999999999999</v>
      </c>
      <c r="Y665" s="6">
        <f t="shared" si="86"/>
        <v>4.409919649769093E-2</v>
      </c>
      <c r="AA665" t="s">
        <v>617</v>
      </c>
      <c r="AB665">
        <v>17337</v>
      </c>
      <c r="AC665">
        <v>15582221</v>
      </c>
      <c r="AD665" t="s">
        <v>5</v>
      </c>
      <c r="AE665">
        <v>31</v>
      </c>
      <c r="AF665">
        <v>1</v>
      </c>
      <c r="AH665" t="s">
        <v>1046</v>
      </c>
      <c r="AI665" t="s">
        <v>1045</v>
      </c>
      <c r="AK665" t="s">
        <v>1044</v>
      </c>
      <c r="AL665">
        <v>14</v>
      </c>
      <c r="AM665" s="5">
        <f t="shared" si="82"/>
        <v>0.35897435897435898</v>
      </c>
      <c r="AN665" s="4">
        <f t="shared" si="87"/>
        <v>5.4369459897668905E-4</v>
      </c>
      <c r="AO665" s="3"/>
      <c r="AP665">
        <v>0</v>
      </c>
      <c r="AR665" t="s">
        <v>1</v>
      </c>
      <c r="AT665" s="2" t="s">
        <v>0</v>
      </c>
      <c r="AU665" s="1">
        <f t="shared" si="83"/>
        <v>3.1032545928076658</v>
      </c>
      <c r="AV665" s="1">
        <f t="shared" si="84"/>
        <v>2.2321445548333809</v>
      </c>
      <c r="AW665" s="1">
        <f t="shared" si="85"/>
        <v>1.361034516859096</v>
      </c>
    </row>
    <row r="666" spans="1:49" x14ac:dyDescent="0.2">
      <c r="A666">
        <v>664</v>
      </c>
      <c r="B666" t="s">
        <v>1043</v>
      </c>
      <c r="C666" t="s">
        <v>1042</v>
      </c>
      <c r="D666">
        <v>303264783900230</v>
      </c>
      <c r="E666">
        <v>6871386</v>
      </c>
      <c r="F666" t="s">
        <v>1041</v>
      </c>
      <c r="G666" t="s">
        <v>15</v>
      </c>
      <c r="H666" t="s">
        <v>14</v>
      </c>
      <c r="I666" t="s">
        <v>1040</v>
      </c>
      <c r="J666">
        <v>60015574</v>
      </c>
      <c r="K666" t="s">
        <v>1039</v>
      </c>
      <c r="L666" t="s">
        <v>1038</v>
      </c>
      <c r="M666" t="s">
        <v>10</v>
      </c>
      <c r="N666">
        <v>2</v>
      </c>
      <c r="O666" t="s">
        <v>1037</v>
      </c>
      <c r="P666" t="s">
        <v>1036</v>
      </c>
      <c r="Q666" t="s">
        <v>1035</v>
      </c>
      <c r="R666" s="7">
        <v>30317</v>
      </c>
      <c r="S666" s="8">
        <f t="shared" si="80"/>
        <v>1983</v>
      </c>
      <c r="T666" s="8">
        <v>1983</v>
      </c>
      <c r="U666" s="8">
        <f t="shared" si="81"/>
        <v>39</v>
      </c>
      <c r="V666" s="7">
        <v>1983</v>
      </c>
      <c r="W666" t="s">
        <v>1034</v>
      </c>
      <c r="X666" s="2">
        <v>0.48199999999999998</v>
      </c>
      <c r="Y666" s="6">
        <f t="shared" si="86"/>
        <v>1.2866714716638637E-2</v>
      </c>
      <c r="AA666">
        <v>3032647</v>
      </c>
      <c r="AB666">
        <v>13794</v>
      </c>
      <c r="AD666" t="s">
        <v>5</v>
      </c>
      <c r="AE666">
        <v>16</v>
      </c>
      <c r="AF666">
        <v>1</v>
      </c>
      <c r="AH666" t="s">
        <v>1033</v>
      </c>
      <c r="AI666" t="s">
        <v>1032</v>
      </c>
      <c r="AK666" t="s">
        <v>1031</v>
      </c>
      <c r="AL666">
        <v>13</v>
      </c>
      <c r="AM666" s="5">
        <f t="shared" si="82"/>
        <v>0.33333333333333331</v>
      </c>
      <c r="AN666" s="4">
        <f t="shared" si="87"/>
        <v>5.048592704783541E-4</v>
      </c>
      <c r="AO666" s="3"/>
      <c r="AP666">
        <v>0</v>
      </c>
      <c r="AR666" t="s">
        <v>1</v>
      </c>
      <c r="AT666" s="2">
        <v>1.9730000000000001</v>
      </c>
      <c r="AU666" s="1">
        <f t="shared" si="83"/>
        <v>0.91581580827905518</v>
      </c>
      <c r="AV666" s="1">
        <f t="shared" si="84"/>
        <v>0.66857869935584957</v>
      </c>
      <c r="AW666" s="1">
        <f t="shared" si="85"/>
        <v>0.42134159043264385</v>
      </c>
    </row>
    <row r="667" spans="1:49" x14ac:dyDescent="0.2">
      <c r="A667">
        <v>665</v>
      </c>
      <c r="B667" t="s">
        <v>1030</v>
      </c>
      <c r="C667" t="s">
        <v>1029</v>
      </c>
      <c r="E667">
        <v>6857257</v>
      </c>
      <c r="F667" t="s">
        <v>1028</v>
      </c>
      <c r="G667" t="s">
        <v>15</v>
      </c>
      <c r="H667" t="s">
        <v>14</v>
      </c>
      <c r="I667" t="s">
        <v>1027</v>
      </c>
      <c r="J667">
        <v>60001117</v>
      </c>
      <c r="K667" t="s">
        <v>1026</v>
      </c>
      <c r="L667" t="s">
        <v>1025</v>
      </c>
      <c r="M667" t="s">
        <v>10</v>
      </c>
      <c r="N667">
        <v>4</v>
      </c>
      <c r="O667" t="s">
        <v>1024</v>
      </c>
      <c r="P667" t="s">
        <v>1023</v>
      </c>
      <c r="Q667" t="s">
        <v>1022</v>
      </c>
      <c r="R667" s="7">
        <v>30317</v>
      </c>
      <c r="S667" s="8">
        <f t="shared" si="80"/>
        <v>1983</v>
      </c>
      <c r="T667" s="8">
        <v>1983</v>
      </c>
      <c r="U667" s="8">
        <f t="shared" si="81"/>
        <v>39</v>
      </c>
      <c r="V667" s="7">
        <v>1983</v>
      </c>
      <c r="W667" t="s">
        <v>130</v>
      </c>
      <c r="X667" s="2">
        <v>12.555999999999999</v>
      </c>
      <c r="Y667" s="6">
        <f t="shared" si="86"/>
        <v>0.33517524892554923</v>
      </c>
      <c r="AA667">
        <v>368075</v>
      </c>
      <c r="AB667">
        <v>23571</v>
      </c>
      <c r="AD667" t="s">
        <v>5</v>
      </c>
      <c r="AE667">
        <v>220</v>
      </c>
      <c r="AF667">
        <v>4604</v>
      </c>
      <c r="AH667" t="s">
        <v>1021</v>
      </c>
      <c r="AI667" t="s">
        <v>1020</v>
      </c>
      <c r="AK667" t="s">
        <v>1019</v>
      </c>
      <c r="AL667">
        <v>14</v>
      </c>
      <c r="AM667" s="5">
        <f t="shared" si="82"/>
        <v>0.35897435897435898</v>
      </c>
      <c r="AN667" s="4">
        <f t="shared" si="87"/>
        <v>5.4369459897668905E-4</v>
      </c>
      <c r="AO667" s="3"/>
      <c r="AP667">
        <v>0</v>
      </c>
      <c r="AQ667" t="s">
        <v>1018</v>
      </c>
      <c r="AR667" t="s">
        <v>1017</v>
      </c>
      <c r="AS667" t="s">
        <v>1016</v>
      </c>
      <c r="AT667" s="2">
        <v>47.728000000000002</v>
      </c>
      <c r="AU667" s="1">
        <f t="shared" si="83"/>
        <v>23.478578262757743</v>
      </c>
      <c r="AV667" s="1">
        <f t="shared" si="84"/>
        <v>16.785947176226294</v>
      </c>
      <c r="AW667" s="1">
        <f t="shared" si="85"/>
        <v>10.093316089694843</v>
      </c>
    </row>
    <row r="668" spans="1:49" x14ac:dyDescent="0.2">
      <c r="A668">
        <v>666</v>
      </c>
      <c r="B668" t="s">
        <v>1015</v>
      </c>
      <c r="C668" t="s">
        <v>1014</v>
      </c>
      <c r="F668" t="s">
        <v>1013</v>
      </c>
      <c r="G668" t="s">
        <v>15</v>
      </c>
      <c r="H668" t="s">
        <v>14</v>
      </c>
      <c r="I668" t="s">
        <v>1012</v>
      </c>
      <c r="J668">
        <v>60022148</v>
      </c>
      <c r="K668" t="s">
        <v>1011</v>
      </c>
      <c r="L668" t="s">
        <v>1010</v>
      </c>
      <c r="M668" t="s">
        <v>271</v>
      </c>
      <c r="N668">
        <v>2</v>
      </c>
      <c r="O668" t="s">
        <v>1009</v>
      </c>
      <c r="P668" t="s">
        <v>1008</v>
      </c>
      <c r="Q668" t="s">
        <v>1007</v>
      </c>
      <c r="R668" s="7">
        <v>30317</v>
      </c>
      <c r="S668" s="8">
        <f t="shared" si="80"/>
        <v>1983</v>
      </c>
      <c r="T668" s="8">
        <v>1983</v>
      </c>
      <c r="U668" s="8">
        <f t="shared" si="81"/>
        <v>39</v>
      </c>
      <c r="V668" s="7">
        <v>30317</v>
      </c>
      <c r="W668" t="s">
        <v>1006</v>
      </c>
      <c r="X668" s="2" t="s">
        <v>0</v>
      </c>
      <c r="Y668" s="6" t="e">
        <f t="shared" si="86"/>
        <v>#VALUE!</v>
      </c>
      <c r="AA668">
        <v>337722</v>
      </c>
      <c r="AB668">
        <v>35312</v>
      </c>
      <c r="AD668" t="s">
        <v>5</v>
      </c>
      <c r="AE668">
        <v>53</v>
      </c>
      <c r="AF668">
        <v>1</v>
      </c>
      <c r="AH668" t="s">
        <v>1005</v>
      </c>
      <c r="AI668" t="s">
        <v>1004</v>
      </c>
      <c r="AJ668" t="s">
        <v>1003</v>
      </c>
      <c r="AK668" t="s">
        <v>1002</v>
      </c>
      <c r="AL668">
        <v>10</v>
      </c>
      <c r="AM668" s="5">
        <f t="shared" si="82"/>
        <v>0.25641025641025639</v>
      </c>
      <c r="AN668" s="4">
        <f t="shared" si="87"/>
        <v>3.8835328498334934E-4</v>
      </c>
      <c r="AO668" s="3"/>
      <c r="AP668">
        <v>0</v>
      </c>
      <c r="AR668" t="s">
        <v>1</v>
      </c>
      <c r="AT668" s="2" t="s">
        <v>0</v>
      </c>
      <c r="AU668" s="1" t="e">
        <f t="shared" si="83"/>
        <v>#VALUE!</v>
      </c>
      <c r="AV668" s="1" t="e">
        <f t="shared" si="84"/>
        <v>#VALUE!</v>
      </c>
      <c r="AW668" s="1" t="e">
        <f t="shared" si="85"/>
        <v>#VALUE!</v>
      </c>
    </row>
    <row r="669" spans="1:49" x14ac:dyDescent="0.2">
      <c r="A669">
        <v>667</v>
      </c>
      <c r="B669" t="s">
        <v>1001</v>
      </c>
      <c r="C669" t="s">
        <v>1000</v>
      </c>
      <c r="F669" t="s">
        <v>999</v>
      </c>
      <c r="G669" t="s">
        <v>15</v>
      </c>
      <c r="H669" t="s">
        <v>14</v>
      </c>
      <c r="I669" t="s">
        <v>998</v>
      </c>
      <c r="J669">
        <v>60019647</v>
      </c>
      <c r="K669" t="s">
        <v>997</v>
      </c>
      <c r="L669" t="s">
        <v>996</v>
      </c>
      <c r="M669" t="s">
        <v>10</v>
      </c>
      <c r="N669">
        <v>1</v>
      </c>
      <c r="O669" t="s">
        <v>995</v>
      </c>
      <c r="P669">
        <v>57203558701</v>
      </c>
      <c r="Q669">
        <v>60019647</v>
      </c>
      <c r="R669" s="7">
        <v>30317</v>
      </c>
      <c r="S669" s="8">
        <f t="shared" si="80"/>
        <v>1983</v>
      </c>
      <c r="T669" s="8">
        <v>1983</v>
      </c>
      <c r="U669" s="8">
        <f t="shared" si="81"/>
        <v>39</v>
      </c>
      <c r="V669" s="7">
        <v>30317</v>
      </c>
      <c r="W669" t="s">
        <v>618</v>
      </c>
      <c r="X669" s="2">
        <v>1.6519999999999999</v>
      </c>
      <c r="Y669" s="6">
        <f t="shared" si="86"/>
        <v>4.409919649769093E-2</v>
      </c>
      <c r="AA669" t="s">
        <v>617</v>
      </c>
      <c r="AB669">
        <v>17337</v>
      </c>
      <c r="AC669">
        <v>15582221</v>
      </c>
      <c r="AD669" t="s">
        <v>5</v>
      </c>
      <c r="AE669">
        <v>31</v>
      </c>
      <c r="AF669">
        <v>1</v>
      </c>
      <c r="AH669" t="s">
        <v>994</v>
      </c>
      <c r="AI669" t="s">
        <v>993</v>
      </c>
      <c r="AK669" t="s">
        <v>992</v>
      </c>
      <c r="AL669">
        <v>22</v>
      </c>
      <c r="AM669" s="5">
        <f t="shared" si="82"/>
        <v>0.5641025641025641</v>
      </c>
      <c r="AN669" s="4">
        <f t="shared" si="87"/>
        <v>8.5437722696336859E-4</v>
      </c>
      <c r="AO669" s="3"/>
      <c r="AP669">
        <v>0</v>
      </c>
      <c r="AR669" t="s">
        <v>1</v>
      </c>
      <c r="AT669" s="2" t="s">
        <v>0</v>
      </c>
      <c r="AU669" s="1">
        <f t="shared" si="83"/>
        <v>3.112575071647266</v>
      </c>
      <c r="AV669" s="1">
        <f t="shared" si="84"/>
        <v>2.2476786862327147</v>
      </c>
      <c r="AW669" s="1">
        <f t="shared" si="85"/>
        <v>1.3827823008181634</v>
      </c>
    </row>
    <row r="670" spans="1:49" x14ac:dyDescent="0.2">
      <c r="A670">
        <v>668</v>
      </c>
      <c r="B670" t="s">
        <v>991</v>
      </c>
      <c r="C670" t="s">
        <v>990</v>
      </c>
      <c r="F670" t="s">
        <v>989</v>
      </c>
      <c r="G670" t="s">
        <v>15</v>
      </c>
      <c r="H670" t="s">
        <v>14</v>
      </c>
      <c r="I670" t="s">
        <v>988</v>
      </c>
      <c r="J670">
        <v>60013141</v>
      </c>
      <c r="K670" t="s">
        <v>750</v>
      </c>
      <c r="L670" t="s">
        <v>749</v>
      </c>
      <c r="M670" t="s">
        <v>748</v>
      </c>
      <c r="N670">
        <v>1</v>
      </c>
      <c r="O670" t="s">
        <v>987</v>
      </c>
      <c r="P670">
        <v>7404812629</v>
      </c>
      <c r="Q670">
        <v>60013141</v>
      </c>
      <c r="R670" s="7">
        <v>30317</v>
      </c>
      <c r="S670" s="8">
        <f t="shared" si="80"/>
        <v>1983</v>
      </c>
      <c r="T670" s="8">
        <v>1983</v>
      </c>
      <c r="U670" s="8">
        <f t="shared" si="81"/>
        <v>39</v>
      </c>
      <c r="V670" s="7">
        <v>30317</v>
      </c>
      <c r="W670" t="s">
        <v>618</v>
      </c>
      <c r="X670" s="2">
        <v>1.6519999999999999</v>
      </c>
      <c r="Y670" s="6">
        <f t="shared" si="86"/>
        <v>4.409919649769093E-2</v>
      </c>
      <c r="AA670" t="s">
        <v>617</v>
      </c>
      <c r="AB670">
        <v>17337</v>
      </c>
      <c r="AC670">
        <v>15582221</v>
      </c>
      <c r="AD670" t="s">
        <v>5</v>
      </c>
      <c r="AE670">
        <v>31</v>
      </c>
      <c r="AF670">
        <v>1</v>
      </c>
      <c r="AH670" t="s">
        <v>986</v>
      </c>
      <c r="AI670" t="s">
        <v>985</v>
      </c>
      <c r="AK670" t="s">
        <v>984</v>
      </c>
      <c r="AL670">
        <v>1</v>
      </c>
      <c r="AM670" s="5">
        <f t="shared" si="82"/>
        <v>2.564102564102564E-2</v>
      </c>
      <c r="AN670" s="4">
        <f t="shared" si="87"/>
        <v>3.8835328498334935E-5</v>
      </c>
      <c r="AO670" s="3"/>
      <c r="AP670">
        <v>0</v>
      </c>
      <c r="AR670" t="s">
        <v>1</v>
      </c>
      <c r="AT670" s="2" t="s">
        <v>0</v>
      </c>
      <c r="AU670" s="1">
        <f t="shared" si="83"/>
        <v>3.0881088146933151</v>
      </c>
      <c r="AV670" s="1">
        <f t="shared" si="84"/>
        <v>2.2069015913094634</v>
      </c>
      <c r="AW670" s="1">
        <f t="shared" si="85"/>
        <v>1.3256943679256112</v>
      </c>
    </row>
    <row r="671" spans="1:49" x14ac:dyDescent="0.2">
      <c r="A671">
        <v>669</v>
      </c>
      <c r="B671" t="s">
        <v>983</v>
      </c>
      <c r="C671" t="s">
        <v>982</v>
      </c>
      <c r="F671" t="s">
        <v>981</v>
      </c>
      <c r="G671" t="s">
        <v>15</v>
      </c>
      <c r="H671" t="s">
        <v>14</v>
      </c>
      <c r="I671" t="s">
        <v>980</v>
      </c>
      <c r="J671">
        <v>60027271</v>
      </c>
      <c r="K671" t="s">
        <v>979</v>
      </c>
      <c r="L671" t="s">
        <v>978</v>
      </c>
      <c r="M671" t="s">
        <v>10</v>
      </c>
      <c r="N671">
        <v>1</v>
      </c>
      <c r="O671" t="s">
        <v>977</v>
      </c>
      <c r="P671">
        <v>7006017795</v>
      </c>
      <c r="Q671">
        <v>60027271</v>
      </c>
      <c r="R671" s="7">
        <v>30317</v>
      </c>
      <c r="S671" s="8">
        <f t="shared" ref="S671:S734" si="88">YEAR(R671)</f>
        <v>1983</v>
      </c>
      <c r="T671" s="8">
        <v>1983</v>
      </c>
      <c r="U671" s="8">
        <f t="shared" ref="U671:U734" si="89">2022-T671</f>
        <v>39</v>
      </c>
      <c r="V671" s="7">
        <v>30317</v>
      </c>
      <c r="W671" t="s">
        <v>618</v>
      </c>
      <c r="X671" s="2">
        <v>1.6519999999999999</v>
      </c>
      <c r="Y671" s="6">
        <f t="shared" si="86"/>
        <v>4.409919649769093E-2</v>
      </c>
      <c r="AA671" t="s">
        <v>617</v>
      </c>
      <c r="AB671">
        <v>17337</v>
      </c>
      <c r="AC671">
        <v>15582221</v>
      </c>
      <c r="AD671" t="s">
        <v>5</v>
      </c>
      <c r="AE671">
        <v>31</v>
      </c>
      <c r="AF671">
        <v>1</v>
      </c>
      <c r="AH671" t="s">
        <v>976</v>
      </c>
      <c r="AI671" t="s">
        <v>975</v>
      </c>
      <c r="AK671" t="s">
        <v>974</v>
      </c>
      <c r="AL671">
        <v>77</v>
      </c>
      <c r="AM671" s="5">
        <f t="shared" ref="AM671:AM734" si="90">AL671/U671</f>
        <v>1.9743589743589745</v>
      </c>
      <c r="AN671" s="4">
        <f t="shared" si="87"/>
        <v>2.9903202943717903E-3</v>
      </c>
      <c r="AO671" s="3"/>
      <c r="AP671">
        <v>0</v>
      </c>
      <c r="AR671" t="s">
        <v>1</v>
      </c>
      <c r="AT671" s="2" t="s">
        <v>0</v>
      </c>
      <c r="AU671" s="1">
        <f t="shared" ref="AU671:AU734" si="91">(Y671*0.7+AN671*0.3)*100</f>
        <v>3.1766533636695189</v>
      </c>
      <c r="AV671" s="1">
        <f t="shared" ref="AV671:AV734" si="92">(Y671*0.5+AN671*0.5)*100</f>
        <v>2.3544758396031358</v>
      </c>
      <c r="AW671" s="1">
        <f t="shared" ref="AW671:AW734" si="93">(Y671*0.3+AN671*0.7)*100</f>
        <v>1.5322983155367531</v>
      </c>
    </row>
    <row r="672" spans="1:49" x14ac:dyDescent="0.2">
      <c r="A672">
        <v>670</v>
      </c>
      <c r="B672" t="s">
        <v>973</v>
      </c>
      <c r="C672" t="s">
        <v>972</v>
      </c>
      <c r="F672" t="s">
        <v>971</v>
      </c>
      <c r="G672" t="s">
        <v>15</v>
      </c>
      <c r="H672" t="s">
        <v>14</v>
      </c>
      <c r="I672" t="s">
        <v>970</v>
      </c>
      <c r="J672">
        <v>60020825</v>
      </c>
      <c r="K672" t="s">
        <v>969</v>
      </c>
      <c r="L672" t="s">
        <v>968</v>
      </c>
      <c r="M672" t="s">
        <v>175</v>
      </c>
      <c r="N672">
        <v>3</v>
      </c>
      <c r="O672" t="s">
        <v>967</v>
      </c>
      <c r="P672" t="s">
        <v>966</v>
      </c>
      <c r="Q672" t="s">
        <v>965</v>
      </c>
      <c r="R672" s="7">
        <v>30317</v>
      </c>
      <c r="S672" s="8">
        <f t="shared" si="88"/>
        <v>1983</v>
      </c>
      <c r="T672" s="8">
        <v>1983</v>
      </c>
      <c r="U672" s="8">
        <f t="shared" si="89"/>
        <v>39</v>
      </c>
      <c r="V672" s="7">
        <v>30317</v>
      </c>
      <c r="W672" t="s">
        <v>618</v>
      </c>
      <c r="X672" s="2">
        <v>1.6519999999999999</v>
      </c>
      <c r="Y672" s="6">
        <f t="shared" si="86"/>
        <v>4.409919649769093E-2</v>
      </c>
      <c r="AA672" t="s">
        <v>617</v>
      </c>
      <c r="AB672">
        <v>17337</v>
      </c>
      <c r="AC672">
        <v>15582221</v>
      </c>
      <c r="AD672" t="s">
        <v>5</v>
      </c>
      <c r="AE672">
        <v>31</v>
      </c>
      <c r="AF672">
        <v>1</v>
      </c>
      <c r="AH672" t="s">
        <v>964</v>
      </c>
      <c r="AI672" t="s">
        <v>963</v>
      </c>
      <c r="AK672" t="s">
        <v>962</v>
      </c>
      <c r="AL672">
        <v>13</v>
      </c>
      <c r="AM672" s="5">
        <f t="shared" si="90"/>
        <v>0.33333333333333331</v>
      </c>
      <c r="AN672" s="4">
        <f t="shared" si="87"/>
        <v>5.048592704783541E-4</v>
      </c>
      <c r="AO672" s="3"/>
      <c r="AP672">
        <v>0</v>
      </c>
      <c r="AR672" t="s">
        <v>1</v>
      </c>
      <c r="AT672" s="2" t="s">
        <v>0</v>
      </c>
      <c r="AU672" s="1">
        <f t="shared" si="91"/>
        <v>3.1020895329527156</v>
      </c>
      <c r="AV672" s="1">
        <f t="shared" si="92"/>
        <v>2.2302027884084641</v>
      </c>
      <c r="AW672" s="1">
        <f t="shared" si="93"/>
        <v>1.3583160438642126</v>
      </c>
    </row>
    <row r="673" spans="1:49" x14ac:dyDescent="0.2">
      <c r="A673">
        <v>671</v>
      </c>
      <c r="B673" t="s">
        <v>961</v>
      </c>
      <c r="C673" t="s">
        <v>960</v>
      </c>
      <c r="F673" t="s">
        <v>959</v>
      </c>
      <c r="G673" t="s">
        <v>15</v>
      </c>
      <c r="H673" t="s">
        <v>14</v>
      </c>
      <c r="I673" t="s">
        <v>958</v>
      </c>
      <c r="J673">
        <v>60010806</v>
      </c>
      <c r="K673" t="s">
        <v>957</v>
      </c>
      <c r="L673" t="s">
        <v>956</v>
      </c>
      <c r="M673" t="s">
        <v>10</v>
      </c>
      <c r="N673">
        <v>2</v>
      </c>
      <c r="O673" t="s">
        <v>955</v>
      </c>
      <c r="P673" t="s">
        <v>954</v>
      </c>
      <c r="Q673" t="s">
        <v>953</v>
      </c>
      <c r="R673" s="7">
        <v>30317</v>
      </c>
      <c r="S673" s="8">
        <f t="shared" si="88"/>
        <v>1983</v>
      </c>
      <c r="T673" s="8">
        <v>1983</v>
      </c>
      <c r="U673" s="8">
        <f t="shared" si="89"/>
        <v>39</v>
      </c>
      <c r="V673" s="7">
        <v>30317</v>
      </c>
      <c r="W673" t="s">
        <v>669</v>
      </c>
      <c r="X673" s="2">
        <v>1.137</v>
      </c>
      <c r="Y673" s="6">
        <f t="shared" si="86"/>
        <v>3.0351565628253384E-2</v>
      </c>
      <c r="AA673">
        <v>189251</v>
      </c>
      <c r="AB673">
        <v>17336</v>
      </c>
      <c r="AD673" t="s">
        <v>5</v>
      </c>
      <c r="AE673" t="s">
        <v>668</v>
      </c>
      <c r="AF673">
        <v>1</v>
      </c>
      <c r="AH673" t="s">
        <v>952</v>
      </c>
      <c r="AI673" t="s">
        <v>951</v>
      </c>
      <c r="AK673" t="s">
        <v>950</v>
      </c>
      <c r="AL673">
        <v>598</v>
      </c>
      <c r="AM673" s="5">
        <f t="shared" si="90"/>
        <v>15.333333333333334</v>
      </c>
      <c r="AN673" s="4">
        <f t="shared" si="87"/>
        <v>2.3223526442004292E-2</v>
      </c>
      <c r="AO673" s="3"/>
      <c r="AP673">
        <v>0</v>
      </c>
      <c r="AR673" t="s">
        <v>1</v>
      </c>
      <c r="AT673" s="2" t="s">
        <v>0</v>
      </c>
      <c r="AU673" s="1">
        <f t="shared" si="91"/>
        <v>2.8213153872378651</v>
      </c>
      <c r="AV673" s="1">
        <f t="shared" si="92"/>
        <v>2.6787546035128837</v>
      </c>
      <c r="AW673" s="1">
        <f t="shared" si="93"/>
        <v>2.5361938197879019</v>
      </c>
    </row>
    <row r="674" spans="1:49" x14ac:dyDescent="0.2">
      <c r="A674">
        <v>672</v>
      </c>
      <c r="B674" t="s">
        <v>949</v>
      </c>
      <c r="C674" t="s">
        <v>948</v>
      </c>
      <c r="F674" t="s">
        <v>947</v>
      </c>
      <c r="G674" t="s">
        <v>15</v>
      </c>
      <c r="H674" t="s">
        <v>14</v>
      </c>
      <c r="I674" t="s">
        <v>946</v>
      </c>
      <c r="J674">
        <v>60074706</v>
      </c>
      <c r="K674" t="s">
        <v>945</v>
      </c>
      <c r="L674" t="s">
        <v>944</v>
      </c>
      <c r="M674" t="s">
        <v>10</v>
      </c>
      <c r="N674">
        <v>2</v>
      </c>
      <c r="O674" t="s">
        <v>943</v>
      </c>
      <c r="P674" t="s">
        <v>942</v>
      </c>
      <c r="Q674" t="s">
        <v>941</v>
      </c>
      <c r="R674" s="7">
        <v>30317</v>
      </c>
      <c r="S674" s="8">
        <f t="shared" si="88"/>
        <v>1983</v>
      </c>
      <c r="T674" s="8">
        <v>1983</v>
      </c>
      <c r="U674" s="8">
        <f t="shared" si="89"/>
        <v>39</v>
      </c>
      <c r="V674" s="7">
        <v>30317</v>
      </c>
      <c r="W674" t="s">
        <v>618</v>
      </c>
      <c r="X674" s="2">
        <v>1.6519999999999999</v>
      </c>
      <c r="Y674" s="6">
        <f t="shared" si="86"/>
        <v>4.409919649769093E-2</v>
      </c>
      <c r="AA674" t="s">
        <v>617</v>
      </c>
      <c r="AB674">
        <v>17337</v>
      </c>
      <c r="AC674">
        <v>15582221</v>
      </c>
      <c r="AD674" t="s">
        <v>5</v>
      </c>
      <c r="AE674">
        <v>31</v>
      </c>
      <c r="AF674">
        <v>1</v>
      </c>
      <c r="AH674" t="s">
        <v>940</v>
      </c>
      <c r="AI674" t="s">
        <v>939</v>
      </c>
      <c r="AK674" t="s">
        <v>938</v>
      </c>
      <c r="AL674">
        <v>0</v>
      </c>
      <c r="AM674" s="5">
        <f t="shared" si="90"/>
        <v>0</v>
      </c>
      <c r="AN674" s="4">
        <f t="shared" si="87"/>
        <v>0</v>
      </c>
      <c r="AO674" s="3"/>
      <c r="AP674">
        <v>0</v>
      </c>
      <c r="AR674" t="s">
        <v>1</v>
      </c>
      <c r="AT674" s="2" t="s">
        <v>0</v>
      </c>
      <c r="AU674" s="1">
        <f t="shared" si="91"/>
        <v>3.0869437548383649</v>
      </c>
      <c r="AV674" s="1">
        <f t="shared" si="92"/>
        <v>2.2049598248845466</v>
      </c>
      <c r="AW674" s="1">
        <f t="shared" si="93"/>
        <v>1.3229758949307278</v>
      </c>
    </row>
    <row r="675" spans="1:49" x14ac:dyDescent="0.2">
      <c r="A675">
        <v>673</v>
      </c>
      <c r="B675" t="s">
        <v>937</v>
      </c>
      <c r="F675" t="s">
        <v>936</v>
      </c>
      <c r="G675" t="s">
        <v>15</v>
      </c>
      <c r="H675" t="s">
        <v>14</v>
      </c>
      <c r="I675" t="s">
        <v>935</v>
      </c>
      <c r="N675">
        <v>3</v>
      </c>
      <c r="O675" t="s">
        <v>934</v>
      </c>
      <c r="P675" t="s">
        <v>933</v>
      </c>
      <c r="Q675" t="s">
        <v>510</v>
      </c>
      <c r="R675" s="7">
        <v>30317</v>
      </c>
      <c r="S675" s="8">
        <f t="shared" si="88"/>
        <v>1983</v>
      </c>
      <c r="T675" s="8">
        <v>1983</v>
      </c>
      <c r="U675" s="8">
        <f t="shared" si="89"/>
        <v>39</v>
      </c>
      <c r="V675" s="7">
        <v>1983</v>
      </c>
      <c r="W675" t="s">
        <v>932</v>
      </c>
      <c r="X675" s="2" t="s">
        <v>0</v>
      </c>
      <c r="Y675" s="6" t="e">
        <f t="shared" si="86"/>
        <v>#VALUE!</v>
      </c>
      <c r="AA675">
        <v>4186338</v>
      </c>
      <c r="AB675">
        <v>34729</v>
      </c>
      <c r="AD675" t="s">
        <v>5</v>
      </c>
      <c r="AE675">
        <v>31</v>
      </c>
      <c r="AF675">
        <v>2</v>
      </c>
      <c r="AH675" t="s">
        <v>931</v>
      </c>
      <c r="AI675" t="s">
        <v>930</v>
      </c>
      <c r="AK675" t="s">
        <v>929</v>
      </c>
      <c r="AL675">
        <v>0</v>
      </c>
      <c r="AM675" s="5">
        <f t="shared" si="90"/>
        <v>0</v>
      </c>
      <c r="AN675" s="4">
        <f t="shared" si="87"/>
        <v>0</v>
      </c>
      <c r="AO675" s="3"/>
      <c r="AP675">
        <v>0</v>
      </c>
      <c r="AR675" t="s">
        <v>1</v>
      </c>
      <c r="AT675" s="2" t="s">
        <v>0</v>
      </c>
      <c r="AU675" s="1" t="e">
        <f t="shared" si="91"/>
        <v>#VALUE!</v>
      </c>
      <c r="AV675" s="1" t="e">
        <f t="shared" si="92"/>
        <v>#VALUE!</v>
      </c>
      <c r="AW675" s="1" t="e">
        <f t="shared" si="93"/>
        <v>#VALUE!</v>
      </c>
    </row>
    <row r="676" spans="1:49" x14ac:dyDescent="0.2">
      <c r="A676">
        <v>674</v>
      </c>
      <c r="B676" t="s">
        <v>928</v>
      </c>
      <c r="F676" t="s">
        <v>927</v>
      </c>
      <c r="G676" t="s">
        <v>15</v>
      </c>
      <c r="H676" t="s">
        <v>14</v>
      </c>
      <c r="I676" t="s">
        <v>926</v>
      </c>
      <c r="N676">
        <v>1</v>
      </c>
      <c r="O676" t="s">
        <v>925</v>
      </c>
      <c r="P676">
        <v>56211857400</v>
      </c>
      <c r="R676" s="7">
        <v>30317</v>
      </c>
      <c r="S676" s="8">
        <f t="shared" si="88"/>
        <v>1983</v>
      </c>
      <c r="T676" s="8">
        <v>1983</v>
      </c>
      <c r="U676" s="8">
        <f t="shared" si="89"/>
        <v>39</v>
      </c>
      <c r="V676" s="7" t="s">
        <v>537</v>
      </c>
      <c r="W676" t="s">
        <v>618</v>
      </c>
      <c r="X676" s="2">
        <v>1.6519999999999999</v>
      </c>
      <c r="Y676" s="6">
        <f t="shared" si="86"/>
        <v>4.409919649769093E-2</v>
      </c>
      <c r="AA676" t="s">
        <v>617</v>
      </c>
      <c r="AB676">
        <v>17337</v>
      </c>
      <c r="AD676" t="s">
        <v>5</v>
      </c>
      <c r="AE676" t="s">
        <v>916</v>
      </c>
      <c r="AF676">
        <v>1</v>
      </c>
      <c r="AH676" t="s">
        <v>924</v>
      </c>
      <c r="AI676" t="s">
        <v>923</v>
      </c>
      <c r="AK676" t="s">
        <v>922</v>
      </c>
      <c r="AL676">
        <v>2</v>
      </c>
      <c r="AM676" s="5">
        <f t="shared" si="90"/>
        <v>5.128205128205128E-2</v>
      </c>
      <c r="AN676" s="4">
        <f t="shared" si="87"/>
        <v>7.767065699666987E-5</v>
      </c>
      <c r="AO676" s="3"/>
      <c r="AP676">
        <v>0</v>
      </c>
      <c r="AR676" t="s">
        <v>1</v>
      </c>
      <c r="AT676" s="2" t="s">
        <v>0</v>
      </c>
      <c r="AU676" s="1">
        <f t="shared" si="91"/>
        <v>3.0892738745482653</v>
      </c>
      <c r="AV676" s="1">
        <f t="shared" si="92"/>
        <v>2.2088433577343798</v>
      </c>
      <c r="AW676" s="1">
        <f t="shared" si="93"/>
        <v>1.3284128409204947</v>
      </c>
    </row>
    <row r="677" spans="1:49" x14ac:dyDescent="0.2">
      <c r="A677">
        <v>675</v>
      </c>
      <c r="B677" t="s">
        <v>921</v>
      </c>
      <c r="F677" t="s">
        <v>920</v>
      </c>
      <c r="G677" t="s">
        <v>15</v>
      </c>
      <c r="H677" t="s">
        <v>14</v>
      </c>
      <c r="I677" t="s">
        <v>919</v>
      </c>
      <c r="N677">
        <v>2</v>
      </c>
      <c r="O677" t="s">
        <v>918</v>
      </c>
      <c r="P677" t="s">
        <v>917</v>
      </c>
      <c r="Q677" t="s">
        <v>342</v>
      </c>
      <c r="R677" s="7">
        <v>30317</v>
      </c>
      <c r="S677" s="8">
        <f t="shared" si="88"/>
        <v>1983</v>
      </c>
      <c r="T677" s="8">
        <v>1983</v>
      </c>
      <c r="U677" s="8">
        <f t="shared" si="89"/>
        <v>39</v>
      </c>
      <c r="V677" s="7" t="s">
        <v>537</v>
      </c>
      <c r="W677" t="s">
        <v>618</v>
      </c>
      <c r="X677" s="2">
        <v>1.6519999999999999</v>
      </c>
      <c r="Y677" s="6">
        <f t="shared" si="86"/>
        <v>4.409919649769093E-2</v>
      </c>
      <c r="AA677" t="s">
        <v>617</v>
      </c>
      <c r="AB677">
        <v>17337</v>
      </c>
      <c r="AD677" t="s">
        <v>5</v>
      </c>
      <c r="AE677" t="s">
        <v>916</v>
      </c>
      <c r="AF677">
        <v>1</v>
      </c>
      <c r="AH677" t="s">
        <v>915</v>
      </c>
      <c r="AI677" t="s">
        <v>914</v>
      </c>
      <c r="AK677" t="s">
        <v>913</v>
      </c>
      <c r="AL677">
        <v>22</v>
      </c>
      <c r="AM677" s="5">
        <f t="shared" si="90"/>
        <v>0.5641025641025641</v>
      </c>
      <c r="AN677" s="4">
        <f t="shared" si="87"/>
        <v>8.5437722696336859E-4</v>
      </c>
      <c r="AO677" s="3"/>
      <c r="AP677">
        <v>0</v>
      </c>
      <c r="AR677" t="s">
        <v>1</v>
      </c>
      <c r="AT677" s="2" t="s">
        <v>0</v>
      </c>
      <c r="AU677" s="1">
        <f t="shared" si="91"/>
        <v>3.112575071647266</v>
      </c>
      <c r="AV677" s="1">
        <f t="shared" si="92"/>
        <v>2.2476786862327147</v>
      </c>
      <c r="AW677" s="1">
        <f t="shared" si="93"/>
        <v>1.3827823008181634</v>
      </c>
    </row>
    <row r="678" spans="1:49" x14ac:dyDescent="0.2">
      <c r="A678">
        <v>676</v>
      </c>
      <c r="B678" t="s">
        <v>912</v>
      </c>
      <c r="C678" t="s">
        <v>911</v>
      </c>
      <c r="F678" t="s">
        <v>910</v>
      </c>
      <c r="G678" t="s">
        <v>15</v>
      </c>
      <c r="H678" t="s">
        <v>14</v>
      </c>
      <c r="I678" t="s">
        <v>711</v>
      </c>
      <c r="J678">
        <v>60005304</v>
      </c>
      <c r="K678" t="s">
        <v>324</v>
      </c>
      <c r="L678" t="s">
        <v>323</v>
      </c>
      <c r="M678" t="s">
        <v>10</v>
      </c>
      <c r="N678">
        <v>1</v>
      </c>
      <c r="O678" t="s">
        <v>909</v>
      </c>
      <c r="P678">
        <v>57193268489</v>
      </c>
      <c r="Q678">
        <v>60005304</v>
      </c>
      <c r="R678" s="7">
        <v>30317</v>
      </c>
      <c r="S678" s="8">
        <f t="shared" si="88"/>
        <v>1983</v>
      </c>
      <c r="T678" s="8">
        <v>1983</v>
      </c>
      <c r="U678" s="8">
        <f t="shared" si="89"/>
        <v>39</v>
      </c>
      <c r="V678" s="7">
        <v>30317</v>
      </c>
      <c r="W678" t="s">
        <v>618</v>
      </c>
      <c r="X678" s="2">
        <v>1.6519999999999999</v>
      </c>
      <c r="Y678" s="6">
        <f t="shared" si="86"/>
        <v>4.409919649769093E-2</v>
      </c>
      <c r="AA678" t="s">
        <v>617</v>
      </c>
      <c r="AB678">
        <v>17337</v>
      </c>
      <c r="AC678">
        <v>15582221</v>
      </c>
      <c r="AD678" t="s">
        <v>5</v>
      </c>
      <c r="AE678">
        <v>31</v>
      </c>
      <c r="AF678">
        <v>1</v>
      </c>
      <c r="AH678" t="s">
        <v>908</v>
      </c>
      <c r="AI678" t="s">
        <v>907</v>
      </c>
      <c r="AK678" t="s">
        <v>906</v>
      </c>
      <c r="AL678">
        <v>30</v>
      </c>
      <c r="AM678" s="5">
        <f t="shared" si="90"/>
        <v>0.76923076923076927</v>
      </c>
      <c r="AN678" s="4">
        <f t="shared" si="87"/>
        <v>1.1650598549500482E-3</v>
      </c>
      <c r="AO678" s="3"/>
      <c r="AP678">
        <v>0</v>
      </c>
      <c r="AR678" t="s">
        <v>1</v>
      </c>
      <c r="AT678" s="2" t="s">
        <v>0</v>
      </c>
      <c r="AU678" s="1">
        <f t="shared" si="91"/>
        <v>3.1218955504868662</v>
      </c>
      <c r="AV678" s="1">
        <f t="shared" si="92"/>
        <v>2.263212817632049</v>
      </c>
      <c r="AW678" s="1">
        <f t="shared" si="93"/>
        <v>1.4045300847772313</v>
      </c>
    </row>
    <row r="679" spans="1:49" x14ac:dyDescent="0.2">
      <c r="A679">
        <v>677</v>
      </c>
      <c r="B679" t="s">
        <v>905</v>
      </c>
      <c r="C679" t="s">
        <v>904</v>
      </c>
      <c r="F679" t="s">
        <v>903</v>
      </c>
      <c r="G679" t="s">
        <v>15</v>
      </c>
      <c r="H679" t="s">
        <v>14</v>
      </c>
      <c r="I679" t="s">
        <v>902</v>
      </c>
      <c r="J679" t="s">
        <v>897</v>
      </c>
      <c r="K679" t="s">
        <v>901</v>
      </c>
      <c r="L679" t="s">
        <v>900</v>
      </c>
      <c r="M679" t="s">
        <v>91</v>
      </c>
      <c r="N679">
        <v>2</v>
      </c>
      <c r="O679" t="s">
        <v>899</v>
      </c>
      <c r="P679" t="s">
        <v>898</v>
      </c>
      <c r="Q679" t="s">
        <v>897</v>
      </c>
      <c r="R679" s="7">
        <v>30317</v>
      </c>
      <c r="S679" s="8">
        <f t="shared" si="88"/>
        <v>1983</v>
      </c>
      <c r="T679" s="8">
        <v>1983</v>
      </c>
      <c r="U679" s="8">
        <f t="shared" si="89"/>
        <v>39</v>
      </c>
      <c r="V679" s="7">
        <v>30317</v>
      </c>
      <c r="W679" t="s">
        <v>669</v>
      </c>
      <c r="X679" s="2">
        <v>1.137</v>
      </c>
      <c r="Y679" s="6">
        <f t="shared" si="86"/>
        <v>3.0351565628253384E-2</v>
      </c>
      <c r="AA679">
        <v>189251</v>
      </c>
      <c r="AB679">
        <v>17336</v>
      </c>
      <c r="AD679" t="s">
        <v>5</v>
      </c>
      <c r="AE679" t="s">
        <v>668</v>
      </c>
      <c r="AF679">
        <v>1</v>
      </c>
      <c r="AH679" t="s">
        <v>896</v>
      </c>
      <c r="AI679" t="s">
        <v>895</v>
      </c>
      <c r="AK679" t="s">
        <v>894</v>
      </c>
      <c r="AL679">
        <v>18</v>
      </c>
      <c r="AM679" s="5">
        <f t="shared" si="90"/>
        <v>0.46153846153846156</v>
      </c>
      <c r="AN679" s="4">
        <f t="shared" si="87"/>
        <v>6.9903591297002887E-4</v>
      </c>
      <c r="AO679" s="3"/>
      <c r="AP679">
        <v>0</v>
      </c>
      <c r="AR679" t="s">
        <v>1</v>
      </c>
      <c r="AT679" s="2" t="s">
        <v>0</v>
      </c>
      <c r="AU679" s="1">
        <f t="shared" si="91"/>
        <v>2.1455806713668375</v>
      </c>
      <c r="AV679" s="1">
        <f t="shared" si="92"/>
        <v>1.5525300770611707</v>
      </c>
      <c r="AW679" s="1">
        <f t="shared" si="93"/>
        <v>0.95947948275550354</v>
      </c>
    </row>
    <row r="680" spans="1:49" x14ac:dyDescent="0.2">
      <c r="A680">
        <v>678</v>
      </c>
      <c r="B680" t="s">
        <v>893</v>
      </c>
      <c r="C680" t="s">
        <v>892</v>
      </c>
      <c r="F680" t="s">
        <v>891</v>
      </c>
      <c r="G680" t="s">
        <v>15</v>
      </c>
      <c r="H680" t="s">
        <v>14</v>
      </c>
      <c r="I680" t="s">
        <v>890</v>
      </c>
      <c r="J680">
        <v>60005304</v>
      </c>
      <c r="K680" t="s">
        <v>324</v>
      </c>
      <c r="L680" t="s">
        <v>323</v>
      </c>
      <c r="M680" t="s">
        <v>10</v>
      </c>
      <c r="N680">
        <v>2</v>
      </c>
      <c r="O680" t="s">
        <v>889</v>
      </c>
      <c r="P680" t="s">
        <v>888</v>
      </c>
      <c r="Q680" t="s">
        <v>887</v>
      </c>
      <c r="R680" s="7">
        <v>30317</v>
      </c>
      <c r="S680" s="8">
        <f t="shared" si="88"/>
        <v>1983</v>
      </c>
      <c r="T680" s="8">
        <v>1983</v>
      </c>
      <c r="U680" s="8">
        <f t="shared" si="89"/>
        <v>39</v>
      </c>
      <c r="V680" s="7">
        <v>30317</v>
      </c>
      <c r="W680" t="s">
        <v>618</v>
      </c>
      <c r="X680" s="2">
        <v>1.6519999999999999</v>
      </c>
      <c r="Y680" s="6">
        <f t="shared" si="86"/>
        <v>4.409919649769093E-2</v>
      </c>
      <c r="AA680" t="s">
        <v>617</v>
      </c>
      <c r="AB680">
        <v>17337</v>
      </c>
      <c r="AC680">
        <v>15582221</v>
      </c>
      <c r="AD680" t="s">
        <v>5</v>
      </c>
      <c r="AE680">
        <v>31</v>
      </c>
      <c r="AF680">
        <v>1</v>
      </c>
      <c r="AH680" t="s">
        <v>886</v>
      </c>
      <c r="AI680" t="s">
        <v>885</v>
      </c>
      <c r="AK680" t="s">
        <v>884</v>
      </c>
      <c r="AL680">
        <v>7</v>
      </c>
      <c r="AM680" s="5">
        <f t="shared" si="90"/>
        <v>0.17948717948717949</v>
      </c>
      <c r="AN680" s="4">
        <f t="shared" si="87"/>
        <v>2.7184729948834453E-4</v>
      </c>
      <c r="AO680" s="3"/>
      <c r="AP680">
        <v>0</v>
      </c>
      <c r="AR680" t="s">
        <v>1</v>
      </c>
      <c r="AT680" s="2" t="s">
        <v>0</v>
      </c>
      <c r="AU680" s="1">
        <f t="shared" si="91"/>
        <v>3.0950991738230154</v>
      </c>
      <c r="AV680" s="1">
        <f t="shared" si="92"/>
        <v>2.2185521898589635</v>
      </c>
      <c r="AW680" s="1">
        <f t="shared" si="93"/>
        <v>1.3420052058949119</v>
      </c>
    </row>
    <row r="681" spans="1:49" x14ac:dyDescent="0.2">
      <c r="A681">
        <v>679</v>
      </c>
      <c r="B681" t="s">
        <v>883</v>
      </c>
      <c r="C681" t="s">
        <v>882</v>
      </c>
      <c r="D681" t="s">
        <v>881</v>
      </c>
      <c r="F681" t="s">
        <v>880</v>
      </c>
      <c r="G681" t="s">
        <v>15</v>
      </c>
      <c r="H681" t="s">
        <v>14</v>
      </c>
      <c r="I681" t="s">
        <v>879</v>
      </c>
      <c r="J681">
        <v>60025555</v>
      </c>
      <c r="K681" t="s">
        <v>878</v>
      </c>
      <c r="L681" t="s">
        <v>56</v>
      </c>
      <c r="M681" t="s">
        <v>55</v>
      </c>
      <c r="N681">
        <v>4</v>
      </c>
      <c r="O681" t="s">
        <v>877</v>
      </c>
      <c r="P681" t="s">
        <v>876</v>
      </c>
      <c r="Q681" t="s">
        <v>875</v>
      </c>
      <c r="R681" s="7">
        <v>30317</v>
      </c>
      <c r="S681" s="8">
        <f t="shared" si="88"/>
        <v>1983</v>
      </c>
      <c r="T681" s="8">
        <v>1983</v>
      </c>
      <c r="U681" s="8">
        <f t="shared" si="89"/>
        <v>39</v>
      </c>
      <c r="V681" s="7">
        <v>30317</v>
      </c>
      <c r="W681" t="s">
        <v>401</v>
      </c>
      <c r="X681" s="2">
        <v>1.1339999999999999</v>
      </c>
      <c r="Y681" s="6">
        <f t="shared" si="86"/>
        <v>3.0271482341635299E-2</v>
      </c>
      <c r="AA681">
        <v>945765</v>
      </c>
      <c r="AB681">
        <v>12372</v>
      </c>
      <c r="AD681" t="s">
        <v>5</v>
      </c>
      <c r="AE681">
        <v>10</v>
      </c>
      <c r="AF681">
        <v>1</v>
      </c>
      <c r="AH681" t="s">
        <v>874</v>
      </c>
      <c r="AI681" t="s">
        <v>873</v>
      </c>
      <c r="AK681" t="s">
        <v>872</v>
      </c>
      <c r="AL681">
        <v>2</v>
      </c>
      <c r="AM681" s="5">
        <f t="shared" si="90"/>
        <v>5.128205128205128E-2</v>
      </c>
      <c r="AN681" s="4">
        <f t="shared" si="87"/>
        <v>7.767065699666987E-5</v>
      </c>
      <c r="AO681" s="3"/>
      <c r="AP681">
        <v>0</v>
      </c>
      <c r="AR681" t="s">
        <v>1</v>
      </c>
      <c r="AT681" s="2">
        <v>2.4129999999999998</v>
      </c>
      <c r="AU681" s="1">
        <f t="shared" si="91"/>
        <v>2.1213338836243709</v>
      </c>
      <c r="AV681" s="1">
        <f t="shared" si="92"/>
        <v>1.5174576499315984</v>
      </c>
      <c r="AW681" s="1">
        <f t="shared" si="93"/>
        <v>0.91358141623882583</v>
      </c>
    </row>
    <row r="682" spans="1:49" x14ac:dyDescent="0.2">
      <c r="A682">
        <v>680</v>
      </c>
      <c r="B682" t="s">
        <v>871</v>
      </c>
      <c r="C682" t="s">
        <v>870</v>
      </c>
      <c r="F682" t="s">
        <v>869</v>
      </c>
      <c r="G682" t="s">
        <v>15</v>
      </c>
      <c r="H682" t="s">
        <v>14</v>
      </c>
      <c r="I682" t="s">
        <v>868</v>
      </c>
      <c r="J682">
        <v>60103907</v>
      </c>
      <c r="K682" t="s">
        <v>867</v>
      </c>
      <c r="L682" t="s">
        <v>56</v>
      </c>
      <c r="M682" t="s">
        <v>55</v>
      </c>
      <c r="N682">
        <v>1</v>
      </c>
      <c r="O682" t="s">
        <v>866</v>
      </c>
      <c r="P682">
        <v>7005418157</v>
      </c>
      <c r="Q682">
        <v>60103907</v>
      </c>
      <c r="R682" s="7">
        <v>30317</v>
      </c>
      <c r="S682" s="8">
        <f t="shared" si="88"/>
        <v>1983</v>
      </c>
      <c r="T682" s="8">
        <v>1983</v>
      </c>
      <c r="U682" s="8">
        <f t="shared" si="89"/>
        <v>39</v>
      </c>
      <c r="V682" s="7">
        <v>30317</v>
      </c>
      <c r="W682" t="s">
        <v>618</v>
      </c>
      <c r="X682" s="2">
        <v>1.6519999999999999</v>
      </c>
      <c r="Y682" s="6">
        <f t="shared" si="86"/>
        <v>4.409919649769093E-2</v>
      </c>
      <c r="AA682" t="s">
        <v>617</v>
      </c>
      <c r="AB682">
        <v>17337</v>
      </c>
      <c r="AC682">
        <v>15582221</v>
      </c>
      <c r="AD682" t="s">
        <v>5</v>
      </c>
      <c r="AE682">
        <v>31</v>
      </c>
      <c r="AF682">
        <v>1</v>
      </c>
      <c r="AH682" t="s">
        <v>865</v>
      </c>
      <c r="AI682" t="s">
        <v>864</v>
      </c>
      <c r="AK682" t="s">
        <v>863</v>
      </c>
      <c r="AL682">
        <v>5</v>
      </c>
      <c r="AM682" s="5">
        <f t="shared" si="90"/>
        <v>0.12820512820512819</v>
      </c>
      <c r="AN682" s="4">
        <f t="shared" si="87"/>
        <v>1.9417664249167467E-4</v>
      </c>
      <c r="AO682" s="3"/>
      <c r="AP682">
        <v>0</v>
      </c>
      <c r="AR682" t="s">
        <v>1</v>
      </c>
      <c r="AT682" s="2" t="s">
        <v>0</v>
      </c>
      <c r="AU682" s="1">
        <f t="shared" si="91"/>
        <v>3.0927690541131154</v>
      </c>
      <c r="AV682" s="1">
        <f t="shared" si="92"/>
        <v>2.2146686570091303</v>
      </c>
      <c r="AW682" s="1">
        <f t="shared" si="93"/>
        <v>1.3365682599051452</v>
      </c>
    </row>
    <row r="683" spans="1:49" x14ac:dyDescent="0.2">
      <c r="A683">
        <v>681</v>
      </c>
      <c r="B683" t="s">
        <v>862</v>
      </c>
      <c r="C683" t="s">
        <v>861</v>
      </c>
      <c r="F683" t="s">
        <v>860</v>
      </c>
      <c r="G683" t="s">
        <v>15</v>
      </c>
      <c r="H683" t="s">
        <v>14</v>
      </c>
      <c r="I683" t="s">
        <v>859</v>
      </c>
      <c r="N683">
        <v>3</v>
      </c>
      <c r="O683" t="s">
        <v>858</v>
      </c>
      <c r="P683" t="s">
        <v>857</v>
      </c>
      <c r="Q683" t="s">
        <v>510</v>
      </c>
      <c r="R683" s="7">
        <v>30317</v>
      </c>
      <c r="S683" s="8">
        <f t="shared" si="88"/>
        <v>1983</v>
      </c>
      <c r="T683" s="8">
        <v>1983</v>
      </c>
      <c r="U683" s="8">
        <f t="shared" si="89"/>
        <v>39</v>
      </c>
      <c r="V683" s="7" t="s">
        <v>537</v>
      </c>
      <c r="W683" t="s">
        <v>856</v>
      </c>
      <c r="X683" s="2" t="s">
        <v>0</v>
      </c>
      <c r="Y683" s="6" t="e">
        <f t="shared" si="86"/>
        <v>#VALUE!</v>
      </c>
      <c r="AA683">
        <v>7009216</v>
      </c>
      <c r="AB683">
        <v>39801</v>
      </c>
      <c r="AD683" t="s">
        <v>5</v>
      </c>
      <c r="AE683">
        <v>8</v>
      </c>
      <c r="AF683">
        <v>1</v>
      </c>
      <c r="AH683" t="s">
        <v>855</v>
      </c>
      <c r="AI683" t="s">
        <v>854</v>
      </c>
      <c r="AK683" t="s">
        <v>853</v>
      </c>
      <c r="AL683">
        <v>0</v>
      </c>
      <c r="AM683" s="5">
        <f t="shared" si="90"/>
        <v>0</v>
      </c>
      <c r="AN683" s="4">
        <f t="shared" si="87"/>
        <v>0</v>
      </c>
      <c r="AO683" s="3"/>
      <c r="AP683">
        <v>0</v>
      </c>
      <c r="AR683" t="s">
        <v>1</v>
      </c>
      <c r="AT683" s="2" t="s">
        <v>0</v>
      </c>
      <c r="AU683" s="1" t="e">
        <f t="shared" si="91"/>
        <v>#VALUE!</v>
      </c>
      <c r="AV683" s="1" t="e">
        <f t="shared" si="92"/>
        <v>#VALUE!</v>
      </c>
      <c r="AW683" s="1" t="e">
        <f t="shared" si="93"/>
        <v>#VALUE!</v>
      </c>
    </row>
    <row r="684" spans="1:49" x14ac:dyDescent="0.2">
      <c r="A684">
        <v>682</v>
      </c>
      <c r="B684" t="s">
        <v>852</v>
      </c>
      <c r="C684" t="s">
        <v>851</v>
      </c>
      <c r="F684" t="s">
        <v>850</v>
      </c>
      <c r="G684" t="s">
        <v>15</v>
      </c>
      <c r="H684" t="s">
        <v>14</v>
      </c>
      <c r="I684" t="s">
        <v>849</v>
      </c>
      <c r="J684" t="s">
        <v>848</v>
      </c>
      <c r="K684" t="s">
        <v>847</v>
      </c>
      <c r="L684" t="s">
        <v>846</v>
      </c>
      <c r="M684" t="s">
        <v>91</v>
      </c>
      <c r="N684">
        <v>4</v>
      </c>
      <c r="O684" t="s">
        <v>845</v>
      </c>
      <c r="P684" t="s">
        <v>844</v>
      </c>
      <c r="Q684" t="s">
        <v>843</v>
      </c>
      <c r="R684" s="7">
        <v>30317</v>
      </c>
      <c r="S684" s="8">
        <f t="shared" si="88"/>
        <v>1983</v>
      </c>
      <c r="T684" s="8">
        <v>1983</v>
      </c>
      <c r="U684" s="8">
        <f t="shared" si="89"/>
        <v>39</v>
      </c>
      <c r="V684" s="7">
        <v>1983</v>
      </c>
      <c r="W684" t="s">
        <v>130</v>
      </c>
      <c r="X684" s="2">
        <v>12.555999999999999</v>
      </c>
      <c r="Y684" s="6">
        <f t="shared" si="86"/>
        <v>0.33517524892554923</v>
      </c>
      <c r="AA684">
        <v>368075</v>
      </c>
      <c r="AB684">
        <v>23571</v>
      </c>
      <c r="AD684" t="s">
        <v>5</v>
      </c>
      <c r="AE684">
        <v>220</v>
      </c>
      <c r="AF684">
        <v>4604</v>
      </c>
      <c r="AH684" t="s">
        <v>842</v>
      </c>
      <c r="AI684" t="s">
        <v>841</v>
      </c>
      <c r="AK684" t="s">
        <v>840</v>
      </c>
      <c r="AL684">
        <v>53</v>
      </c>
      <c r="AM684" s="5">
        <f t="shared" si="90"/>
        <v>1.358974358974359</v>
      </c>
      <c r="AN684" s="4">
        <f t="shared" si="87"/>
        <v>2.0582724104117518E-3</v>
      </c>
      <c r="AO684" s="3"/>
      <c r="AP684">
        <v>0</v>
      </c>
      <c r="AR684" t="s">
        <v>1</v>
      </c>
      <c r="AT684" s="2">
        <v>47.728000000000002</v>
      </c>
      <c r="AU684" s="1">
        <f t="shared" si="91"/>
        <v>23.524015597100796</v>
      </c>
      <c r="AV684" s="1">
        <f t="shared" si="92"/>
        <v>16.861676066798047</v>
      </c>
      <c r="AW684" s="1">
        <f t="shared" si="93"/>
        <v>10.199336536495299</v>
      </c>
    </row>
    <row r="685" spans="1:49" x14ac:dyDescent="0.2">
      <c r="A685">
        <v>683</v>
      </c>
      <c r="B685" t="s">
        <v>839</v>
      </c>
      <c r="C685" t="s">
        <v>838</v>
      </c>
      <c r="E685">
        <v>6854367</v>
      </c>
      <c r="F685" t="s">
        <v>837</v>
      </c>
      <c r="G685" t="s">
        <v>15</v>
      </c>
      <c r="H685" t="s">
        <v>14</v>
      </c>
      <c r="I685" t="s">
        <v>836</v>
      </c>
      <c r="J685">
        <v>60002746</v>
      </c>
      <c r="K685" t="s">
        <v>835</v>
      </c>
      <c r="L685" t="s">
        <v>474</v>
      </c>
      <c r="M685" t="s">
        <v>10</v>
      </c>
      <c r="N685">
        <v>3</v>
      </c>
      <c r="O685" t="s">
        <v>834</v>
      </c>
      <c r="P685" t="s">
        <v>833</v>
      </c>
      <c r="Q685" t="s">
        <v>832</v>
      </c>
      <c r="R685" s="7">
        <v>30317</v>
      </c>
      <c r="S685" s="8">
        <f t="shared" si="88"/>
        <v>1983</v>
      </c>
      <c r="T685" s="8">
        <v>1983</v>
      </c>
      <c r="U685" s="8">
        <f t="shared" si="89"/>
        <v>39</v>
      </c>
      <c r="V685" s="7">
        <v>1983</v>
      </c>
      <c r="W685" t="s">
        <v>831</v>
      </c>
      <c r="X685" s="2">
        <v>3.4830000000000001</v>
      </c>
      <c r="Y685" s="6">
        <f t="shared" si="86"/>
        <v>9.2976695763594144E-2</v>
      </c>
      <c r="AA685">
        <v>2706474</v>
      </c>
      <c r="AB685">
        <v>16764</v>
      </c>
      <c r="AD685" t="s">
        <v>5</v>
      </c>
      <c r="AE685">
        <v>3</v>
      </c>
      <c r="AF685">
        <v>6</v>
      </c>
      <c r="AH685" t="s">
        <v>830</v>
      </c>
      <c r="AI685" t="s">
        <v>829</v>
      </c>
      <c r="AK685" t="s">
        <v>828</v>
      </c>
      <c r="AL685">
        <v>138</v>
      </c>
      <c r="AM685" s="5">
        <f t="shared" si="90"/>
        <v>3.5384615384615383</v>
      </c>
      <c r="AN685" s="4">
        <f t="shared" si="87"/>
        <v>5.3592753327702213E-3</v>
      </c>
      <c r="AO685" s="3"/>
      <c r="AP685">
        <v>1</v>
      </c>
      <c r="AR685" t="s">
        <v>1</v>
      </c>
      <c r="AT685" s="2">
        <v>6.1669999999999998</v>
      </c>
      <c r="AU685" s="1">
        <f t="shared" si="91"/>
        <v>6.6691469634346952</v>
      </c>
      <c r="AV685" s="1">
        <f t="shared" si="92"/>
        <v>4.916798554818218</v>
      </c>
      <c r="AW685" s="1">
        <f t="shared" si="93"/>
        <v>3.1644501462017396</v>
      </c>
    </row>
    <row r="686" spans="1:49" x14ac:dyDescent="0.2">
      <c r="A686">
        <v>684</v>
      </c>
      <c r="B686" t="s">
        <v>827</v>
      </c>
      <c r="C686" t="s">
        <v>826</v>
      </c>
      <c r="F686" t="s">
        <v>825</v>
      </c>
      <c r="G686" t="s">
        <v>15</v>
      </c>
      <c r="H686" t="s">
        <v>14</v>
      </c>
      <c r="I686" t="s">
        <v>824</v>
      </c>
      <c r="J686">
        <v>60009512</v>
      </c>
      <c r="K686" t="s">
        <v>823</v>
      </c>
      <c r="L686" t="s">
        <v>822</v>
      </c>
      <c r="M686" t="s">
        <v>821</v>
      </c>
      <c r="N686">
        <v>2</v>
      </c>
      <c r="O686" t="s">
        <v>820</v>
      </c>
      <c r="P686" t="s">
        <v>819</v>
      </c>
      <c r="Q686" t="s">
        <v>818</v>
      </c>
      <c r="R686" s="7">
        <v>30317</v>
      </c>
      <c r="S686" s="8">
        <f t="shared" si="88"/>
        <v>1983</v>
      </c>
      <c r="T686" s="8">
        <v>1983</v>
      </c>
      <c r="U686" s="8">
        <f t="shared" si="89"/>
        <v>39</v>
      </c>
      <c r="V686" s="7">
        <v>30317</v>
      </c>
      <c r="W686" t="s">
        <v>817</v>
      </c>
      <c r="X686" s="2">
        <v>2.9860000000000002</v>
      </c>
      <c r="Y686" s="6">
        <f t="shared" si="86"/>
        <v>7.9709564613865094E-2</v>
      </c>
      <c r="AA686">
        <v>7338716</v>
      </c>
      <c r="AB686">
        <v>18902</v>
      </c>
      <c r="AD686" t="s">
        <v>5</v>
      </c>
      <c r="AE686">
        <v>1</v>
      </c>
      <c r="AF686">
        <v>1</v>
      </c>
      <c r="AH686" t="s">
        <v>816</v>
      </c>
      <c r="AI686" t="s">
        <v>815</v>
      </c>
      <c r="AK686" t="s">
        <v>814</v>
      </c>
      <c r="AL686">
        <v>7</v>
      </c>
      <c r="AM686" s="5">
        <f t="shared" si="90"/>
        <v>0.17948717948717949</v>
      </c>
      <c r="AN686" s="4">
        <f t="shared" si="87"/>
        <v>2.7184729948834453E-4</v>
      </c>
      <c r="AO686" s="3"/>
      <c r="AP686">
        <v>0</v>
      </c>
      <c r="AR686" t="s">
        <v>1</v>
      </c>
      <c r="AT686" s="2" t="s">
        <v>0</v>
      </c>
      <c r="AU686" s="1">
        <f t="shared" si="91"/>
        <v>5.5878249419552066</v>
      </c>
      <c r="AV686" s="1">
        <f t="shared" si="92"/>
        <v>3.9990705956676718</v>
      </c>
      <c r="AW686" s="1">
        <f t="shared" si="93"/>
        <v>2.4103162493801369</v>
      </c>
    </row>
    <row r="687" spans="1:49" x14ac:dyDescent="0.2">
      <c r="A687">
        <v>685</v>
      </c>
      <c r="B687" t="s">
        <v>813</v>
      </c>
      <c r="C687" t="s">
        <v>812</v>
      </c>
      <c r="F687" t="s">
        <v>811</v>
      </c>
      <c r="G687" t="s">
        <v>15</v>
      </c>
      <c r="H687" t="s">
        <v>14</v>
      </c>
      <c r="I687" t="s">
        <v>810</v>
      </c>
      <c r="N687">
        <v>3</v>
      </c>
      <c r="O687" t="s">
        <v>809</v>
      </c>
      <c r="P687" t="s">
        <v>808</v>
      </c>
      <c r="Q687" t="s">
        <v>510</v>
      </c>
      <c r="R687" s="7">
        <v>30317</v>
      </c>
      <c r="S687" s="8">
        <f t="shared" si="88"/>
        <v>1983</v>
      </c>
      <c r="T687" s="8">
        <v>1983</v>
      </c>
      <c r="U687" s="8">
        <f t="shared" si="89"/>
        <v>39</v>
      </c>
      <c r="V687" s="7" t="s">
        <v>537</v>
      </c>
      <c r="W687" t="s">
        <v>798</v>
      </c>
      <c r="X687" s="2">
        <v>0.218</v>
      </c>
      <c r="Y687" s="6">
        <f t="shared" si="86"/>
        <v>5.8193854942473512E-3</v>
      </c>
      <c r="AA687">
        <v>3772063</v>
      </c>
      <c r="AB687">
        <v>130012</v>
      </c>
      <c r="AD687" t="s">
        <v>5</v>
      </c>
      <c r="AE687">
        <v>29</v>
      </c>
      <c r="AF687">
        <v>1</v>
      </c>
      <c r="AH687" t="s">
        <v>807</v>
      </c>
      <c r="AI687" t="s">
        <v>806</v>
      </c>
      <c r="AK687" t="s">
        <v>805</v>
      </c>
      <c r="AL687">
        <v>0</v>
      </c>
      <c r="AM687" s="5">
        <f t="shared" si="90"/>
        <v>0</v>
      </c>
      <c r="AN687" s="4">
        <f t="shared" si="87"/>
        <v>0</v>
      </c>
      <c r="AO687" s="3"/>
      <c r="AP687">
        <v>0</v>
      </c>
      <c r="AR687" t="s">
        <v>1</v>
      </c>
      <c r="AT687" s="2">
        <v>2.3330000000000002</v>
      </c>
      <c r="AU687" s="1">
        <f t="shared" si="91"/>
        <v>0.40735698459731456</v>
      </c>
      <c r="AV687" s="1">
        <f t="shared" si="92"/>
        <v>0.29096927471236755</v>
      </c>
      <c r="AW687" s="1">
        <f t="shared" si="93"/>
        <v>0.17458156482742054</v>
      </c>
    </row>
    <row r="688" spans="1:49" x14ac:dyDescent="0.2">
      <c r="A688">
        <v>686</v>
      </c>
      <c r="B688" t="s">
        <v>804</v>
      </c>
      <c r="C688" t="s">
        <v>803</v>
      </c>
      <c r="F688" t="s">
        <v>802</v>
      </c>
      <c r="G688" t="s">
        <v>15</v>
      </c>
      <c r="H688" t="s">
        <v>14</v>
      </c>
      <c r="I688" t="s">
        <v>801</v>
      </c>
      <c r="N688">
        <v>2</v>
      </c>
      <c r="O688" t="s">
        <v>800</v>
      </c>
      <c r="P688" t="s">
        <v>799</v>
      </c>
      <c r="Q688" t="s">
        <v>342</v>
      </c>
      <c r="R688" s="7">
        <v>30317</v>
      </c>
      <c r="S688" s="8">
        <f t="shared" si="88"/>
        <v>1983</v>
      </c>
      <c r="T688" s="8">
        <v>1983</v>
      </c>
      <c r="U688" s="8">
        <f t="shared" si="89"/>
        <v>39</v>
      </c>
      <c r="V688" s="7" t="s">
        <v>537</v>
      </c>
      <c r="W688" t="s">
        <v>798</v>
      </c>
      <c r="X688" s="2">
        <v>0.218</v>
      </c>
      <c r="Y688" s="6">
        <f t="shared" si="86"/>
        <v>5.8193854942473512E-3</v>
      </c>
      <c r="AA688">
        <v>3772063</v>
      </c>
      <c r="AB688">
        <v>130012</v>
      </c>
      <c r="AD688" t="s">
        <v>5</v>
      </c>
      <c r="AE688">
        <v>29</v>
      </c>
      <c r="AF688">
        <v>1</v>
      </c>
      <c r="AH688" t="s">
        <v>797</v>
      </c>
      <c r="AI688" t="s">
        <v>796</v>
      </c>
      <c r="AK688" t="s">
        <v>795</v>
      </c>
      <c r="AL688">
        <v>1</v>
      </c>
      <c r="AM688" s="5">
        <f t="shared" si="90"/>
        <v>2.564102564102564E-2</v>
      </c>
      <c r="AN688" s="4">
        <f t="shared" si="87"/>
        <v>3.8835328498334935E-5</v>
      </c>
      <c r="AO688" s="3"/>
      <c r="AP688">
        <v>0</v>
      </c>
      <c r="AR688" t="s">
        <v>1</v>
      </c>
      <c r="AT688" s="2">
        <v>2.3330000000000002</v>
      </c>
      <c r="AU688" s="1">
        <f t="shared" si="91"/>
        <v>0.40852204445226459</v>
      </c>
      <c r="AV688" s="1">
        <f t="shared" si="92"/>
        <v>0.29291104113728428</v>
      </c>
      <c r="AW688" s="1">
        <f t="shared" si="93"/>
        <v>0.17730003782230397</v>
      </c>
    </row>
    <row r="689" spans="1:49" x14ac:dyDescent="0.2">
      <c r="A689">
        <v>687</v>
      </c>
      <c r="B689" t="s">
        <v>794</v>
      </c>
      <c r="F689" t="s">
        <v>793</v>
      </c>
      <c r="G689" t="s">
        <v>15</v>
      </c>
      <c r="H689" t="s">
        <v>14</v>
      </c>
      <c r="I689" t="s">
        <v>792</v>
      </c>
      <c r="N689">
        <v>9</v>
      </c>
      <c r="O689" t="s">
        <v>791</v>
      </c>
      <c r="P689" t="s">
        <v>790</v>
      </c>
      <c r="Q689" t="s">
        <v>789</v>
      </c>
      <c r="R689" s="7">
        <v>30317</v>
      </c>
      <c r="S689" s="8">
        <f t="shared" si="88"/>
        <v>1983</v>
      </c>
      <c r="T689" s="8">
        <v>1983</v>
      </c>
      <c r="U689" s="8">
        <f t="shared" si="89"/>
        <v>39</v>
      </c>
      <c r="V689" s="7" t="s">
        <v>537</v>
      </c>
      <c r="W689" t="s">
        <v>788</v>
      </c>
      <c r="X689" s="2" t="s">
        <v>0</v>
      </c>
      <c r="Y689" s="6" t="e">
        <f t="shared" si="86"/>
        <v>#VALUE!</v>
      </c>
      <c r="AA689">
        <v>3761207</v>
      </c>
      <c r="AB689">
        <v>30443</v>
      </c>
      <c r="AD689" t="s">
        <v>5</v>
      </c>
      <c r="AF689">
        <v>22</v>
      </c>
      <c r="AH689" t="s">
        <v>787</v>
      </c>
      <c r="AI689" t="s">
        <v>786</v>
      </c>
      <c r="AK689" t="s">
        <v>785</v>
      </c>
      <c r="AL689">
        <v>0</v>
      </c>
      <c r="AM689" s="5">
        <f t="shared" si="90"/>
        <v>0</v>
      </c>
      <c r="AN689" s="4">
        <f t="shared" si="87"/>
        <v>0</v>
      </c>
      <c r="AO689" s="3"/>
      <c r="AP689">
        <v>0</v>
      </c>
      <c r="AR689" t="s">
        <v>1</v>
      </c>
      <c r="AT689" s="2" t="s">
        <v>0</v>
      </c>
      <c r="AU689" s="1" t="e">
        <f t="shared" si="91"/>
        <v>#VALUE!</v>
      </c>
      <c r="AV689" s="1" t="e">
        <f t="shared" si="92"/>
        <v>#VALUE!</v>
      </c>
      <c r="AW689" s="1" t="e">
        <f t="shared" si="93"/>
        <v>#VALUE!</v>
      </c>
    </row>
    <row r="690" spans="1:49" x14ac:dyDescent="0.2">
      <c r="A690">
        <v>688</v>
      </c>
      <c r="B690" t="s">
        <v>784</v>
      </c>
      <c r="C690" t="s">
        <v>783</v>
      </c>
      <c r="F690" t="s">
        <v>782</v>
      </c>
      <c r="G690" t="s">
        <v>15</v>
      </c>
      <c r="H690" t="s">
        <v>14</v>
      </c>
      <c r="I690" t="s">
        <v>488</v>
      </c>
      <c r="J690">
        <v>60020547</v>
      </c>
      <c r="K690" t="s">
        <v>487</v>
      </c>
      <c r="L690" t="s">
        <v>486</v>
      </c>
      <c r="M690" t="s">
        <v>10</v>
      </c>
      <c r="N690">
        <v>2</v>
      </c>
      <c r="O690" t="s">
        <v>781</v>
      </c>
      <c r="P690" t="s">
        <v>780</v>
      </c>
      <c r="Q690" t="s">
        <v>779</v>
      </c>
      <c r="R690" s="7">
        <v>30317</v>
      </c>
      <c r="S690" s="8">
        <f t="shared" si="88"/>
        <v>1983</v>
      </c>
      <c r="T690" s="8">
        <v>1983</v>
      </c>
      <c r="U690" s="8">
        <f t="shared" si="89"/>
        <v>39</v>
      </c>
      <c r="V690" s="7">
        <v>30317</v>
      </c>
      <c r="W690" t="s">
        <v>470</v>
      </c>
      <c r="X690" s="2">
        <v>2.141</v>
      </c>
      <c r="Y690" s="6">
        <f t="shared" si="86"/>
        <v>5.7152772216438434E-2</v>
      </c>
      <c r="AA690">
        <v>1962892</v>
      </c>
      <c r="AB690">
        <v>17360</v>
      </c>
      <c r="AC690">
        <v>15580644</v>
      </c>
      <c r="AD690" t="s">
        <v>5</v>
      </c>
      <c r="AE690" t="s">
        <v>469</v>
      </c>
      <c r="AF690">
        <v>1</v>
      </c>
      <c r="AH690" t="s">
        <v>778</v>
      </c>
      <c r="AI690" t="s">
        <v>777</v>
      </c>
      <c r="AK690" t="s">
        <v>776</v>
      </c>
      <c r="AL690">
        <v>13</v>
      </c>
      <c r="AM690" s="5">
        <f t="shared" si="90"/>
        <v>0.33333333333333331</v>
      </c>
      <c r="AN690" s="4">
        <f t="shared" si="87"/>
        <v>5.048592704783541E-4</v>
      </c>
      <c r="AO690" s="3"/>
      <c r="AP690">
        <v>0</v>
      </c>
      <c r="AR690" t="s">
        <v>1</v>
      </c>
      <c r="AT690" s="2" t="s">
        <v>0</v>
      </c>
      <c r="AU690" s="1">
        <f t="shared" si="91"/>
        <v>4.0158398332650407</v>
      </c>
      <c r="AV690" s="1">
        <f t="shared" si="92"/>
        <v>2.8828815743458391</v>
      </c>
      <c r="AW690" s="1">
        <f t="shared" si="93"/>
        <v>1.7499233154266376</v>
      </c>
    </row>
    <row r="691" spans="1:49" x14ac:dyDescent="0.2">
      <c r="A691">
        <v>689</v>
      </c>
      <c r="B691" t="s">
        <v>775</v>
      </c>
      <c r="C691" t="s">
        <v>774</v>
      </c>
      <c r="F691" t="s">
        <v>773</v>
      </c>
      <c r="G691" t="s">
        <v>15</v>
      </c>
      <c r="H691" t="s">
        <v>14</v>
      </c>
      <c r="I691" t="s">
        <v>772</v>
      </c>
      <c r="J691" t="s">
        <v>771</v>
      </c>
      <c r="K691" t="s">
        <v>770</v>
      </c>
      <c r="L691" t="s">
        <v>769</v>
      </c>
      <c r="M691" t="s">
        <v>406</v>
      </c>
      <c r="N691">
        <v>3</v>
      </c>
      <c r="O691" t="s">
        <v>768</v>
      </c>
      <c r="P691" t="s">
        <v>767</v>
      </c>
      <c r="Q691" t="s">
        <v>766</v>
      </c>
      <c r="R691" s="7">
        <v>30317</v>
      </c>
      <c r="S691" s="8">
        <f t="shared" si="88"/>
        <v>1983</v>
      </c>
      <c r="T691" s="8">
        <v>1983</v>
      </c>
      <c r="U691" s="8">
        <f t="shared" si="89"/>
        <v>39</v>
      </c>
      <c r="V691" s="7">
        <v>30317</v>
      </c>
      <c r="W691" t="s">
        <v>669</v>
      </c>
      <c r="X691" s="2">
        <v>1.137</v>
      </c>
      <c r="Y691" s="6">
        <f t="shared" si="86"/>
        <v>3.0351565628253384E-2</v>
      </c>
      <c r="AA691">
        <v>189251</v>
      </c>
      <c r="AB691">
        <v>17336</v>
      </c>
      <c r="AD691" t="s">
        <v>5</v>
      </c>
      <c r="AE691" t="s">
        <v>668</v>
      </c>
      <c r="AF691">
        <v>1</v>
      </c>
      <c r="AH691" s="10">
        <v>42401</v>
      </c>
      <c r="AI691" t="s">
        <v>765</v>
      </c>
      <c r="AK691" t="s">
        <v>764</v>
      </c>
      <c r="AL691">
        <v>2</v>
      </c>
      <c r="AM691" s="5">
        <f t="shared" si="90"/>
        <v>5.128205128205128E-2</v>
      </c>
      <c r="AN691" s="4">
        <f t="shared" si="87"/>
        <v>7.767065699666987E-5</v>
      </c>
      <c r="AO691" s="3"/>
      <c r="AP691">
        <v>0</v>
      </c>
      <c r="AR691" t="s">
        <v>1</v>
      </c>
      <c r="AT691" s="2" t="s">
        <v>0</v>
      </c>
      <c r="AU691" s="1">
        <f t="shared" si="91"/>
        <v>2.1269397136876367</v>
      </c>
      <c r="AV691" s="1">
        <f t="shared" si="92"/>
        <v>1.5214618142625027</v>
      </c>
      <c r="AW691" s="1">
        <f t="shared" si="93"/>
        <v>0.91598391483736841</v>
      </c>
    </row>
    <row r="692" spans="1:49" x14ac:dyDescent="0.2">
      <c r="A692">
        <v>690</v>
      </c>
      <c r="B692" t="s">
        <v>763</v>
      </c>
      <c r="C692" t="s">
        <v>762</v>
      </c>
      <c r="F692" t="s">
        <v>761</v>
      </c>
      <c r="G692" t="s">
        <v>15</v>
      </c>
      <c r="H692" t="s">
        <v>14</v>
      </c>
      <c r="I692" t="s">
        <v>760</v>
      </c>
      <c r="J692">
        <v>60001247</v>
      </c>
      <c r="K692" t="s">
        <v>759</v>
      </c>
      <c r="M692" t="s">
        <v>10</v>
      </c>
      <c r="N692">
        <v>1</v>
      </c>
      <c r="O692" t="s">
        <v>758</v>
      </c>
      <c r="P692">
        <v>7004004036</v>
      </c>
      <c r="Q692">
        <v>60001247</v>
      </c>
      <c r="R692" s="7">
        <v>30317</v>
      </c>
      <c r="S692" s="8">
        <f t="shared" si="88"/>
        <v>1983</v>
      </c>
      <c r="T692" s="8">
        <v>1983</v>
      </c>
      <c r="U692" s="8">
        <f t="shared" si="89"/>
        <v>39</v>
      </c>
      <c r="V692" s="7">
        <v>30317</v>
      </c>
      <c r="W692" t="s">
        <v>618</v>
      </c>
      <c r="X692" s="2">
        <v>1.6519999999999999</v>
      </c>
      <c r="Y692" s="6">
        <f t="shared" si="86"/>
        <v>4.409919649769093E-2</v>
      </c>
      <c r="AA692" t="s">
        <v>617</v>
      </c>
      <c r="AB692">
        <v>17337</v>
      </c>
      <c r="AC692">
        <v>15582221</v>
      </c>
      <c r="AD692" t="s">
        <v>5</v>
      </c>
      <c r="AE692">
        <v>31</v>
      </c>
      <c r="AF692">
        <v>1</v>
      </c>
      <c r="AH692" t="s">
        <v>757</v>
      </c>
      <c r="AI692" t="s">
        <v>756</v>
      </c>
      <c r="AK692" t="s">
        <v>755</v>
      </c>
      <c r="AL692">
        <v>39</v>
      </c>
      <c r="AM692" s="5">
        <f t="shared" si="90"/>
        <v>1</v>
      </c>
      <c r="AN692" s="4">
        <f t="shared" si="87"/>
        <v>1.5145778114350624E-3</v>
      </c>
      <c r="AO692" s="3"/>
      <c r="AP692">
        <v>0</v>
      </c>
      <c r="AR692" t="s">
        <v>1</v>
      </c>
      <c r="AT692" s="2" t="s">
        <v>0</v>
      </c>
      <c r="AU692" s="1">
        <f t="shared" si="91"/>
        <v>3.132381089181417</v>
      </c>
      <c r="AV692" s="1">
        <f t="shared" si="92"/>
        <v>2.2806887154562996</v>
      </c>
      <c r="AW692" s="1">
        <f t="shared" si="93"/>
        <v>1.4289963417311822</v>
      </c>
    </row>
    <row r="693" spans="1:49" x14ac:dyDescent="0.2">
      <c r="A693">
        <v>691</v>
      </c>
      <c r="B693" t="s">
        <v>754</v>
      </c>
      <c r="C693" t="s">
        <v>753</v>
      </c>
      <c r="F693" t="s">
        <v>752</v>
      </c>
      <c r="G693" t="s">
        <v>15</v>
      </c>
      <c r="H693" t="s">
        <v>14</v>
      </c>
      <c r="I693" t="s">
        <v>751</v>
      </c>
      <c r="J693">
        <v>60013141</v>
      </c>
      <c r="K693" t="s">
        <v>750</v>
      </c>
      <c r="L693" t="s">
        <v>749</v>
      </c>
      <c r="M693" t="s">
        <v>748</v>
      </c>
      <c r="N693">
        <v>1</v>
      </c>
      <c r="O693" t="s">
        <v>747</v>
      </c>
      <c r="P693">
        <v>7101988263</v>
      </c>
      <c r="Q693">
        <v>60013141</v>
      </c>
      <c r="R693" s="7">
        <v>30317</v>
      </c>
      <c r="S693" s="8">
        <f t="shared" si="88"/>
        <v>1983</v>
      </c>
      <c r="T693" s="8">
        <v>1983</v>
      </c>
      <c r="U693" s="8">
        <f t="shared" si="89"/>
        <v>39</v>
      </c>
      <c r="V693" s="7">
        <v>30317</v>
      </c>
      <c r="W693" t="s">
        <v>618</v>
      </c>
      <c r="X693" s="2">
        <v>1.6519999999999999</v>
      </c>
      <c r="Y693" s="6">
        <f t="shared" si="86"/>
        <v>4.409919649769093E-2</v>
      </c>
      <c r="AA693" t="s">
        <v>617</v>
      </c>
      <c r="AB693">
        <v>17337</v>
      </c>
      <c r="AC693">
        <v>15582221</v>
      </c>
      <c r="AD693" t="s">
        <v>5</v>
      </c>
      <c r="AE693">
        <v>31</v>
      </c>
      <c r="AF693">
        <v>1</v>
      </c>
      <c r="AH693" t="s">
        <v>746</v>
      </c>
      <c r="AI693" t="s">
        <v>745</v>
      </c>
      <c r="AK693" t="s">
        <v>744</v>
      </c>
      <c r="AL693">
        <v>57</v>
      </c>
      <c r="AM693" s="5">
        <f t="shared" si="90"/>
        <v>1.4615384615384615</v>
      </c>
      <c r="AN693" s="4">
        <f t="shared" si="87"/>
        <v>2.2136137244050912E-3</v>
      </c>
      <c r="AO693" s="3"/>
      <c r="AP693">
        <v>0</v>
      </c>
      <c r="AR693" t="s">
        <v>1</v>
      </c>
      <c r="AT693" s="2" t="s">
        <v>0</v>
      </c>
      <c r="AU693" s="1">
        <f t="shared" si="91"/>
        <v>3.1533521665705182</v>
      </c>
      <c r="AV693" s="1">
        <f t="shared" si="92"/>
        <v>2.3156405111048008</v>
      </c>
      <c r="AW693" s="1">
        <f t="shared" si="93"/>
        <v>1.4779288556390842</v>
      </c>
    </row>
    <row r="694" spans="1:49" x14ac:dyDescent="0.2">
      <c r="A694">
        <v>692</v>
      </c>
      <c r="B694" t="s">
        <v>743</v>
      </c>
      <c r="F694" t="s">
        <v>742</v>
      </c>
      <c r="G694" t="s">
        <v>15</v>
      </c>
      <c r="H694" t="s">
        <v>14</v>
      </c>
      <c r="I694" t="s">
        <v>741</v>
      </c>
      <c r="N694">
        <v>3</v>
      </c>
      <c r="O694" t="s">
        <v>740</v>
      </c>
      <c r="P694" t="s">
        <v>739</v>
      </c>
      <c r="Q694" t="s">
        <v>510</v>
      </c>
      <c r="R694" s="7">
        <v>30317</v>
      </c>
      <c r="S694" s="8">
        <f t="shared" si="88"/>
        <v>1983</v>
      </c>
      <c r="T694" s="8">
        <v>1983</v>
      </c>
      <c r="U694" s="8">
        <f t="shared" si="89"/>
        <v>39</v>
      </c>
      <c r="V694" s="7" t="s">
        <v>738</v>
      </c>
      <c r="W694" t="s">
        <v>737</v>
      </c>
      <c r="X694" s="2">
        <v>0.125</v>
      </c>
      <c r="Y694" s="6">
        <f t="shared" si="86"/>
        <v>3.3368036090867838E-3</v>
      </c>
      <c r="AA694">
        <v>26557</v>
      </c>
      <c r="AB694">
        <v>40401</v>
      </c>
      <c r="AD694" t="s">
        <v>5</v>
      </c>
      <c r="AE694">
        <v>52</v>
      </c>
      <c r="AF694">
        <v>1</v>
      </c>
      <c r="AH694" t="s">
        <v>736</v>
      </c>
      <c r="AI694" t="s">
        <v>735</v>
      </c>
      <c r="AK694" t="s">
        <v>734</v>
      </c>
      <c r="AL694">
        <v>6</v>
      </c>
      <c r="AM694" s="5">
        <f t="shared" si="90"/>
        <v>0.15384615384615385</v>
      </c>
      <c r="AN694" s="4">
        <f t="shared" si="87"/>
        <v>2.3301197099000962E-4</v>
      </c>
      <c r="AO694" s="3"/>
      <c r="AP694">
        <v>0</v>
      </c>
      <c r="AR694" t="s">
        <v>1</v>
      </c>
      <c r="AT694" s="2" t="s">
        <v>0</v>
      </c>
      <c r="AU694" s="1">
        <f t="shared" si="91"/>
        <v>0.2405666117657751</v>
      </c>
      <c r="AV694" s="1">
        <f t="shared" si="92"/>
        <v>0.17849077900383967</v>
      </c>
      <c r="AW694" s="1">
        <f t="shared" si="93"/>
        <v>0.11641494624190418</v>
      </c>
    </row>
    <row r="695" spans="1:49" x14ac:dyDescent="0.2">
      <c r="A695">
        <v>693</v>
      </c>
      <c r="B695" t="s">
        <v>733</v>
      </c>
      <c r="C695" t="s">
        <v>732</v>
      </c>
      <c r="F695" t="s">
        <v>731</v>
      </c>
      <c r="G695" t="s">
        <v>15</v>
      </c>
      <c r="H695" t="s">
        <v>14</v>
      </c>
      <c r="I695" t="s">
        <v>730</v>
      </c>
      <c r="N695">
        <v>1</v>
      </c>
      <c r="O695" t="s">
        <v>729</v>
      </c>
      <c r="P695">
        <v>7102492958</v>
      </c>
      <c r="R695" s="7">
        <v>30317</v>
      </c>
      <c r="S695" s="8">
        <f t="shared" si="88"/>
        <v>1983</v>
      </c>
      <c r="T695" s="8">
        <v>1983</v>
      </c>
      <c r="U695" s="8">
        <f t="shared" si="89"/>
        <v>39</v>
      </c>
      <c r="V695" s="7" t="s">
        <v>537</v>
      </c>
      <c r="W695" t="s">
        <v>728</v>
      </c>
      <c r="X695" s="2">
        <v>0.28599999999999998</v>
      </c>
      <c r="Y695" s="6">
        <f t="shared" si="86"/>
        <v>7.6346066575905605E-3</v>
      </c>
      <c r="AA695">
        <v>207209</v>
      </c>
      <c r="AB695">
        <v>17966</v>
      </c>
      <c r="AD695" t="s">
        <v>5</v>
      </c>
      <c r="AE695">
        <v>20</v>
      </c>
      <c r="AF695">
        <v>1</v>
      </c>
      <c r="AH695" t="s">
        <v>727</v>
      </c>
      <c r="AI695" t="s">
        <v>726</v>
      </c>
      <c r="AK695" t="s">
        <v>725</v>
      </c>
      <c r="AL695">
        <v>10</v>
      </c>
      <c r="AM695" s="5">
        <f t="shared" si="90"/>
        <v>0.25641025641025639</v>
      </c>
      <c r="AN695" s="4">
        <f t="shared" si="87"/>
        <v>3.8835328498334934E-4</v>
      </c>
      <c r="AO695" s="3"/>
      <c r="AP695">
        <v>0</v>
      </c>
      <c r="AR695" t="s">
        <v>1</v>
      </c>
      <c r="AT695" s="2" t="s">
        <v>0</v>
      </c>
      <c r="AU695" s="1">
        <f t="shared" si="91"/>
        <v>0.54607306458083971</v>
      </c>
      <c r="AV695" s="1">
        <f t="shared" si="92"/>
        <v>0.40114799712869548</v>
      </c>
      <c r="AW695" s="1">
        <f t="shared" si="93"/>
        <v>0.2562229296765513</v>
      </c>
    </row>
    <row r="696" spans="1:49" x14ac:dyDescent="0.2">
      <c r="A696">
        <v>694</v>
      </c>
      <c r="B696" t="s">
        <v>724</v>
      </c>
      <c r="C696" t="s">
        <v>723</v>
      </c>
      <c r="F696" t="s">
        <v>722</v>
      </c>
      <c r="G696" t="s">
        <v>15</v>
      </c>
      <c r="H696" t="s">
        <v>14</v>
      </c>
      <c r="I696" t="s">
        <v>721</v>
      </c>
      <c r="J696">
        <v>60009037</v>
      </c>
      <c r="K696" t="s">
        <v>720</v>
      </c>
      <c r="L696" t="s">
        <v>719</v>
      </c>
      <c r="M696" t="s">
        <v>10</v>
      </c>
      <c r="N696">
        <v>1</v>
      </c>
      <c r="O696" t="s">
        <v>718</v>
      </c>
      <c r="P696">
        <v>7102110120</v>
      </c>
      <c r="Q696">
        <v>60009037</v>
      </c>
      <c r="R696" s="7">
        <v>30317</v>
      </c>
      <c r="S696" s="8">
        <f t="shared" si="88"/>
        <v>1983</v>
      </c>
      <c r="T696" s="8">
        <v>1983</v>
      </c>
      <c r="U696" s="8">
        <f t="shared" si="89"/>
        <v>39</v>
      </c>
      <c r="V696" s="7">
        <v>30317</v>
      </c>
      <c r="W696" t="s">
        <v>618</v>
      </c>
      <c r="X696" s="2">
        <v>1.6519999999999999</v>
      </c>
      <c r="Y696" s="6">
        <f t="shared" si="86"/>
        <v>4.409919649769093E-2</v>
      </c>
      <c r="AA696" t="s">
        <v>617</v>
      </c>
      <c r="AB696">
        <v>17337</v>
      </c>
      <c r="AC696">
        <v>15582221</v>
      </c>
      <c r="AD696" t="s">
        <v>5</v>
      </c>
      <c r="AE696">
        <v>31</v>
      </c>
      <c r="AF696">
        <v>1</v>
      </c>
      <c r="AH696" t="s">
        <v>717</v>
      </c>
      <c r="AI696" t="s">
        <v>716</v>
      </c>
      <c r="AK696" t="s">
        <v>715</v>
      </c>
      <c r="AL696">
        <v>106</v>
      </c>
      <c r="AM696" s="5">
        <f t="shared" si="90"/>
        <v>2.7179487179487181</v>
      </c>
      <c r="AN696" s="4">
        <f t="shared" si="87"/>
        <v>4.1165448208235035E-3</v>
      </c>
      <c r="AO696" s="3"/>
      <c r="AP696">
        <v>0</v>
      </c>
      <c r="AR696" t="s">
        <v>1</v>
      </c>
      <c r="AT696" s="2" t="s">
        <v>0</v>
      </c>
      <c r="AU696" s="1">
        <f t="shared" si="91"/>
        <v>3.2104400994630704</v>
      </c>
      <c r="AV696" s="1">
        <f t="shared" si="92"/>
        <v>2.4107870659257218</v>
      </c>
      <c r="AW696" s="1">
        <f t="shared" si="93"/>
        <v>1.6111340323883732</v>
      </c>
    </row>
    <row r="697" spans="1:49" x14ac:dyDescent="0.2">
      <c r="A697">
        <v>695</v>
      </c>
      <c r="B697" t="s">
        <v>714</v>
      </c>
      <c r="C697" t="s">
        <v>713</v>
      </c>
      <c r="F697" t="s">
        <v>712</v>
      </c>
      <c r="G697" t="s">
        <v>15</v>
      </c>
      <c r="H697" t="s">
        <v>14</v>
      </c>
      <c r="I697" t="s">
        <v>711</v>
      </c>
      <c r="J697" t="s">
        <v>706</v>
      </c>
      <c r="K697" t="s">
        <v>710</v>
      </c>
      <c r="L697" t="s">
        <v>709</v>
      </c>
      <c r="M697" t="s">
        <v>91</v>
      </c>
      <c r="N697">
        <v>2</v>
      </c>
      <c r="O697" t="s">
        <v>708</v>
      </c>
      <c r="P697" t="s">
        <v>707</v>
      </c>
      <c r="Q697" t="s">
        <v>706</v>
      </c>
      <c r="R697" s="7">
        <v>30317</v>
      </c>
      <c r="S697" s="8">
        <f t="shared" si="88"/>
        <v>1983</v>
      </c>
      <c r="T697" s="8">
        <v>1983</v>
      </c>
      <c r="U697" s="8">
        <f t="shared" si="89"/>
        <v>39</v>
      </c>
      <c r="V697" s="7">
        <v>30317</v>
      </c>
      <c r="W697" t="s">
        <v>618</v>
      </c>
      <c r="X697" s="2">
        <v>1.6519999999999999</v>
      </c>
      <c r="Y697" s="6">
        <f t="shared" si="86"/>
        <v>4.409919649769093E-2</v>
      </c>
      <c r="AA697" t="s">
        <v>617</v>
      </c>
      <c r="AB697">
        <v>17337</v>
      </c>
      <c r="AC697">
        <v>15582221</v>
      </c>
      <c r="AD697" t="s">
        <v>5</v>
      </c>
      <c r="AE697">
        <v>31</v>
      </c>
      <c r="AF697">
        <v>1</v>
      </c>
      <c r="AH697" t="s">
        <v>705</v>
      </c>
      <c r="AI697" t="s">
        <v>704</v>
      </c>
      <c r="AK697" t="s">
        <v>703</v>
      </c>
      <c r="AL697">
        <v>21</v>
      </c>
      <c r="AM697" s="5">
        <f t="shared" si="90"/>
        <v>0.53846153846153844</v>
      </c>
      <c r="AN697" s="4">
        <f t="shared" si="87"/>
        <v>8.1554189846503363E-4</v>
      </c>
      <c r="AO697" s="3"/>
      <c r="AP697">
        <v>0</v>
      </c>
      <c r="AR697" t="s">
        <v>1</v>
      </c>
      <c r="AT697" s="2" t="s">
        <v>0</v>
      </c>
      <c r="AU697" s="1">
        <f t="shared" si="91"/>
        <v>3.1114100117923158</v>
      </c>
      <c r="AV697" s="1">
        <f t="shared" si="92"/>
        <v>2.2457369198077983</v>
      </c>
      <c r="AW697" s="1">
        <f t="shared" si="93"/>
        <v>1.3800638278232802</v>
      </c>
    </row>
    <row r="698" spans="1:49" x14ac:dyDescent="0.2">
      <c r="A698">
        <v>696</v>
      </c>
      <c r="B698" t="s">
        <v>702</v>
      </c>
      <c r="C698" t="s">
        <v>701</v>
      </c>
      <c r="F698" t="s">
        <v>700</v>
      </c>
      <c r="G698" t="s">
        <v>15</v>
      </c>
      <c r="H698" t="s">
        <v>14</v>
      </c>
      <c r="I698" t="s">
        <v>699</v>
      </c>
      <c r="J698">
        <v>60027550</v>
      </c>
      <c r="K698" t="s">
        <v>660</v>
      </c>
      <c r="L698" t="s">
        <v>659</v>
      </c>
      <c r="M698" t="s">
        <v>10</v>
      </c>
      <c r="N698">
        <v>2</v>
      </c>
      <c r="O698" t="s">
        <v>698</v>
      </c>
      <c r="P698" t="s">
        <v>697</v>
      </c>
      <c r="Q698" t="s">
        <v>696</v>
      </c>
      <c r="R698" s="7">
        <v>30317</v>
      </c>
      <c r="S698" s="8">
        <f t="shared" si="88"/>
        <v>1983</v>
      </c>
      <c r="T698" s="8">
        <v>1983</v>
      </c>
      <c r="U698" s="8">
        <f t="shared" si="89"/>
        <v>39</v>
      </c>
      <c r="V698" s="7">
        <v>30317</v>
      </c>
      <c r="W698" t="s">
        <v>618</v>
      </c>
      <c r="X698" s="2">
        <v>1.6519999999999999</v>
      </c>
      <c r="Y698" s="6">
        <f t="shared" si="86"/>
        <v>4.409919649769093E-2</v>
      </c>
      <c r="AA698" t="s">
        <v>617</v>
      </c>
      <c r="AB698">
        <v>17337</v>
      </c>
      <c r="AC698">
        <v>15582221</v>
      </c>
      <c r="AD698" t="s">
        <v>5</v>
      </c>
      <c r="AE698">
        <v>31</v>
      </c>
      <c r="AF698">
        <v>1</v>
      </c>
      <c r="AH698" t="s">
        <v>695</v>
      </c>
      <c r="AI698" t="s">
        <v>694</v>
      </c>
      <c r="AK698" t="s">
        <v>693</v>
      </c>
      <c r="AL698">
        <v>89</v>
      </c>
      <c r="AM698" s="5">
        <f t="shared" si="90"/>
        <v>2.2820512820512819</v>
      </c>
      <c r="AN698" s="4">
        <f t="shared" si="87"/>
        <v>3.4563442363518089E-3</v>
      </c>
      <c r="AO698" s="3"/>
      <c r="AP698">
        <v>0</v>
      </c>
      <c r="AR698" t="s">
        <v>1</v>
      </c>
      <c r="AT698" s="2" t="s">
        <v>0</v>
      </c>
      <c r="AU698" s="1">
        <f t="shared" si="91"/>
        <v>3.190634081928919</v>
      </c>
      <c r="AV698" s="1">
        <f t="shared" si="92"/>
        <v>2.3777770367021369</v>
      </c>
      <c r="AW698" s="1">
        <f t="shared" si="93"/>
        <v>1.5649199914753542</v>
      </c>
    </row>
    <row r="699" spans="1:49" x14ac:dyDescent="0.2">
      <c r="A699">
        <v>697</v>
      </c>
      <c r="B699" t="s">
        <v>692</v>
      </c>
      <c r="C699" t="s">
        <v>691</v>
      </c>
      <c r="F699" t="s">
        <v>690</v>
      </c>
      <c r="G699" t="s">
        <v>15</v>
      </c>
      <c r="H699" t="s">
        <v>14</v>
      </c>
      <c r="I699" t="s">
        <v>689</v>
      </c>
      <c r="J699" t="s">
        <v>688</v>
      </c>
      <c r="K699" t="s">
        <v>687</v>
      </c>
      <c r="L699" t="s">
        <v>686</v>
      </c>
      <c r="M699" t="s">
        <v>685</v>
      </c>
      <c r="N699">
        <v>2</v>
      </c>
      <c r="O699" t="s">
        <v>684</v>
      </c>
      <c r="P699" t="s">
        <v>683</v>
      </c>
      <c r="Q699" t="s">
        <v>682</v>
      </c>
      <c r="R699" s="7">
        <v>30317</v>
      </c>
      <c r="S699" s="8">
        <f t="shared" si="88"/>
        <v>1983</v>
      </c>
      <c r="T699" s="8">
        <v>1983</v>
      </c>
      <c r="U699" s="8">
        <f t="shared" si="89"/>
        <v>39</v>
      </c>
      <c r="V699" s="7">
        <v>30317</v>
      </c>
      <c r="W699" t="s">
        <v>618</v>
      </c>
      <c r="X699" s="2">
        <v>1.6519999999999999</v>
      </c>
      <c r="Y699" s="6">
        <f t="shared" si="86"/>
        <v>4.409919649769093E-2</v>
      </c>
      <c r="AA699" t="s">
        <v>617</v>
      </c>
      <c r="AB699">
        <v>17337</v>
      </c>
      <c r="AC699">
        <v>15582221</v>
      </c>
      <c r="AD699" t="s">
        <v>5</v>
      </c>
      <c r="AE699">
        <v>31</v>
      </c>
      <c r="AF699">
        <v>1</v>
      </c>
      <c r="AH699" t="s">
        <v>681</v>
      </c>
      <c r="AI699" t="s">
        <v>680</v>
      </c>
      <c r="AK699" t="s">
        <v>679</v>
      </c>
      <c r="AL699">
        <v>37</v>
      </c>
      <c r="AM699" s="5">
        <f t="shared" si="90"/>
        <v>0.94871794871794868</v>
      </c>
      <c r="AN699" s="4">
        <f t="shared" si="87"/>
        <v>1.4369071544383925E-3</v>
      </c>
      <c r="AO699" s="3"/>
      <c r="AP699">
        <v>0</v>
      </c>
      <c r="AR699" t="s">
        <v>1</v>
      </c>
      <c r="AT699" s="2" t="s">
        <v>0</v>
      </c>
      <c r="AU699" s="1">
        <f t="shared" si="91"/>
        <v>3.1300509694715171</v>
      </c>
      <c r="AV699" s="1">
        <f t="shared" si="92"/>
        <v>2.2768051826064664</v>
      </c>
      <c r="AW699" s="1">
        <f t="shared" si="93"/>
        <v>1.4235593957414152</v>
      </c>
    </row>
    <row r="700" spans="1:49" x14ac:dyDescent="0.2">
      <c r="A700">
        <v>698</v>
      </c>
      <c r="B700" t="s">
        <v>678</v>
      </c>
      <c r="C700" t="s">
        <v>677</v>
      </c>
      <c r="F700" t="s">
        <v>676</v>
      </c>
      <c r="G700" t="s">
        <v>15</v>
      </c>
      <c r="H700" t="s">
        <v>14</v>
      </c>
      <c r="I700" t="s">
        <v>675</v>
      </c>
      <c r="J700">
        <v>60014652</v>
      </c>
      <c r="K700" t="s">
        <v>674</v>
      </c>
      <c r="L700" t="s">
        <v>673</v>
      </c>
      <c r="M700" t="s">
        <v>55</v>
      </c>
      <c r="N700">
        <v>3</v>
      </c>
      <c r="O700" t="s">
        <v>672</v>
      </c>
      <c r="P700" t="s">
        <v>671</v>
      </c>
      <c r="Q700" t="s">
        <v>670</v>
      </c>
      <c r="R700" s="7">
        <v>30317</v>
      </c>
      <c r="S700" s="8">
        <f t="shared" si="88"/>
        <v>1983</v>
      </c>
      <c r="T700" s="8">
        <v>1983</v>
      </c>
      <c r="U700" s="8">
        <f t="shared" si="89"/>
        <v>39</v>
      </c>
      <c r="V700" s="7">
        <v>30317</v>
      </c>
      <c r="W700" t="s">
        <v>669</v>
      </c>
      <c r="X700" s="2">
        <v>1.137</v>
      </c>
      <c r="Y700" s="6">
        <f t="shared" si="86"/>
        <v>3.0351565628253384E-2</v>
      </c>
      <c r="AA700">
        <v>189251</v>
      </c>
      <c r="AB700">
        <v>17336</v>
      </c>
      <c r="AD700" t="s">
        <v>5</v>
      </c>
      <c r="AE700" t="s">
        <v>668</v>
      </c>
      <c r="AF700">
        <v>1</v>
      </c>
      <c r="AH700" t="s">
        <v>667</v>
      </c>
      <c r="AI700" t="s">
        <v>666</v>
      </c>
      <c r="AK700" t="s">
        <v>665</v>
      </c>
      <c r="AL700">
        <v>2</v>
      </c>
      <c r="AM700" s="5">
        <f t="shared" si="90"/>
        <v>5.128205128205128E-2</v>
      </c>
      <c r="AN700" s="4">
        <f t="shared" si="87"/>
        <v>7.767065699666987E-5</v>
      </c>
      <c r="AO700" s="3"/>
      <c r="AP700">
        <v>0</v>
      </c>
      <c r="AR700" t="s">
        <v>1</v>
      </c>
      <c r="AT700" s="2" t="s">
        <v>0</v>
      </c>
      <c r="AU700" s="1">
        <f t="shared" si="91"/>
        <v>2.1269397136876367</v>
      </c>
      <c r="AV700" s="1">
        <f t="shared" si="92"/>
        <v>1.5214618142625027</v>
      </c>
      <c r="AW700" s="1">
        <f t="shared" si="93"/>
        <v>0.91598391483736841</v>
      </c>
    </row>
    <row r="701" spans="1:49" x14ac:dyDescent="0.2">
      <c r="A701">
        <v>699</v>
      </c>
      <c r="B701" t="s">
        <v>664</v>
      </c>
      <c r="C701" t="s">
        <v>663</v>
      </c>
      <c r="F701" t="s">
        <v>662</v>
      </c>
      <c r="G701" t="s">
        <v>15</v>
      </c>
      <c r="H701" t="s">
        <v>14</v>
      </c>
      <c r="I701" t="s">
        <v>661</v>
      </c>
      <c r="J701">
        <v>60027550</v>
      </c>
      <c r="K701" t="s">
        <v>660</v>
      </c>
      <c r="L701" t="s">
        <v>659</v>
      </c>
      <c r="M701" t="s">
        <v>10</v>
      </c>
      <c r="N701">
        <v>1</v>
      </c>
      <c r="O701" t="s">
        <v>658</v>
      </c>
      <c r="P701">
        <v>57220065537</v>
      </c>
      <c r="Q701">
        <v>60027550</v>
      </c>
      <c r="R701" s="7">
        <v>30317</v>
      </c>
      <c r="S701" s="8">
        <f t="shared" si="88"/>
        <v>1983</v>
      </c>
      <c r="T701" s="8">
        <v>1983</v>
      </c>
      <c r="U701" s="8">
        <f t="shared" si="89"/>
        <v>39</v>
      </c>
      <c r="V701" s="7">
        <v>30317</v>
      </c>
      <c r="W701" t="s">
        <v>618</v>
      </c>
      <c r="X701" s="2">
        <v>1.6519999999999999</v>
      </c>
      <c r="Y701" s="6">
        <f t="shared" si="86"/>
        <v>4.409919649769093E-2</v>
      </c>
      <c r="AA701" t="s">
        <v>617</v>
      </c>
      <c r="AB701">
        <v>17337</v>
      </c>
      <c r="AC701">
        <v>15582221</v>
      </c>
      <c r="AD701" t="s">
        <v>5</v>
      </c>
      <c r="AE701">
        <v>31</v>
      </c>
      <c r="AF701">
        <v>1</v>
      </c>
      <c r="AH701" t="s">
        <v>657</v>
      </c>
      <c r="AI701" t="s">
        <v>656</v>
      </c>
      <c r="AK701" t="s">
        <v>655</v>
      </c>
      <c r="AL701">
        <v>378</v>
      </c>
      <c r="AM701" s="5">
        <f t="shared" si="90"/>
        <v>9.6923076923076916</v>
      </c>
      <c r="AN701" s="4">
        <f t="shared" si="87"/>
        <v>1.4679754172370605E-2</v>
      </c>
      <c r="AO701" s="3"/>
      <c r="AP701">
        <v>0</v>
      </c>
      <c r="AR701" t="s">
        <v>1</v>
      </c>
      <c r="AT701" s="2" t="s">
        <v>0</v>
      </c>
      <c r="AU701" s="1">
        <f t="shared" si="91"/>
        <v>3.5273363800094835</v>
      </c>
      <c r="AV701" s="1">
        <f t="shared" si="92"/>
        <v>2.938947533503077</v>
      </c>
      <c r="AW701" s="1">
        <f t="shared" si="93"/>
        <v>2.3505586869966701</v>
      </c>
    </row>
    <row r="702" spans="1:49" x14ac:dyDescent="0.2">
      <c r="A702">
        <v>700</v>
      </c>
      <c r="B702" t="s">
        <v>654</v>
      </c>
      <c r="C702" t="s">
        <v>653</v>
      </c>
      <c r="F702" t="s">
        <v>652</v>
      </c>
      <c r="G702" t="s">
        <v>15</v>
      </c>
      <c r="H702" t="s">
        <v>14</v>
      </c>
      <c r="I702" t="s">
        <v>651</v>
      </c>
      <c r="J702" t="s">
        <v>650</v>
      </c>
      <c r="K702" t="s">
        <v>649</v>
      </c>
      <c r="L702" t="s">
        <v>648</v>
      </c>
      <c r="M702" t="s">
        <v>91</v>
      </c>
      <c r="N702">
        <v>6</v>
      </c>
      <c r="O702" t="s">
        <v>647</v>
      </c>
      <c r="P702" t="s">
        <v>646</v>
      </c>
      <c r="Q702" t="s">
        <v>645</v>
      </c>
      <c r="R702" s="7">
        <v>30317</v>
      </c>
      <c r="S702" s="8">
        <f t="shared" si="88"/>
        <v>1983</v>
      </c>
      <c r="T702" s="8">
        <v>1983</v>
      </c>
      <c r="U702" s="8">
        <f t="shared" si="89"/>
        <v>39</v>
      </c>
      <c r="V702" s="7">
        <v>30317</v>
      </c>
      <c r="W702" t="s">
        <v>644</v>
      </c>
      <c r="X702" s="2">
        <v>1.774</v>
      </c>
      <c r="Y702" s="6">
        <f t="shared" si="86"/>
        <v>4.7355916820159633E-2</v>
      </c>
      <c r="AA702">
        <v>295515</v>
      </c>
      <c r="AB702">
        <v>29066</v>
      </c>
      <c r="AC702">
        <v>17414326</v>
      </c>
      <c r="AD702" t="s">
        <v>5</v>
      </c>
      <c r="AE702">
        <v>23</v>
      </c>
      <c r="AF702">
        <v>1</v>
      </c>
      <c r="AH702" t="s">
        <v>643</v>
      </c>
      <c r="AI702" t="s">
        <v>642</v>
      </c>
      <c r="AK702" t="s">
        <v>641</v>
      </c>
      <c r="AL702">
        <v>8</v>
      </c>
      <c r="AM702" s="5">
        <f t="shared" si="90"/>
        <v>0.20512820512820512</v>
      </c>
      <c r="AN702" s="4">
        <f t="shared" si="87"/>
        <v>3.1068262798667948E-4</v>
      </c>
      <c r="AO702" s="3"/>
      <c r="AP702">
        <v>0</v>
      </c>
      <c r="AR702" t="s">
        <v>1</v>
      </c>
      <c r="AT702" s="2">
        <v>3.1789999999999998</v>
      </c>
      <c r="AU702" s="1">
        <f t="shared" si="91"/>
        <v>3.3242346562507743</v>
      </c>
      <c r="AV702" s="1">
        <f t="shared" si="92"/>
        <v>2.3833299724073154</v>
      </c>
      <c r="AW702" s="1">
        <f t="shared" si="93"/>
        <v>1.4424252885638564</v>
      </c>
    </row>
    <row r="703" spans="1:49" x14ac:dyDescent="0.2">
      <c r="A703">
        <v>701</v>
      </c>
      <c r="B703" t="s">
        <v>640</v>
      </c>
      <c r="C703" t="s">
        <v>639</v>
      </c>
      <c r="F703" t="s">
        <v>638</v>
      </c>
      <c r="G703" t="s">
        <v>15</v>
      </c>
      <c r="H703" t="s">
        <v>14</v>
      </c>
      <c r="I703" t="s">
        <v>637</v>
      </c>
      <c r="J703" t="s">
        <v>636</v>
      </c>
      <c r="K703" t="s">
        <v>635</v>
      </c>
      <c r="L703" t="s">
        <v>634</v>
      </c>
      <c r="M703" t="s">
        <v>91</v>
      </c>
      <c r="N703">
        <v>3</v>
      </c>
      <c r="O703" t="s">
        <v>633</v>
      </c>
      <c r="P703" t="s">
        <v>632</v>
      </c>
      <c r="Q703" t="s">
        <v>631</v>
      </c>
      <c r="R703" s="7">
        <v>30317</v>
      </c>
      <c r="S703" s="8">
        <f t="shared" si="88"/>
        <v>1983</v>
      </c>
      <c r="T703" s="8">
        <v>1983</v>
      </c>
      <c r="U703" s="8">
        <f t="shared" si="89"/>
        <v>39</v>
      </c>
      <c r="V703" s="7">
        <v>30317</v>
      </c>
      <c r="W703" t="s">
        <v>618</v>
      </c>
      <c r="X703" s="2">
        <v>1.6519999999999999</v>
      </c>
      <c r="Y703" s="6">
        <f t="shared" si="86"/>
        <v>4.409919649769093E-2</v>
      </c>
      <c r="AA703" t="s">
        <v>617</v>
      </c>
      <c r="AB703">
        <v>17337</v>
      </c>
      <c r="AC703">
        <v>15582221</v>
      </c>
      <c r="AD703" t="s">
        <v>5</v>
      </c>
      <c r="AE703">
        <v>31</v>
      </c>
      <c r="AF703">
        <v>1</v>
      </c>
      <c r="AH703" t="s">
        <v>630</v>
      </c>
      <c r="AI703" t="s">
        <v>629</v>
      </c>
      <c r="AK703" t="s">
        <v>628</v>
      </c>
      <c r="AL703">
        <v>41</v>
      </c>
      <c r="AM703" s="5">
        <f t="shared" si="90"/>
        <v>1.0512820512820513</v>
      </c>
      <c r="AN703" s="4">
        <f t="shared" si="87"/>
        <v>1.5922484684317323E-3</v>
      </c>
      <c r="AO703" s="3"/>
      <c r="AP703">
        <v>0</v>
      </c>
      <c r="AR703" t="s">
        <v>1</v>
      </c>
      <c r="AT703" s="2" t="s">
        <v>0</v>
      </c>
      <c r="AU703" s="1">
        <f t="shared" si="91"/>
        <v>3.1347112088913174</v>
      </c>
      <c r="AV703" s="1">
        <f t="shared" si="92"/>
        <v>2.2845722483061333</v>
      </c>
      <c r="AW703" s="1">
        <f t="shared" si="93"/>
        <v>1.4344332877209491</v>
      </c>
    </row>
    <row r="704" spans="1:49" x14ac:dyDescent="0.2">
      <c r="A704">
        <v>702</v>
      </c>
      <c r="B704" t="s">
        <v>627</v>
      </c>
      <c r="C704" t="s">
        <v>626</v>
      </c>
      <c r="F704" t="s">
        <v>625</v>
      </c>
      <c r="G704" t="s">
        <v>15</v>
      </c>
      <c r="H704" t="s">
        <v>14</v>
      </c>
      <c r="I704" t="s">
        <v>624</v>
      </c>
      <c r="J704">
        <v>60029575</v>
      </c>
      <c r="K704" t="s">
        <v>623</v>
      </c>
      <c r="L704" t="s">
        <v>622</v>
      </c>
      <c r="M704" t="s">
        <v>10</v>
      </c>
      <c r="N704">
        <v>2</v>
      </c>
      <c r="O704" t="s">
        <v>621</v>
      </c>
      <c r="P704" t="s">
        <v>620</v>
      </c>
      <c r="Q704" t="s">
        <v>619</v>
      </c>
      <c r="R704" s="7">
        <v>30317</v>
      </c>
      <c r="S704" s="8">
        <f t="shared" si="88"/>
        <v>1983</v>
      </c>
      <c r="T704" s="8">
        <v>1983</v>
      </c>
      <c r="U704" s="8">
        <f t="shared" si="89"/>
        <v>39</v>
      </c>
      <c r="V704" s="7">
        <v>30317</v>
      </c>
      <c r="W704" t="s">
        <v>618</v>
      </c>
      <c r="X704" s="2">
        <v>1.6519999999999999</v>
      </c>
      <c r="Y704" s="6">
        <f t="shared" si="86"/>
        <v>4.409919649769093E-2</v>
      </c>
      <c r="AA704" t="s">
        <v>617</v>
      </c>
      <c r="AB704">
        <v>17337</v>
      </c>
      <c r="AC704">
        <v>15582221</v>
      </c>
      <c r="AD704" t="s">
        <v>5</v>
      </c>
      <c r="AE704">
        <v>31</v>
      </c>
      <c r="AF704">
        <v>1</v>
      </c>
      <c r="AH704" t="s">
        <v>616</v>
      </c>
      <c r="AI704" t="s">
        <v>615</v>
      </c>
      <c r="AK704" t="s">
        <v>614</v>
      </c>
      <c r="AL704">
        <v>4</v>
      </c>
      <c r="AM704" s="5">
        <f t="shared" si="90"/>
        <v>0.10256410256410256</v>
      </c>
      <c r="AN704" s="4">
        <f t="shared" si="87"/>
        <v>1.5534131399333974E-4</v>
      </c>
      <c r="AO704" s="3"/>
      <c r="AP704">
        <v>0</v>
      </c>
      <c r="AR704" t="s">
        <v>1</v>
      </c>
      <c r="AT704" s="2" t="s">
        <v>0</v>
      </c>
      <c r="AU704" s="1">
        <f t="shared" si="91"/>
        <v>3.0916039942581652</v>
      </c>
      <c r="AV704" s="1">
        <f t="shared" si="92"/>
        <v>2.2127268905842135</v>
      </c>
      <c r="AW704" s="1">
        <f t="shared" si="93"/>
        <v>1.3338497869102617</v>
      </c>
    </row>
    <row r="705" spans="1:49" x14ac:dyDescent="0.2">
      <c r="A705">
        <v>703</v>
      </c>
      <c r="B705" t="s">
        <v>613</v>
      </c>
      <c r="F705" t="s">
        <v>612</v>
      </c>
      <c r="G705" t="s">
        <v>15</v>
      </c>
      <c r="H705" t="s">
        <v>14</v>
      </c>
      <c r="I705" t="s">
        <v>611</v>
      </c>
      <c r="N705">
        <v>2</v>
      </c>
      <c r="O705" t="s">
        <v>610</v>
      </c>
      <c r="P705" t="s">
        <v>609</v>
      </c>
      <c r="Q705" t="s">
        <v>342</v>
      </c>
      <c r="R705" s="7">
        <v>30317</v>
      </c>
      <c r="S705" s="8">
        <f t="shared" si="88"/>
        <v>1983</v>
      </c>
      <c r="T705" s="8">
        <v>1983</v>
      </c>
      <c r="U705" s="8">
        <f t="shared" si="89"/>
        <v>39</v>
      </c>
      <c r="V705" s="7" t="s">
        <v>537</v>
      </c>
      <c r="W705" t="s">
        <v>560</v>
      </c>
      <c r="X705" s="2" t="s">
        <v>0</v>
      </c>
      <c r="Y705" s="6" t="e">
        <f t="shared" si="86"/>
        <v>#VALUE!</v>
      </c>
      <c r="AA705">
        <v>337889</v>
      </c>
      <c r="AB705">
        <v>40920</v>
      </c>
      <c r="AD705" t="s">
        <v>5</v>
      </c>
      <c r="AE705">
        <v>28</v>
      </c>
      <c r="AF705">
        <v>1</v>
      </c>
      <c r="AH705" t="s">
        <v>608</v>
      </c>
      <c r="AI705" t="s">
        <v>607</v>
      </c>
      <c r="AK705" t="s">
        <v>606</v>
      </c>
      <c r="AL705">
        <v>0</v>
      </c>
      <c r="AM705" s="5">
        <f t="shared" si="90"/>
        <v>0</v>
      </c>
      <c r="AN705" s="4">
        <f t="shared" si="87"/>
        <v>0</v>
      </c>
      <c r="AO705" s="3"/>
      <c r="AP705">
        <v>0</v>
      </c>
      <c r="AR705" t="s">
        <v>1</v>
      </c>
      <c r="AT705" s="2" t="s">
        <v>0</v>
      </c>
      <c r="AU705" s="1" t="e">
        <f t="shared" si="91"/>
        <v>#VALUE!</v>
      </c>
      <c r="AV705" s="1" t="e">
        <f t="shared" si="92"/>
        <v>#VALUE!</v>
      </c>
      <c r="AW705" s="1" t="e">
        <f t="shared" si="93"/>
        <v>#VALUE!</v>
      </c>
    </row>
    <row r="706" spans="1:49" x14ac:dyDescent="0.2">
      <c r="A706">
        <v>704</v>
      </c>
      <c r="B706" t="s">
        <v>605</v>
      </c>
      <c r="F706" t="s">
        <v>604</v>
      </c>
      <c r="G706" t="s">
        <v>15</v>
      </c>
      <c r="H706" t="s">
        <v>14</v>
      </c>
      <c r="I706" t="s">
        <v>603</v>
      </c>
      <c r="N706">
        <v>3</v>
      </c>
      <c r="O706" t="s">
        <v>602</v>
      </c>
      <c r="P706" t="s">
        <v>601</v>
      </c>
      <c r="Q706" t="s">
        <v>510</v>
      </c>
      <c r="R706" s="7">
        <v>30317</v>
      </c>
      <c r="S706" s="8">
        <f t="shared" si="88"/>
        <v>1983</v>
      </c>
      <c r="T706" s="8">
        <v>1983</v>
      </c>
      <c r="U706" s="8">
        <f t="shared" si="89"/>
        <v>39</v>
      </c>
      <c r="V706" s="7" t="s">
        <v>537</v>
      </c>
      <c r="W706" t="s">
        <v>584</v>
      </c>
      <c r="X706" s="2" t="s">
        <v>0</v>
      </c>
      <c r="Y706" s="6" t="e">
        <f t="shared" ref="Y706:Y754" si="94">(X706-$Z$4)/($Z$3-$Z$4)</f>
        <v>#VALUE!</v>
      </c>
      <c r="AA706">
        <v>4248368</v>
      </c>
      <c r="AB706">
        <v>31213</v>
      </c>
      <c r="AD706" t="s">
        <v>5</v>
      </c>
      <c r="AE706">
        <v>6</v>
      </c>
      <c r="AF706">
        <v>1</v>
      </c>
      <c r="AH706" t="s">
        <v>600</v>
      </c>
      <c r="AI706" t="s">
        <v>599</v>
      </c>
      <c r="AK706" t="s">
        <v>598</v>
      </c>
      <c r="AL706">
        <v>1</v>
      </c>
      <c r="AM706" s="5">
        <f t="shared" si="90"/>
        <v>2.564102564102564E-2</v>
      </c>
      <c r="AN706" s="4">
        <f t="shared" ref="AN706:AN754" si="95">(AM706-$AO$4)/($AO$3-$AO$4)</f>
        <v>3.8835328498334935E-5</v>
      </c>
      <c r="AO706" s="3"/>
      <c r="AP706">
        <v>0</v>
      </c>
      <c r="AR706" t="s">
        <v>1</v>
      </c>
      <c r="AT706" s="2" t="s">
        <v>0</v>
      </c>
      <c r="AU706" s="1" t="e">
        <f t="shared" si="91"/>
        <v>#VALUE!</v>
      </c>
      <c r="AV706" s="1" t="e">
        <f t="shared" si="92"/>
        <v>#VALUE!</v>
      </c>
      <c r="AW706" s="1" t="e">
        <f t="shared" si="93"/>
        <v>#VALUE!</v>
      </c>
    </row>
    <row r="707" spans="1:49" x14ac:dyDescent="0.2">
      <c r="A707">
        <v>705</v>
      </c>
      <c r="B707" t="s">
        <v>597</v>
      </c>
      <c r="F707" t="s">
        <v>596</v>
      </c>
      <c r="G707" t="s">
        <v>15</v>
      </c>
      <c r="H707" t="s">
        <v>14</v>
      </c>
      <c r="I707" t="s">
        <v>595</v>
      </c>
      <c r="N707">
        <v>2</v>
      </c>
      <c r="O707" t="s">
        <v>594</v>
      </c>
      <c r="P707" t="s">
        <v>593</v>
      </c>
      <c r="Q707" t="s">
        <v>342</v>
      </c>
      <c r="R707" s="7">
        <v>30317</v>
      </c>
      <c r="S707" s="8">
        <f t="shared" si="88"/>
        <v>1983</v>
      </c>
      <c r="T707" s="8">
        <v>1983</v>
      </c>
      <c r="U707" s="8">
        <f t="shared" si="89"/>
        <v>39</v>
      </c>
      <c r="V707" s="7" t="s">
        <v>537</v>
      </c>
      <c r="W707" t="s">
        <v>560</v>
      </c>
      <c r="X707" s="2" t="s">
        <v>0</v>
      </c>
      <c r="Y707" s="6" t="e">
        <f t="shared" si="94"/>
        <v>#VALUE!</v>
      </c>
      <c r="AA707">
        <v>337889</v>
      </c>
      <c r="AB707">
        <v>40920</v>
      </c>
      <c r="AD707" t="s">
        <v>5</v>
      </c>
      <c r="AE707">
        <v>28</v>
      </c>
      <c r="AF707">
        <v>1</v>
      </c>
      <c r="AH707" t="s">
        <v>592</v>
      </c>
      <c r="AI707" t="s">
        <v>591</v>
      </c>
      <c r="AK707" t="s">
        <v>590</v>
      </c>
      <c r="AL707">
        <v>0</v>
      </c>
      <c r="AM707" s="5">
        <f t="shared" si="90"/>
        <v>0</v>
      </c>
      <c r="AN707" s="4">
        <f t="shared" si="95"/>
        <v>0</v>
      </c>
      <c r="AO707" s="3"/>
      <c r="AP707">
        <v>0</v>
      </c>
      <c r="AR707" t="s">
        <v>1</v>
      </c>
      <c r="AT707" s="2" t="s">
        <v>0</v>
      </c>
      <c r="AU707" s="1" t="e">
        <f t="shared" si="91"/>
        <v>#VALUE!</v>
      </c>
      <c r="AV707" s="1" t="e">
        <f t="shared" si="92"/>
        <v>#VALUE!</v>
      </c>
      <c r="AW707" s="1" t="e">
        <f t="shared" si="93"/>
        <v>#VALUE!</v>
      </c>
    </row>
    <row r="708" spans="1:49" x14ac:dyDescent="0.2">
      <c r="A708">
        <v>706</v>
      </c>
      <c r="B708" t="s">
        <v>589</v>
      </c>
      <c r="F708" t="s">
        <v>588</v>
      </c>
      <c r="G708" t="s">
        <v>15</v>
      </c>
      <c r="H708" t="s">
        <v>14</v>
      </c>
      <c r="I708" t="s">
        <v>587</v>
      </c>
      <c r="N708">
        <v>2</v>
      </c>
      <c r="O708" t="s">
        <v>586</v>
      </c>
      <c r="P708" t="s">
        <v>585</v>
      </c>
      <c r="Q708" t="s">
        <v>342</v>
      </c>
      <c r="R708" s="7">
        <v>30317</v>
      </c>
      <c r="S708" s="8">
        <f t="shared" si="88"/>
        <v>1983</v>
      </c>
      <c r="T708" s="8">
        <v>1983</v>
      </c>
      <c r="U708" s="8">
        <f t="shared" si="89"/>
        <v>39</v>
      </c>
      <c r="V708" s="7" t="s">
        <v>537</v>
      </c>
      <c r="W708" t="s">
        <v>584</v>
      </c>
      <c r="X708" s="2" t="s">
        <v>0</v>
      </c>
      <c r="Y708" s="6" t="e">
        <f t="shared" si="94"/>
        <v>#VALUE!</v>
      </c>
      <c r="AA708">
        <v>4248368</v>
      </c>
      <c r="AB708">
        <v>31213</v>
      </c>
      <c r="AD708" t="s">
        <v>5</v>
      </c>
      <c r="AE708">
        <v>6</v>
      </c>
      <c r="AF708">
        <v>1</v>
      </c>
      <c r="AH708" t="s">
        <v>583</v>
      </c>
      <c r="AI708" t="s">
        <v>582</v>
      </c>
      <c r="AK708" t="s">
        <v>581</v>
      </c>
      <c r="AL708">
        <v>0</v>
      </c>
      <c r="AM708" s="5">
        <f t="shared" si="90"/>
        <v>0</v>
      </c>
      <c r="AN708" s="4">
        <f t="shared" si="95"/>
        <v>0</v>
      </c>
      <c r="AO708" s="3"/>
      <c r="AP708">
        <v>0</v>
      </c>
      <c r="AR708" t="s">
        <v>1</v>
      </c>
      <c r="AT708" s="2" t="s">
        <v>0</v>
      </c>
      <c r="AU708" s="1" t="e">
        <f t="shared" si="91"/>
        <v>#VALUE!</v>
      </c>
      <c r="AV708" s="1" t="e">
        <f t="shared" si="92"/>
        <v>#VALUE!</v>
      </c>
      <c r="AW708" s="1" t="e">
        <f t="shared" si="93"/>
        <v>#VALUE!</v>
      </c>
    </row>
    <row r="709" spans="1:49" x14ac:dyDescent="0.2">
      <c r="A709">
        <v>707</v>
      </c>
      <c r="B709" t="s">
        <v>580</v>
      </c>
      <c r="F709" t="s">
        <v>579</v>
      </c>
      <c r="G709" t="s">
        <v>15</v>
      </c>
      <c r="H709" t="s">
        <v>14</v>
      </c>
      <c r="I709" t="s">
        <v>578</v>
      </c>
      <c r="N709">
        <v>4</v>
      </c>
      <c r="O709" t="s">
        <v>577</v>
      </c>
      <c r="P709" t="s">
        <v>576</v>
      </c>
      <c r="Q709" t="s">
        <v>575</v>
      </c>
      <c r="R709" s="7">
        <v>30317</v>
      </c>
      <c r="S709" s="8">
        <f t="shared" si="88"/>
        <v>1983</v>
      </c>
      <c r="T709" s="8">
        <v>1983</v>
      </c>
      <c r="U709" s="8">
        <f t="shared" si="89"/>
        <v>39</v>
      </c>
      <c r="V709" s="7" t="s">
        <v>537</v>
      </c>
      <c r="W709" t="s">
        <v>536</v>
      </c>
      <c r="X709" s="2">
        <v>0.14099999999999999</v>
      </c>
      <c r="Y709" s="6">
        <f t="shared" si="94"/>
        <v>3.7639144710498915E-3</v>
      </c>
      <c r="AA709">
        <v>402508</v>
      </c>
      <c r="AB709">
        <v>20868</v>
      </c>
      <c r="AD709" t="s">
        <v>5</v>
      </c>
      <c r="AE709" t="s">
        <v>535</v>
      </c>
      <c r="AF709">
        <v>1</v>
      </c>
      <c r="AH709" t="s">
        <v>129</v>
      </c>
      <c r="AI709" t="s">
        <v>574</v>
      </c>
      <c r="AK709" t="s">
        <v>573</v>
      </c>
      <c r="AL709">
        <v>0</v>
      </c>
      <c r="AM709" s="5">
        <f t="shared" si="90"/>
        <v>0</v>
      </c>
      <c r="AN709" s="4">
        <f t="shared" si="95"/>
        <v>0</v>
      </c>
      <c r="AO709" s="3"/>
      <c r="AP709">
        <v>0</v>
      </c>
      <c r="AR709" t="s">
        <v>1</v>
      </c>
      <c r="AT709" s="2" t="s">
        <v>0</v>
      </c>
      <c r="AU709" s="1">
        <f t="shared" si="91"/>
        <v>0.26347401297349238</v>
      </c>
      <c r="AV709" s="1">
        <f t="shared" si="92"/>
        <v>0.18819572355249459</v>
      </c>
      <c r="AW709" s="1">
        <f t="shared" si="93"/>
        <v>0.11291743413149673</v>
      </c>
    </row>
    <row r="710" spans="1:49" x14ac:dyDescent="0.2">
      <c r="A710">
        <v>708</v>
      </c>
      <c r="B710" t="s">
        <v>572</v>
      </c>
      <c r="F710" t="s">
        <v>571</v>
      </c>
      <c r="G710" t="s">
        <v>15</v>
      </c>
      <c r="H710" t="s">
        <v>14</v>
      </c>
      <c r="I710" t="s">
        <v>570</v>
      </c>
      <c r="N710">
        <v>1</v>
      </c>
      <c r="O710" t="s">
        <v>569</v>
      </c>
      <c r="P710">
        <v>6602627481</v>
      </c>
      <c r="R710" s="7">
        <v>30317</v>
      </c>
      <c r="S710" s="8">
        <f t="shared" si="88"/>
        <v>1983</v>
      </c>
      <c r="T710" s="8">
        <v>1983</v>
      </c>
      <c r="U710" s="8">
        <f t="shared" si="89"/>
        <v>39</v>
      </c>
      <c r="V710" s="7" t="s">
        <v>537</v>
      </c>
      <c r="W710" t="s">
        <v>536</v>
      </c>
      <c r="X710" s="2">
        <v>0.14099999999999999</v>
      </c>
      <c r="Y710" s="6">
        <f t="shared" si="94"/>
        <v>3.7639144710498915E-3</v>
      </c>
      <c r="AA710">
        <v>402508</v>
      </c>
      <c r="AB710">
        <v>20868</v>
      </c>
      <c r="AD710" t="s">
        <v>5</v>
      </c>
      <c r="AE710" t="s">
        <v>535</v>
      </c>
      <c r="AF710">
        <v>1</v>
      </c>
      <c r="AH710" t="s">
        <v>568</v>
      </c>
      <c r="AI710" t="s">
        <v>567</v>
      </c>
      <c r="AK710" t="s">
        <v>566</v>
      </c>
      <c r="AL710">
        <v>0</v>
      </c>
      <c r="AM710" s="5">
        <f t="shared" si="90"/>
        <v>0</v>
      </c>
      <c r="AN710" s="4">
        <f t="shared" si="95"/>
        <v>0</v>
      </c>
      <c r="AO710" s="3"/>
      <c r="AP710">
        <v>0</v>
      </c>
      <c r="AR710" t="s">
        <v>1</v>
      </c>
      <c r="AT710" s="2" t="s">
        <v>0</v>
      </c>
      <c r="AU710" s="1">
        <f t="shared" si="91"/>
        <v>0.26347401297349238</v>
      </c>
      <c r="AV710" s="1">
        <f t="shared" si="92"/>
        <v>0.18819572355249459</v>
      </c>
      <c r="AW710" s="1">
        <f t="shared" si="93"/>
        <v>0.11291743413149673</v>
      </c>
    </row>
    <row r="711" spans="1:49" x14ac:dyDescent="0.2">
      <c r="A711">
        <v>709</v>
      </c>
      <c r="B711" t="s">
        <v>565</v>
      </c>
      <c r="F711" t="s">
        <v>564</v>
      </c>
      <c r="G711" t="s">
        <v>15</v>
      </c>
      <c r="H711" t="s">
        <v>14</v>
      </c>
      <c r="I711" t="s">
        <v>563</v>
      </c>
      <c r="N711">
        <v>3</v>
      </c>
      <c r="O711" t="s">
        <v>562</v>
      </c>
      <c r="P711" t="s">
        <v>561</v>
      </c>
      <c r="Q711" t="s">
        <v>510</v>
      </c>
      <c r="R711" s="7">
        <v>30317</v>
      </c>
      <c r="S711" s="8">
        <f t="shared" si="88"/>
        <v>1983</v>
      </c>
      <c r="T711" s="8">
        <v>1983</v>
      </c>
      <c r="U711" s="8">
        <f t="shared" si="89"/>
        <v>39</v>
      </c>
      <c r="V711" s="7" t="s">
        <v>537</v>
      </c>
      <c r="W711" t="s">
        <v>560</v>
      </c>
      <c r="X711" s="2" t="s">
        <v>0</v>
      </c>
      <c r="Y711" s="6" t="e">
        <f t="shared" si="94"/>
        <v>#VALUE!</v>
      </c>
      <c r="AA711">
        <v>337889</v>
      </c>
      <c r="AB711">
        <v>40920</v>
      </c>
      <c r="AD711" t="s">
        <v>5</v>
      </c>
      <c r="AE711">
        <v>28</v>
      </c>
      <c r="AF711">
        <v>1</v>
      </c>
      <c r="AH711" t="s">
        <v>559</v>
      </c>
      <c r="AI711" t="s">
        <v>558</v>
      </c>
      <c r="AK711" t="s">
        <v>557</v>
      </c>
      <c r="AL711">
        <v>0</v>
      </c>
      <c r="AM711" s="5">
        <f t="shared" si="90"/>
        <v>0</v>
      </c>
      <c r="AN711" s="4">
        <f t="shared" si="95"/>
        <v>0</v>
      </c>
      <c r="AO711" s="3"/>
      <c r="AP711">
        <v>0</v>
      </c>
      <c r="AR711" t="s">
        <v>1</v>
      </c>
      <c r="AT711" s="2" t="s">
        <v>0</v>
      </c>
      <c r="AU711" s="1" t="e">
        <f t="shared" si="91"/>
        <v>#VALUE!</v>
      </c>
      <c r="AV711" s="1" t="e">
        <f t="shared" si="92"/>
        <v>#VALUE!</v>
      </c>
      <c r="AW711" s="1" t="e">
        <f t="shared" si="93"/>
        <v>#VALUE!</v>
      </c>
    </row>
    <row r="712" spans="1:49" x14ac:dyDescent="0.2">
      <c r="A712">
        <v>710</v>
      </c>
      <c r="B712" t="s">
        <v>556</v>
      </c>
      <c r="F712" t="s">
        <v>555</v>
      </c>
      <c r="G712" t="s">
        <v>15</v>
      </c>
      <c r="H712" t="s">
        <v>14</v>
      </c>
      <c r="I712" t="s">
        <v>554</v>
      </c>
      <c r="N712">
        <v>1</v>
      </c>
      <c r="O712" t="s">
        <v>553</v>
      </c>
      <c r="P712">
        <v>6701611222</v>
      </c>
      <c r="R712" s="7">
        <v>30317</v>
      </c>
      <c r="S712" s="8">
        <f t="shared" si="88"/>
        <v>1983</v>
      </c>
      <c r="T712" s="8">
        <v>1983</v>
      </c>
      <c r="U712" s="8">
        <f t="shared" si="89"/>
        <v>39</v>
      </c>
      <c r="V712" s="7" t="s">
        <v>537</v>
      </c>
      <c r="W712" t="s">
        <v>536</v>
      </c>
      <c r="X712" s="2">
        <v>0.14099999999999999</v>
      </c>
      <c r="Y712" s="6">
        <f t="shared" si="94"/>
        <v>3.7639144710498915E-3</v>
      </c>
      <c r="AA712">
        <v>402508</v>
      </c>
      <c r="AB712">
        <v>20868</v>
      </c>
      <c r="AD712" t="s">
        <v>5</v>
      </c>
      <c r="AE712" t="s">
        <v>535</v>
      </c>
      <c r="AF712">
        <v>1</v>
      </c>
      <c r="AH712" t="s">
        <v>552</v>
      </c>
      <c r="AI712" t="s">
        <v>551</v>
      </c>
      <c r="AK712" t="s">
        <v>550</v>
      </c>
      <c r="AL712">
        <v>0</v>
      </c>
      <c r="AM712" s="5">
        <f t="shared" si="90"/>
        <v>0</v>
      </c>
      <c r="AN712" s="4">
        <f t="shared" si="95"/>
        <v>0</v>
      </c>
      <c r="AO712" s="3"/>
      <c r="AP712">
        <v>0</v>
      </c>
      <c r="AR712" t="s">
        <v>1</v>
      </c>
      <c r="AT712" s="2" t="s">
        <v>0</v>
      </c>
      <c r="AU712" s="1">
        <f t="shared" si="91"/>
        <v>0.26347401297349238</v>
      </c>
      <c r="AV712" s="1">
        <f t="shared" si="92"/>
        <v>0.18819572355249459</v>
      </c>
      <c r="AW712" s="1">
        <f t="shared" si="93"/>
        <v>0.11291743413149673</v>
      </c>
    </row>
    <row r="713" spans="1:49" x14ac:dyDescent="0.2">
      <c r="A713">
        <v>711</v>
      </c>
      <c r="B713" t="s">
        <v>549</v>
      </c>
      <c r="F713" t="s">
        <v>548</v>
      </c>
      <c r="G713" t="s">
        <v>15</v>
      </c>
      <c r="H713" t="s">
        <v>14</v>
      </c>
      <c r="I713" t="s">
        <v>547</v>
      </c>
      <c r="N713">
        <v>2</v>
      </c>
      <c r="O713" t="s">
        <v>546</v>
      </c>
      <c r="P713" t="s">
        <v>545</v>
      </c>
      <c r="Q713" t="s">
        <v>342</v>
      </c>
      <c r="R713" s="7">
        <v>30317</v>
      </c>
      <c r="S713" s="8">
        <f t="shared" si="88"/>
        <v>1983</v>
      </c>
      <c r="T713" s="8">
        <v>1983</v>
      </c>
      <c r="U713" s="8">
        <f t="shared" si="89"/>
        <v>39</v>
      </c>
      <c r="V713" s="7" t="s">
        <v>537</v>
      </c>
      <c r="W713" t="s">
        <v>536</v>
      </c>
      <c r="X713" s="2">
        <v>0.14099999999999999</v>
      </c>
      <c r="Y713" s="6">
        <f t="shared" si="94"/>
        <v>3.7639144710498915E-3</v>
      </c>
      <c r="AA713">
        <v>402508</v>
      </c>
      <c r="AB713">
        <v>20868</v>
      </c>
      <c r="AD713" t="s">
        <v>5</v>
      </c>
      <c r="AE713" t="s">
        <v>535</v>
      </c>
      <c r="AF713">
        <v>1</v>
      </c>
      <c r="AH713" t="s">
        <v>544</v>
      </c>
      <c r="AI713" t="s">
        <v>543</v>
      </c>
      <c r="AK713" t="s">
        <v>542</v>
      </c>
      <c r="AL713">
        <v>0</v>
      </c>
      <c r="AM713" s="5">
        <f t="shared" si="90"/>
        <v>0</v>
      </c>
      <c r="AN713" s="4">
        <f t="shared" si="95"/>
        <v>0</v>
      </c>
      <c r="AO713" s="3"/>
      <c r="AP713">
        <v>0</v>
      </c>
      <c r="AR713" t="s">
        <v>1</v>
      </c>
      <c r="AT713" s="2" t="s">
        <v>0</v>
      </c>
      <c r="AU713" s="1">
        <f t="shared" si="91"/>
        <v>0.26347401297349238</v>
      </c>
      <c r="AV713" s="1">
        <f t="shared" si="92"/>
        <v>0.18819572355249459</v>
      </c>
      <c r="AW713" s="1">
        <f t="shared" si="93"/>
        <v>0.11291743413149673</v>
      </c>
    </row>
    <row r="714" spans="1:49" x14ac:dyDescent="0.2">
      <c r="A714">
        <v>712</v>
      </c>
      <c r="B714" t="s">
        <v>541</v>
      </c>
      <c r="F714" t="s">
        <v>540</v>
      </c>
      <c r="G714" t="s">
        <v>15</v>
      </c>
      <c r="H714" t="s">
        <v>14</v>
      </c>
      <c r="I714" t="s">
        <v>539</v>
      </c>
      <c r="N714">
        <v>1</v>
      </c>
      <c r="O714" t="s">
        <v>538</v>
      </c>
      <c r="P714">
        <v>7003653049</v>
      </c>
      <c r="R714" s="7">
        <v>30317</v>
      </c>
      <c r="S714" s="8">
        <f t="shared" si="88"/>
        <v>1983</v>
      </c>
      <c r="T714" s="8">
        <v>1983</v>
      </c>
      <c r="U714" s="8">
        <f t="shared" si="89"/>
        <v>39</v>
      </c>
      <c r="V714" s="7" t="s">
        <v>537</v>
      </c>
      <c r="W714" t="s">
        <v>536</v>
      </c>
      <c r="X714" s="2">
        <v>0.14099999999999999</v>
      </c>
      <c r="Y714" s="6">
        <f t="shared" si="94"/>
        <v>3.7639144710498915E-3</v>
      </c>
      <c r="AA714">
        <v>402508</v>
      </c>
      <c r="AB714">
        <v>20868</v>
      </c>
      <c r="AD714" t="s">
        <v>5</v>
      </c>
      <c r="AE714" t="s">
        <v>535</v>
      </c>
      <c r="AF714">
        <v>1</v>
      </c>
      <c r="AH714" t="s">
        <v>534</v>
      </c>
      <c r="AI714" t="s">
        <v>533</v>
      </c>
      <c r="AK714" t="s">
        <v>532</v>
      </c>
      <c r="AL714">
        <v>0</v>
      </c>
      <c r="AM714" s="5">
        <f t="shared" si="90"/>
        <v>0</v>
      </c>
      <c r="AN714" s="4">
        <f t="shared" si="95"/>
        <v>0</v>
      </c>
      <c r="AO714" s="3"/>
      <c r="AP714">
        <v>0</v>
      </c>
      <c r="AR714" t="s">
        <v>1</v>
      </c>
      <c r="AT714" s="2" t="s">
        <v>0</v>
      </c>
      <c r="AU714" s="1">
        <f t="shared" si="91"/>
        <v>0.26347401297349238</v>
      </c>
      <c r="AV714" s="1">
        <f t="shared" si="92"/>
        <v>0.18819572355249459</v>
      </c>
      <c r="AW714" s="1">
        <f t="shared" si="93"/>
        <v>0.11291743413149673</v>
      </c>
    </row>
    <row r="715" spans="1:49" x14ac:dyDescent="0.2">
      <c r="A715">
        <v>713</v>
      </c>
      <c r="B715" t="s">
        <v>531</v>
      </c>
      <c r="C715" t="s">
        <v>530</v>
      </c>
      <c r="D715" t="s">
        <v>529</v>
      </c>
      <c r="F715" t="s">
        <v>528</v>
      </c>
      <c r="G715" t="s">
        <v>15</v>
      </c>
      <c r="H715" t="s">
        <v>14</v>
      </c>
      <c r="I715" t="s">
        <v>527</v>
      </c>
      <c r="J715" t="s">
        <v>526</v>
      </c>
      <c r="K715" t="s">
        <v>525</v>
      </c>
      <c r="L715" t="s">
        <v>524</v>
      </c>
      <c r="M715" t="s">
        <v>91</v>
      </c>
      <c r="N715">
        <v>3</v>
      </c>
      <c r="O715" t="s">
        <v>523</v>
      </c>
      <c r="P715" t="s">
        <v>522</v>
      </c>
      <c r="Q715" t="s">
        <v>521</v>
      </c>
      <c r="R715" s="7">
        <v>30317</v>
      </c>
      <c r="S715" s="8">
        <f t="shared" si="88"/>
        <v>1983</v>
      </c>
      <c r="T715" s="8">
        <v>1983</v>
      </c>
      <c r="U715" s="8">
        <f t="shared" si="89"/>
        <v>39</v>
      </c>
      <c r="V715" s="7">
        <v>1983</v>
      </c>
      <c r="W715" t="s">
        <v>520</v>
      </c>
      <c r="X715" s="2">
        <v>1.45</v>
      </c>
      <c r="Y715" s="6">
        <f t="shared" si="94"/>
        <v>3.8706921865406689E-2</v>
      </c>
      <c r="AA715">
        <v>457949</v>
      </c>
      <c r="AB715">
        <v>18171</v>
      </c>
      <c r="AD715" t="s">
        <v>5</v>
      </c>
      <c r="AE715">
        <v>16</v>
      </c>
      <c r="AF715" s="9">
        <v>44287</v>
      </c>
      <c r="AH715" t="s">
        <v>519</v>
      </c>
      <c r="AI715" t="s">
        <v>518</v>
      </c>
      <c r="AK715" t="s">
        <v>517</v>
      </c>
      <c r="AL715">
        <v>9</v>
      </c>
      <c r="AM715" s="5">
        <f t="shared" si="90"/>
        <v>0.23076923076923078</v>
      </c>
      <c r="AN715" s="4">
        <f t="shared" si="95"/>
        <v>3.4951795648501444E-4</v>
      </c>
      <c r="AO715" s="3"/>
      <c r="AP715">
        <v>0</v>
      </c>
      <c r="AR715" t="s">
        <v>1</v>
      </c>
      <c r="AT715" s="2" t="s">
        <v>0</v>
      </c>
      <c r="AU715" s="1">
        <f t="shared" si="91"/>
        <v>2.7199700692730184</v>
      </c>
      <c r="AV715" s="1">
        <f t="shared" si="92"/>
        <v>1.9528219910945852</v>
      </c>
      <c r="AW715" s="1">
        <f t="shared" si="93"/>
        <v>1.1856739129161515</v>
      </c>
    </row>
    <row r="716" spans="1:49" x14ac:dyDescent="0.2">
      <c r="A716">
        <v>714</v>
      </c>
      <c r="B716" t="s">
        <v>516</v>
      </c>
      <c r="C716" t="s">
        <v>515</v>
      </c>
      <c r="F716" t="s">
        <v>514</v>
      </c>
      <c r="G716" t="s">
        <v>15</v>
      </c>
      <c r="H716" t="s">
        <v>14</v>
      </c>
      <c r="I716" t="s">
        <v>513</v>
      </c>
      <c r="N716">
        <v>3</v>
      </c>
      <c r="O716" t="s">
        <v>512</v>
      </c>
      <c r="P716" t="s">
        <v>511</v>
      </c>
      <c r="Q716" t="s">
        <v>510</v>
      </c>
      <c r="R716" s="7">
        <v>30317</v>
      </c>
      <c r="S716" s="8">
        <f t="shared" si="88"/>
        <v>1983</v>
      </c>
      <c r="T716" s="8">
        <v>1983</v>
      </c>
      <c r="U716" s="8">
        <f t="shared" si="89"/>
        <v>39</v>
      </c>
      <c r="V716" s="7" t="s">
        <v>509</v>
      </c>
      <c r="W716" t="s">
        <v>508</v>
      </c>
      <c r="X716" s="2">
        <v>0.371</v>
      </c>
      <c r="Y716" s="6">
        <f t="shared" si="94"/>
        <v>9.9036331117695747E-3</v>
      </c>
      <c r="AA716">
        <v>486604</v>
      </c>
      <c r="AB716">
        <v>28580</v>
      </c>
      <c r="AC716" t="s">
        <v>507</v>
      </c>
      <c r="AD716" t="s">
        <v>5</v>
      </c>
      <c r="AE716">
        <v>18</v>
      </c>
      <c r="AF716">
        <v>6</v>
      </c>
      <c r="AH716" t="s">
        <v>506</v>
      </c>
      <c r="AI716" t="s">
        <v>505</v>
      </c>
      <c r="AK716" t="s">
        <v>504</v>
      </c>
      <c r="AL716">
        <v>9</v>
      </c>
      <c r="AM716" s="5">
        <f t="shared" si="90"/>
        <v>0.23076923076923078</v>
      </c>
      <c r="AN716" s="4">
        <f t="shared" si="95"/>
        <v>3.4951795648501444E-4</v>
      </c>
      <c r="AO716" s="3"/>
      <c r="AP716">
        <v>0</v>
      </c>
      <c r="AR716" t="s">
        <v>1</v>
      </c>
      <c r="AT716" s="2">
        <v>1.431</v>
      </c>
      <c r="AU716" s="1">
        <f t="shared" si="91"/>
        <v>0.70373985651842064</v>
      </c>
      <c r="AV716" s="1">
        <f t="shared" si="92"/>
        <v>0.51265755341272945</v>
      </c>
      <c r="AW716" s="1">
        <f t="shared" si="93"/>
        <v>0.32157525030703826</v>
      </c>
    </row>
    <row r="717" spans="1:49" x14ac:dyDescent="0.2">
      <c r="A717">
        <v>715</v>
      </c>
      <c r="B717" t="s">
        <v>503</v>
      </c>
      <c r="C717" t="s">
        <v>502</v>
      </c>
      <c r="F717" t="s">
        <v>501</v>
      </c>
      <c r="G717" t="s">
        <v>15</v>
      </c>
      <c r="H717" t="s">
        <v>14</v>
      </c>
      <c r="I717" t="s">
        <v>500</v>
      </c>
      <c r="J717">
        <v>60032121</v>
      </c>
      <c r="K717" t="s">
        <v>499</v>
      </c>
      <c r="L717" t="s">
        <v>498</v>
      </c>
      <c r="M717" t="s">
        <v>10</v>
      </c>
      <c r="N717">
        <v>3</v>
      </c>
      <c r="O717" t="s">
        <v>497</v>
      </c>
      <c r="P717" t="s">
        <v>496</v>
      </c>
      <c r="Q717" t="s">
        <v>495</v>
      </c>
      <c r="R717" s="7">
        <v>30317</v>
      </c>
      <c r="S717" s="8">
        <f t="shared" si="88"/>
        <v>1983</v>
      </c>
      <c r="T717" s="8">
        <v>1983</v>
      </c>
      <c r="U717" s="8">
        <f t="shared" si="89"/>
        <v>39</v>
      </c>
      <c r="V717" s="7">
        <v>30498</v>
      </c>
      <c r="W717" t="s">
        <v>470</v>
      </c>
      <c r="X717" s="2">
        <v>2.141</v>
      </c>
      <c r="Y717" s="6">
        <f t="shared" si="94"/>
        <v>5.7152772216438434E-2</v>
      </c>
      <c r="AA717">
        <v>1962892</v>
      </c>
      <c r="AB717">
        <v>17360</v>
      </c>
      <c r="AC717">
        <v>15580644</v>
      </c>
      <c r="AD717" t="s">
        <v>5</v>
      </c>
      <c r="AE717" t="s">
        <v>469</v>
      </c>
      <c r="AF717">
        <v>3</v>
      </c>
      <c r="AH717" t="s">
        <v>494</v>
      </c>
      <c r="AI717" t="s">
        <v>493</v>
      </c>
      <c r="AK717" t="s">
        <v>492</v>
      </c>
      <c r="AL717">
        <v>20</v>
      </c>
      <c r="AM717" s="5">
        <f t="shared" si="90"/>
        <v>0.51282051282051277</v>
      </c>
      <c r="AN717" s="4">
        <f t="shared" si="95"/>
        <v>7.7670656996669868E-4</v>
      </c>
      <c r="AO717" s="3"/>
      <c r="AP717">
        <v>0</v>
      </c>
      <c r="AR717" t="s">
        <v>1</v>
      </c>
      <c r="AT717" s="2" t="s">
        <v>0</v>
      </c>
      <c r="AU717" s="1">
        <f t="shared" si="91"/>
        <v>4.0239952522496907</v>
      </c>
      <c r="AV717" s="1">
        <f t="shared" si="92"/>
        <v>2.8964739393202565</v>
      </c>
      <c r="AW717" s="1">
        <f t="shared" si="93"/>
        <v>1.768952626390822</v>
      </c>
    </row>
    <row r="718" spans="1:49" x14ac:dyDescent="0.2">
      <c r="A718">
        <v>716</v>
      </c>
      <c r="B718" t="s">
        <v>491</v>
      </c>
      <c r="C718" t="s">
        <v>490</v>
      </c>
      <c r="F718" t="s">
        <v>489</v>
      </c>
      <c r="G718" t="s">
        <v>15</v>
      </c>
      <c r="H718" t="s">
        <v>14</v>
      </c>
      <c r="I718" t="s">
        <v>488</v>
      </c>
      <c r="J718">
        <v>60020547</v>
      </c>
      <c r="K718" t="s">
        <v>487</v>
      </c>
      <c r="L718" t="s">
        <v>486</v>
      </c>
      <c r="M718" t="s">
        <v>10</v>
      </c>
      <c r="N718">
        <v>3</v>
      </c>
      <c r="O718" t="s">
        <v>485</v>
      </c>
      <c r="P718" t="s">
        <v>484</v>
      </c>
      <c r="Q718" t="s">
        <v>483</v>
      </c>
      <c r="R718" s="7">
        <v>30317</v>
      </c>
      <c r="S718" s="8">
        <f t="shared" si="88"/>
        <v>1983</v>
      </c>
      <c r="T718" s="8">
        <v>1983</v>
      </c>
      <c r="U718" s="8">
        <f t="shared" si="89"/>
        <v>39</v>
      </c>
      <c r="V718" s="7">
        <v>30498</v>
      </c>
      <c r="W718" t="s">
        <v>470</v>
      </c>
      <c r="X718" s="2">
        <v>2.141</v>
      </c>
      <c r="Y718" s="6">
        <f t="shared" si="94"/>
        <v>5.7152772216438434E-2</v>
      </c>
      <c r="AA718">
        <v>1962892</v>
      </c>
      <c r="AB718">
        <v>17360</v>
      </c>
      <c r="AC718">
        <v>15580644</v>
      </c>
      <c r="AD718" t="s">
        <v>5</v>
      </c>
      <c r="AE718" t="s">
        <v>469</v>
      </c>
      <c r="AF718">
        <v>3</v>
      </c>
      <c r="AH718" t="s">
        <v>482</v>
      </c>
      <c r="AI718" t="s">
        <v>481</v>
      </c>
      <c r="AK718" t="s">
        <v>480</v>
      </c>
      <c r="AL718">
        <v>1</v>
      </c>
      <c r="AM718" s="5">
        <f t="shared" si="90"/>
        <v>2.564102564102564E-2</v>
      </c>
      <c r="AN718" s="4">
        <f t="shared" si="95"/>
        <v>3.8835328498334935E-5</v>
      </c>
      <c r="AO718" s="3"/>
      <c r="AP718">
        <v>0</v>
      </c>
      <c r="AR718" t="s">
        <v>1</v>
      </c>
      <c r="AT718" s="2" t="s">
        <v>0</v>
      </c>
      <c r="AU718" s="1">
        <f t="shared" si="91"/>
        <v>4.0018591150056402</v>
      </c>
      <c r="AV718" s="1">
        <f t="shared" si="92"/>
        <v>2.8595803772468384</v>
      </c>
      <c r="AW718" s="1">
        <f t="shared" si="93"/>
        <v>1.7173016394880363</v>
      </c>
    </row>
    <row r="719" spans="1:49" x14ac:dyDescent="0.2">
      <c r="A719">
        <v>717</v>
      </c>
      <c r="B719" t="s">
        <v>479</v>
      </c>
      <c r="C719" t="s">
        <v>478</v>
      </c>
      <c r="F719" t="s">
        <v>477</v>
      </c>
      <c r="G719" t="s">
        <v>15</v>
      </c>
      <c r="H719" t="s">
        <v>14</v>
      </c>
      <c r="I719" t="s">
        <v>476</v>
      </c>
      <c r="J719">
        <v>60015623</v>
      </c>
      <c r="K719" t="s">
        <v>475</v>
      </c>
      <c r="L719" t="s">
        <v>474</v>
      </c>
      <c r="M719" t="s">
        <v>10</v>
      </c>
      <c r="N719">
        <v>2</v>
      </c>
      <c r="O719" t="s">
        <v>473</v>
      </c>
      <c r="P719" t="s">
        <v>472</v>
      </c>
      <c r="Q719" t="s">
        <v>471</v>
      </c>
      <c r="R719" s="7">
        <v>30317</v>
      </c>
      <c r="S719" s="8">
        <f t="shared" si="88"/>
        <v>1983</v>
      </c>
      <c r="T719" s="8">
        <v>1983</v>
      </c>
      <c r="U719" s="8">
        <f t="shared" si="89"/>
        <v>39</v>
      </c>
      <c r="V719" s="7">
        <v>30498</v>
      </c>
      <c r="W719" t="s">
        <v>470</v>
      </c>
      <c r="X719" s="2">
        <v>2.141</v>
      </c>
      <c r="Y719" s="6">
        <f t="shared" si="94"/>
        <v>5.7152772216438434E-2</v>
      </c>
      <c r="AA719">
        <v>1962892</v>
      </c>
      <c r="AB719">
        <v>17360</v>
      </c>
      <c r="AC719">
        <v>15580644</v>
      </c>
      <c r="AD719" t="s">
        <v>5</v>
      </c>
      <c r="AE719" t="s">
        <v>469</v>
      </c>
      <c r="AF719">
        <v>3</v>
      </c>
      <c r="AH719" t="s">
        <v>468</v>
      </c>
      <c r="AI719" t="s">
        <v>467</v>
      </c>
      <c r="AK719" t="s">
        <v>466</v>
      </c>
      <c r="AL719">
        <v>188</v>
      </c>
      <c r="AM719" s="5">
        <f t="shared" si="90"/>
        <v>4.8205128205128203</v>
      </c>
      <c r="AN719" s="4">
        <f t="shared" si="95"/>
        <v>7.3010417576869673E-3</v>
      </c>
      <c r="AO719" s="3"/>
      <c r="AP719">
        <v>0</v>
      </c>
      <c r="AR719" t="s">
        <v>1</v>
      </c>
      <c r="AT719" s="2" t="s">
        <v>0</v>
      </c>
      <c r="AU719" s="1">
        <f t="shared" si="91"/>
        <v>4.2197253078812986</v>
      </c>
      <c r="AV719" s="1">
        <f t="shared" si="92"/>
        <v>3.2226906987062702</v>
      </c>
      <c r="AW719" s="1">
        <f t="shared" si="93"/>
        <v>2.2256560895312409</v>
      </c>
    </row>
    <row r="720" spans="1:49" x14ac:dyDescent="0.2">
      <c r="A720">
        <v>718</v>
      </c>
      <c r="B720" t="s">
        <v>465</v>
      </c>
      <c r="C720" t="s">
        <v>464</v>
      </c>
      <c r="F720" t="s">
        <v>463</v>
      </c>
      <c r="G720" t="s">
        <v>15</v>
      </c>
      <c r="H720" t="s">
        <v>14</v>
      </c>
      <c r="I720" t="s">
        <v>462</v>
      </c>
      <c r="J720">
        <v>60013788</v>
      </c>
      <c r="K720" t="s">
        <v>461</v>
      </c>
      <c r="L720" t="s">
        <v>460</v>
      </c>
      <c r="M720" t="s">
        <v>10</v>
      </c>
      <c r="N720">
        <v>2</v>
      </c>
      <c r="O720" t="s">
        <v>459</v>
      </c>
      <c r="P720" t="s">
        <v>458</v>
      </c>
      <c r="Q720" t="s">
        <v>457</v>
      </c>
      <c r="R720" s="7">
        <v>30317</v>
      </c>
      <c r="S720" s="8">
        <f t="shared" si="88"/>
        <v>1983</v>
      </c>
      <c r="T720" s="8">
        <v>1983</v>
      </c>
      <c r="U720" s="8">
        <f t="shared" si="89"/>
        <v>39</v>
      </c>
      <c r="V720" s="7">
        <v>30468</v>
      </c>
      <c r="W720" t="s">
        <v>456</v>
      </c>
      <c r="X720" s="2" t="s">
        <v>0</v>
      </c>
      <c r="Y720" s="6" t="e">
        <f t="shared" si="94"/>
        <v>#VALUE!</v>
      </c>
      <c r="AA720">
        <v>189367</v>
      </c>
      <c r="AB720">
        <v>34833</v>
      </c>
      <c r="AD720" t="s">
        <v>5</v>
      </c>
      <c r="AE720" t="s">
        <v>455</v>
      </c>
      <c r="AF720">
        <v>3</v>
      </c>
      <c r="AH720" t="s">
        <v>454</v>
      </c>
      <c r="AI720" t="s">
        <v>453</v>
      </c>
      <c r="AK720" t="s">
        <v>452</v>
      </c>
      <c r="AL720">
        <v>0</v>
      </c>
      <c r="AM720" s="5">
        <f t="shared" si="90"/>
        <v>0</v>
      </c>
      <c r="AN720" s="4">
        <f t="shared" si="95"/>
        <v>0</v>
      </c>
      <c r="AO720" s="3"/>
      <c r="AP720">
        <v>0</v>
      </c>
      <c r="AR720" t="s">
        <v>1</v>
      </c>
      <c r="AT720" s="2" t="s">
        <v>0</v>
      </c>
      <c r="AU720" s="1" t="e">
        <f t="shared" si="91"/>
        <v>#VALUE!</v>
      </c>
      <c r="AV720" s="1" t="e">
        <f t="shared" si="92"/>
        <v>#VALUE!</v>
      </c>
      <c r="AW720" s="1" t="e">
        <f t="shared" si="93"/>
        <v>#VALUE!</v>
      </c>
    </row>
    <row r="721" spans="1:49" x14ac:dyDescent="0.2">
      <c r="A721">
        <v>719</v>
      </c>
      <c r="B721" t="s">
        <v>451</v>
      </c>
      <c r="C721" t="s">
        <v>450</v>
      </c>
      <c r="F721" t="s">
        <v>449</v>
      </c>
      <c r="G721" t="s">
        <v>15</v>
      </c>
      <c r="H721" t="s">
        <v>14</v>
      </c>
      <c r="I721" t="s">
        <v>448</v>
      </c>
      <c r="J721">
        <v>60009982</v>
      </c>
      <c r="K721" t="s">
        <v>447</v>
      </c>
      <c r="L721" t="s">
        <v>446</v>
      </c>
      <c r="M721" t="s">
        <v>10</v>
      </c>
      <c r="N721">
        <v>3</v>
      </c>
      <c r="O721" t="s">
        <v>445</v>
      </c>
      <c r="P721" t="s">
        <v>444</v>
      </c>
      <c r="Q721" t="s">
        <v>443</v>
      </c>
      <c r="R721" s="7">
        <v>30317</v>
      </c>
      <c r="S721" s="8">
        <f t="shared" si="88"/>
        <v>1983</v>
      </c>
      <c r="T721" s="8">
        <v>1983</v>
      </c>
      <c r="U721" s="8">
        <f t="shared" si="89"/>
        <v>39</v>
      </c>
      <c r="V721" s="7">
        <v>30437</v>
      </c>
      <c r="W721" t="s">
        <v>442</v>
      </c>
      <c r="X721" s="2">
        <v>0.62</v>
      </c>
      <c r="Y721" s="6">
        <f t="shared" si="94"/>
        <v>1.6550545901070447E-2</v>
      </c>
      <c r="AA721">
        <v>189464</v>
      </c>
      <c r="AB721">
        <v>17364</v>
      </c>
      <c r="AC721">
        <v>19410069</v>
      </c>
      <c r="AD721" t="s">
        <v>5</v>
      </c>
      <c r="AE721">
        <v>19</v>
      </c>
      <c r="AF721">
        <v>3</v>
      </c>
      <c r="AH721" t="s">
        <v>441</v>
      </c>
      <c r="AI721" t="s">
        <v>440</v>
      </c>
      <c r="AK721" t="s">
        <v>439</v>
      </c>
      <c r="AL721">
        <v>3</v>
      </c>
      <c r="AM721" s="5">
        <f t="shared" si="90"/>
        <v>7.6923076923076927E-2</v>
      </c>
      <c r="AN721" s="4">
        <f t="shared" si="95"/>
        <v>1.1650598549500481E-4</v>
      </c>
      <c r="AO721" s="3"/>
      <c r="AP721">
        <v>0</v>
      </c>
      <c r="AR721" t="s">
        <v>1</v>
      </c>
      <c r="AT721" s="2">
        <v>1.7</v>
      </c>
      <c r="AU721" s="1">
        <f t="shared" si="91"/>
        <v>1.1620333926397814</v>
      </c>
      <c r="AV721" s="1">
        <f t="shared" si="92"/>
        <v>0.83335259432827258</v>
      </c>
      <c r="AW721" s="1">
        <f t="shared" si="93"/>
        <v>0.50467179601676371</v>
      </c>
    </row>
    <row r="722" spans="1:49" x14ac:dyDescent="0.2">
      <c r="A722">
        <v>720</v>
      </c>
      <c r="B722" t="s">
        <v>438</v>
      </c>
      <c r="C722" t="s">
        <v>437</v>
      </c>
      <c r="D722" t="s">
        <v>436</v>
      </c>
      <c r="F722" t="s">
        <v>435</v>
      </c>
      <c r="G722" t="s">
        <v>15</v>
      </c>
      <c r="H722" t="s">
        <v>14</v>
      </c>
      <c r="I722" t="s">
        <v>434</v>
      </c>
      <c r="J722">
        <v>60017355</v>
      </c>
      <c r="K722" t="s">
        <v>433</v>
      </c>
      <c r="L722" t="s">
        <v>432</v>
      </c>
      <c r="M722" t="s">
        <v>431</v>
      </c>
      <c r="N722">
        <v>1</v>
      </c>
      <c r="O722" t="s">
        <v>430</v>
      </c>
      <c r="P722">
        <v>7103331547</v>
      </c>
      <c r="Q722">
        <v>60017355</v>
      </c>
      <c r="R722" s="7">
        <v>30317</v>
      </c>
      <c r="S722" s="8">
        <f t="shared" si="88"/>
        <v>1983</v>
      </c>
      <c r="T722" s="8">
        <v>1983</v>
      </c>
      <c r="U722" s="8">
        <f t="shared" si="89"/>
        <v>39</v>
      </c>
      <c r="V722" s="7" t="s">
        <v>402</v>
      </c>
      <c r="W722" t="s">
        <v>401</v>
      </c>
      <c r="X722" s="2">
        <v>1.1339999999999999</v>
      </c>
      <c r="Y722" s="6">
        <f t="shared" si="94"/>
        <v>3.0271482341635299E-2</v>
      </c>
      <c r="AA722">
        <v>945765</v>
      </c>
      <c r="AB722">
        <v>12372</v>
      </c>
      <c r="AD722" t="s">
        <v>5</v>
      </c>
      <c r="AE722">
        <v>10</v>
      </c>
      <c r="AF722" s="9">
        <v>44352</v>
      </c>
      <c r="AH722" t="s">
        <v>429</v>
      </c>
      <c r="AI722" t="s">
        <v>428</v>
      </c>
      <c r="AK722" t="s">
        <v>427</v>
      </c>
      <c r="AL722">
        <v>0</v>
      </c>
      <c r="AM722" s="5">
        <f t="shared" si="90"/>
        <v>0</v>
      </c>
      <c r="AN722" s="4">
        <f t="shared" si="95"/>
        <v>0</v>
      </c>
      <c r="AO722" s="3"/>
      <c r="AP722">
        <v>0</v>
      </c>
      <c r="AR722" t="s">
        <v>1</v>
      </c>
      <c r="AT722" s="2">
        <v>2.4129999999999998</v>
      </c>
      <c r="AU722" s="1">
        <f t="shared" si="91"/>
        <v>2.119003763914471</v>
      </c>
      <c r="AV722" s="1">
        <f t="shared" si="92"/>
        <v>1.5135741170817649</v>
      </c>
      <c r="AW722" s="1">
        <f t="shared" si="93"/>
        <v>0.90814447024905898</v>
      </c>
    </row>
    <row r="723" spans="1:49" x14ac:dyDescent="0.2">
      <c r="A723">
        <v>721</v>
      </c>
      <c r="B723" t="s">
        <v>426</v>
      </c>
      <c r="C723" t="s">
        <v>425</v>
      </c>
      <c r="D723" t="s">
        <v>424</v>
      </c>
      <c r="F723" t="s">
        <v>423</v>
      </c>
      <c r="G723" t="s">
        <v>15</v>
      </c>
      <c r="H723" t="s">
        <v>14</v>
      </c>
      <c r="I723" t="s">
        <v>422</v>
      </c>
      <c r="J723">
        <v>60007652</v>
      </c>
      <c r="K723" t="s">
        <v>421</v>
      </c>
      <c r="L723" t="s">
        <v>420</v>
      </c>
      <c r="M723" t="s">
        <v>10</v>
      </c>
      <c r="N723">
        <v>1</v>
      </c>
      <c r="O723" t="s">
        <v>419</v>
      </c>
      <c r="P723">
        <v>7402524832</v>
      </c>
      <c r="Q723">
        <v>60007652</v>
      </c>
      <c r="R723" s="7">
        <v>30317</v>
      </c>
      <c r="S723" s="8">
        <f t="shared" si="88"/>
        <v>1983</v>
      </c>
      <c r="T723" s="8">
        <v>1983</v>
      </c>
      <c r="U723" s="8">
        <f t="shared" si="89"/>
        <v>39</v>
      </c>
      <c r="V723" s="7" t="s">
        <v>402</v>
      </c>
      <c r="W723" t="s">
        <v>401</v>
      </c>
      <c r="X723" s="2">
        <v>1.1339999999999999</v>
      </c>
      <c r="Y723" s="6">
        <f t="shared" si="94"/>
        <v>3.0271482341635299E-2</v>
      </c>
      <c r="AA723">
        <v>945765</v>
      </c>
      <c r="AB723">
        <v>12372</v>
      </c>
      <c r="AD723" t="s">
        <v>5</v>
      </c>
      <c r="AE723">
        <v>10</v>
      </c>
      <c r="AF723" s="9">
        <v>44352</v>
      </c>
      <c r="AH723" t="s">
        <v>418</v>
      </c>
      <c r="AI723" t="s">
        <v>417</v>
      </c>
      <c r="AK723" t="s">
        <v>416</v>
      </c>
      <c r="AL723">
        <v>8</v>
      </c>
      <c r="AM723" s="5">
        <f t="shared" si="90"/>
        <v>0.20512820512820512</v>
      </c>
      <c r="AN723" s="4">
        <f t="shared" si="95"/>
        <v>3.1068262798667948E-4</v>
      </c>
      <c r="AO723" s="3"/>
      <c r="AP723">
        <v>0</v>
      </c>
      <c r="AQ723" t="s">
        <v>415</v>
      </c>
      <c r="AR723" t="s">
        <v>1</v>
      </c>
      <c r="AS723" t="s">
        <v>414</v>
      </c>
      <c r="AT723" s="2">
        <v>2.4129999999999998</v>
      </c>
      <c r="AU723" s="1">
        <f t="shared" si="91"/>
        <v>2.1283242427540712</v>
      </c>
      <c r="AV723" s="1">
        <f t="shared" si="92"/>
        <v>1.5291082484810989</v>
      </c>
      <c r="AW723" s="1">
        <f t="shared" si="93"/>
        <v>0.92989225420812649</v>
      </c>
    </row>
    <row r="724" spans="1:49" x14ac:dyDescent="0.2">
      <c r="A724">
        <v>722</v>
      </c>
      <c r="B724" t="s">
        <v>413</v>
      </c>
      <c r="C724" t="s">
        <v>412</v>
      </c>
      <c r="D724" t="s">
        <v>411</v>
      </c>
      <c r="F724" t="s">
        <v>410</v>
      </c>
      <c r="G724" t="s">
        <v>15</v>
      </c>
      <c r="H724" t="s">
        <v>14</v>
      </c>
      <c r="I724" t="s">
        <v>409</v>
      </c>
      <c r="J724" t="s">
        <v>403</v>
      </c>
      <c r="K724" t="s">
        <v>408</v>
      </c>
      <c r="L724" t="s">
        <v>407</v>
      </c>
      <c r="M724" t="s">
        <v>406</v>
      </c>
      <c r="N724">
        <v>2</v>
      </c>
      <c r="O724" t="s">
        <v>405</v>
      </c>
      <c r="P724" t="s">
        <v>404</v>
      </c>
      <c r="Q724" t="s">
        <v>403</v>
      </c>
      <c r="R724" s="7">
        <v>30317</v>
      </c>
      <c r="S724" s="8">
        <f t="shared" si="88"/>
        <v>1983</v>
      </c>
      <c r="T724" s="8">
        <v>1983</v>
      </c>
      <c r="U724" s="8">
        <f t="shared" si="89"/>
        <v>39</v>
      </c>
      <c r="V724" s="7" t="s">
        <v>402</v>
      </c>
      <c r="W724" t="s">
        <v>401</v>
      </c>
      <c r="X724" s="2">
        <v>1.1339999999999999</v>
      </c>
      <c r="Y724" s="6">
        <f t="shared" si="94"/>
        <v>3.0271482341635299E-2</v>
      </c>
      <c r="AA724">
        <v>945765</v>
      </c>
      <c r="AB724">
        <v>12372</v>
      </c>
      <c r="AD724" t="s">
        <v>5</v>
      </c>
      <c r="AE724">
        <v>10</v>
      </c>
      <c r="AF724" s="9">
        <v>44352</v>
      </c>
      <c r="AH724" t="s">
        <v>400</v>
      </c>
      <c r="AI724" t="s">
        <v>399</v>
      </c>
      <c r="AK724" t="s">
        <v>398</v>
      </c>
      <c r="AL724">
        <v>5</v>
      </c>
      <c r="AM724" s="5">
        <f t="shared" si="90"/>
        <v>0.12820512820512819</v>
      </c>
      <c r="AN724" s="4">
        <f t="shared" si="95"/>
        <v>1.9417664249167467E-4</v>
      </c>
      <c r="AO724" s="3"/>
      <c r="AP724">
        <v>0</v>
      </c>
      <c r="AR724" t="s">
        <v>1</v>
      </c>
      <c r="AT724" s="2">
        <v>2.4129999999999998</v>
      </c>
      <c r="AU724" s="1">
        <f t="shared" si="91"/>
        <v>2.124829063189221</v>
      </c>
      <c r="AV724" s="1">
        <f t="shared" si="92"/>
        <v>1.5232829492063487</v>
      </c>
      <c r="AW724" s="1">
        <f t="shared" si="93"/>
        <v>0.92173683522347627</v>
      </c>
    </row>
    <row r="725" spans="1:49" x14ac:dyDescent="0.2">
      <c r="A725">
        <v>723</v>
      </c>
      <c r="B725" t="s">
        <v>397</v>
      </c>
      <c r="C725" t="s">
        <v>396</v>
      </c>
      <c r="F725" t="s">
        <v>395</v>
      </c>
      <c r="G725" t="s">
        <v>15</v>
      </c>
      <c r="H725" t="s">
        <v>14</v>
      </c>
      <c r="I725" t="s">
        <v>394</v>
      </c>
      <c r="J725">
        <v>60023053</v>
      </c>
      <c r="K725" t="s">
        <v>369</v>
      </c>
      <c r="L725" t="s">
        <v>368</v>
      </c>
      <c r="M725" t="s">
        <v>10</v>
      </c>
      <c r="N725">
        <v>3</v>
      </c>
      <c r="O725" t="s">
        <v>393</v>
      </c>
      <c r="P725" t="s">
        <v>392</v>
      </c>
      <c r="Q725" t="s">
        <v>391</v>
      </c>
      <c r="R725" s="7">
        <v>30317</v>
      </c>
      <c r="S725" s="8">
        <f t="shared" si="88"/>
        <v>1983</v>
      </c>
      <c r="T725" s="8">
        <v>1983</v>
      </c>
      <c r="U725" s="8">
        <f t="shared" si="89"/>
        <v>39</v>
      </c>
      <c r="V725" s="7">
        <v>30376</v>
      </c>
      <c r="W725" t="s">
        <v>307</v>
      </c>
      <c r="X725" s="2">
        <v>0.82</v>
      </c>
      <c r="Y725" s="6">
        <f t="shared" si="94"/>
        <v>2.1889431675609299E-2</v>
      </c>
      <c r="AA725">
        <v>189456</v>
      </c>
      <c r="AB725">
        <v>15361</v>
      </c>
      <c r="AC725">
        <v>15579662</v>
      </c>
      <c r="AD725" t="s">
        <v>5</v>
      </c>
      <c r="AE725">
        <v>32</v>
      </c>
      <c r="AF725">
        <v>1</v>
      </c>
      <c r="AH725" t="s">
        <v>390</v>
      </c>
      <c r="AI725" t="s">
        <v>389</v>
      </c>
      <c r="AK725" t="s">
        <v>388</v>
      </c>
      <c r="AL725">
        <v>4</v>
      </c>
      <c r="AM725" s="5">
        <f t="shared" si="90"/>
        <v>0.10256410256410256</v>
      </c>
      <c r="AN725" s="4">
        <f t="shared" si="95"/>
        <v>1.5534131399333974E-4</v>
      </c>
      <c r="AO725" s="3"/>
      <c r="AP725">
        <v>0</v>
      </c>
      <c r="AR725" t="s">
        <v>1</v>
      </c>
      <c r="AT725" s="2" t="s">
        <v>0</v>
      </c>
      <c r="AU725" s="1">
        <f t="shared" si="91"/>
        <v>1.536920456712451</v>
      </c>
      <c r="AV725" s="1">
        <f t="shared" si="92"/>
        <v>1.1022386494801317</v>
      </c>
      <c r="AW725" s="1">
        <f t="shared" si="93"/>
        <v>0.66755684224781264</v>
      </c>
    </row>
    <row r="726" spans="1:49" x14ac:dyDescent="0.2">
      <c r="A726">
        <v>724</v>
      </c>
      <c r="B726" t="s">
        <v>387</v>
      </c>
      <c r="C726" t="s">
        <v>386</v>
      </c>
      <c r="F726" t="s">
        <v>385</v>
      </c>
      <c r="G726" t="s">
        <v>15</v>
      </c>
      <c r="H726" t="s">
        <v>14</v>
      </c>
      <c r="I726" t="s">
        <v>384</v>
      </c>
      <c r="J726" t="s">
        <v>383</v>
      </c>
      <c r="K726" t="s">
        <v>382</v>
      </c>
      <c r="L726" t="s">
        <v>381</v>
      </c>
      <c r="M726" t="s">
        <v>380</v>
      </c>
      <c r="N726">
        <v>4</v>
      </c>
      <c r="O726" t="s">
        <v>379</v>
      </c>
      <c r="P726" t="s">
        <v>378</v>
      </c>
      <c r="Q726" t="s">
        <v>377</v>
      </c>
      <c r="R726" s="7">
        <v>30317</v>
      </c>
      <c r="S726" s="8">
        <f t="shared" si="88"/>
        <v>1983</v>
      </c>
      <c r="T726" s="8">
        <v>1983</v>
      </c>
      <c r="U726" s="8">
        <f t="shared" si="89"/>
        <v>39</v>
      </c>
      <c r="V726" s="7">
        <v>30376</v>
      </c>
      <c r="W726" t="s">
        <v>307</v>
      </c>
      <c r="X726" s="2">
        <v>0.82</v>
      </c>
      <c r="Y726" s="6">
        <f t="shared" si="94"/>
        <v>2.1889431675609299E-2</v>
      </c>
      <c r="AA726">
        <v>189456</v>
      </c>
      <c r="AB726">
        <v>15361</v>
      </c>
      <c r="AC726">
        <v>15579662</v>
      </c>
      <c r="AD726" t="s">
        <v>5</v>
      </c>
      <c r="AE726">
        <v>32</v>
      </c>
      <c r="AF726">
        <v>1</v>
      </c>
      <c r="AH726" t="s">
        <v>376</v>
      </c>
      <c r="AI726" t="s">
        <v>375</v>
      </c>
      <c r="AK726" t="s">
        <v>374</v>
      </c>
      <c r="AL726">
        <v>2</v>
      </c>
      <c r="AM726" s="5">
        <f t="shared" si="90"/>
        <v>5.128205128205128E-2</v>
      </c>
      <c r="AN726" s="4">
        <f t="shared" si="95"/>
        <v>7.767065699666987E-5</v>
      </c>
      <c r="AO726" s="3"/>
      <c r="AP726">
        <v>0</v>
      </c>
      <c r="AR726" t="s">
        <v>1</v>
      </c>
      <c r="AT726" s="2" t="s">
        <v>0</v>
      </c>
      <c r="AU726" s="1">
        <f t="shared" si="91"/>
        <v>1.5345903370025509</v>
      </c>
      <c r="AV726" s="1">
        <f t="shared" si="92"/>
        <v>1.0983551166302985</v>
      </c>
      <c r="AW726" s="1">
        <f t="shared" si="93"/>
        <v>0.66211989625804579</v>
      </c>
    </row>
    <row r="727" spans="1:49" x14ac:dyDescent="0.2">
      <c r="A727">
        <v>725</v>
      </c>
      <c r="B727" t="s">
        <v>373</v>
      </c>
      <c r="C727" t="s">
        <v>372</v>
      </c>
      <c r="F727" t="s">
        <v>371</v>
      </c>
      <c r="G727" t="s">
        <v>15</v>
      </c>
      <c r="H727" t="s">
        <v>14</v>
      </c>
      <c r="I727" t="s">
        <v>370</v>
      </c>
      <c r="J727">
        <v>60023053</v>
      </c>
      <c r="K727" t="s">
        <v>369</v>
      </c>
      <c r="L727" t="s">
        <v>368</v>
      </c>
      <c r="M727" t="s">
        <v>10</v>
      </c>
      <c r="N727">
        <v>1</v>
      </c>
      <c r="O727" t="s">
        <v>367</v>
      </c>
      <c r="P727">
        <v>7003603370</v>
      </c>
      <c r="Q727">
        <v>60023053</v>
      </c>
      <c r="R727" s="7">
        <v>30317</v>
      </c>
      <c r="S727" s="8">
        <f t="shared" si="88"/>
        <v>1983</v>
      </c>
      <c r="T727" s="8">
        <v>1983</v>
      </c>
      <c r="U727" s="8">
        <f t="shared" si="89"/>
        <v>39</v>
      </c>
      <c r="V727" s="7">
        <v>30376</v>
      </c>
      <c r="W727" t="s">
        <v>307</v>
      </c>
      <c r="X727" s="2">
        <v>0.82</v>
      </c>
      <c r="Y727" s="6">
        <f t="shared" si="94"/>
        <v>2.1889431675609299E-2</v>
      </c>
      <c r="AA727">
        <v>189456</v>
      </c>
      <c r="AB727">
        <v>15361</v>
      </c>
      <c r="AC727">
        <v>15579662</v>
      </c>
      <c r="AD727" t="s">
        <v>5</v>
      </c>
      <c r="AE727">
        <v>32</v>
      </c>
      <c r="AF727">
        <v>1</v>
      </c>
      <c r="AH727" t="s">
        <v>366</v>
      </c>
      <c r="AI727" t="s">
        <v>365</v>
      </c>
      <c r="AJ727" t="s">
        <v>364</v>
      </c>
      <c r="AK727" t="s">
        <v>363</v>
      </c>
      <c r="AL727">
        <v>7</v>
      </c>
      <c r="AM727" s="5">
        <f t="shared" si="90"/>
        <v>0.17948717948717949</v>
      </c>
      <c r="AN727" s="4">
        <f t="shared" si="95"/>
        <v>2.7184729948834453E-4</v>
      </c>
      <c r="AO727" s="3"/>
      <c r="AP727">
        <v>0</v>
      </c>
      <c r="AR727" t="s">
        <v>1</v>
      </c>
      <c r="AT727" s="2" t="s">
        <v>0</v>
      </c>
      <c r="AU727" s="1">
        <f t="shared" si="91"/>
        <v>1.5404156362773012</v>
      </c>
      <c r="AV727" s="1">
        <f t="shared" si="92"/>
        <v>1.1080639487548822</v>
      </c>
      <c r="AW727" s="1">
        <f t="shared" si="93"/>
        <v>0.67571226123246297</v>
      </c>
    </row>
    <row r="728" spans="1:49" x14ac:dyDescent="0.2">
      <c r="A728">
        <v>726</v>
      </c>
      <c r="B728" t="s">
        <v>362</v>
      </c>
      <c r="C728" t="s">
        <v>361</v>
      </c>
      <c r="F728" t="s">
        <v>360</v>
      </c>
      <c r="G728" t="s">
        <v>15</v>
      </c>
      <c r="H728" t="s">
        <v>14</v>
      </c>
      <c r="I728" t="s">
        <v>359</v>
      </c>
      <c r="J728" t="s">
        <v>358</v>
      </c>
      <c r="K728" t="s">
        <v>357</v>
      </c>
      <c r="L728" t="s">
        <v>356</v>
      </c>
      <c r="M728" t="s">
        <v>355</v>
      </c>
      <c r="N728">
        <v>3</v>
      </c>
      <c r="O728" t="s">
        <v>354</v>
      </c>
      <c r="P728" t="s">
        <v>353</v>
      </c>
      <c r="Q728" t="s">
        <v>352</v>
      </c>
      <c r="R728" s="7">
        <v>30317</v>
      </c>
      <c r="S728" s="8">
        <f t="shared" si="88"/>
        <v>1983</v>
      </c>
      <c r="T728" s="8">
        <v>1983</v>
      </c>
      <c r="U728" s="8">
        <f t="shared" si="89"/>
        <v>39</v>
      </c>
      <c r="V728" s="7">
        <v>30376</v>
      </c>
      <c r="W728" t="s">
        <v>307</v>
      </c>
      <c r="X728" s="2">
        <v>0.82</v>
      </c>
      <c r="Y728" s="6">
        <f t="shared" si="94"/>
        <v>2.1889431675609299E-2</v>
      </c>
      <c r="AA728">
        <v>189456</v>
      </c>
      <c r="AB728">
        <v>15361</v>
      </c>
      <c r="AC728">
        <v>15579662</v>
      </c>
      <c r="AD728" t="s">
        <v>5</v>
      </c>
      <c r="AE728">
        <v>32</v>
      </c>
      <c r="AF728">
        <v>1</v>
      </c>
      <c r="AH728" t="s">
        <v>351</v>
      </c>
      <c r="AI728" t="s">
        <v>350</v>
      </c>
      <c r="AK728" t="s">
        <v>349</v>
      </c>
      <c r="AL728">
        <v>2</v>
      </c>
      <c r="AM728" s="5">
        <f t="shared" si="90"/>
        <v>5.128205128205128E-2</v>
      </c>
      <c r="AN728" s="4">
        <f t="shared" si="95"/>
        <v>7.767065699666987E-5</v>
      </c>
      <c r="AO728" s="3"/>
      <c r="AP728">
        <v>0</v>
      </c>
      <c r="AR728" t="s">
        <v>1</v>
      </c>
      <c r="AT728" s="2" t="s">
        <v>0</v>
      </c>
      <c r="AU728" s="1">
        <f t="shared" si="91"/>
        <v>1.5345903370025509</v>
      </c>
      <c r="AV728" s="1">
        <f t="shared" si="92"/>
        <v>1.0983551166302985</v>
      </c>
      <c r="AW728" s="1">
        <f t="shared" si="93"/>
        <v>0.66211989625804579</v>
      </c>
    </row>
    <row r="729" spans="1:49" x14ac:dyDescent="0.2">
      <c r="A729">
        <v>727</v>
      </c>
      <c r="B729" t="s">
        <v>348</v>
      </c>
      <c r="C729" t="s">
        <v>347</v>
      </c>
      <c r="F729" t="s">
        <v>346</v>
      </c>
      <c r="G729" t="s">
        <v>15</v>
      </c>
      <c r="H729" t="s">
        <v>14</v>
      </c>
      <c r="I729" t="s">
        <v>345</v>
      </c>
      <c r="N729">
        <v>2</v>
      </c>
      <c r="O729" t="s">
        <v>344</v>
      </c>
      <c r="P729" t="s">
        <v>343</v>
      </c>
      <c r="Q729" t="s">
        <v>342</v>
      </c>
      <c r="R729" s="7">
        <v>30317</v>
      </c>
      <c r="S729" s="8">
        <f t="shared" si="88"/>
        <v>1983</v>
      </c>
      <c r="T729" s="8">
        <v>1983</v>
      </c>
      <c r="U729" s="8">
        <f t="shared" si="89"/>
        <v>39</v>
      </c>
      <c r="V729" s="7">
        <v>30376</v>
      </c>
      <c r="W729" t="s">
        <v>307</v>
      </c>
      <c r="X729" s="2">
        <v>0.82</v>
      </c>
      <c r="Y729" s="6">
        <f t="shared" si="94"/>
        <v>2.1889431675609299E-2</v>
      </c>
      <c r="AA729">
        <v>189456</v>
      </c>
      <c r="AB729">
        <v>15361</v>
      </c>
      <c r="AC729">
        <v>15579662</v>
      </c>
      <c r="AD729" t="s">
        <v>5</v>
      </c>
      <c r="AE729">
        <v>32</v>
      </c>
      <c r="AF729">
        <v>1</v>
      </c>
      <c r="AH729" t="s">
        <v>341</v>
      </c>
      <c r="AI729" t="s">
        <v>340</v>
      </c>
      <c r="AK729" t="s">
        <v>339</v>
      </c>
      <c r="AL729">
        <v>1</v>
      </c>
      <c r="AM729" s="5">
        <f t="shared" si="90"/>
        <v>2.564102564102564E-2</v>
      </c>
      <c r="AN729" s="4">
        <f t="shared" si="95"/>
        <v>3.8835328498334935E-5</v>
      </c>
      <c r="AO729" s="3"/>
      <c r="AP729">
        <v>0</v>
      </c>
      <c r="AR729" t="s">
        <v>1</v>
      </c>
      <c r="AT729" s="2" t="s">
        <v>0</v>
      </c>
      <c r="AU729" s="1">
        <f t="shared" si="91"/>
        <v>1.5334252771476007</v>
      </c>
      <c r="AV729" s="1">
        <f t="shared" si="92"/>
        <v>1.0964133502053817</v>
      </c>
      <c r="AW729" s="1">
        <f t="shared" si="93"/>
        <v>0.65940142326316231</v>
      </c>
    </row>
    <row r="730" spans="1:49" x14ac:dyDescent="0.2">
      <c r="A730">
        <v>728</v>
      </c>
      <c r="B730" t="s">
        <v>338</v>
      </c>
      <c r="C730" t="s">
        <v>337</v>
      </c>
      <c r="F730" t="s">
        <v>336</v>
      </c>
      <c r="G730" t="s">
        <v>15</v>
      </c>
      <c r="H730" t="s">
        <v>14</v>
      </c>
      <c r="I730" t="s">
        <v>335</v>
      </c>
      <c r="N730">
        <v>6</v>
      </c>
      <c r="O730" t="s">
        <v>334</v>
      </c>
      <c r="P730" t="s">
        <v>333</v>
      </c>
      <c r="Q730" t="s">
        <v>332</v>
      </c>
      <c r="R730" s="7">
        <v>30317</v>
      </c>
      <c r="S730" s="8">
        <f t="shared" si="88"/>
        <v>1983</v>
      </c>
      <c r="T730" s="8">
        <v>1983</v>
      </c>
      <c r="U730" s="8">
        <f t="shared" si="89"/>
        <v>39</v>
      </c>
      <c r="V730" s="7">
        <v>30376</v>
      </c>
      <c r="W730" t="s">
        <v>307</v>
      </c>
      <c r="X730" s="2">
        <v>0.82</v>
      </c>
      <c r="Y730" s="6">
        <f t="shared" si="94"/>
        <v>2.1889431675609299E-2</v>
      </c>
      <c r="AA730">
        <v>189456</v>
      </c>
      <c r="AB730">
        <v>15361</v>
      </c>
      <c r="AC730">
        <v>15579662</v>
      </c>
      <c r="AD730" t="s">
        <v>5</v>
      </c>
      <c r="AE730">
        <v>32</v>
      </c>
      <c r="AF730">
        <v>1</v>
      </c>
      <c r="AH730" t="s">
        <v>331</v>
      </c>
      <c r="AI730" t="s">
        <v>330</v>
      </c>
      <c r="AK730" t="s">
        <v>329</v>
      </c>
      <c r="AL730">
        <v>8</v>
      </c>
      <c r="AM730" s="5">
        <f t="shared" si="90"/>
        <v>0.20512820512820512</v>
      </c>
      <c r="AN730" s="4">
        <f t="shared" si="95"/>
        <v>3.1068262798667948E-4</v>
      </c>
      <c r="AO730" s="3"/>
      <c r="AP730">
        <v>0</v>
      </c>
      <c r="AR730" t="s">
        <v>1</v>
      </c>
      <c r="AT730" s="2" t="s">
        <v>0</v>
      </c>
      <c r="AU730" s="1">
        <f t="shared" si="91"/>
        <v>1.5415806961322511</v>
      </c>
      <c r="AV730" s="1">
        <f t="shared" si="92"/>
        <v>1.1100057151797988</v>
      </c>
      <c r="AW730" s="1">
        <f t="shared" si="93"/>
        <v>0.67843073422734645</v>
      </c>
    </row>
    <row r="731" spans="1:49" x14ac:dyDescent="0.2">
      <c r="A731">
        <v>729</v>
      </c>
      <c r="B731" t="s">
        <v>328</v>
      </c>
      <c r="C731" t="s">
        <v>327</v>
      </c>
      <c r="F731" t="s">
        <v>326</v>
      </c>
      <c r="G731" t="s">
        <v>15</v>
      </c>
      <c r="H731" t="s">
        <v>14</v>
      </c>
      <c r="I731" t="s">
        <v>325</v>
      </c>
      <c r="J731">
        <v>60005304</v>
      </c>
      <c r="K731" t="s">
        <v>324</v>
      </c>
      <c r="L731" t="s">
        <v>323</v>
      </c>
      <c r="M731" t="s">
        <v>10</v>
      </c>
      <c r="N731">
        <v>5</v>
      </c>
      <c r="O731" t="s">
        <v>322</v>
      </c>
      <c r="P731" t="s">
        <v>321</v>
      </c>
      <c r="Q731" t="s">
        <v>320</v>
      </c>
      <c r="R731" s="7">
        <v>30317</v>
      </c>
      <c r="S731" s="8">
        <f t="shared" si="88"/>
        <v>1983</v>
      </c>
      <c r="T731" s="8">
        <v>1983</v>
      </c>
      <c r="U731" s="8">
        <f t="shared" si="89"/>
        <v>39</v>
      </c>
      <c r="V731" s="7">
        <v>30376</v>
      </c>
      <c r="W731" t="s">
        <v>307</v>
      </c>
      <c r="X731" s="2">
        <v>0.82</v>
      </c>
      <c r="Y731" s="6">
        <f t="shared" si="94"/>
        <v>2.1889431675609299E-2</v>
      </c>
      <c r="AA731">
        <v>189456</v>
      </c>
      <c r="AB731">
        <v>15361</v>
      </c>
      <c r="AC731">
        <v>15579662</v>
      </c>
      <c r="AD731" t="s">
        <v>5</v>
      </c>
      <c r="AE731">
        <v>32</v>
      </c>
      <c r="AF731">
        <v>1</v>
      </c>
      <c r="AH731" t="s">
        <v>319</v>
      </c>
      <c r="AI731" t="s">
        <v>318</v>
      </c>
      <c r="AK731" t="s">
        <v>317</v>
      </c>
      <c r="AL731">
        <v>4</v>
      </c>
      <c r="AM731" s="5">
        <f t="shared" si="90"/>
        <v>0.10256410256410256</v>
      </c>
      <c r="AN731" s="4">
        <f t="shared" si="95"/>
        <v>1.5534131399333974E-4</v>
      </c>
      <c r="AO731" s="3"/>
      <c r="AP731">
        <v>0</v>
      </c>
      <c r="AR731" t="s">
        <v>1</v>
      </c>
      <c r="AT731" s="2" t="s">
        <v>0</v>
      </c>
      <c r="AU731" s="1">
        <f t="shared" si="91"/>
        <v>1.536920456712451</v>
      </c>
      <c r="AV731" s="1">
        <f t="shared" si="92"/>
        <v>1.1022386494801317</v>
      </c>
      <c r="AW731" s="1">
        <f t="shared" si="93"/>
        <v>0.66755684224781264</v>
      </c>
    </row>
    <row r="732" spans="1:49" x14ac:dyDescent="0.2">
      <c r="A732">
        <v>730</v>
      </c>
      <c r="B732" t="s">
        <v>316</v>
      </c>
      <c r="C732" t="s">
        <v>315</v>
      </c>
      <c r="F732" t="s">
        <v>314</v>
      </c>
      <c r="G732" t="s">
        <v>15</v>
      </c>
      <c r="H732" t="s">
        <v>14</v>
      </c>
      <c r="I732" t="s">
        <v>313</v>
      </c>
      <c r="J732">
        <v>60013372</v>
      </c>
      <c r="K732" t="s">
        <v>312</v>
      </c>
      <c r="L732" t="s">
        <v>311</v>
      </c>
      <c r="M732" t="s">
        <v>10</v>
      </c>
      <c r="N732">
        <v>4</v>
      </c>
      <c r="O732" t="s">
        <v>310</v>
      </c>
      <c r="P732" t="s">
        <v>309</v>
      </c>
      <c r="Q732" t="s">
        <v>308</v>
      </c>
      <c r="R732" s="7">
        <v>30317</v>
      </c>
      <c r="S732" s="8">
        <f t="shared" si="88"/>
        <v>1983</v>
      </c>
      <c r="T732" s="8">
        <v>1983</v>
      </c>
      <c r="U732" s="8">
        <f t="shared" si="89"/>
        <v>39</v>
      </c>
      <c r="V732" s="7">
        <v>30376</v>
      </c>
      <c r="W732" t="s">
        <v>307</v>
      </c>
      <c r="X732" s="2">
        <v>0.82</v>
      </c>
      <c r="Y732" s="6">
        <f t="shared" si="94"/>
        <v>2.1889431675609299E-2</v>
      </c>
      <c r="AA732">
        <v>189456</v>
      </c>
      <c r="AB732">
        <v>15361</v>
      </c>
      <c r="AC732">
        <v>15579662</v>
      </c>
      <c r="AD732" t="s">
        <v>5</v>
      </c>
      <c r="AE732">
        <v>32</v>
      </c>
      <c r="AF732">
        <v>1</v>
      </c>
      <c r="AH732" t="s">
        <v>306</v>
      </c>
      <c r="AI732" t="s">
        <v>305</v>
      </c>
      <c r="AK732" t="s">
        <v>304</v>
      </c>
      <c r="AL732">
        <v>26</v>
      </c>
      <c r="AM732" s="5">
        <f t="shared" si="90"/>
        <v>0.66666666666666663</v>
      </c>
      <c r="AN732" s="4">
        <f t="shared" si="95"/>
        <v>1.0097185409567082E-3</v>
      </c>
      <c r="AO732" s="3"/>
      <c r="AP732">
        <v>0</v>
      </c>
      <c r="AR732" t="s">
        <v>1</v>
      </c>
      <c r="AT732" s="2" t="s">
        <v>0</v>
      </c>
      <c r="AU732" s="1">
        <f t="shared" si="91"/>
        <v>1.5625517735213521</v>
      </c>
      <c r="AV732" s="1">
        <f t="shared" si="92"/>
        <v>1.1449575108283003</v>
      </c>
      <c r="AW732" s="1">
        <f t="shared" si="93"/>
        <v>0.72736324813524855</v>
      </c>
    </row>
    <row r="733" spans="1:49" x14ac:dyDescent="0.2">
      <c r="A733">
        <v>731</v>
      </c>
      <c r="B733" t="s">
        <v>303</v>
      </c>
      <c r="C733" t="s">
        <v>302</v>
      </c>
      <c r="F733" t="s">
        <v>301</v>
      </c>
      <c r="G733" t="s">
        <v>15</v>
      </c>
      <c r="H733" t="s">
        <v>14</v>
      </c>
      <c r="I733" t="s">
        <v>300</v>
      </c>
      <c r="J733">
        <v>60032291</v>
      </c>
      <c r="K733" t="s">
        <v>299</v>
      </c>
      <c r="L733" t="s">
        <v>298</v>
      </c>
      <c r="M733" t="s">
        <v>10</v>
      </c>
      <c r="N733">
        <v>1</v>
      </c>
      <c r="O733" t="s">
        <v>297</v>
      </c>
      <c r="P733">
        <v>7202418513</v>
      </c>
      <c r="Q733">
        <v>60032291</v>
      </c>
      <c r="R733" s="7">
        <v>30317</v>
      </c>
      <c r="S733" s="8">
        <f t="shared" si="88"/>
        <v>1983</v>
      </c>
      <c r="T733" s="8">
        <v>1983</v>
      </c>
      <c r="U733" s="8">
        <f t="shared" si="89"/>
        <v>39</v>
      </c>
      <c r="V733" s="7">
        <v>30437</v>
      </c>
      <c r="W733" t="s">
        <v>296</v>
      </c>
      <c r="X733" s="2">
        <v>0.627</v>
      </c>
      <c r="Y733" s="6">
        <f t="shared" si="94"/>
        <v>1.6737406903179305E-2</v>
      </c>
      <c r="AA733" t="s">
        <v>295</v>
      </c>
      <c r="AB733">
        <v>50091</v>
      </c>
      <c r="AD733" t="s">
        <v>5</v>
      </c>
      <c r="AE733">
        <v>109</v>
      </c>
      <c r="AF733">
        <v>2</v>
      </c>
      <c r="AH733" t="s">
        <v>294</v>
      </c>
      <c r="AI733" t="s">
        <v>293</v>
      </c>
      <c r="AK733" t="s">
        <v>292</v>
      </c>
      <c r="AL733">
        <v>1</v>
      </c>
      <c r="AM733" s="5">
        <f t="shared" si="90"/>
        <v>2.564102564102564E-2</v>
      </c>
      <c r="AN733" s="4">
        <f t="shared" si="95"/>
        <v>3.8835328498334935E-5</v>
      </c>
      <c r="AO733" s="3"/>
      <c r="AP733">
        <v>0</v>
      </c>
      <c r="AR733" t="s">
        <v>1</v>
      </c>
      <c r="AT733" s="2" t="s">
        <v>0</v>
      </c>
      <c r="AU733" s="1">
        <f t="shared" si="91"/>
        <v>1.1727835430775013</v>
      </c>
      <c r="AV733" s="1">
        <f t="shared" si="92"/>
        <v>0.83881211158388191</v>
      </c>
      <c r="AW733" s="1">
        <f t="shared" si="93"/>
        <v>0.50484068009026251</v>
      </c>
    </row>
    <row r="734" spans="1:49" x14ac:dyDescent="0.2">
      <c r="A734">
        <v>732</v>
      </c>
      <c r="B734" t="s">
        <v>291</v>
      </c>
      <c r="C734" t="s">
        <v>290</v>
      </c>
      <c r="F734" t="s">
        <v>289</v>
      </c>
      <c r="G734" t="s">
        <v>15</v>
      </c>
      <c r="H734" t="s">
        <v>14</v>
      </c>
      <c r="I734" t="s">
        <v>288</v>
      </c>
      <c r="J734">
        <v>60013959</v>
      </c>
      <c r="K734" t="s">
        <v>287</v>
      </c>
      <c r="L734" t="s">
        <v>286</v>
      </c>
      <c r="M734" t="s">
        <v>10</v>
      </c>
      <c r="N734">
        <v>2</v>
      </c>
      <c r="O734" t="s">
        <v>285</v>
      </c>
      <c r="P734" t="s">
        <v>284</v>
      </c>
      <c r="Q734" t="s">
        <v>283</v>
      </c>
      <c r="R734" s="7">
        <v>30317</v>
      </c>
      <c r="S734" s="8">
        <f t="shared" si="88"/>
        <v>1983</v>
      </c>
      <c r="T734" s="8">
        <v>1983</v>
      </c>
      <c r="U734" s="8">
        <f t="shared" si="89"/>
        <v>39</v>
      </c>
      <c r="V734" s="7">
        <v>30348</v>
      </c>
      <c r="W734" t="s">
        <v>282</v>
      </c>
      <c r="X734" s="2">
        <v>0.54100000000000004</v>
      </c>
      <c r="Y734" s="6">
        <f t="shared" si="94"/>
        <v>1.4441686020127601E-2</v>
      </c>
      <c r="AA734">
        <v>29505</v>
      </c>
      <c r="AB734">
        <v>26997</v>
      </c>
      <c r="AC734">
        <v>19432909</v>
      </c>
      <c r="AD734" t="s">
        <v>5</v>
      </c>
      <c r="AE734">
        <v>51</v>
      </c>
      <c r="AF734">
        <v>2</v>
      </c>
      <c r="AH734" t="s">
        <v>281</v>
      </c>
      <c r="AI734" t="s">
        <v>280</v>
      </c>
      <c r="AK734" t="s">
        <v>279</v>
      </c>
      <c r="AL734">
        <v>74</v>
      </c>
      <c r="AM734" s="5">
        <f t="shared" si="90"/>
        <v>1.8974358974358974</v>
      </c>
      <c r="AN734" s="4">
        <f t="shared" si="95"/>
        <v>2.873814308876785E-3</v>
      </c>
      <c r="AO734" s="3"/>
      <c r="AP734">
        <v>0</v>
      </c>
      <c r="AR734" t="s">
        <v>1</v>
      </c>
      <c r="AT734" s="2">
        <v>1.022</v>
      </c>
      <c r="AU734" s="1">
        <f t="shared" si="91"/>
        <v>1.0971324506752356</v>
      </c>
      <c r="AV734" s="1">
        <f t="shared" si="92"/>
        <v>0.86577501645021937</v>
      </c>
      <c r="AW734" s="1">
        <f t="shared" si="93"/>
        <v>0.63441758222520295</v>
      </c>
    </row>
    <row r="735" spans="1:49" x14ac:dyDescent="0.2">
      <c r="A735">
        <v>733</v>
      </c>
      <c r="B735" t="s">
        <v>278</v>
      </c>
      <c r="C735" t="s">
        <v>277</v>
      </c>
      <c r="D735" t="s">
        <v>276</v>
      </c>
      <c r="F735" t="s">
        <v>275</v>
      </c>
      <c r="G735" t="s">
        <v>15</v>
      </c>
      <c r="H735" t="s">
        <v>14</v>
      </c>
      <c r="I735" t="s">
        <v>274</v>
      </c>
      <c r="J735">
        <v>60017317</v>
      </c>
      <c r="K735" t="s">
        <v>273</v>
      </c>
      <c r="L735" t="s">
        <v>272</v>
      </c>
      <c r="M735" t="s">
        <v>271</v>
      </c>
      <c r="N735">
        <v>3</v>
      </c>
      <c r="O735" t="s">
        <v>270</v>
      </c>
      <c r="P735" t="s">
        <v>269</v>
      </c>
      <c r="Q735" t="s">
        <v>268</v>
      </c>
      <c r="R735" s="7">
        <v>30317</v>
      </c>
      <c r="S735" s="8">
        <f t="shared" ref="S735:S754" si="96">YEAR(R735)</f>
        <v>1983</v>
      </c>
      <c r="T735" s="8">
        <v>1983</v>
      </c>
      <c r="U735" s="8">
        <f t="shared" ref="U735:U754" si="97">2022-T735</f>
        <v>39</v>
      </c>
      <c r="V735" s="7">
        <v>1983</v>
      </c>
      <c r="W735" t="s">
        <v>267</v>
      </c>
      <c r="X735" s="2" t="s">
        <v>0</v>
      </c>
      <c r="Y735" s="6" t="e">
        <f t="shared" si="94"/>
        <v>#VALUE!</v>
      </c>
      <c r="AA735">
        <v>201790</v>
      </c>
      <c r="AB735">
        <v>9800153163</v>
      </c>
      <c r="AD735" t="s">
        <v>5</v>
      </c>
      <c r="AE735">
        <v>13</v>
      </c>
      <c r="AF735">
        <v>1</v>
      </c>
      <c r="AH735" t="s">
        <v>266</v>
      </c>
      <c r="AI735" t="s">
        <v>265</v>
      </c>
      <c r="AJ735" t="s">
        <v>264</v>
      </c>
      <c r="AK735" t="s">
        <v>263</v>
      </c>
      <c r="AL735">
        <v>9</v>
      </c>
      <c r="AM735" s="5">
        <f t="shared" ref="AM735:AM754" si="98">AL735/U735</f>
        <v>0.23076923076923078</v>
      </c>
      <c r="AN735" s="4">
        <f t="shared" si="95"/>
        <v>3.4951795648501444E-4</v>
      </c>
      <c r="AO735" s="3"/>
      <c r="AP735">
        <v>0</v>
      </c>
      <c r="AR735" t="s">
        <v>1</v>
      </c>
      <c r="AT735" s="2" t="s">
        <v>0</v>
      </c>
      <c r="AU735" s="1" t="e">
        <f t="shared" ref="AU735:AU754" si="99">(Y735*0.7+AN735*0.3)*100</f>
        <v>#VALUE!</v>
      </c>
      <c r="AV735" s="1" t="e">
        <f t="shared" ref="AV735:AV754" si="100">(Y735*0.5+AN735*0.5)*100</f>
        <v>#VALUE!</v>
      </c>
      <c r="AW735" s="1" t="e">
        <f t="shared" ref="AW735:AW754" si="101">(Y735*0.3+AN735*0.7)*100</f>
        <v>#VALUE!</v>
      </c>
    </row>
    <row r="736" spans="1:49" x14ac:dyDescent="0.2">
      <c r="A736">
        <v>734</v>
      </c>
      <c r="B736" t="s">
        <v>262</v>
      </c>
      <c r="C736" t="s">
        <v>261</v>
      </c>
      <c r="D736" t="s">
        <v>260</v>
      </c>
      <c r="F736" t="s">
        <v>259</v>
      </c>
      <c r="G736" t="s">
        <v>15</v>
      </c>
      <c r="H736" t="s">
        <v>14</v>
      </c>
      <c r="I736" t="s">
        <v>258</v>
      </c>
      <c r="J736">
        <v>60009841</v>
      </c>
      <c r="K736" t="s">
        <v>257</v>
      </c>
      <c r="L736" t="s">
        <v>256</v>
      </c>
      <c r="M736" t="s">
        <v>10</v>
      </c>
      <c r="N736">
        <v>1</v>
      </c>
      <c r="O736" t="s">
        <v>255</v>
      </c>
      <c r="P736">
        <v>7102047526</v>
      </c>
      <c r="Q736">
        <v>60009841</v>
      </c>
      <c r="R736" s="7">
        <v>30317</v>
      </c>
      <c r="S736" s="8">
        <f t="shared" si="96"/>
        <v>1983</v>
      </c>
      <c r="T736" s="8">
        <v>1983</v>
      </c>
      <c r="U736" s="8">
        <f t="shared" si="97"/>
        <v>39</v>
      </c>
      <c r="V736" s="7">
        <v>30651</v>
      </c>
      <c r="W736" t="s">
        <v>117</v>
      </c>
      <c r="X736" s="2">
        <v>0.998</v>
      </c>
      <c r="Y736" s="6">
        <f t="shared" si="94"/>
        <v>2.664104001494888E-2</v>
      </c>
      <c r="AA736">
        <v>207322</v>
      </c>
      <c r="AB736">
        <v>90127</v>
      </c>
      <c r="AD736" t="s">
        <v>5</v>
      </c>
      <c r="AE736">
        <v>12</v>
      </c>
      <c r="AF736" s="9">
        <v>44352</v>
      </c>
      <c r="AH736" t="s">
        <v>254</v>
      </c>
      <c r="AI736" t="s">
        <v>253</v>
      </c>
      <c r="AJ736" t="s">
        <v>252</v>
      </c>
      <c r="AK736" t="s">
        <v>251</v>
      </c>
      <c r="AL736">
        <v>20</v>
      </c>
      <c r="AM736" s="5">
        <f t="shared" si="98"/>
        <v>0.51282051282051277</v>
      </c>
      <c r="AN736" s="4">
        <f t="shared" si="95"/>
        <v>7.7670656996669868E-4</v>
      </c>
      <c r="AO736" s="3"/>
      <c r="AP736">
        <v>0</v>
      </c>
      <c r="AR736" t="s">
        <v>1</v>
      </c>
      <c r="AT736" s="2" t="s">
        <v>0</v>
      </c>
      <c r="AU736" s="1">
        <f t="shared" si="99"/>
        <v>1.8881739981454224</v>
      </c>
      <c r="AV736" s="1">
        <f t="shared" si="100"/>
        <v>1.3708873292457788</v>
      </c>
      <c r="AW736" s="1">
        <f t="shared" si="101"/>
        <v>0.85360066034613524</v>
      </c>
    </row>
    <row r="737" spans="1:49" x14ac:dyDescent="0.2">
      <c r="A737">
        <v>735</v>
      </c>
      <c r="B737" t="s">
        <v>250</v>
      </c>
      <c r="C737" t="s">
        <v>249</v>
      </c>
      <c r="D737" t="s">
        <v>248</v>
      </c>
      <c r="F737" t="s">
        <v>247</v>
      </c>
      <c r="G737" t="s">
        <v>15</v>
      </c>
      <c r="H737" t="s">
        <v>14</v>
      </c>
      <c r="I737" t="s">
        <v>246</v>
      </c>
      <c r="J737">
        <v>60029428</v>
      </c>
      <c r="K737" t="s">
        <v>245</v>
      </c>
      <c r="L737" t="s">
        <v>244</v>
      </c>
      <c r="M737" t="s">
        <v>80</v>
      </c>
      <c r="N737">
        <v>2</v>
      </c>
      <c r="O737" t="s">
        <v>243</v>
      </c>
      <c r="P737" t="s">
        <v>242</v>
      </c>
      <c r="Q737" t="s">
        <v>241</v>
      </c>
      <c r="R737" s="7">
        <v>30317</v>
      </c>
      <c r="S737" s="8">
        <f t="shared" si="96"/>
        <v>1983</v>
      </c>
      <c r="T737" s="8">
        <v>1983</v>
      </c>
      <c r="U737" s="8">
        <f t="shared" si="97"/>
        <v>39</v>
      </c>
      <c r="V737" s="7">
        <v>1983</v>
      </c>
      <c r="W737" t="s">
        <v>117</v>
      </c>
      <c r="X737" s="2">
        <v>0.998</v>
      </c>
      <c r="Y737" s="6">
        <f t="shared" si="94"/>
        <v>2.664104001494888E-2</v>
      </c>
      <c r="AA737">
        <v>207322</v>
      </c>
      <c r="AB737">
        <v>90127</v>
      </c>
      <c r="AD737" t="s">
        <v>5</v>
      </c>
      <c r="AE737">
        <v>12</v>
      </c>
      <c r="AF737">
        <v>1</v>
      </c>
      <c r="AH737" t="s">
        <v>240</v>
      </c>
      <c r="AI737" t="s">
        <v>239</v>
      </c>
      <c r="AJ737" t="s">
        <v>238</v>
      </c>
      <c r="AK737" t="s">
        <v>237</v>
      </c>
      <c r="AL737">
        <v>25</v>
      </c>
      <c r="AM737" s="5">
        <f t="shared" si="98"/>
        <v>0.64102564102564108</v>
      </c>
      <c r="AN737" s="4">
        <f t="shared" si="95"/>
        <v>9.7088321245837345E-4</v>
      </c>
      <c r="AO737" s="3"/>
      <c r="AP737">
        <v>0</v>
      </c>
      <c r="AR737" t="s">
        <v>1</v>
      </c>
      <c r="AT737" s="2" t="s">
        <v>0</v>
      </c>
      <c r="AU737" s="1">
        <f t="shared" si="99"/>
        <v>1.8939992974201729</v>
      </c>
      <c r="AV737" s="1">
        <f t="shared" si="100"/>
        <v>1.3805961613703626</v>
      </c>
      <c r="AW737" s="1">
        <f t="shared" si="101"/>
        <v>0.86719302532055254</v>
      </c>
    </row>
    <row r="738" spans="1:49" x14ac:dyDescent="0.2">
      <c r="A738">
        <v>736</v>
      </c>
      <c r="B738" t="s">
        <v>236</v>
      </c>
      <c r="C738" t="s">
        <v>235</v>
      </c>
      <c r="F738" t="s">
        <v>234</v>
      </c>
      <c r="G738" t="s">
        <v>15</v>
      </c>
      <c r="H738" t="s">
        <v>14</v>
      </c>
      <c r="I738" t="s">
        <v>233</v>
      </c>
      <c r="J738">
        <v>60000264</v>
      </c>
      <c r="K738" t="s">
        <v>232</v>
      </c>
      <c r="L738" t="s">
        <v>231</v>
      </c>
      <c r="M738" t="s">
        <v>55</v>
      </c>
      <c r="N738">
        <v>2</v>
      </c>
      <c r="O738" t="s">
        <v>230</v>
      </c>
      <c r="P738" t="s">
        <v>229</v>
      </c>
      <c r="Q738" t="s">
        <v>228</v>
      </c>
      <c r="R738" s="7">
        <v>30317</v>
      </c>
      <c r="S738" s="8">
        <f t="shared" si="96"/>
        <v>1983</v>
      </c>
      <c r="T738" s="8">
        <v>1983</v>
      </c>
      <c r="U738" s="8">
        <f t="shared" si="97"/>
        <v>39</v>
      </c>
      <c r="V738" s="7">
        <v>1983</v>
      </c>
      <c r="W738" t="s">
        <v>227</v>
      </c>
      <c r="X738" s="2">
        <v>0.111</v>
      </c>
      <c r="Y738" s="6">
        <f t="shared" si="94"/>
        <v>2.9630816048690639E-3</v>
      </c>
      <c r="AA738">
        <v>87566621</v>
      </c>
      <c r="AB738">
        <v>24890</v>
      </c>
      <c r="AC738">
        <v>15206424</v>
      </c>
      <c r="AD738" t="s">
        <v>5</v>
      </c>
      <c r="AE738">
        <v>66</v>
      </c>
      <c r="AF738">
        <v>9</v>
      </c>
      <c r="AH738" t="s">
        <v>226</v>
      </c>
      <c r="AI738" t="s">
        <v>225</v>
      </c>
      <c r="AK738" t="s">
        <v>224</v>
      </c>
      <c r="AL738">
        <v>3</v>
      </c>
      <c r="AM738" s="5">
        <f t="shared" si="98"/>
        <v>7.6923076923076927E-2</v>
      </c>
      <c r="AN738" s="4">
        <f t="shared" si="95"/>
        <v>1.1650598549500481E-4</v>
      </c>
      <c r="AO738" s="3"/>
      <c r="AP738">
        <v>0</v>
      </c>
      <c r="AR738" t="s">
        <v>1</v>
      </c>
      <c r="AT738" s="2" t="s">
        <v>0</v>
      </c>
      <c r="AU738" s="1">
        <f t="shared" si="99"/>
        <v>0.2109108919056846</v>
      </c>
      <c r="AV738" s="1">
        <f t="shared" si="100"/>
        <v>0.15397937951820345</v>
      </c>
      <c r="AW738" s="1">
        <f t="shared" si="101"/>
        <v>9.7047867130722248E-2</v>
      </c>
    </row>
    <row r="739" spans="1:49" x14ac:dyDescent="0.2">
      <c r="A739">
        <v>737</v>
      </c>
      <c r="B739" t="s">
        <v>223</v>
      </c>
      <c r="C739" t="s">
        <v>222</v>
      </c>
      <c r="F739" t="s">
        <v>221</v>
      </c>
      <c r="G739" t="s">
        <v>15</v>
      </c>
      <c r="H739" t="s">
        <v>14</v>
      </c>
      <c r="I739" t="s">
        <v>220</v>
      </c>
      <c r="J739" t="s">
        <v>219</v>
      </c>
      <c r="K739" t="s">
        <v>218</v>
      </c>
      <c r="L739" t="s">
        <v>217</v>
      </c>
      <c r="M739" t="s">
        <v>216</v>
      </c>
      <c r="N739">
        <v>3</v>
      </c>
      <c r="O739" t="s">
        <v>215</v>
      </c>
      <c r="P739" t="s">
        <v>214</v>
      </c>
      <c r="Q739" t="s">
        <v>213</v>
      </c>
      <c r="R739" s="7">
        <v>30317</v>
      </c>
      <c r="S739" s="8">
        <f t="shared" si="96"/>
        <v>1983</v>
      </c>
      <c r="T739" s="8">
        <v>1983</v>
      </c>
      <c r="U739" s="8">
        <f t="shared" si="97"/>
        <v>39</v>
      </c>
      <c r="V739" s="7">
        <v>30498</v>
      </c>
      <c r="W739" t="s">
        <v>212</v>
      </c>
      <c r="X739" s="2">
        <v>1.994</v>
      </c>
      <c r="Y739" s="6">
        <f t="shared" si="94"/>
        <v>5.322869117215237E-2</v>
      </c>
      <c r="AA739">
        <v>249297</v>
      </c>
      <c r="AB739">
        <v>21100779404</v>
      </c>
      <c r="AC739">
        <v>15205835</v>
      </c>
      <c r="AD739" t="s">
        <v>5</v>
      </c>
      <c r="AE739">
        <v>16</v>
      </c>
      <c r="AF739">
        <v>4</v>
      </c>
      <c r="AH739" t="s">
        <v>211</v>
      </c>
      <c r="AI739" t="s">
        <v>210</v>
      </c>
      <c r="AK739" t="s">
        <v>209</v>
      </c>
      <c r="AL739">
        <v>12</v>
      </c>
      <c r="AM739" s="5">
        <f t="shared" si="98"/>
        <v>0.30769230769230771</v>
      </c>
      <c r="AN739" s="4">
        <f t="shared" si="95"/>
        <v>4.6602394198001925E-4</v>
      </c>
      <c r="AO739" s="3"/>
      <c r="AP739">
        <v>0</v>
      </c>
      <c r="AR739" t="s">
        <v>1</v>
      </c>
      <c r="AT739" s="2">
        <v>5.9850000000000003</v>
      </c>
      <c r="AU739" s="1">
        <f t="shared" si="99"/>
        <v>3.7399891003100665</v>
      </c>
      <c r="AV739" s="1">
        <f t="shared" si="100"/>
        <v>2.6847357557066194</v>
      </c>
      <c r="AW739" s="1">
        <f t="shared" si="101"/>
        <v>1.6294824111031725</v>
      </c>
    </row>
    <row r="740" spans="1:49" x14ac:dyDescent="0.2">
      <c r="A740">
        <v>738</v>
      </c>
      <c r="B740" t="s">
        <v>208</v>
      </c>
      <c r="C740" t="s">
        <v>207</v>
      </c>
      <c r="F740" t="s">
        <v>206</v>
      </c>
      <c r="G740" t="s">
        <v>15</v>
      </c>
      <c r="H740" t="s">
        <v>14</v>
      </c>
      <c r="I740" t="s">
        <v>205</v>
      </c>
      <c r="J740" t="s">
        <v>204</v>
      </c>
      <c r="K740" t="s">
        <v>203</v>
      </c>
      <c r="L740" t="s">
        <v>202</v>
      </c>
      <c r="M740" t="s">
        <v>201</v>
      </c>
      <c r="N740">
        <v>5</v>
      </c>
      <c r="O740" t="s">
        <v>200</v>
      </c>
      <c r="P740" t="s">
        <v>199</v>
      </c>
      <c r="Q740" t="s">
        <v>198</v>
      </c>
      <c r="R740" s="7">
        <v>30317</v>
      </c>
      <c r="S740" s="8">
        <f t="shared" si="96"/>
        <v>1983</v>
      </c>
      <c r="T740" s="8">
        <v>1983</v>
      </c>
      <c r="U740" s="8">
        <f t="shared" si="97"/>
        <v>39</v>
      </c>
      <c r="V740" s="7">
        <v>30317</v>
      </c>
      <c r="W740" t="s">
        <v>197</v>
      </c>
      <c r="X740" s="2" t="s">
        <v>0</v>
      </c>
      <c r="Y740" s="6" t="e">
        <f t="shared" si="94"/>
        <v>#VALUE!</v>
      </c>
      <c r="AA740">
        <v>88714</v>
      </c>
      <c r="AB740">
        <v>6100153104</v>
      </c>
      <c r="AC740">
        <v>15729478</v>
      </c>
      <c r="AD740" t="s">
        <v>5</v>
      </c>
      <c r="AE740">
        <v>29</v>
      </c>
      <c r="AF740">
        <v>1</v>
      </c>
      <c r="AH740" t="s">
        <v>196</v>
      </c>
      <c r="AI740" t="s">
        <v>195</v>
      </c>
      <c r="AK740" t="s">
        <v>194</v>
      </c>
      <c r="AL740">
        <v>18</v>
      </c>
      <c r="AM740" s="5">
        <f t="shared" si="98"/>
        <v>0.46153846153846156</v>
      </c>
      <c r="AN740" s="4">
        <f t="shared" si="95"/>
        <v>6.9903591297002887E-4</v>
      </c>
      <c r="AO740" s="3"/>
      <c r="AP740">
        <v>0</v>
      </c>
      <c r="AR740" t="s">
        <v>1</v>
      </c>
      <c r="AT740" s="2" t="s">
        <v>0</v>
      </c>
      <c r="AU740" s="1" t="e">
        <f t="shared" si="99"/>
        <v>#VALUE!</v>
      </c>
      <c r="AV740" s="1" t="e">
        <f t="shared" si="100"/>
        <v>#VALUE!</v>
      </c>
      <c r="AW740" s="1" t="e">
        <f t="shared" si="101"/>
        <v>#VALUE!</v>
      </c>
    </row>
    <row r="741" spans="1:49" x14ac:dyDescent="0.2">
      <c r="A741">
        <v>739</v>
      </c>
      <c r="B741" t="s">
        <v>193</v>
      </c>
      <c r="C741" t="s">
        <v>192</v>
      </c>
      <c r="F741" t="s">
        <v>191</v>
      </c>
      <c r="G741" t="s">
        <v>15</v>
      </c>
      <c r="H741" t="s">
        <v>14</v>
      </c>
      <c r="I741" t="s">
        <v>190</v>
      </c>
      <c r="J741">
        <v>107572654</v>
      </c>
      <c r="K741" t="s">
        <v>189</v>
      </c>
      <c r="L741" t="s">
        <v>188</v>
      </c>
      <c r="M741" t="s">
        <v>10</v>
      </c>
      <c r="N741">
        <v>1</v>
      </c>
      <c r="O741" t="s">
        <v>187</v>
      </c>
      <c r="P741">
        <v>7409449087</v>
      </c>
      <c r="Q741">
        <v>107572654</v>
      </c>
      <c r="R741" s="7">
        <v>30317</v>
      </c>
      <c r="S741" s="8">
        <f t="shared" si="96"/>
        <v>1983</v>
      </c>
      <c r="T741" s="8">
        <v>1983</v>
      </c>
      <c r="U741" s="8">
        <f t="shared" si="97"/>
        <v>39</v>
      </c>
      <c r="V741" s="7">
        <v>30317</v>
      </c>
      <c r="W741" t="s">
        <v>186</v>
      </c>
      <c r="X741" s="2">
        <v>1.1579999999999999</v>
      </c>
      <c r="Y741" s="6">
        <f t="shared" si="94"/>
        <v>3.0912148634579962E-2</v>
      </c>
      <c r="AA741">
        <v>1668595</v>
      </c>
      <c r="AB741">
        <v>14223</v>
      </c>
      <c r="AC741">
        <v>15735079</v>
      </c>
      <c r="AD741" t="s">
        <v>5</v>
      </c>
      <c r="AE741">
        <v>4</v>
      </c>
      <c r="AF741">
        <v>1</v>
      </c>
      <c r="AH741" t="s">
        <v>185</v>
      </c>
      <c r="AI741" t="s">
        <v>184</v>
      </c>
      <c r="AJ741" t="s">
        <v>183</v>
      </c>
      <c r="AK741" t="s">
        <v>182</v>
      </c>
      <c r="AL741">
        <v>14</v>
      </c>
      <c r="AM741" s="5">
        <f t="shared" si="98"/>
        <v>0.35897435897435898</v>
      </c>
      <c r="AN741" s="4">
        <f t="shared" si="95"/>
        <v>5.4369459897668905E-4</v>
      </c>
      <c r="AO741" s="3"/>
      <c r="AP741">
        <v>0</v>
      </c>
      <c r="AR741" t="s">
        <v>1</v>
      </c>
      <c r="AT741" s="2">
        <v>3.573</v>
      </c>
      <c r="AU741" s="1">
        <f t="shared" si="99"/>
        <v>2.1801612423898979</v>
      </c>
      <c r="AV741" s="1">
        <f t="shared" si="100"/>
        <v>1.5727921616778324</v>
      </c>
      <c r="AW741" s="1">
        <f t="shared" si="101"/>
        <v>0.96542308096576701</v>
      </c>
    </row>
    <row r="742" spans="1:49" x14ac:dyDescent="0.2">
      <c r="A742">
        <v>740</v>
      </c>
      <c r="B742" t="s">
        <v>181</v>
      </c>
      <c r="C742" t="s">
        <v>180</v>
      </c>
      <c r="F742" t="s">
        <v>179</v>
      </c>
      <c r="G742" t="s">
        <v>15</v>
      </c>
      <c r="H742" t="s">
        <v>14</v>
      </c>
      <c r="I742" t="s">
        <v>178</v>
      </c>
      <c r="J742">
        <v>60013164</v>
      </c>
      <c r="K742" t="s">
        <v>177</v>
      </c>
      <c r="L742" t="s">
        <v>176</v>
      </c>
      <c r="M742" t="s">
        <v>175</v>
      </c>
      <c r="N742">
        <v>2</v>
      </c>
      <c r="O742" t="s">
        <v>174</v>
      </c>
      <c r="P742" t="s">
        <v>173</v>
      </c>
      <c r="Q742" t="s">
        <v>172</v>
      </c>
      <c r="R742" s="7">
        <v>30317</v>
      </c>
      <c r="S742" s="8">
        <f t="shared" si="96"/>
        <v>1983</v>
      </c>
      <c r="T742" s="8">
        <v>1983</v>
      </c>
      <c r="U742" s="8">
        <f t="shared" si="97"/>
        <v>39</v>
      </c>
      <c r="V742" s="7">
        <v>1983</v>
      </c>
      <c r="W742" t="s">
        <v>171</v>
      </c>
      <c r="X742" s="2">
        <v>0.627</v>
      </c>
      <c r="Y742" s="6">
        <f t="shared" si="94"/>
        <v>1.6737406903179305E-2</v>
      </c>
      <c r="AA742">
        <v>218839</v>
      </c>
      <c r="AB742">
        <v>76747</v>
      </c>
      <c r="AC742">
        <v>20786913</v>
      </c>
      <c r="AD742" t="s">
        <v>5</v>
      </c>
      <c r="AE742">
        <v>22</v>
      </c>
      <c r="AF742">
        <v>2</v>
      </c>
      <c r="AH742" t="s">
        <v>170</v>
      </c>
      <c r="AI742" t="s">
        <v>169</v>
      </c>
      <c r="AK742" t="s">
        <v>168</v>
      </c>
      <c r="AL742">
        <v>13</v>
      </c>
      <c r="AM742" s="5">
        <f t="shared" si="98"/>
        <v>0.33333333333333331</v>
      </c>
      <c r="AN742" s="4">
        <f t="shared" si="95"/>
        <v>5.048592704783541E-4</v>
      </c>
      <c r="AO742" s="3"/>
      <c r="AP742">
        <v>0</v>
      </c>
      <c r="AR742" t="s">
        <v>1</v>
      </c>
      <c r="AT742" s="2">
        <v>2.5840000000000001</v>
      </c>
      <c r="AU742" s="1">
        <f t="shared" si="99"/>
        <v>1.186764261336902</v>
      </c>
      <c r="AV742" s="1">
        <f t="shared" si="100"/>
        <v>0.86211330868288305</v>
      </c>
      <c r="AW742" s="1">
        <f t="shared" si="101"/>
        <v>0.53746235602886383</v>
      </c>
    </row>
    <row r="743" spans="1:49" x14ac:dyDescent="0.2">
      <c r="A743">
        <v>741</v>
      </c>
      <c r="B743" t="s">
        <v>167</v>
      </c>
      <c r="C743" t="s">
        <v>166</v>
      </c>
      <c r="F743" t="s">
        <v>165</v>
      </c>
      <c r="G743" t="s">
        <v>15</v>
      </c>
      <c r="H743" t="s">
        <v>14</v>
      </c>
      <c r="I743" t="s">
        <v>164</v>
      </c>
      <c r="J743" t="s">
        <v>163</v>
      </c>
      <c r="K743" t="s">
        <v>162</v>
      </c>
      <c r="L743" t="s">
        <v>161</v>
      </c>
      <c r="M743" t="s">
        <v>160</v>
      </c>
      <c r="N743">
        <v>2</v>
      </c>
      <c r="O743" t="s">
        <v>159</v>
      </c>
      <c r="P743" t="s">
        <v>158</v>
      </c>
      <c r="Q743" t="s">
        <v>157</v>
      </c>
      <c r="R743" s="7">
        <v>30317</v>
      </c>
      <c r="S743" s="8">
        <f t="shared" si="96"/>
        <v>1983</v>
      </c>
      <c r="T743" s="8">
        <v>1983</v>
      </c>
      <c r="U743" s="8">
        <f t="shared" si="97"/>
        <v>39</v>
      </c>
      <c r="V743" s="7">
        <v>30407</v>
      </c>
      <c r="W743" t="s">
        <v>156</v>
      </c>
      <c r="X743" s="2">
        <v>0.78300000000000003</v>
      </c>
      <c r="Y743" s="6">
        <f t="shared" si="94"/>
        <v>2.0901737807319614E-2</v>
      </c>
      <c r="AA743">
        <v>281042</v>
      </c>
      <c r="AB743">
        <v>21662</v>
      </c>
      <c r="AC743">
        <v>14321904</v>
      </c>
      <c r="AD743" t="s">
        <v>5</v>
      </c>
      <c r="AE743">
        <v>70</v>
      </c>
      <c r="AF743">
        <v>4</v>
      </c>
      <c r="AH743" t="s">
        <v>155</v>
      </c>
      <c r="AI743" t="s">
        <v>154</v>
      </c>
      <c r="AK743" t="s">
        <v>153</v>
      </c>
      <c r="AL743">
        <v>54</v>
      </c>
      <c r="AM743" s="5">
        <f t="shared" si="98"/>
        <v>1.3846153846153846</v>
      </c>
      <c r="AN743" s="4">
        <f t="shared" si="95"/>
        <v>2.0971077389100863E-3</v>
      </c>
      <c r="AO743" s="3"/>
      <c r="AP743">
        <v>0</v>
      </c>
      <c r="AR743" t="s">
        <v>1</v>
      </c>
      <c r="AT743" s="2" t="s">
        <v>0</v>
      </c>
      <c r="AU743" s="1">
        <f t="shared" si="99"/>
        <v>1.5260348786796754</v>
      </c>
      <c r="AV743" s="1">
        <f t="shared" si="100"/>
        <v>1.1499422773114851</v>
      </c>
      <c r="AW743" s="1">
        <f t="shared" si="101"/>
        <v>0.77384967594329446</v>
      </c>
    </row>
    <row r="744" spans="1:49" x14ac:dyDescent="0.2">
      <c r="A744">
        <v>742</v>
      </c>
      <c r="B744" t="s">
        <v>152</v>
      </c>
      <c r="C744" t="s">
        <v>151</v>
      </c>
      <c r="F744" t="s">
        <v>150</v>
      </c>
      <c r="G744" t="s">
        <v>15</v>
      </c>
      <c r="H744" t="s">
        <v>14</v>
      </c>
      <c r="I744" t="s">
        <v>149</v>
      </c>
      <c r="J744">
        <v>60012689</v>
      </c>
      <c r="K744" t="s">
        <v>148</v>
      </c>
      <c r="L744" t="s">
        <v>147</v>
      </c>
      <c r="M744" t="s">
        <v>80</v>
      </c>
      <c r="N744">
        <v>1</v>
      </c>
      <c r="O744" t="s">
        <v>146</v>
      </c>
      <c r="P744">
        <v>7402393694</v>
      </c>
      <c r="Q744">
        <v>60012689</v>
      </c>
      <c r="R744" s="7">
        <v>30317</v>
      </c>
      <c r="S744" s="8">
        <f t="shared" si="96"/>
        <v>1983</v>
      </c>
      <c r="T744" s="8">
        <v>1983</v>
      </c>
      <c r="U744" s="8">
        <f t="shared" si="97"/>
        <v>39</v>
      </c>
      <c r="V744" s="7">
        <v>30529</v>
      </c>
      <c r="W744" t="s">
        <v>145</v>
      </c>
      <c r="X744" s="2">
        <v>1.2030000000000001</v>
      </c>
      <c r="Y744" s="6">
        <f t="shared" si="94"/>
        <v>3.2113397933851207E-2</v>
      </c>
      <c r="AA744">
        <v>3405443</v>
      </c>
      <c r="AB744">
        <v>22803</v>
      </c>
      <c r="AC744">
        <v>14320762</v>
      </c>
      <c r="AD744" t="s">
        <v>5</v>
      </c>
      <c r="AE744">
        <v>13</v>
      </c>
      <c r="AF744">
        <v>2</v>
      </c>
      <c r="AH744" t="s">
        <v>144</v>
      </c>
      <c r="AI744" t="s">
        <v>143</v>
      </c>
      <c r="AK744" t="s">
        <v>142</v>
      </c>
      <c r="AL744">
        <v>64</v>
      </c>
      <c r="AM744" s="5">
        <f t="shared" si="98"/>
        <v>1.641025641025641</v>
      </c>
      <c r="AN744" s="4">
        <f t="shared" si="95"/>
        <v>2.4854610238934358E-3</v>
      </c>
      <c r="AO744" s="3"/>
      <c r="AP744">
        <v>0</v>
      </c>
      <c r="AR744" t="s">
        <v>1</v>
      </c>
      <c r="AT744" s="2">
        <v>2.98</v>
      </c>
      <c r="AU744" s="1">
        <f t="shared" si="99"/>
        <v>2.3225016860863876</v>
      </c>
      <c r="AV744" s="1">
        <f t="shared" si="100"/>
        <v>1.7299429478872321</v>
      </c>
      <c r="AW744" s="1">
        <f t="shared" si="101"/>
        <v>1.1373842096880766</v>
      </c>
    </row>
    <row r="745" spans="1:49" x14ac:dyDescent="0.2">
      <c r="A745">
        <v>743</v>
      </c>
      <c r="B745" t="s">
        <v>141</v>
      </c>
      <c r="C745" t="s">
        <v>140</v>
      </c>
      <c r="F745" t="s">
        <v>139</v>
      </c>
      <c r="G745" t="s">
        <v>15</v>
      </c>
      <c r="H745" t="s">
        <v>14</v>
      </c>
      <c r="I745" t="s">
        <v>138</v>
      </c>
      <c r="J745" t="s">
        <v>137</v>
      </c>
      <c r="K745" t="s">
        <v>136</v>
      </c>
      <c r="L745" t="s">
        <v>135</v>
      </c>
      <c r="M745" t="s">
        <v>134</v>
      </c>
      <c r="N745">
        <v>22</v>
      </c>
      <c r="O745" t="s">
        <v>133</v>
      </c>
      <c r="P745" t="s">
        <v>132</v>
      </c>
      <c r="Q745" t="s">
        <v>131</v>
      </c>
      <c r="R745" s="7">
        <v>30317</v>
      </c>
      <c r="S745" s="8">
        <f t="shared" si="96"/>
        <v>1983</v>
      </c>
      <c r="T745" s="8">
        <v>1983</v>
      </c>
      <c r="U745" s="8">
        <f t="shared" si="97"/>
        <v>39</v>
      </c>
      <c r="V745" s="7">
        <v>1983</v>
      </c>
      <c r="W745" t="s">
        <v>130</v>
      </c>
      <c r="X745" s="2">
        <v>12.555999999999999</v>
      </c>
      <c r="Y745" s="6">
        <f t="shared" si="94"/>
        <v>0.33517524892554923</v>
      </c>
      <c r="AA745">
        <v>368075</v>
      </c>
      <c r="AB745">
        <v>23571</v>
      </c>
      <c r="AD745" t="s">
        <v>5</v>
      </c>
      <c r="AE745">
        <v>219</v>
      </c>
      <c r="AF745">
        <v>4580</v>
      </c>
      <c r="AH745" t="s">
        <v>129</v>
      </c>
      <c r="AI745" t="s">
        <v>128</v>
      </c>
      <c r="AK745" t="s">
        <v>127</v>
      </c>
      <c r="AL745">
        <v>135</v>
      </c>
      <c r="AM745" s="5">
        <f t="shared" si="98"/>
        <v>3.4615384615384617</v>
      </c>
      <c r="AN745" s="4">
        <f t="shared" si="95"/>
        <v>5.2427693472752168E-3</v>
      </c>
      <c r="AO745" s="3"/>
      <c r="AP745">
        <v>0</v>
      </c>
      <c r="AR745" t="s">
        <v>1</v>
      </c>
      <c r="AT745" s="2">
        <v>47.728000000000002</v>
      </c>
      <c r="AU745" s="1">
        <f t="shared" si="99"/>
        <v>23.6195505052067</v>
      </c>
      <c r="AV745" s="1">
        <f t="shared" si="100"/>
        <v>17.020900913641224</v>
      </c>
      <c r="AW745" s="1">
        <f t="shared" si="101"/>
        <v>10.422251322075741</v>
      </c>
    </row>
    <row r="746" spans="1:49" x14ac:dyDescent="0.2">
      <c r="A746">
        <v>744</v>
      </c>
      <c r="B746" t="s">
        <v>126</v>
      </c>
      <c r="C746" t="s">
        <v>125</v>
      </c>
      <c r="D746" t="s">
        <v>124</v>
      </c>
      <c r="F746" t="s">
        <v>123</v>
      </c>
      <c r="G746" t="s">
        <v>15</v>
      </c>
      <c r="H746" t="s">
        <v>14</v>
      </c>
      <c r="I746" t="s">
        <v>122</v>
      </c>
      <c r="J746">
        <v>60010023</v>
      </c>
      <c r="K746" t="s">
        <v>121</v>
      </c>
      <c r="L746" t="s">
        <v>120</v>
      </c>
      <c r="M746" t="s">
        <v>119</v>
      </c>
      <c r="N746">
        <v>1</v>
      </c>
      <c r="O746" t="s">
        <v>118</v>
      </c>
      <c r="P746">
        <v>6602293026</v>
      </c>
      <c r="Q746">
        <v>60010023</v>
      </c>
      <c r="R746" s="7">
        <v>30317</v>
      </c>
      <c r="S746" s="8">
        <f t="shared" si="96"/>
        <v>1983</v>
      </c>
      <c r="T746" s="8">
        <v>1983</v>
      </c>
      <c r="U746" s="8">
        <f t="shared" si="97"/>
        <v>39</v>
      </c>
      <c r="V746" s="7">
        <v>1983</v>
      </c>
      <c r="W746" t="s">
        <v>117</v>
      </c>
      <c r="X746" s="2">
        <v>0.998</v>
      </c>
      <c r="Y746" s="6">
        <f t="shared" si="94"/>
        <v>2.664104001494888E-2</v>
      </c>
      <c r="AA746">
        <v>207322</v>
      </c>
      <c r="AB746">
        <v>90127</v>
      </c>
      <c r="AD746" t="s">
        <v>5</v>
      </c>
      <c r="AE746">
        <v>12</v>
      </c>
      <c r="AF746">
        <v>1</v>
      </c>
      <c r="AH746" t="s">
        <v>116</v>
      </c>
      <c r="AI746" t="s">
        <v>115</v>
      </c>
      <c r="AJ746" t="s">
        <v>114</v>
      </c>
      <c r="AK746" t="s">
        <v>113</v>
      </c>
      <c r="AL746">
        <v>34</v>
      </c>
      <c r="AM746" s="5">
        <f t="shared" si="98"/>
        <v>0.87179487179487181</v>
      </c>
      <c r="AN746" s="4">
        <f t="shared" si="95"/>
        <v>1.3204011689433878E-3</v>
      </c>
      <c r="AO746" s="3"/>
      <c r="AP746">
        <v>0</v>
      </c>
      <c r="AR746" t="s">
        <v>1</v>
      </c>
      <c r="AT746" s="2" t="s">
        <v>0</v>
      </c>
      <c r="AU746" s="1">
        <f t="shared" si="99"/>
        <v>1.9044848361147233</v>
      </c>
      <c r="AV746" s="1">
        <f t="shared" si="100"/>
        <v>1.3980720591946134</v>
      </c>
      <c r="AW746" s="1">
        <f t="shared" si="101"/>
        <v>0.89165928227450364</v>
      </c>
    </row>
    <row r="747" spans="1:49" x14ac:dyDescent="0.2">
      <c r="A747">
        <v>745</v>
      </c>
      <c r="B747" t="s">
        <v>112</v>
      </c>
      <c r="C747" t="s">
        <v>111</v>
      </c>
      <c r="F747" t="s">
        <v>110</v>
      </c>
      <c r="G747" t="s">
        <v>15</v>
      </c>
      <c r="H747" t="s">
        <v>14</v>
      </c>
      <c r="I747" t="s">
        <v>109</v>
      </c>
      <c r="J747">
        <v>60033316</v>
      </c>
      <c r="K747" t="s">
        <v>108</v>
      </c>
      <c r="L747" t="s">
        <v>107</v>
      </c>
      <c r="M747" t="s">
        <v>106</v>
      </c>
      <c r="N747">
        <v>2</v>
      </c>
      <c r="O747" t="s">
        <v>105</v>
      </c>
      <c r="P747" t="s">
        <v>104</v>
      </c>
      <c r="Q747" t="s">
        <v>103</v>
      </c>
      <c r="R747" s="7">
        <v>30317</v>
      </c>
      <c r="S747" s="8">
        <f t="shared" si="96"/>
        <v>1983</v>
      </c>
      <c r="T747" s="8">
        <v>1983</v>
      </c>
      <c r="U747" s="8">
        <f t="shared" si="97"/>
        <v>39</v>
      </c>
      <c r="V747" s="7">
        <v>30317</v>
      </c>
      <c r="W747" t="s">
        <v>102</v>
      </c>
      <c r="X747" s="2">
        <v>0.84299999999999997</v>
      </c>
      <c r="Y747" s="6">
        <f t="shared" si="94"/>
        <v>2.250340353968127E-2</v>
      </c>
      <c r="AA747">
        <v>188158</v>
      </c>
      <c r="AB747">
        <v>15168</v>
      </c>
      <c r="AC747">
        <v>15735117</v>
      </c>
      <c r="AD747" t="s">
        <v>5</v>
      </c>
      <c r="AE747">
        <v>100</v>
      </c>
      <c r="AF747">
        <v>1</v>
      </c>
      <c r="AH747" s="10">
        <v>16497</v>
      </c>
      <c r="AI747" t="s">
        <v>101</v>
      </c>
      <c r="AJ747" t="s">
        <v>100</v>
      </c>
      <c r="AK747" t="s">
        <v>99</v>
      </c>
      <c r="AL747">
        <v>69</v>
      </c>
      <c r="AM747" s="5">
        <f t="shared" si="98"/>
        <v>1.7692307692307692</v>
      </c>
      <c r="AN747" s="4">
        <f t="shared" si="95"/>
        <v>2.6796376663851106E-3</v>
      </c>
      <c r="AO747" s="3"/>
      <c r="AP747">
        <v>0</v>
      </c>
      <c r="AR747" t="s">
        <v>1</v>
      </c>
      <c r="AT747" s="2">
        <v>2.694</v>
      </c>
      <c r="AU747" s="1">
        <f t="shared" si="99"/>
        <v>1.6556273777692425</v>
      </c>
      <c r="AV747" s="1">
        <f t="shared" si="100"/>
        <v>1.2591520603033191</v>
      </c>
      <c r="AW747" s="1">
        <f t="shared" si="101"/>
        <v>0.86267674283739582</v>
      </c>
    </row>
    <row r="748" spans="1:49" x14ac:dyDescent="0.2">
      <c r="A748">
        <v>746</v>
      </c>
      <c r="B748" t="s">
        <v>98</v>
      </c>
      <c r="C748" t="s">
        <v>97</v>
      </c>
      <c r="F748" t="s">
        <v>96</v>
      </c>
      <c r="G748" t="s">
        <v>15</v>
      </c>
      <c r="H748" t="s">
        <v>14</v>
      </c>
      <c r="I748" t="s">
        <v>95</v>
      </c>
      <c r="J748" t="s">
        <v>94</v>
      </c>
      <c r="K748" t="s">
        <v>93</v>
      </c>
      <c r="L748" t="s">
        <v>92</v>
      </c>
      <c r="M748" t="s">
        <v>91</v>
      </c>
      <c r="N748">
        <v>3</v>
      </c>
      <c r="O748" t="s">
        <v>90</v>
      </c>
      <c r="P748" t="s">
        <v>89</v>
      </c>
      <c r="Q748" t="s">
        <v>88</v>
      </c>
      <c r="R748" s="7">
        <v>30317</v>
      </c>
      <c r="S748" s="8">
        <f t="shared" si="96"/>
        <v>1983</v>
      </c>
      <c r="T748" s="8">
        <v>1983</v>
      </c>
      <c r="U748" s="8">
        <f t="shared" si="97"/>
        <v>39</v>
      </c>
      <c r="V748" s="7">
        <v>30376</v>
      </c>
      <c r="W748" t="s">
        <v>6</v>
      </c>
      <c r="X748" s="2">
        <v>7.1150000000000002</v>
      </c>
      <c r="Y748" s="6">
        <f t="shared" si="94"/>
        <v>0.18993086142921972</v>
      </c>
      <c r="AA748">
        <v>27863</v>
      </c>
      <c r="AB748">
        <v>22680</v>
      </c>
      <c r="AC748">
        <v>15205126</v>
      </c>
      <c r="AD748" t="s">
        <v>5</v>
      </c>
      <c r="AE748">
        <v>105</v>
      </c>
      <c r="AF748">
        <v>5</v>
      </c>
      <c r="AH748" t="s">
        <v>87</v>
      </c>
      <c r="AL748">
        <v>196</v>
      </c>
      <c r="AM748" s="5">
        <f t="shared" si="98"/>
        <v>5.0256410256410255</v>
      </c>
      <c r="AN748" s="4">
        <f t="shared" si="95"/>
        <v>7.6117243856736469E-3</v>
      </c>
      <c r="AO748" s="3"/>
      <c r="AP748">
        <v>0</v>
      </c>
      <c r="AR748" t="s">
        <v>1</v>
      </c>
      <c r="AT748" s="2" t="s">
        <v>0</v>
      </c>
      <c r="AU748" s="1">
        <f t="shared" si="99"/>
        <v>13.523512031615589</v>
      </c>
      <c r="AV748" s="1">
        <f t="shared" si="100"/>
        <v>9.8771292907446693</v>
      </c>
      <c r="AW748" s="1">
        <f t="shared" si="101"/>
        <v>6.2307465498737464</v>
      </c>
    </row>
    <row r="749" spans="1:49" x14ac:dyDescent="0.2">
      <c r="A749">
        <v>747</v>
      </c>
      <c r="B749" t="s">
        <v>86</v>
      </c>
      <c r="C749" t="s">
        <v>85</v>
      </c>
      <c r="F749" t="s">
        <v>84</v>
      </c>
      <c r="G749" t="s">
        <v>15</v>
      </c>
      <c r="H749" t="s">
        <v>14</v>
      </c>
      <c r="I749" t="s">
        <v>83</v>
      </c>
      <c r="J749">
        <v>60025641</v>
      </c>
      <c r="K749" t="s">
        <v>82</v>
      </c>
      <c r="L749" t="s">
        <v>81</v>
      </c>
      <c r="M749" t="s">
        <v>80</v>
      </c>
      <c r="N749">
        <v>3</v>
      </c>
      <c r="O749" t="s">
        <v>79</v>
      </c>
      <c r="P749" t="s">
        <v>78</v>
      </c>
      <c r="Q749" t="s">
        <v>77</v>
      </c>
      <c r="R749" s="7">
        <v>30317</v>
      </c>
      <c r="S749" s="8">
        <f t="shared" si="96"/>
        <v>1983</v>
      </c>
      <c r="T749" s="8">
        <v>1983</v>
      </c>
      <c r="U749" s="8">
        <f t="shared" si="97"/>
        <v>39</v>
      </c>
      <c r="V749" s="7">
        <v>1983</v>
      </c>
      <c r="W749" t="s">
        <v>76</v>
      </c>
      <c r="X749" s="2">
        <v>1.43</v>
      </c>
      <c r="Y749" s="6">
        <f t="shared" si="94"/>
        <v>3.8173033287952803E-2</v>
      </c>
      <c r="AA749">
        <v>62960</v>
      </c>
      <c r="AB749">
        <v>16867</v>
      </c>
      <c r="AC749">
        <v>15204995</v>
      </c>
      <c r="AD749" t="s">
        <v>5</v>
      </c>
      <c r="AE749">
        <v>22</v>
      </c>
      <c r="AF749">
        <v>24</v>
      </c>
      <c r="AH749" t="s">
        <v>75</v>
      </c>
      <c r="AI749" t="s">
        <v>74</v>
      </c>
      <c r="AK749" t="s">
        <v>73</v>
      </c>
      <c r="AL749">
        <v>26</v>
      </c>
      <c r="AM749" s="5">
        <f t="shared" si="98"/>
        <v>0.66666666666666663</v>
      </c>
      <c r="AN749" s="4">
        <f t="shared" si="95"/>
        <v>1.0097185409567082E-3</v>
      </c>
      <c r="AO749" s="3"/>
      <c r="AP749">
        <v>0</v>
      </c>
      <c r="AR749" t="s">
        <v>1</v>
      </c>
      <c r="AT749" s="2">
        <v>3.1619999999999999</v>
      </c>
      <c r="AU749" s="1">
        <f t="shared" si="99"/>
        <v>2.7024038863853974</v>
      </c>
      <c r="AV749" s="1">
        <f t="shared" si="100"/>
        <v>1.9591375914454756</v>
      </c>
      <c r="AW749" s="1">
        <f t="shared" si="101"/>
        <v>1.2158712965055536</v>
      </c>
    </row>
    <row r="750" spans="1:49" x14ac:dyDescent="0.2">
      <c r="A750">
        <v>748</v>
      </c>
      <c r="B750" t="s">
        <v>72</v>
      </c>
      <c r="C750" t="s">
        <v>71</v>
      </c>
      <c r="D750">
        <v>22191083900276</v>
      </c>
      <c r="F750" t="s">
        <v>70</v>
      </c>
      <c r="G750" t="s">
        <v>15</v>
      </c>
      <c r="H750" t="s">
        <v>14</v>
      </c>
      <c r="I750" t="s">
        <v>69</v>
      </c>
      <c r="J750">
        <v>60008724</v>
      </c>
      <c r="K750" t="s">
        <v>68</v>
      </c>
      <c r="L750" t="s">
        <v>67</v>
      </c>
      <c r="M750" t="s">
        <v>10</v>
      </c>
      <c r="N750">
        <v>1</v>
      </c>
      <c r="O750" t="s">
        <v>66</v>
      </c>
      <c r="P750">
        <v>7202951850</v>
      </c>
      <c r="Q750">
        <v>60008724</v>
      </c>
      <c r="R750" s="7">
        <v>30317</v>
      </c>
      <c r="S750" s="8">
        <f t="shared" si="96"/>
        <v>1983</v>
      </c>
      <c r="T750" s="8">
        <v>1983</v>
      </c>
      <c r="U750" s="8">
        <f t="shared" si="97"/>
        <v>39</v>
      </c>
      <c r="V750" s="7">
        <v>1983</v>
      </c>
      <c r="W750" t="s">
        <v>65</v>
      </c>
      <c r="X750" s="2">
        <v>0.89900000000000002</v>
      </c>
      <c r="Y750" s="6">
        <f t="shared" si="94"/>
        <v>2.399829155655215E-2</v>
      </c>
      <c r="AA750">
        <v>221910</v>
      </c>
      <c r="AB750">
        <v>20487</v>
      </c>
      <c r="AD750" t="s">
        <v>5</v>
      </c>
      <c r="AE750">
        <v>29</v>
      </c>
      <c r="AF750">
        <v>7</v>
      </c>
      <c r="AI750" t="s">
        <v>64</v>
      </c>
      <c r="AJ750" t="s">
        <v>63</v>
      </c>
      <c r="AK750" t="s">
        <v>62</v>
      </c>
      <c r="AL750">
        <v>40</v>
      </c>
      <c r="AM750" s="5">
        <f t="shared" si="98"/>
        <v>1.0256410256410255</v>
      </c>
      <c r="AN750" s="4">
        <f t="shared" si="95"/>
        <v>1.5534131399333974E-3</v>
      </c>
      <c r="AO750" s="3"/>
      <c r="AP750">
        <v>0</v>
      </c>
      <c r="AR750" t="s">
        <v>1</v>
      </c>
      <c r="AT750" s="2">
        <v>2.3540000000000001</v>
      </c>
      <c r="AU750" s="1">
        <f t="shared" si="99"/>
        <v>1.7264828031566519</v>
      </c>
      <c r="AV750" s="1">
        <f t="shared" si="100"/>
        <v>1.2775852348242773</v>
      </c>
      <c r="AW750" s="1">
        <f t="shared" si="101"/>
        <v>0.82868766649190229</v>
      </c>
    </row>
    <row r="751" spans="1:49" x14ac:dyDescent="0.2">
      <c r="A751">
        <v>749</v>
      </c>
      <c r="B751" t="s">
        <v>61</v>
      </c>
      <c r="C751" t="s">
        <v>60</v>
      </c>
      <c r="D751">
        <v>32063383901551</v>
      </c>
      <c r="F751" t="s">
        <v>59</v>
      </c>
      <c r="G751" t="s">
        <v>15</v>
      </c>
      <c r="H751" t="s">
        <v>14</v>
      </c>
      <c r="I751" t="s">
        <v>58</v>
      </c>
      <c r="J751">
        <v>105409527</v>
      </c>
      <c r="K751" t="s">
        <v>57</v>
      </c>
      <c r="L751" t="s">
        <v>56</v>
      </c>
      <c r="M751" t="s">
        <v>55</v>
      </c>
      <c r="N751">
        <v>5</v>
      </c>
      <c r="O751" t="s">
        <v>54</v>
      </c>
      <c r="P751" t="s">
        <v>53</v>
      </c>
      <c r="Q751" t="s">
        <v>52</v>
      </c>
      <c r="R751" s="7">
        <v>30317</v>
      </c>
      <c r="S751" s="8">
        <f t="shared" si="96"/>
        <v>1983</v>
      </c>
      <c r="T751" s="8">
        <v>1983</v>
      </c>
      <c r="U751" s="8">
        <f t="shared" si="97"/>
        <v>39</v>
      </c>
      <c r="V751" s="7">
        <v>30407</v>
      </c>
      <c r="W751" t="s">
        <v>51</v>
      </c>
      <c r="X751" s="2">
        <v>0.69599999999999995</v>
      </c>
      <c r="Y751" s="6">
        <f t="shared" si="94"/>
        <v>1.857932249539521E-2</v>
      </c>
      <c r="AA751">
        <v>320633</v>
      </c>
      <c r="AB751">
        <v>27773</v>
      </c>
      <c r="AD751" t="s">
        <v>5</v>
      </c>
      <c r="AE751">
        <v>31</v>
      </c>
      <c r="AF751">
        <v>4</v>
      </c>
      <c r="AH751" t="s">
        <v>50</v>
      </c>
      <c r="AI751" t="s">
        <v>49</v>
      </c>
      <c r="AK751" t="s">
        <v>48</v>
      </c>
      <c r="AL751">
        <v>16</v>
      </c>
      <c r="AM751" s="5">
        <f t="shared" si="98"/>
        <v>0.41025641025641024</v>
      </c>
      <c r="AN751" s="4">
        <f t="shared" si="95"/>
        <v>6.2136525597335896E-4</v>
      </c>
      <c r="AO751" s="3"/>
      <c r="AP751">
        <v>0</v>
      </c>
      <c r="AR751" t="s">
        <v>1</v>
      </c>
      <c r="AT751" s="2">
        <v>2.0299999999999998</v>
      </c>
      <c r="AU751" s="1">
        <f t="shared" si="99"/>
        <v>1.3191935323568655</v>
      </c>
      <c r="AV751" s="1">
        <f t="shared" si="100"/>
        <v>0.9600343875684284</v>
      </c>
      <c r="AW751" s="1">
        <f t="shared" si="101"/>
        <v>0.60087524277999149</v>
      </c>
    </row>
    <row r="752" spans="1:49" x14ac:dyDescent="0.2">
      <c r="A752">
        <v>750</v>
      </c>
      <c r="B752" t="s">
        <v>47</v>
      </c>
      <c r="C752" t="s">
        <v>46</v>
      </c>
      <c r="D752" t="s">
        <v>45</v>
      </c>
      <c r="F752" t="s">
        <v>44</v>
      </c>
      <c r="G752" t="s">
        <v>15</v>
      </c>
      <c r="H752" t="s">
        <v>14</v>
      </c>
      <c r="I752" t="s">
        <v>43</v>
      </c>
      <c r="J752">
        <v>60017366</v>
      </c>
      <c r="K752" t="s">
        <v>42</v>
      </c>
      <c r="L752" t="s">
        <v>41</v>
      </c>
      <c r="M752" t="s">
        <v>10</v>
      </c>
      <c r="N752">
        <v>1</v>
      </c>
      <c r="O752" t="s">
        <v>40</v>
      </c>
      <c r="P752">
        <v>24787166100</v>
      </c>
      <c r="Q752">
        <v>60017366</v>
      </c>
      <c r="R752" s="7">
        <v>30317</v>
      </c>
      <c r="S752" s="8">
        <f t="shared" si="96"/>
        <v>1983</v>
      </c>
      <c r="T752" s="8">
        <v>1983</v>
      </c>
      <c r="U752" s="8">
        <f t="shared" si="97"/>
        <v>39</v>
      </c>
      <c r="V752" s="7">
        <v>30437</v>
      </c>
      <c r="W752" t="s">
        <v>39</v>
      </c>
      <c r="X752" s="2">
        <v>1.016</v>
      </c>
      <c r="Y752" s="6">
        <f t="shared" si="94"/>
        <v>2.712153973465738E-2</v>
      </c>
      <c r="AA752">
        <v>1672789</v>
      </c>
      <c r="AB752">
        <v>29120</v>
      </c>
      <c r="AD752" t="s">
        <v>5</v>
      </c>
      <c r="AE752">
        <v>7</v>
      </c>
      <c r="AF752" s="9">
        <v>44256</v>
      </c>
      <c r="AH752" t="s">
        <v>38</v>
      </c>
      <c r="AI752" t="s">
        <v>37</v>
      </c>
      <c r="AK752" t="s">
        <v>36</v>
      </c>
      <c r="AL752">
        <v>93</v>
      </c>
      <c r="AM752" s="5">
        <f t="shared" si="98"/>
        <v>2.3846153846153846</v>
      </c>
      <c r="AN752" s="4">
        <f t="shared" si="95"/>
        <v>3.6116855503451491E-3</v>
      </c>
      <c r="AO752" s="3"/>
      <c r="AP752">
        <v>0</v>
      </c>
      <c r="AR752" t="s">
        <v>1</v>
      </c>
      <c r="AT752" s="2" t="s">
        <v>0</v>
      </c>
      <c r="AU752" s="1">
        <f t="shared" si="99"/>
        <v>2.0068583479363711</v>
      </c>
      <c r="AV752" s="1">
        <f t="shared" si="100"/>
        <v>1.5366612642501265</v>
      </c>
      <c r="AW752" s="1">
        <f t="shared" si="101"/>
        <v>1.0664641805638819</v>
      </c>
    </row>
    <row r="753" spans="1:49" x14ac:dyDescent="0.2">
      <c r="A753">
        <v>751</v>
      </c>
      <c r="B753" t="s">
        <v>35</v>
      </c>
      <c r="C753" t="s">
        <v>34</v>
      </c>
      <c r="D753">
        <v>19103583901458</v>
      </c>
      <c r="F753" t="s">
        <v>33</v>
      </c>
      <c r="G753" t="s">
        <v>15</v>
      </c>
      <c r="H753" t="s">
        <v>14</v>
      </c>
      <c r="I753" t="s">
        <v>32</v>
      </c>
      <c r="J753" t="s">
        <v>31</v>
      </c>
      <c r="K753" t="s">
        <v>30</v>
      </c>
      <c r="L753" t="s">
        <v>29</v>
      </c>
      <c r="M753" t="s">
        <v>28</v>
      </c>
      <c r="N753">
        <v>5</v>
      </c>
      <c r="O753" t="s">
        <v>27</v>
      </c>
      <c r="P753" t="s">
        <v>26</v>
      </c>
      <c r="Q753" t="s">
        <v>25</v>
      </c>
      <c r="R753" s="7">
        <v>30317</v>
      </c>
      <c r="S753" s="8">
        <f t="shared" si="96"/>
        <v>1983</v>
      </c>
      <c r="T753" s="8">
        <v>1983</v>
      </c>
      <c r="U753" s="8">
        <f t="shared" si="97"/>
        <v>39</v>
      </c>
      <c r="V753" s="7">
        <v>30348</v>
      </c>
      <c r="W753" t="s">
        <v>24</v>
      </c>
      <c r="X753" s="2">
        <v>1.5249999999999999</v>
      </c>
      <c r="Y753" s="6">
        <f t="shared" si="94"/>
        <v>4.070900403085876E-2</v>
      </c>
      <c r="AA753">
        <v>191035</v>
      </c>
      <c r="AB753">
        <v>27241</v>
      </c>
      <c r="AC753">
        <v>10902643</v>
      </c>
      <c r="AD753" t="s">
        <v>5</v>
      </c>
      <c r="AE753">
        <v>53</v>
      </c>
      <c r="AF753">
        <v>2</v>
      </c>
      <c r="AH753" t="s">
        <v>23</v>
      </c>
      <c r="AI753" t="s">
        <v>22</v>
      </c>
      <c r="AK753" t="s">
        <v>21</v>
      </c>
      <c r="AL753">
        <v>151</v>
      </c>
      <c r="AM753" s="5">
        <f t="shared" si="98"/>
        <v>3.8717948717948718</v>
      </c>
      <c r="AN753" s="4">
        <f t="shared" si="95"/>
        <v>5.8641346032485752E-3</v>
      </c>
      <c r="AO753" s="3"/>
      <c r="AP753">
        <v>0</v>
      </c>
      <c r="AQ753" t="s">
        <v>20</v>
      </c>
      <c r="AR753">
        <v>954012</v>
      </c>
      <c r="AS753" t="s">
        <v>19</v>
      </c>
      <c r="AT753" s="2">
        <v>3.508</v>
      </c>
      <c r="AU753" s="1">
        <f t="shared" si="99"/>
        <v>3.0255543202575703</v>
      </c>
      <c r="AV753" s="1">
        <f t="shared" si="100"/>
        <v>2.3286569317053667</v>
      </c>
      <c r="AW753" s="1">
        <f t="shared" si="101"/>
        <v>1.6317595431531631</v>
      </c>
    </row>
    <row r="754" spans="1:49" x14ac:dyDescent="0.2">
      <c r="A754">
        <v>752</v>
      </c>
      <c r="B754" t="s">
        <v>18</v>
      </c>
      <c r="C754" t="s">
        <v>17</v>
      </c>
      <c r="F754" t="s">
        <v>16</v>
      </c>
      <c r="G754" t="s">
        <v>15</v>
      </c>
      <c r="H754" t="s">
        <v>14</v>
      </c>
      <c r="I754" t="s">
        <v>13</v>
      </c>
      <c r="J754">
        <v>60026610</v>
      </c>
      <c r="K754" t="s">
        <v>12</v>
      </c>
      <c r="L754" t="s">
        <v>11</v>
      </c>
      <c r="M754" t="s">
        <v>10</v>
      </c>
      <c r="N754">
        <v>7</v>
      </c>
      <c r="O754" t="s">
        <v>9</v>
      </c>
      <c r="P754" t="s">
        <v>8</v>
      </c>
      <c r="Q754" t="s">
        <v>7</v>
      </c>
      <c r="R754" s="7">
        <v>30317</v>
      </c>
      <c r="S754" s="8">
        <f t="shared" si="96"/>
        <v>1983</v>
      </c>
      <c r="T754" s="8">
        <v>1983</v>
      </c>
      <c r="U754" s="8">
        <f t="shared" si="97"/>
        <v>39</v>
      </c>
      <c r="V754" s="7">
        <v>30376</v>
      </c>
      <c r="W754" t="s">
        <v>6</v>
      </c>
      <c r="X754" s="2">
        <v>7.1150000000000002</v>
      </c>
      <c r="Y754" s="6">
        <f t="shared" si="94"/>
        <v>0.18993086142921972</v>
      </c>
      <c r="AA754">
        <v>27863</v>
      </c>
      <c r="AB754">
        <v>22680</v>
      </c>
      <c r="AC754">
        <v>15205126</v>
      </c>
      <c r="AD754" t="s">
        <v>5</v>
      </c>
      <c r="AE754">
        <v>105</v>
      </c>
      <c r="AF754">
        <v>8</v>
      </c>
      <c r="AH754" t="s">
        <v>4</v>
      </c>
      <c r="AI754" t="s">
        <v>3</v>
      </c>
      <c r="AK754" t="s">
        <v>2</v>
      </c>
      <c r="AL754">
        <v>25</v>
      </c>
      <c r="AM754" s="5">
        <f t="shared" si="98"/>
        <v>0.64102564102564108</v>
      </c>
      <c r="AN754" s="4">
        <f t="shared" si="95"/>
        <v>9.7088321245837345E-4</v>
      </c>
      <c r="AO754" s="3"/>
      <c r="AP754">
        <v>0</v>
      </c>
      <c r="AR754" t="s">
        <v>1</v>
      </c>
      <c r="AT754" s="2" t="s">
        <v>0</v>
      </c>
      <c r="AU754" s="1">
        <f t="shared" si="99"/>
        <v>13.324286796419132</v>
      </c>
      <c r="AV754" s="1">
        <f t="shared" si="100"/>
        <v>9.5450872320839046</v>
      </c>
      <c r="AW754" s="1">
        <f t="shared" si="101"/>
        <v>5.7658876677486779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1983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2021-11-11T11:58:47Z</dcterms:created>
  <dcterms:modified xsi:type="dcterms:W3CDTF">2022-01-19T19:27:42Z</dcterms:modified>
</cp:coreProperties>
</file>