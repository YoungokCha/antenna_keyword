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FBA480B8-C0FE-FA48-A69F-941252FE1E33}" xr6:coauthVersionLast="47" xr6:coauthVersionMax="47" xr10:uidLastSave="{D3FDB848-E032-624A-9387-CBB0FC62D2EE}"/>
  <bookViews>
    <workbookView xWindow="18200" yWindow="2440" windowWidth="27180" windowHeight="24260" xr2:uid="{D36B2761-C0B6-B24C-8C2F-3CED16AC9075}"/>
  </bookViews>
  <sheets>
    <sheet name="1991"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AM4" i="1" s="1"/>
  <c r="AN4" i="1" s="1"/>
  <c r="Y4" i="1"/>
  <c r="S5" i="1"/>
  <c r="U5" i="1"/>
  <c r="Y5" i="1"/>
  <c r="AM5" i="1"/>
  <c r="AN5" i="1" s="1"/>
  <c r="S6" i="1"/>
  <c r="U6" i="1"/>
  <c r="AM6" i="1" s="1"/>
  <c r="AN6" i="1" s="1"/>
  <c r="Y6" i="1"/>
  <c r="S7" i="1"/>
  <c r="U7" i="1"/>
  <c r="AM7" i="1" s="1"/>
  <c r="AN7" i="1" s="1"/>
  <c r="Y7" i="1"/>
  <c r="S8" i="1"/>
  <c r="U8" i="1"/>
  <c r="Y8" i="1"/>
  <c r="AM8" i="1"/>
  <c r="AN8" i="1"/>
  <c r="AU8" i="1" s="1"/>
  <c r="S9" i="1"/>
  <c r="U9" i="1"/>
  <c r="AM9" i="1" s="1"/>
  <c r="AN9" i="1" s="1"/>
  <c r="Y9" i="1"/>
  <c r="S10" i="1"/>
  <c r="U10" i="1"/>
  <c r="Y10" i="1"/>
  <c r="AM10" i="1"/>
  <c r="AN10" i="1" s="1"/>
  <c r="S11" i="1"/>
  <c r="U11" i="1"/>
  <c r="AM11" i="1" s="1"/>
  <c r="AN11" i="1" s="1"/>
  <c r="Y11" i="1"/>
  <c r="S12" i="1"/>
  <c r="U12" i="1"/>
  <c r="AM12" i="1" s="1"/>
  <c r="AN12" i="1" s="1"/>
  <c r="Y12" i="1"/>
  <c r="S13" i="1"/>
  <c r="U13" i="1"/>
  <c r="AM13" i="1" s="1"/>
  <c r="AN13" i="1" s="1"/>
  <c r="Y13" i="1"/>
  <c r="S14" i="1"/>
  <c r="U14" i="1"/>
  <c r="AM14" i="1" s="1"/>
  <c r="AN14" i="1" s="1"/>
  <c r="Y14" i="1"/>
  <c r="AU14" i="1" s="1"/>
  <c r="S15" i="1"/>
  <c r="U15" i="1"/>
  <c r="AM15" i="1" s="1"/>
  <c r="AN15" i="1" s="1"/>
  <c r="Y15" i="1"/>
  <c r="S16" i="1"/>
  <c r="U16" i="1"/>
  <c r="AM16" i="1" s="1"/>
  <c r="AN16" i="1" s="1"/>
  <c r="Y16" i="1"/>
  <c r="AW16" i="1" s="1"/>
  <c r="S17" i="1"/>
  <c r="U17" i="1"/>
  <c r="AM17" i="1" s="1"/>
  <c r="AN17" i="1" s="1"/>
  <c r="Y17" i="1"/>
  <c r="S18" i="1"/>
  <c r="U18" i="1"/>
  <c r="AM18" i="1" s="1"/>
  <c r="AN18" i="1" s="1"/>
  <c r="Y18" i="1"/>
  <c r="S19" i="1"/>
  <c r="U19" i="1"/>
  <c r="AM19" i="1" s="1"/>
  <c r="AN19" i="1" s="1"/>
  <c r="Y19" i="1"/>
  <c r="S20" i="1"/>
  <c r="U20" i="1"/>
  <c r="AM20" i="1" s="1"/>
  <c r="AN20" i="1" s="1"/>
  <c r="Y20" i="1"/>
  <c r="S21" i="1"/>
  <c r="U21" i="1"/>
  <c r="AM21" i="1" s="1"/>
  <c r="AN21" i="1" s="1"/>
  <c r="Y21" i="1"/>
  <c r="S22" i="1"/>
  <c r="U22" i="1"/>
  <c r="AM22" i="1" s="1"/>
  <c r="AN22" i="1" s="1"/>
  <c r="Y22" i="1"/>
  <c r="S23" i="1"/>
  <c r="U23" i="1"/>
  <c r="Y23" i="1"/>
  <c r="AM23" i="1"/>
  <c r="AN23" i="1" s="1"/>
  <c r="S24" i="1"/>
  <c r="U24" i="1"/>
  <c r="AM24" i="1" s="1"/>
  <c r="AN24" i="1" s="1"/>
  <c r="Y24" i="1"/>
  <c r="AU24" i="1" s="1"/>
  <c r="S25" i="1"/>
  <c r="U25" i="1"/>
  <c r="Y25" i="1"/>
  <c r="AM25" i="1"/>
  <c r="AN25" i="1" s="1"/>
  <c r="S26" i="1"/>
  <c r="U26" i="1"/>
  <c r="AM26" i="1" s="1"/>
  <c r="AN26" i="1" s="1"/>
  <c r="Y26" i="1"/>
  <c r="S27" i="1"/>
  <c r="U27" i="1"/>
  <c r="AM27" i="1" s="1"/>
  <c r="AN27" i="1" s="1"/>
  <c r="Y27" i="1"/>
  <c r="S28" i="1"/>
  <c r="U28" i="1"/>
  <c r="Y28" i="1"/>
  <c r="AM28" i="1"/>
  <c r="AN28" i="1"/>
  <c r="S29" i="1"/>
  <c r="U29" i="1"/>
  <c r="AM29" i="1" s="1"/>
  <c r="AN29" i="1" s="1"/>
  <c r="Y29" i="1"/>
  <c r="AU29" i="1" s="1"/>
  <c r="S30" i="1"/>
  <c r="U30" i="1"/>
  <c r="AM30" i="1" s="1"/>
  <c r="AN30" i="1" s="1"/>
  <c r="Y30" i="1"/>
  <c r="S31" i="1"/>
  <c r="U31" i="1"/>
  <c r="AM31" i="1" s="1"/>
  <c r="AN31" i="1" s="1"/>
  <c r="Y31" i="1"/>
  <c r="AW31" i="1" s="1"/>
  <c r="S32" i="1"/>
  <c r="U32" i="1"/>
  <c r="AM32" i="1" s="1"/>
  <c r="AN32" i="1" s="1"/>
  <c r="Y32" i="1"/>
  <c r="AU32" i="1" s="1"/>
  <c r="S33" i="1"/>
  <c r="U33" i="1"/>
  <c r="Y33" i="1"/>
  <c r="AM33" i="1"/>
  <c r="AN33" i="1" s="1"/>
  <c r="S34" i="1"/>
  <c r="U34" i="1"/>
  <c r="AM34" i="1" s="1"/>
  <c r="AN34" i="1" s="1"/>
  <c r="Y34" i="1"/>
  <c r="S35" i="1"/>
  <c r="U35" i="1"/>
  <c r="Y35" i="1"/>
  <c r="AM35" i="1"/>
  <c r="AN35" i="1" s="1"/>
  <c r="S36" i="1"/>
  <c r="U36" i="1"/>
  <c r="AM36" i="1" s="1"/>
  <c r="AN36" i="1" s="1"/>
  <c r="Y36" i="1"/>
  <c r="S37" i="1"/>
  <c r="U37" i="1"/>
  <c r="AM37" i="1" s="1"/>
  <c r="AN37" i="1" s="1"/>
  <c r="Y37" i="1"/>
  <c r="AU37" i="1" s="1"/>
  <c r="S38" i="1"/>
  <c r="U38" i="1"/>
  <c r="Y38" i="1"/>
  <c r="AM38" i="1"/>
  <c r="AN38" i="1" s="1"/>
  <c r="S39" i="1"/>
  <c r="U39" i="1"/>
  <c r="AM39" i="1" s="1"/>
  <c r="AN39" i="1" s="1"/>
  <c r="Y39" i="1"/>
  <c r="S40" i="1"/>
  <c r="U40" i="1"/>
  <c r="Y40" i="1"/>
  <c r="AM40" i="1"/>
  <c r="AN40" i="1" s="1"/>
  <c r="S41" i="1"/>
  <c r="U41" i="1"/>
  <c r="AM41" i="1" s="1"/>
  <c r="AN41" i="1" s="1"/>
  <c r="Y41" i="1"/>
  <c r="AW41" i="1" s="1"/>
  <c r="S42" i="1"/>
  <c r="U42" i="1"/>
  <c r="AM42" i="1" s="1"/>
  <c r="AN42" i="1" s="1"/>
  <c r="Y42" i="1"/>
  <c r="S43" i="1"/>
  <c r="U43" i="1"/>
  <c r="Y43" i="1"/>
  <c r="AM43" i="1"/>
  <c r="AN43" i="1" s="1"/>
  <c r="S44" i="1"/>
  <c r="U44" i="1"/>
  <c r="AM44" i="1" s="1"/>
  <c r="AN44" i="1" s="1"/>
  <c r="Y44" i="1"/>
  <c r="S45" i="1"/>
  <c r="U45" i="1"/>
  <c r="Y45" i="1"/>
  <c r="AM45" i="1"/>
  <c r="AN45" i="1" s="1"/>
  <c r="S46" i="1"/>
  <c r="U46" i="1"/>
  <c r="AM46" i="1" s="1"/>
  <c r="AN46" i="1" s="1"/>
  <c r="Y46" i="1"/>
  <c r="S47" i="1"/>
  <c r="U47" i="1"/>
  <c r="AM47" i="1" s="1"/>
  <c r="AN47" i="1" s="1"/>
  <c r="Y47" i="1"/>
  <c r="AU47" i="1" s="1"/>
  <c r="S48" i="1"/>
  <c r="U48" i="1"/>
  <c r="Y48" i="1"/>
  <c r="AM48" i="1"/>
  <c r="AN48" i="1"/>
  <c r="AU48" i="1" s="1"/>
  <c r="S49" i="1"/>
  <c r="U49" i="1"/>
  <c r="AM49" i="1" s="1"/>
  <c r="AN49" i="1" s="1"/>
  <c r="Y49" i="1"/>
  <c r="AU49" i="1" s="1"/>
  <c r="S50" i="1"/>
  <c r="U50" i="1"/>
  <c r="Y50" i="1"/>
  <c r="AM50" i="1"/>
  <c r="AN50" i="1" s="1"/>
  <c r="S51" i="1"/>
  <c r="U51" i="1"/>
  <c r="AM51" i="1" s="1"/>
  <c r="AN51" i="1" s="1"/>
  <c r="Y51" i="1"/>
  <c r="AU51" i="1" s="1"/>
  <c r="S52" i="1"/>
  <c r="U52" i="1"/>
  <c r="AM52" i="1" s="1"/>
  <c r="AN52" i="1" s="1"/>
  <c r="Y52" i="1"/>
  <c r="S53" i="1"/>
  <c r="U53" i="1"/>
  <c r="AM53" i="1" s="1"/>
  <c r="AN53" i="1" s="1"/>
  <c r="Y53" i="1"/>
  <c r="AU53" i="1" s="1"/>
  <c r="S54" i="1"/>
  <c r="U54" i="1"/>
  <c r="AM54" i="1" s="1"/>
  <c r="AN54" i="1" s="1"/>
  <c r="Y54" i="1"/>
  <c r="S55" i="1"/>
  <c r="U55" i="1"/>
  <c r="Y55" i="1"/>
  <c r="AM55" i="1"/>
  <c r="AN55" i="1" s="1"/>
  <c r="S56" i="1"/>
  <c r="U56" i="1"/>
  <c r="AM56" i="1" s="1"/>
  <c r="AN56" i="1" s="1"/>
  <c r="Y56" i="1"/>
  <c r="AU56" i="1" s="1"/>
  <c r="S57" i="1"/>
  <c r="U57" i="1"/>
  <c r="AM57" i="1" s="1"/>
  <c r="AN57" i="1" s="1"/>
  <c r="Y57" i="1"/>
  <c r="AU57" i="1" s="1"/>
  <c r="S58" i="1"/>
  <c r="U58" i="1"/>
  <c r="Y58" i="1"/>
  <c r="AM58" i="1"/>
  <c r="AN58" i="1" s="1"/>
  <c r="S59" i="1"/>
  <c r="U59" i="1"/>
  <c r="AM59" i="1" s="1"/>
  <c r="AN59" i="1" s="1"/>
  <c r="Y59" i="1"/>
  <c r="S60" i="1"/>
  <c r="U60" i="1"/>
  <c r="AM60" i="1" s="1"/>
  <c r="AN60" i="1" s="1"/>
  <c r="Y60" i="1"/>
  <c r="AU60" i="1" s="1"/>
  <c r="S61" i="1"/>
  <c r="U61" i="1"/>
  <c r="AM61" i="1" s="1"/>
  <c r="AN61" i="1" s="1"/>
  <c r="Y61" i="1"/>
  <c r="AU61" i="1" s="1"/>
  <c r="S62" i="1"/>
  <c r="U62" i="1"/>
  <c r="AM62" i="1" s="1"/>
  <c r="AN62" i="1" s="1"/>
  <c r="Y62" i="1"/>
  <c r="S63" i="1"/>
  <c r="U63" i="1"/>
  <c r="AM63" i="1" s="1"/>
  <c r="AN63" i="1" s="1"/>
  <c r="Y63" i="1"/>
  <c r="S64" i="1"/>
  <c r="U64" i="1"/>
  <c r="AM64" i="1" s="1"/>
  <c r="AN64" i="1" s="1"/>
  <c r="Y64" i="1"/>
  <c r="S65" i="1"/>
  <c r="U65" i="1"/>
  <c r="Y65" i="1"/>
  <c r="AM65" i="1"/>
  <c r="AN65" i="1" s="1"/>
  <c r="S66" i="1"/>
  <c r="U66" i="1"/>
  <c r="AM66" i="1" s="1"/>
  <c r="AN66" i="1" s="1"/>
  <c r="Y66" i="1"/>
  <c r="S67" i="1"/>
  <c r="U67" i="1"/>
  <c r="AM67" i="1" s="1"/>
  <c r="AN67" i="1" s="1"/>
  <c r="Y67" i="1"/>
  <c r="S68" i="1"/>
  <c r="U68" i="1"/>
  <c r="Y68" i="1"/>
  <c r="AM68" i="1"/>
  <c r="AN68" i="1" s="1"/>
  <c r="S69" i="1"/>
  <c r="U69" i="1"/>
  <c r="AM69" i="1" s="1"/>
  <c r="AN69" i="1" s="1"/>
  <c r="Y69" i="1"/>
  <c r="S70" i="1"/>
  <c r="U70" i="1"/>
  <c r="AM70" i="1" s="1"/>
  <c r="AN70" i="1" s="1"/>
  <c r="Y70" i="1"/>
  <c r="S71" i="1"/>
  <c r="U71" i="1"/>
  <c r="AM71" i="1" s="1"/>
  <c r="AN71" i="1" s="1"/>
  <c r="Y71" i="1"/>
  <c r="AU71" i="1" s="1"/>
  <c r="S72" i="1"/>
  <c r="U72" i="1"/>
  <c r="AM72" i="1" s="1"/>
  <c r="AN72" i="1" s="1"/>
  <c r="Y72" i="1"/>
  <c r="S73" i="1"/>
  <c r="U73" i="1"/>
  <c r="AM73" i="1" s="1"/>
  <c r="AN73" i="1" s="1"/>
  <c r="Y73" i="1"/>
  <c r="AU73" i="1" s="1"/>
  <c r="S74" i="1"/>
  <c r="U74" i="1"/>
  <c r="AM74" i="1" s="1"/>
  <c r="AN74" i="1" s="1"/>
  <c r="Y74" i="1"/>
  <c r="S75" i="1"/>
  <c r="U75" i="1"/>
  <c r="Y75" i="1"/>
  <c r="AM75" i="1"/>
  <c r="AN75" i="1" s="1"/>
  <c r="S76" i="1"/>
  <c r="U76" i="1"/>
  <c r="AM76" i="1" s="1"/>
  <c r="AN76" i="1" s="1"/>
  <c r="Y76" i="1"/>
  <c r="S77" i="1"/>
  <c r="U77" i="1"/>
  <c r="AM77" i="1" s="1"/>
  <c r="AN77" i="1" s="1"/>
  <c r="AV77" i="1" s="1"/>
  <c r="Y77" i="1"/>
  <c r="S78" i="1"/>
  <c r="U78" i="1"/>
  <c r="Y78" i="1"/>
  <c r="AM78" i="1"/>
  <c r="AN78" i="1" s="1"/>
  <c r="S79" i="1"/>
  <c r="U79" i="1"/>
  <c r="AM79" i="1" s="1"/>
  <c r="AN79" i="1" s="1"/>
  <c r="Y79" i="1"/>
  <c r="S80" i="1"/>
  <c r="U80" i="1"/>
  <c r="AM80" i="1" s="1"/>
  <c r="AN80" i="1" s="1"/>
  <c r="Y80" i="1"/>
  <c r="S81" i="1"/>
  <c r="U81" i="1"/>
  <c r="AM81" i="1" s="1"/>
  <c r="AN81" i="1" s="1"/>
  <c r="Y81" i="1"/>
  <c r="S82" i="1"/>
  <c r="U82" i="1"/>
  <c r="AM82" i="1" s="1"/>
  <c r="AN82" i="1" s="1"/>
  <c r="Y82" i="1"/>
  <c r="S83" i="1"/>
  <c r="U83" i="1"/>
  <c r="AM83" i="1" s="1"/>
  <c r="AN83" i="1" s="1"/>
  <c r="Y83" i="1"/>
  <c r="S84" i="1"/>
  <c r="U84" i="1"/>
  <c r="AM84" i="1" s="1"/>
  <c r="AN84" i="1" s="1"/>
  <c r="Y84" i="1"/>
  <c r="S85" i="1"/>
  <c r="U85" i="1"/>
  <c r="Y85" i="1"/>
  <c r="AM85" i="1"/>
  <c r="AN85" i="1" s="1"/>
  <c r="S86" i="1"/>
  <c r="U86" i="1"/>
  <c r="AM86" i="1" s="1"/>
  <c r="AN86" i="1" s="1"/>
  <c r="AV86" i="1" s="1"/>
  <c r="Y86" i="1"/>
  <c r="S87" i="1"/>
  <c r="U87" i="1"/>
  <c r="AM87" i="1" s="1"/>
  <c r="AN87" i="1" s="1"/>
  <c r="Y87" i="1"/>
  <c r="S88" i="1"/>
  <c r="U88" i="1"/>
  <c r="AM88" i="1" s="1"/>
  <c r="AN88" i="1" s="1"/>
  <c r="Y88" i="1"/>
  <c r="S89" i="1"/>
  <c r="U89" i="1"/>
  <c r="AM89" i="1" s="1"/>
  <c r="AN89" i="1" s="1"/>
  <c r="Y89" i="1"/>
  <c r="S90" i="1"/>
  <c r="U90" i="1"/>
  <c r="Y90" i="1"/>
  <c r="AM90" i="1"/>
  <c r="AN90" i="1" s="1"/>
  <c r="S91" i="1"/>
  <c r="U91" i="1"/>
  <c r="AM91" i="1" s="1"/>
  <c r="AN91" i="1" s="1"/>
  <c r="Y91" i="1"/>
  <c r="AU91" i="1" s="1"/>
  <c r="S92" i="1"/>
  <c r="U92" i="1"/>
  <c r="AM92" i="1" s="1"/>
  <c r="AN92" i="1" s="1"/>
  <c r="Y92" i="1"/>
  <c r="AU92" i="1" s="1"/>
  <c r="S93" i="1"/>
  <c r="U93" i="1"/>
  <c r="AM93" i="1" s="1"/>
  <c r="AN93" i="1" s="1"/>
  <c r="Y93" i="1"/>
  <c r="AU93" i="1" s="1"/>
  <c r="S94" i="1"/>
  <c r="U94" i="1"/>
  <c r="AM94" i="1" s="1"/>
  <c r="AN94" i="1" s="1"/>
  <c r="Y94" i="1"/>
  <c r="AU94" i="1" s="1"/>
  <c r="S95" i="1"/>
  <c r="U95" i="1"/>
  <c r="Y95" i="1"/>
  <c r="AM95" i="1"/>
  <c r="AN95" i="1" s="1"/>
  <c r="S96" i="1"/>
  <c r="U96" i="1"/>
  <c r="AM96" i="1" s="1"/>
  <c r="AN96" i="1" s="1"/>
  <c r="Y96" i="1"/>
  <c r="S97" i="1"/>
  <c r="U97" i="1"/>
  <c r="AM97" i="1" s="1"/>
  <c r="AN97" i="1" s="1"/>
  <c r="AV97" i="1" s="1"/>
  <c r="Y97" i="1"/>
  <c r="S98" i="1"/>
  <c r="U98" i="1"/>
  <c r="AM98" i="1" s="1"/>
  <c r="AN98" i="1" s="1"/>
  <c r="Y98" i="1"/>
  <c r="S99" i="1"/>
  <c r="U99" i="1"/>
  <c r="AM99" i="1" s="1"/>
  <c r="AN99" i="1" s="1"/>
  <c r="Y99" i="1"/>
  <c r="S100" i="1"/>
  <c r="U100" i="1"/>
  <c r="Y100" i="1"/>
  <c r="AM100" i="1"/>
  <c r="AN100" i="1" s="1"/>
  <c r="S101" i="1"/>
  <c r="U101" i="1"/>
  <c r="AM101" i="1" s="1"/>
  <c r="AN101" i="1" s="1"/>
  <c r="Y101" i="1"/>
  <c r="S102" i="1"/>
  <c r="U102" i="1"/>
  <c r="AM102" i="1" s="1"/>
  <c r="AN102" i="1" s="1"/>
  <c r="Y102" i="1"/>
  <c r="S103" i="1"/>
  <c r="U103" i="1"/>
  <c r="AM103" i="1" s="1"/>
  <c r="AN103" i="1" s="1"/>
  <c r="Y103" i="1"/>
  <c r="S104" i="1"/>
  <c r="U104" i="1"/>
  <c r="AM104" i="1" s="1"/>
  <c r="AN104" i="1" s="1"/>
  <c r="Y104" i="1"/>
  <c r="S105" i="1"/>
  <c r="U105" i="1"/>
  <c r="Y105" i="1"/>
  <c r="AM105" i="1"/>
  <c r="AN105" i="1" s="1"/>
  <c r="S106" i="1"/>
  <c r="U106" i="1"/>
  <c r="AM106" i="1" s="1"/>
  <c r="AN106" i="1" s="1"/>
  <c r="Y106" i="1"/>
  <c r="S107" i="1"/>
  <c r="U107" i="1"/>
  <c r="AM107" i="1" s="1"/>
  <c r="AN107" i="1" s="1"/>
  <c r="Y107" i="1"/>
  <c r="S108" i="1"/>
  <c r="U108" i="1"/>
  <c r="AM108" i="1" s="1"/>
  <c r="AN108" i="1" s="1"/>
  <c r="Y108" i="1"/>
  <c r="S109" i="1"/>
  <c r="U109" i="1"/>
  <c r="AM109" i="1" s="1"/>
  <c r="AN109" i="1" s="1"/>
  <c r="Y109" i="1"/>
  <c r="S110" i="1"/>
  <c r="U110" i="1"/>
  <c r="AM110" i="1" s="1"/>
  <c r="AN110" i="1" s="1"/>
  <c r="Y110" i="1"/>
  <c r="S111" i="1"/>
  <c r="U111" i="1"/>
  <c r="AM111" i="1" s="1"/>
  <c r="AN111" i="1" s="1"/>
  <c r="Y111" i="1"/>
  <c r="AU111" i="1" s="1"/>
  <c r="S112" i="1"/>
  <c r="U112" i="1"/>
  <c r="AM112" i="1" s="1"/>
  <c r="AN112" i="1" s="1"/>
  <c r="Y112" i="1"/>
  <c r="S113" i="1"/>
  <c r="U113" i="1"/>
  <c r="AM113" i="1" s="1"/>
  <c r="AN113" i="1" s="1"/>
  <c r="Y113" i="1"/>
  <c r="S114" i="1"/>
  <c r="U114" i="1"/>
  <c r="AM114" i="1" s="1"/>
  <c r="AN114" i="1" s="1"/>
  <c r="Y114" i="1"/>
  <c r="S115" i="1"/>
  <c r="U115" i="1"/>
  <c r="AM115" i="1" s="1"/>
  <c r="AN115" i="1" s="1"/>
  <c r="Y115" i="1"/>
  <c r="S116" i="1"/>
  <c r="U116" i="1"/>
  <c r="AM116" i="1" s="1"/>
  <c r="AN116" i="1" s="1"/>
  <c r="Y116" i="1"/>
  <c r="S117" i="1"/>
  <c r="U117" i="1"/>
  <c r="AM117" i="1" s="1"/>
  <c r="AN117" i="1" s="1"/>
  <c r="Y117" i="1"/>
  <c r="S118" i="1"/>
  <c r="U118" i="1"/>
  <c r="AM118" i="1" s="1"/>
  <c r="AN118" i="1" s="1"/>
  <c r="Y118" i="1"/>
  <c r="S119" i="1"/>
  <c r="U119" i="1"/>
  <c r="AM119" i="1" s="1"/>
  <c r="AN119" i="1" s="1"/>
  <c r="Y119" i="1"/>
  <c r="S120" i="1"/>
  <c r="U120" i="1"/>
  <c r="AM120" i="1" s="1"/>
  <c r="AN120" i="1" s="1"/>
  <c r="Y120" i="1"/>
  <c r="AU120" i="1" s="1"/>
  <c r="S121" i="1"/>
  <c r="U121" i="1"/>
  <c r="AM121" i="1" s="1"/>
  <c r="AN121" i="1" s="1"/>
  <c r="Y121" i="1"/>
  <c r="S122" i="1"/>
  <c r="U122" i="1"/>
  <c r="AM122" i="1" s="1"/>
  <c r="AN122" i="1" s="1"/>
  <c r="Y122" i="1"/>
  <c r="AU122" i="1" s="1"/>
  <c r="S123" i="1"/>
  <c r="U123" i="1"/>
  <c r="Y123" i="1"/>
  <c r="AM123" i="1"/>
  <c r="AN123" i="1"/>
  <c r="S124" i="1"/>
  <c r="U124" i="1"/>
  <c r="AM124" i="1" s="1"/>
  <c r="AN124" i="1" s="1"/>
  <c r="Y124" i="1"/>
  <c r="S125" i="1"/>
  <c r="U125" i="1"/>
  <c r="AM125" i="1" s="1"/>
  <c r="AN125" i="1" s="1"/>
  <c r="Y125" i="1"/>
  <c r="S126" i="1"/>
  <c r="U126" i="1"/>
  <c r="AM126" i="1" s="1"/>
  <c r="AN126" i="1" s="1"/>
  <c r="Y126" i="1"/>
  <c r="AU126" i="1" s="1"/>
  <c r="S127" i="1"/>
  <c r="U127" i="1"/>
  <c r="AM127" i="1" s="1"/>
  <c r="AN127" i="1" s="1"/>
  <c r="Y127" i="1"/>
  <c r="S128" i="1"/>
  <c r="U128" i="1"/>
  <c r="Y128" i="1"/>
  <c r="AM128" i="1"/>
  <c r="AN128" i="1"/>
  <c r="S129" i="1"/>
  <c r="U129" i="1"/>
  <c r="AM129" i="1" s="1"/>
  <c r="AN129" i="1" s="1"/>
  <c r="Y129" i="1"/>
  <c r="S130" i="1"/>
  <c r="U130" i="1"/>
  <c r="AM130" i="1" s="1"/>
  <c r="AN130" i="1" s="1"/>
  <c r="Y130" i="1"/>
  <c r="S131" i="1"/>
  <c r="U131" i="1"/>
  <c r="AM131" i="1" s="1"/>
  <c r="AN131" i="1" s="1"/>
  <c r="Y131" i="1"/>
  <c r="S132" i="1"/>
  <c r="U132" i="1"/>
  <c r="AM132" i="1" s="1"/>
  <c r="AN132" i="1" s="1"/>
  <c r="Y132" i="1"/>
  <c r="AU132" i="1" s="1"/>
  <c r="S133" i="1"/>
  <c r="U133" i="1"/>
  <c r="AM133" i="1" s="1"/>
  <c r="AN133" i="1" s="1"/>
  <c r="Y133" i="1"/>
  <c r="S134" i="1"/>
  <c r="U134" i="1"/>
  <c r="AM134" i="1" s="1"/>
  <c r="AN134" i="1" s="1"/>
  <c r="Y134" i="1"/>
  <c r="S135" i="1"/>
  <c r="U135" i="1"/>
  <c r="AM135" i="1" s="1"/>
  <c r="AN135" i="1" s="1"/>
  <c r="Y135" i="1"/>
  <c r="S136" i="1"/>
  <c r="U136" i="1"/>
  <c r="AM136" i="1" s="1"/>
  <c r="AN136" i="1" s="1"/>
  <c r="Y136" i="1"/>
  <c r="AU136" i="1" s="1"/>
  <c r="S137" i="1"/>
  <c r="U137" i="1"/>
  <c r="AM137" i="1" s="1"/>
  <c r="AN137" i="1" s="1"/>
  <c r="Y137" i="1"/>
  <c r="AU137" i="1" s="1"/>
  <c r="S138" i="1"/>
  <c r="U138" i="1"/>
  <c r="AM138" i="1" s="1"/>
  <c r="AN138" i="1" s="1"/>
  <c r="Y138" i="1"/>
  <c r="S139" i="1"/>
  <c r="U139" i="1"/>
  <c r="AM139" i="1" s="1"/>
  <c r="AN139" i="1" s="1"/>
  <c r="Y139" i="1"/>
  <c r="S140" i="1"/>
  <c r="U140" i="1"/>
  <c r="AM140" i="1" s="1"/>
  <c r="AN140" i="1" s="1"/>
  <c r="Y140" i="1"/>
  <c r="S141" i="1"/>
  <c r="U141" i="1"/>
  <c r="AM141" i="1" s="1"/>
  <c r="AN141" i="1" s="1"/>
  <c r="Y141" i="1"/>
  <c r="AU141" i="1" s="1"/>
  <c r="S142" i="1"/>
  <c r="U142" i="1"/>
  <c r="AM142" i="1" s="1"/>
  <c r="AN142" i="1" s="1"/>
  <c r="Y142" i="1"/>
  <c r="AV142" i="1" s="1"/>
  <c r="S143" i="1"/>
  <c r="U143" i="1"/>
  <c r="AM143" i="1" s="1"/>
  <c r="AN143" i="1" s="1"/>
  <c r="Y143" i="1"/>
  <c r="AU143" i="1" s="1"/>
  <c r="S144" i="1"/>
  <c r="U144" i="1"/>
  <c r="AM144" i="1" s="1"/>
  <c r="AN144" i="1" s="1"/>
  <c r="Y144" i="1"/>
  <c r="AU144" i="1" s="1"/>
  <c r="S145" i="1"/>
  <c r="U145" i="1"/>
  <c r="AM145" i="1" s="1"/>
  <c r="AN145" i="1" s="1"/>
  <c r="Y145" i="1"/>
  <c r="S146" i="1"/>
  <c r="U146" i="1"/>
  <c r="AM146" i="1" s="1"/>
  <c r="AN146" i="1" s="1"/>
  <c r="Y146" i="1"/>
  <c r="S147" i="1"/>
  <c r="U147" i="1"/>
  <c r="AM147" i="1" s="1"/>
  <c r="AN147" i="1" s="1"/>
  <c r="Y147" i="1"/>
  <c r="S148" i="1"/>
  <c r="U148" i="1"/>
  <c r="AM148" i="1" s="1"/>
  <c r="AN148" i="1" s="1"/>
  <c r="Y148" i="1"/>
  <c r="S149" i="1"/>
  <c r="U149" i="1"/>
  <c r="AM149" i="1" s="1"/>
  <c r="AN149" i="1" s="1"/>
  <c r="Y149" i="1"/>
  <c r="AU149" i="1" s="1"/>
  <c r="S150" i="1"/>
  <c r="U150" i="1"/>
  <c r="Y150" i="1"/>
  <c r="AM150" i="1"/>
  <c r="AN150" i="1" s="1"/>
  <c r="S151" i="1"/>
  <c r="U151" i="1"/>
  <c r="AM151" i="1" s="1"/>
  <c r="AN151" i="1" s="1"/>
  <c r="Y151" i="1"/>
  <c r="S152" i="1"/>
  <c r="U152" i="1"/>
  <c r="AM152" i="1" s="1"/>
  <c r="AN152" i="1" s="1"/>
  <c r="Y152" i="1"/>
  <c r="AV152" i="1"/>
  <c r="S153" i="1"/>
  <c r="U153" i="1"/>
  <c r="AM153" i="1" s="1"/>
  <c r="AN153" i="1" s="1"/>
  <c r="Y153" i="1"/>
  <c r="AV153" i="1" s="1"/>
  <c r="S154" i="1"/>
  <c r="U154" i="1"/>
  <c r="AM154" i="1" s="1"/>
  <c r="AN154" i="1" s="1"/>
  <c r="Y154" i="1"/>
  <c r="S155" i="1"/>
  <c r="U155" i="1"/>
  <c r="AM155" i="1" s="1"/>
  <c r="AN155" i="1" s="1"/>
  <c r="Y155" i="1"/>
  <c r="AV155" i="1"/>
  <c r="S156" i="1"/>
  <c r="U156" i="1"/>
  <c r="AM156" i="1" s="1"/>
  <c r="AN156" i="1" s="1"/>
  <c r="Y156" i="1"/>
  <c r="S157" i="1"/>
  <c r="U157" i="1"/>
  <c r="AM157" i="1" s="1"/>
  <c r="AN157" i="1" s="1"/>
  <c r="Y157" i="1"/>
  <c r="S158" i="1"/>
  <c r="U158" i="1"/>
  <c r="AM158" i="1" s="1"/>
  <c r="Y158" i="1"/>
  <c r="AN158" i="1"/>
  <c r="S159" i="1"/>
  <c r="U159" i="1"/>
  <c r="AM159" i="1" s="1"/>
  <c r="AN159" i="1" s="1"/>
  <c r="Y159" i="1"/>
  <c r="S160" i="1"/>
  <c r="U160" i="1"/>
  <c r="AM160" i="1" s="1"/>
  <c r="AN160" i="1" s="1"/>
  <c r="Y160" i="1"/>
  <c r="AV160" i="1"/>
  <c r="S161" i="1"/>
  <c r="U161" i="1"/>
  <c r="AM161" i="1" s="1"/>
  <c r="AN161" i="1" s="1"/>
  <c r="Y161" i="1"/>
  <c r="S162" i="1"/>
  <c r="U162" i="1"/>
  <c r="AM162" i="1" s="1"/>
  <c r="AN162" i="1" s="1"/>
  <c r="Y162" i="1"/>
  <c r="AU162" i="1" s="1"/>
  <c r="S163" i="1"/>
  <c r="U163" i="1"/>
  <c r="AM163" i="1" s="1"/>
  <c r="Y163" i="1"/>
  <c r="AN163" i="1"/>
  <c r="S164" i="1"/>
  <c r="U164" i="1"/>
  <c r="AM164" i="1" s="1"/>
  <c r="AN164" i="1" s="1"/>
  <c r="Y164" i="1"/>
  <c r="AV164" i="1" s="1"/>
  <c r="S165" i="1"/>
  <c r="U165" i="1"/>
  <c r="AM165" i="1" s="1"/>
  <c r="AN165" i="1" s="1"/>
  <c r="Y165" i="1"/>
  <c r="AV165" i="1" s="1"/>
  <c r="S166" i="1"/>
  <c r="U166" i="1"/>
  <c r="AM166" i="1" s="1"/>
  <c r="AN166" i="1" s="1"/>
  <c r="Y166" i="1"/>
  <c r="S167" i="1"/>
  <c r="U167" i="1"/>
  <c r="AM167" i="1" s="1"/>
  <c r="AN167" i="1" s="1"/>
  <c r="Y167" i="1"/>
  <c r="AV167" i="1" s="1"/>
  <c r="S168" i="1"/>
  <c r="U168" i="1"/>
  <c r="AM168" i="1" s="1"/>
  <c r="AN168" i="1" s="1"/>
  <c r="Y168" i="1"/>
  <c r="S169" i="1"/>
  <c r="U169" i="1"/>
  <c r="AM169" i="1" s="1"/>
  <c r="AN169" i="1" s="1"/>
  <c r="Y169" i="1"/>
  <c r="AV169" i="1" s="1"/>
  <c r="S170" i="1"/>
  <c r="U170" i="1"/>
  <c r="AM170" i="1" s="1"/>
  <c r="AN170" i="1" s="1"/>
  <c r="Y170" i="1"/>
  <c r="S171" i="1"/>
  <c r="U171" i="1"/>
  <c r="AM171" i="1" s="1"/>
  <c r="AN171" i="1" s="1"/>
  <c r="Y171" i="1"/>
  <c r="AV171" i="1" s="1"/>
  <c r="S172" i="1"/>
  <c r="U172" i="1"/>
  <c r="AM172" i="1" s="1"/>
  <c r="AN172" i="1" s="1"/>
  <c r="Y172" i="1"/>
  <c r="S173" i="1"/>
  <c r="U173" i="1"/>
  <c r="AM173" i="1" s="1"/>
  <c r="AN173" i="1" s="1"/>
  <c r="Y173" i="1"/>
  <c r="S174" i="1"/>
  <c r="U174" i="1"/>
  <c r="AM174" i="1" s="1"/>
  <c r="AN174" i="1" s="1"/>
  <c r="Y174" i="1"/>
  <c r="AV174" i="1" s="1"/>
  <c r="S175" i="1"/>
  <c r="U175" i="1"/>
  <c r="AM175" i="1" s="1"/>
  <c r="AN175" i="1" s="1"/>
  <c r="Y175" i="1"/>
  <c r="S176" i="1"/>
  <c r="U176" i="1"/>
  <c r="AM176" i="1" s="1"/>
  <c r="AN176" i="1" s="1"/>
  <c r="Y176" i="1"/>
  <c r="S177" i="1"/>
  <c r="U177" i="1"/>
  <c r="AM177" i="1" s="1"/>
  <c r="AN177" i="1" s="1"/>
  <c r="Y177" i="1"/>
  <c r="AV177" i="1" s="1"/>
  <c r="S178" i="1"/>
  <c r="U178" i="1"/>
  <c r="AM178" i="1" s="1"/>
  <c r="AN178" i="1" s="1"/>
  <c r="Y178" i="1"/>
  <c r="S179" i="1"/>
  <c r="U179" i="1"/>
  <c r="AM179" i="1" s="1"/>
  <c r="AN179" i="1" s="1"/>
  <c r="Y179" i="1"/>
  <c r="AV179" i="1" s="1"/>
  <c r="S180" i="1"/>
  <c r="U180" i="1"/>
  <c r="AM180" i="1" s="1"/>
  <c r="AN180" i="1" s="1"/>
  <c r="Y180" i="1"/>
  <c r="AV180" i="1" s="1"/>
  <c r="S181" i="1"/>
  <c r="U181" i="1"/>
  <c r="AM181" i="1" s="1"/>
  <c r="AN181" i="1" s="1"/>
  <c r="Y181" i="1"/>
  <c r="S182" i="1"/>
  <c r="U182" i="1"/>
  <c r="AM182" i="1" s="1"/>
  <c r="AN182" i="1" s="1"/>
  <c r="Y182" i="1"/>
  <c r="AV182" i="1" s="1"/>
  <c r="S183" i="1"/>
  <c r="U183" i="1"/>
  <c r="AM183" i="1" s="1"/>
  <c r="Y183" i="1"/>
  <c r="AN183" i="1"/>
  <c r="AV183" i="1" s="1"/>
  <c r="S184" i="1"/>
  <c r="U184" i="1"/>
  <c r="AM184" i="1" s="1"/>
  <c r="AN184" i="1" s="1"/>
  <c r="Y184" i="1"/>
  <c r="AV184" i="1"/>
  <c r="S185" i="1"/>
  <c r="U185" i="1"/>
  <c r="AM185" i="1" s="1"/>
  <c r="AN185" i="1" s="1"/>
  <c r="Y185" i="1"/>
  <c r="AV185" i="1"/>
  <c r="S186" i="1"/>
  <c r="U186" i="1"/>
  <c r="AM186" i="1" s="1"/>
  <c r="AN186" i="1" s="1"/>
  <c r="Y186" i="1"/>
  <c r="AV186" i="1"/>
  <c r="S187" i="1"/>
  <c r="U187" i="1"/>
  <c r="AM187" i="1" s="1"/>
  <c r="AN187" i="1" s="1"/>
  <c r="Y187" i="1"/>
  <c r="AV187" i="1"/>
  <c r="S188" i="1"/>
  <c r="U188" i="1"/>
  <c r="AM188" i="1" s="1"/>
  <c r="AN188" i="1" s="1"/>
  <c r="Y188" i="1"/>
  <c r="S189" i="1"/>
  <c r="U189" i="1"/>
  <c r="AM189" i="1" s="1"/>
  <c r="AN189" i="1" s="1"/>
  <c r="Y189" i="1"/>
  <c r="S190" i="1"/>
  <c r="U190" i="1"/>
  <c r="AM190" i="1" s="1"/>
  <c r="AN190" i="1" s="1"/>
  <c r="Y190" i="1"/>
  <c r="S191" i="1"/>
  <c r="U191" i="1"/>
  <c r="AM191" i="1" s="1"/>
  <c r="AN191" i="1" s="1"/>
  <c r="Y191" i="1"/>
  <c r="AV191" i="1" s="1"/>
  <c r="S192" i="1"/>
  <c r="U192" i="1"/>
  <c r="AM192" i="1" s="1"/>
  <c r="AN192" i="1" s="1"/>
  <c r="Y192" i="1"/>
  <c r="AV192" i="1"/>
  <c r="S193" i="1"/>
  <c r="U193" i="1"/>
  <c r="AM193" i="1" s="1"/>
  <c r="Y193" i="1"/>
  <c r="AN193" i="1"/>
  <c r="AV193" i="1" s="1"/>
  <c r="AU193" i="1"/>
  <c r="S194" i="1"/>
  <c r="U194" i="1"/>
  <c r="AM194" i="1" s="1"/>
  <c r="AN194" i="1" s="1"/>
  <c r="Y194" i="1"/>
  <c r="AV194" i="1"/>
  <c r="S195" i="1"/>
  <c r="U195" i="1"/>
  <c r="AM195" i="1" s="1"/>
  <c r="AN195" i="1" s="1"/>
  <c r="Y195" i="1"/>
  <c r="S196" i="1"/>
  <c r="U196" i="1"/>
  <c r="AM196" i="1" s="1"/>
  <c r="AN196" i="1" s="1"/>
  <c r="Y196" i="1"/>
  <c r="S197" i="1"/>
  <c r="U197" i="1"/>
  <c r="AM197" i="1" s="1"/>
  <c r="AN197" i="1" s="1"/>
  <c r="Y197" i="1"/>
  <c r="AV197" i="1"/>
  <c r="S198" i="1"/>
  <c r="U198" i="1"/>
  <c r="AM198" i="1" s="1"/>
  <c r="AN198" i="1" s="1"/>
  <c r="Y198" i="1"/>
  <c r="S199" i="1"/>
  <c r="U199" i="1"/>
  <c r="AM199" i="1" s="1"/>
  <c r="AN199" i="1" s="1"/>
  <c r="Y199" i="1"/>
  <c r="S200" i="1"/>
  <c r="U200" i="1"/>
  <c r="AM200" i="1" s="1"/>
  <c r="AN200" i="1" s="1"/>
  <c r="Y200" i="1"/>
  <c r="AV200" i="1" s="1"/>
  <c r="S201" i="1"/>
  <c r="U201" i="1"/>
  <c r="AM201" i="1" s="1"/>
  <c r="AN201" i="1" s="1"/>
  <c r="Y201" i="1"/>
  <c r="AW201" i="1" s="1"/>
  <c r="S202" i="1"/>
  <c r="U202" i="1"/>
  <c r="AM202" i="1" s="1"/>
  <c r="AN202" i="1" s="1"/>
  <c r="Y202" i="1"/>
  <c r="AV202" i="1"/>
  <c r="S203" i="1"/>
  <c r="U203" i="1"/>
  <c r="AM203" i="1" s="1"/>
  <c r="Y203" i="1"/>
  <c r="AN203" i="1"/>
  <c r="AV203" i="1" s="1"/>
  <c r="AU203" i="1"/>
  <c r="S204" i="1"/>
  <c r="U204" i="1"/>
  <c r="AM204" i="1" s="1"/>
  <c r="AN204" i="1" s="1"/>
  <c r="Y204" i="1"/>
  <c r="S205" i="1"/>
  <c r="U205" i="1"/>
  <c r="AM205" i="1" s="1"/>
  <c r="AN205" i="1" s="1"/>
  <c r="Y205" i="1"/>
  <c r="AV205" i="1" s="1"/>
  <c r="S206" i="1"/>
  <c r="U206" i="1"/>
  <c r="AM206" i="1" s="1"/>
  <c r="AN206" i="1" s="1"/>
  <c r="Y206" i="1"/>
  <c r="S207" i="1"/>
  <c r="U207" i="1"/>
  <c r="AM207" i="1" s="1"/>
  <c r="AN207" i="1" s="1"/>
  <c r="Y207" i="1"/>
  <c r="S208" i="1"/>
  <c r="U208" i="1"/>
  <c r="AM208" i="1" s="1"/>
  <c r="AN208" i="1" s="1"/>
  <c r="Y208" i="1"/>
  <c r="S209" i="1"/>
  <c r="U209" i="1"/>
  <c r="AM209" i="1" s="1"/>
  <c r="Y209" i="1"/>
  <c r="AN209" i="1"/>
  <c r="AV209" i="1" s="1"/>
  <c r="S210" i="1"/>
  <c r="U210" i="1"/>
  <c r="AM210" i="1" s="1"/>
  <c r="AN210" i="1" s="1"/>
  <c r="Y210" i="1"/>
  <c r="AU178" i="1" l="1"/>
  <c r="AV178" i="1"/>
  <c r="AV101" i="1"/>
  <c r="AV52" i="1"/>
  <c r="AU33" i="1"/>
  <c r="AV76" i="1"/>
  <c r="AU27" i="1"/>
  <c r="AV67" i="1"/>
  <c r="AV107" i="1"/>
  <c r="AV176" i="1"/>
  <c r="AV38" i="1"/>
  <c r="AU75" i="1"/>
  <c r="AU54" i="1"/>
  <c r="AV127" i="1"/>
  <c r="AV158" i="1"/>
  <c r="AV87" i="1"/>
  <c r="AV210" i="1"/>
  <c r="AU13" i="1"/>
  <c r="AV175" i="1"/>
  <c r="AV82" i="1"/>
  <c r="AV170" i="1"/>
  <c r="AV199" i="1"/>
  <c r="AU128" i="1"/>
  <c r="AV195" i="1"/>
  <c r="AU42" i="1"/>
  <c r="AV163" i="1"/>
  <c r="AV207" i="1"/>
  <c r="AV189" i="1"/>
  <c r="AV147" i="1"/>
  <c r="AV18" i="1"/>
  <c r="AU18" i="1"/>
  <c r="AU157" i="1"/>
  <c r="AV157" i="1"/>
  <c r="AV150" i="1"/>
  <c r="AW206" i="1"/>
  <c r="AU206" i="1"/>
  <c r="AV206" i="1"/>
  <c r="AU196" i="1"/>
  <c r="AV196" i="1"/>
  <c r="AU43" i="1"/>
  <c r="AV168" i="1"/>
  <c r="AV162" i="1"/>
  <c r="AV132" i="1"/>
  <c r="AU101" i="1"/>
  <c r="AU89" i="1"/>
  <c r="AU38" i="1"/>
  <c r="AV23" i="1"/>
  <c r="AV28" i="1"/>
  <c r="AV190" i="1"/>
  <c r="AU138" i="1"/>
  <c r="AU82" i="1"/>
  <c r="AU59" i="1"/>
  <c r="AV33" i="1"/>
  <c r="AU88" i="1"/>
  <c r="AU76" i="1"/>
  <c r="AV43" i="1"/>
  <c r="AV173" i="1"/>
  <c r="AU100" i="1"/>
  <c r="AV48" i="1"/>
  <c r="AV204" i="1"/>
  <c r="AV166" i="1"/>
  <c r="AV137" i="1"/>
  <c r="AV112" i="1"/>
  <c r="AV81" i="1"/>
  <c r="AV53" i="1"/>
  <c r="AU58" i="1"/>
  <c r="AV37" i="1"/>
  <c r="AW26" i="1"/>
  <c r="AU183" i="1"/>
  <c r="AV172" i="1"/>
  <c r="AU105" i="1"/>
  <c r="AU99" i="1"/>
  <c r="AV42" i="1"/>
  <c r="AU63" i="1"/>
  <c r="AV47" i="1"/>
  <c r="AV117" i="1"/>
  <c r="AV92" i="1"/>
  <c r="AU68" i="1"/>
  <c r="AV57" i="1"/>
  <c r="AU123" i="1"/>
  <c r="AV46" i="1"/>
  <c r="AU85" i="1"/>
  <c r="AV62" i="1"/>
  <c r="AV51" i="1"/>
  <c r="AV181" i="1"/>
  <c r="AU134" i="1"/>
  <c r="AU109" i="1"/>
  <c r="AU103" i="1"/>
  <c r="AU97" i="1"/>
  <c r="AV91" i="1"/>
  <c r="AU67" i="1"/>
  <c r="AU152" i="1"/>
  <c r="AV122" i="1"/>
  <c r="AU90" i="1"/>
  <c r="AU78" i="1"/>
  <c r="AV72" i="1"/>
  <c r="AU55" i="1"/>
  <c r="AU23" i="1"/>
  <c r="AV8" i="1"/>
  <c r="AW196" i="1"/>
  <c r="AV102" i="1"/>
  <c r="AV96" i="1"/>
  <c r="AU28" i="1"/>
  <c r="AV13" i="1"/>
  <c r="AU188" i="1"/>
  <c r="AV188" i="1"/>
  <c r="AU208" i="1"/>
  <c r="AV208" i="1"/>
  <c r="AW198" i="1"/>
  <c r="AU161" i="1"/>
  <c r="AW161" i="1"/>
  <c r="AU156" i="1"/>
  <c r="AW156" i="1"/>
  <c r="AU145" i="1"/>
  <c r="AV145" i="1"/>
  <c r="AW145" i="1"/>
  <c r="AU114" i="1"/>
  <c r="AU83" i="1"/>
  <c r="AU202" i="1"/>
  <c r="AW202" i="1"/>
  <c r="AU184" i="1"/>
  <c r="AW184" i="1"/>
  <c r="AU175" i="1"/>
  <c r="AW175" i="1"/>
  <c r="AU107" i="1"/>
  <c r="AU77" i="1"/>
  <c r="AU170" i="1"/>
  <c r="AW170" i="1"/>
  <c r="AU95" i="1"/>
  <c r="AU65" i="1"/>
  <c r="AU7" i="1"/>
  <c r="AV7" i="1"/>
  <c r="AW7" i="1"/>
  <c r="AU210" i="1"/>
  <c r="AW210" i="1"/>
  <c r="AW193" i="1"/>
  <c r="AU179" i="1"/>
  <c r="AW179" i="1"/>
  <c r="AU165" i="1"/>
  <c r="AW165" i="1"/>
  <c r="AU113" i="1"/>
  <c r="AU12" i="1"/>
  <c r="AV12" i="1"/>
  <c r="AW12" i="1"/>
  <c r="AV201" i="1"/>
  <c r="AU197" i="1"/>
  <c r="AW197" i="1"/>
  <c r="AU160" i="1"/>
  <c r="AW160" i="1"/>
  <c r="AU155" i="1"/>
  <c r="AW155" i="1"/>
  <c r="AU150" i="1"/>
  <c r="AW150" i="1"/>
  <c r="AU106" i="1"/>
  <c r="AU70" i="1"/>
  <c r="AU22" i="1"/>
  <c r="AU17" i="1"/>
  <c r="AV17" i="1"/>
  <c r="AW17" i="1"/>
  <c r="AW6" i="1"/>
  <c r="AU201" i="1"/>
  <c r="AW188" i="1"/>
  <c r="AU174" i="1"/>
  <c r="AW174" i="1"/>
  <c r="AU131" i="1"/>
  <c r="AU125" i="1"/>
  <c r="AU119" i="1"/>
  <c r="AU64" i="1"/>
  <c r="AV22" i="1"/>
  <c r="AW22" i="1"/>
  <c r="AW11" i="1"/>
  <c r="AU6" i="1"/>
  <c r="AV6" i="1"/>
  <c r="AU169" i="1"/>
  <c r="AW169" i="1"/>
  <c r="AU112" i="1"/>
  <c r="AU81" i="1"/>
  <c r="AV27" i="1"/>
  <c r="AW27" i="1"/>
  <c r="AU11" i="1"/>
  <c r="AV11" i="1"/>
  <c r="AU205" i="1"/>
  <c r="AW205" i="1"/>
  <c r="AU192" i="1"/>
  <c r="AW192" i="1"/>
  <c r="AW183" i="1"/>
  <c r="AU164" i="1"/>
  <c r="AW164" i="1"/>
  <c r="AU159" i="1"/>
  <c r="AV159" i="1"/>
  <c r="AW159" i="1"/>
  <c r="AU154" i="1"/>
  <c r="AU87" i="1"/>
  <c r="AU69" i="1"/>
  <c r="AV32" i="1"/>
  <c r="AW32" i="1"/>
  <c r="AW21" i="1"/>
  <c r="AU16" i="1"/>
  <c r="AV16" i="1"/>
  <c r="AU209" i="1"/>
  <c r="AW209" i="1"/>
  <c r="AU130" i="1"/>
  <c r="AU124" i="1"/>
  <c r="AU118" i="1"/>
  <c r="AU21" i="1"/>
  <c r="AV21" i="1"/>
  <c r="AU5" i="1"/>
  <c r="AU187" i="1"/>
  <c r="AW187" i="1"/>
  <c r="AW178" i="1"/>
  <c r="AU26" i="1"/>
  <c r="AV26" i="1"/>
  <c r="AU10" i="1"/>
  <c r="AU200" i="1"/>
  <c r="AW200" i="1"/>
  <c r="AU173" i="1"/>
  <c r="AW173" i="1"/>
  <c r="AU148" i="1"/>
  <c r="AU142" i="1"/>
  <c r="AU86" i="1"/>
  <c r="AU80" i="1"/>
  <c r="AU52" i="1"/>
  <c r="AW36" i="1"/>
  <c r="AU31" i="1"/>
  <c r="AV31" i="1"/>
  <c r="AU15" i="1"/>
  <c r="AU204" i="1"/>
  <c r="AW204" i="1"/>
  <c r="AU191" i="1"/>
  <c r="AW191" i="1"/>
  <c r="AU182" i="1"/>
  <c r="AW182" i="1"/>
  <c r="AU168" i="1"/>
  <c r="AW168" i="1"/>
  <c r="AU153" i="1"/>
  <c r="AW153" i="1"/>
  <c r="AU129" i="1"/>
  <c r="AU117" i="1"/>
  <c r="AU74" i="1"/>
  <c r="AU36" i="1"/>
  <c r="AV36" i="1"/>
  <c r="AU20" i="1"/>
  <c r="AU4" i="1"/>
  <c r="AU163" i="1"/>
  <c r="AW163" i="1"/>
  <c r="AU158" i="1"/>
  <c r="AW158" i="1"/>
  <c r="AU135" i="1"/>
  <c r="AV135" i="1"/>
  <c r="AW135" i="1"/>
  <c r="AU110" i="1"/>
  <c r="AU104" i="1"/>
  <c r="AU98" i="1"/>
  <c r="AU46" i="1"/>
  <c r="AU41" i="1"/>
  <c r="AV41" i="1"/>
  <c r="AU25" i="1"/>
  <c r="AU9" i="1"/>
  <c r="AU195" i="1"/>
  <c r="AW195" i="1"/>
  <c r="AU186" i="1"/>
  <c r="AW186" i="1"/>
  <c r="AU177" i="1"/>
  <c r="AW177" i="1"/>
  <c r="AU79" i="1"/>
  <c r="AU62" i="1"/>
  <c r="AU30" i="1"/>
  <c r="AW208" i="1"/>
  <c r="AU199" i="1"/>
  <c r="AW199" i="1"/>
  <c r="AU172" i="1"/>
  <c r="AW172" i="1"/>
  <c r="AU147" i="1"/>
  <c r="AU116" i="1"/>
  <c r="AU35" i="1"/>
  <c r="AU19" i="1"/>
  <c r="AU190" i="1"/>
  <c r="AW190" i="1"/>
  <c r="AU181" i="1"/>
  <c r="AW181" i="1"/>
  <c r="AU167" i="1"/>
  <c r="AW167" i="1"/>
  <c r="AU40" i="1"/>
  <c r="AU3" i="1"/>
  <c r="AV3" i="1"/>
  <c r="AW3" i="1"/>
  <c r="AU140" i="1"/>
  <c r="AV140" i="1"/>
  <c r="AW140" i="1"/>
  <c r="AU45" i="1"/>
  <c r="AW203" i="1"/>
  <c r="AV198" i="1"/>
  <c r="AU194" i="1"/>
  <c r="AW194" i="1"/>
  <c r="AU185" i="1"/>
  <c r="AW185" i="1"/>
  <c r="AU176" i="1"/>
  <c r="AW176" i="1"/>
  <c r="AU146" i="1"/>
  <c r="AU115" i="1"/>
  <c r="AU84" i="1"/>
  <c r="AU72" i="1"/>
  <c r="AU50" i="1"/>
  <c r="AU34" i="1"/>
  <c r="AU207" i="1"/>
  <c r="AW207" i="1"/>
  <c r="AU198" i="1"/>
  <c r="AU171" i="1"/>
  <c r="AW171" i="1"/>
  <c r="AU151" i="1"/>
  <c r="AU133" i="1"/>
  <c r="AU108" i="1"/>
  <c r="AU102" i="1"/>
  <c r="AU96" i="1"/>
  <c r="AU66" i="1"/>
  <c r="AU39" i="1"/>
  <c r="AU2" i="1"/>
  <c r="AV2" i="1"/>
  <c r="AW2" i="1"/>
  <c r="AU189" i="1"/>
  <c r="AW189" i="1"/>
  <c r="AU180" i="1"/>
  <c r="AW180" i="1"/>
  <c r="AU166" i="1"/>
  <c r="AW166" i="1"/>
  <c r="AV161" i="1"/>
  <c r="AV156" i="1"/>
  <c r="AU139" i="1"/>
  <c r="AU127" i="1"/>
  <c r="AU121" i="1"/>
  <c r="AU44" i="1"/>
  <c r="AW151" i="1"/>
  <c r="AW146" i="1"/>
  <c r="AW141" i="1"/>
  <c r="AW136" i="1"/>
  <c r="AW131" i="1"/>
  <c r="AW126" i="1"/>
  <c r="AW121" i="1"/>
  <c r="AW116" i="1"/>
  <c r="AW111" i="1"/>
  <c r="AW106" i="1"/>
  <c r="AW101" i="1"/>
  <c r="AW96" i="1"/>
  <c r="AW91" i="1"/>
  <c r="AW86" i="1"/>
  <c r="AW81" i="1"/>
  <c r="AW76" i="1"/>
  <c r="AW71" i="1"/>
  <c r="AW66" i="1"/>
  <c r="AW61" i="1"/>
  <c r="AW56" i="1"/>
  <c r="AW51" i="1"/>
  <c r="AW46" i="1"/>
  <c r="AV151" i="1"/>
  <c r="AV146" i="1"/>
  <c r="AV141" i="1"/>
  <c r="AV136" i="1"/>
  <c r="AV131" i="1"/>
  <c r="AV126" i="1"/>
  <c r="AV121" i="1"/>
  <c r="AV116" i="1"/>
  <c r="AV111" i="1"/>
  <c r="AV106" i="1"/>
  <c r="AV71" i="1"/>
  <c r="AV66" i="1"/>
  <c r="AV61" i="1"/>
  <c r="AV56" i="1"/>
  <c r="AW148" i="1"/>
  <c r="AW143"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V148" i="1"/>
  <c r="AV143" i="1"/>
  <c r="AV138" i="1"/>
  <c r="AV133" i="1"/>
  <c r="AV128" i="1"/>
  <c r="AV123" i="1"/>
  <c r="AV118" i="1"/>
  <c r="AV113" i="1"/>
  <c r="AV108" i="1"/>
  <c r="AV103" i="1"/>
  <c r="AV98" i="1"/>
  <c r="AV93" i="1"/>
  <c r="AV88" i="1"/>
  <c r="AV83" i="1"/>
  <c r="AV78" i="1"/>
  <c r="AV73" i="1"/>
  <c r="AV68" i="1"/>
  <c r="AV63" i="1"/>
  <c r="AV58"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W5" i="1"/>
  <c r="AV130" i="1"/>
  <c r="AV125" i="1"/>
  <c r="AV120" i="1"/>
  <c r="AV115" i="1"/>
  <c r="AV110" i="1"/>
  <c r="AV105" i="1"/>
  <c r="AV100" i="1"/>
  <c r="AV95" i="1"/>
  <c r="AV90" i="1"/>
  <c r="AV85" i="1"/>
  <c r="AV80" i="1"/>
  <c r="AV75" i="1"/>
  <c r="AV70" i="1"/>
  <c r="AV65" i="1"/>
  <c r="AV60" i="1"/>
  <c r="AV55" i="1"/>
  <c r="AV50" i="1"/>
  <c r="AV45" i="1"/>
  <c r="AV40" i="1"/>
  <c r="AV35" i="1"/>
  <c r="AV30" i="1"/>
  <c r="AV25" i="1"/>
  <c r="AV20" i="1"/>
  <c r="AV15" i="1"/>
  <c r="AV10" i="1"/>
  <c r="AV5"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154"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5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<sst xmlns="http://schemas.openxmlformats.org/spreadsheetml/2006/main" count="3776" uniqueCount="2395">
  <si>
    <t>undefined</t>
  </si>
  <si>
    <t>Journal</t>
  </si>
  <si>
    <t>Article</t>
  </si>
  <si>
    <t>ar</t>
  </si>
  <si>
    <t>Germany</t>
  </si>
  <si>
    <t>n</t>
  </si>
  <si>
    <t>United States</t>
  </si>
  <si>
    <t>Berkeley</t>
  </si>
  <si>
    <t>University of California, Berkeley</t>
  </si>
  <si>
    <t>Lin C.</t>
  </si>
  <si>
    <t>United Kingdom</t>
  </si>
  <si>
    <t>London</t>
  </si>
  <si>
    <t>United States;United States</t>
  </si>
  <si>
    <t>Sweden</t>
  </si>
  <si>
    <t>60005455;60005455</t>
  </si>
  <si>
    <t>New Haven</t>
  </si>
  <si>
    <t>Yale University</t>
  </si>
  <si>
    <t>Finland</t>
  </si>
  <si>
    <t>125-131</t>
  </si>
  <si>
    <t>Munich</t>
  </si>
  <si>
    <t>France</t>
  </si>
  <si>
    <t>Canada;Canada</t>
  </si>
  <si>
    <t>Boulder</t>
  </si>
  <si>
    <t>Netherlands</t>
  </si>
  <si>
    <t>Australia;Australia</t>
  </si>
  <si>
    <t>IEEE Antennas and Propagation Magazine</t>
  </si>
  <si>
    <t>Japan</t>
  </si>
  <si>
    <t>Tokyo</t>
  </si>
  <si>
    <t>Photosynthesis Research</t>
  </si>
  <si>
    <t>60030318;60030318;60030318</t>
  </si>
  <si>
    <t>Italy</t>
  </si>
  <si>
    <t>Milan</t>
  </si>
  <si>
    <t>Universit√† degli Studi di Milano</t>
  </si>
  <si>
    <t>Jennings R.</t>
  </si>
  <si>
    <t>Pasadena</t>
  </si>
  <si>
    <t>Jet Propulsion Laboratory</t>
  </si>
  <si>
    <t>60020547;60020547</t>
  </si>
  <si>
    <t>College Station</t>
  </si>
  <si>
    <t>Texas A&amp;M University</t>
  </si>
  <si>
    <t>Australia</t>
  </si>
  <si>
    <t>Sydney</t>
  </si>
  <si>
    <t>Deutsche Forschungsgemeinschaft</t>
  </si>
  <si>
    <t>DFG</t>
  </si>
  <si>
    <t>Germany;Germany</t>
  </si>
  <si>
    <t>National Science Foundation</t>
  </si>
  <si>
    <t>NSF</t>
  </si>
  <si>
    <t>Ames</t>
  </si>
  <si>
    <t>Ames Laboratory</t>
  </si>
  <si>
    <t>Electronics Letters</t>
  </si>
  <si>
    <t>Microwave and Optical Technology Letters</t>
  </si>
  <si>
    <t>Soviet journal of communications technology &amp; electronics</t>
  </si>
  <si>
    <t>;</t>
  </si>
  <si>
    <t>Fal'kovich I.</t>
  </si>
  <si>
    <t>IEEE Transactions on Geoscience and Remote Sensing</t>
  </si>
  <si>
    <t>;;</t>
  </si>
  <si>
    <t>Applied Computational Electromagnetics Society Journal</t>
  </si>
  <si>
    <t>Cambridge</t>
  </si>
  <si>
    <t>Massachusetts Institute of Technology</t>
  </si>
  <si>
    <t>117-123</t>
  </si>
  <si>
    <t>Japan;Japan</t>
  </si>
  <si>
    <t>National Institute of General Medical Sciences</t>
  </si>
  <si>
    <t>NIGMS</t>
  </si>
  <si>
    <t>60012708;60012708;60012708</t>
  </si>
  <si>
    <t>7004295537;57206343433;35473804100</t>
  </si>
  <si>
    <t>Gottfried, David S.;Steffen, Martin A.;Boxer, Steven G.</t>
  </si>
  <si>
    <t>Palo Alto</t>
  </si>
  <si>
    <t>Stanford University</t>
  </si>
  <si>
    <t>Gottfried D.</t>
  </si>
  <si>
    <t>Nederlandse Organisatie voor Wetenschappelijk Onderzoek</t>
  </si>
  <si>
    <t>NWO</t>
  </si>
  <si>
    <t>Leiden</t>
  </si>
  <si>
    <t>Paris</t>
  </si>
  <si>
    <t>CNRS Centre National de la Recherche Scientifique</t>
  </si>
  <si>
    <t>National Cancer Institute</t>
  </si>
  <si>
    <t>NCI</t>
  </si>
  <si>
    <t>United States;United States;United States</t>
  </si>
  <si>
    <t>Emory Eye Center</t>
  </si>
  <si>
    <t>EEC</t>
  </si>
  <si>
    <t>India</t>
  </si>
  <si>
    <t>Rome</t>
  </si>
  <si>
    <t>Los Angeles</t>
  </si>
  <si>
    <t>University of California, Los Angeles</t>
  </si>
  <si>
    <t>Canberra</t>
  </si>
  <si>
    <t>China</t>
  </si>
  <si>
    <t>Beijing</t>
  </si>
  <si>
    <t>C</t>
  </si>
  <si>
    <t>;;;</t>
  </si>
  <si>
    <t>60031828;60031828;60031828;60031828</t>
  </si>
  <si>
    <t>Canada</t>
  </si>
  <si>
    <t>Hamilton</t>
  </si>
  <si>
    <t>McMaster University</t>
  </si>
  <si>
    <t>104-107</t>
  </si>
  <si>
    <t>Berlin</t>
  </si>
  <si>
    <t>Chengdu</t>
  </si>
  <si>
    <t>University of Electronic Science and Technology of China</t>
  </si>
  <si>
    <t>Italy;Italy</t>
  </si>
  <si>
    <t>Telecommunications and Radio Engineering (English translation of Elektrosvyaz and Radiotekhnika)</t>
  </si>
  <si>
    <t>110-112</t>
  </si>
  <si>
    <t>113-115</t>
  </si>
  <si>
    <t>Switzerland</t>
  </si>
  <si>
    <t>FEBS Letters</t>
  </si>
  <si>
    <t>60009037;60009037</t>
  </si>
  <si>
    <t>Baltimore</t>
  </si>
  <si>
    <t>Johns Hopkins University</t>
  </si>
  <si>
    <t>Proceedings of the National Academy of Sciences of the United States of America</t>
  </si>
  <si>
    <t>Taiwan</t>
  </si>
  <si>
    <t>San Francisco</t>
  </si>
  <si>
    <t>University of California, San Francisco</t>
  </si>
  <si>
    <t>Washington, D.C.</t>
  </si>
  <si>
    <t>Wu C.</t>
  </si>
  <si>
    <t>Murray</t>
  </si>
  <si>
    <t>Nokia Bell Labs</t>
  </si>
  <si>
    <t>19-22</t>
  </si>
  <si>
    <t>Hong Kong</t>
  </si>
  <si>
    <t>Natural Sciences and Engineering Research Council of Canada</t>
  </si>
  <si>
    <t>NSERC</t>
  </si>
  <si>
    <t>60103653;60103653;60103653</t>
  </si>
  <si>
    <t>Espoo</t>
  </si>
  <si>
    <t>Aalto University</t>
  </si>
  <si>
    <t>Lehto A.</t>
  </si>
  <si>
    <t>Nippon Telegraph and Telephone Corporation</t>
  </si>
  <si>
    <t>30-32</t>
  </si>
  <si>
    <t>Sendai</t>
  </si>
  <si>
    <t>Tohoku University</t>
  </si>
  <si>
    <t>Fukuoka</t>
  </si>
  <si>
    <t>Fukuoka University</t>
  </si>
  <si>
    <t>60007776;60007776</t>
  </si>
  <si>
    <t>Ithaca</t>
  </si>
  <si>
    <t>Cornell University</t>
  </si>
  <si>
    <t>Rennes</t>
  </si>
  <si>
    <t>Universite de Rennes 1</t>
  </si>
  <si>
    <t>Belgium</t>
  </si>
  <si>
    <t>The University of Sydney</t>
  </si>
  <si>
    <t>California Institute of Technology</t>
  </si>
  <si>
    <t>7005545716;7003998197</t>
  </si>
  <si>
    <t>Vandenbosch G.</t>
  </si>
  <si>
    <t>;;;;;</t>
  </si>
  <si>
    <t>60023053;60023053;60023053</t>
  </si>
  <si>
    <t>Gaithersburg</t>
  </si>
  <si>
    <t>National Institute of Standards and Technology</t>
  </si>
  <si>
    <t>Bhattacharyya A.K.</t>
  </si>
  <si>
    <t>Swindon</t>
  </si>
  <si>
    <t>Defence College of Management and Technology</t>
  </si>
  <si>
    <t>Airbus Group SE</t>
  </si>
  <si>
    <t>Liverpool</t>
  </si>
  <si>
    <t>University of Liverpool</t>
  </si>
  <si>
    <t>Eindhoven</t>
  </si>
  <si>
    <t>Technische Universiteit Eindhoven</t>
  </si>
  <si>
    <t>Ottawa</t>
  </si>
  <si>
    <t>60031828;60031828</t>
  </si>
  <si>
    <t>559-562</t>
  </si>
  <si>
    <t>Israel</t>
  </si>
  <si>
    <t>New York</t>
  </si>
  <si>
    <t>222-224</t>
  </si>
  <si>
    <t>Los Angeles;Austin</t>
  </si>
  <si>
    <t>97-104</t>
  </si>
  <si>
    <t>60021902;60021902</t>
  </si>
  <si>
    <t>South Africa</t>
  </si>
  <si>
    <t>Pretoria</t>
  </si>
  <si>
    <t>University of Pretoria</t>
  </si>
  <si>
    <t>60022195;60022195;60022195;60022195;60022195;60022195</t>
  </si>
  <si>
    <t>Tokyo;Tokyo</t>
  </si>
  <si>
    <t>The University of Tokyo</t>
  </si>
  <si>
    <t>60009037;60009037;60009037;60009037</t>
  </si>
  <si>
    <t>60026415;60026415</t>
  </si>
  <si>
    <t>Stony Brook</t>
  </si>
  <si>
    <t>Stony Brook University</t>
  </si>
  <si>
    <t>China;China</t>
  </si>
  <si>
    <t>Farnborough</t>
  </si>
  <si>
    <t>BAE Systems plc</t>
  </si>
  <si>
    <t>Lin S.</t>
  </si>
  <si>
    <t>San Diego</t>
  </si>
  <si>
    <t>Li J.</t>
  </si>
  <si>
    <t>Nanjing</t>
  </si>
  <si>
    <t>60022195;60022195;60022195</t>
  </si>
  <si>
    <t>73-81</t>
  </si>
  <si>
    <t>Denmark</t>
  </si>
  <si>
    <t>60028186;60028186;60028186</t>
  </si>
  <si>
    <t>Lausanne</t>
  </si>
  <si>
    <t>Swiss Federal Institute of Technology Lausanne</t>
  </si>
  <si>
    <t>Blacksburg</t>
  </si>
  <si>
    <t>Virginia Polytechnic Institute and State University</t>
  </si>
  <si>
    <t>Lin, C. C.</t>
  </si>
  <si>
    <t>Zebker H.A.</t>
  </si>
  <si>
    <t>60003892;60003892</t>
  </si>
  <si>
    <t>Tempe</t>
  </si>
  <si>
    <t>Arizona State University</t>
  </si>
  <si>
    <t>Southwest Jiaotong University</t>
  </si>
  <si>
    <t>IEEE Transactions on Communications</t>
  </si>
  <si>
    <t>Canada;Canada;Canada</t>
  </si>
  <si>
    <t>Yorktown Heights</t>
  </si>
  <si>
    <t>IBM Thomas J. Watson Research Center</t>
  </si>
  <si>
    <t>New Brunswick</t>
  </si>
  <si>
    <t>Rutgers University‚ÄìNew Brunswick</t>
  </si>
  <si>
    <t>Switzerland;United States</t>
  </si>
  <si>
    <t>Planta</t>
  </si>
  <si>
    <t>Journal of Electronics (China)</t>
  </si>
  <si>
    <t>Plant and Cell Physiology</t>
  </si>
  <si>
    <t>Buckreuss, Stefan</t>
  </si>
  <si>
    <t>¬†Cologne</t>
  </si>
  <si>
    <t>Deutsches Zentrum fur Luft- Und Raumfahrt</t>
  </si>
  <si>
    <t>Buckreuss S.</t>
  </si>
  <si>
    <t>Motion errors in an airborne synthetic aperture radar system</t>
  </si>
  <si>
    <t>['used profitably', 'total reflections', 'theoretical analysis', 'radio channel', 'paper goes', 'paper deals', 'long routes', 'link performance', 'hop quality', 'experimental data', 'basic components', 'antenna characteristics']</t>
  </si>
  <si>
    <t>Coraiola, Alessandro</t>
  </si>
  <si>
    <t>Sirti S.p.A.</t>
  </si>
  <si>
    <t>Coraiola A.</t>
  </si>
  <si>
    <t>Mulheim an der Ruhr</t>
  </si>
  <si>
    <t>Max Planck Institute for Chemical Energy Conversion</t>
  </si>
  <si>
    <t>Monthly Notices of the Royal Astronomical Society</t>
  </si>
  <si>
    <t>Physics Letters A</t>
  </si>
  <si>
    <t>EFDA-JET</t>
  </si>
  <si>
    <t>Antennas</t>
  </si>
  <si>
    <t>Antennas | Reflector antennas</t>
  </si>
  <si>
    <t>Marine Biology</t>
  </si>
  <si>
    <t>117-120</t>
  </si>
  <si>
    <t>106-110</t>
  </si>
  <si>
    <t>Measurement Techniques</t>
  </si>
  <si>
    <t>Tokatly V.</t>
  </si>
  <si>
    <t>Radiophysics and Quantum Electronics</t>
  </si>
  <si>
    <t>1559128X</t>
  </si>
  <si>
    <t>Applied Optics</t>
  </si>
  <si>
    <t>Antenna arrays | Antennas</t>
  </si>
  <si>
    <t>Kowloon</t>
  </si>
  <si>
    <t>60030553;60030553</t>
  </si>
  <si>
    <t>Astone P.</t>
  </si>
  <si>
    <t>Neotropical Ornithological Society</t>
  </si>
  <si>
    <t>NOS</t>
  </si>
  <si>
    <t>BBA - Bioenergetics</t>
  </si>
  <si>
    <t>Journal of Biological Chemistry</t>
  </si>
  <si>
    <t>AEU. Archiv fur Elektronik und Ubertragungstechnik</t>
  </si>
  <si>
    <t>Microwaves &amp; RF</t>
  </si>
  <si>
    <t>International Journal of Infrared and Millimeter Waves</t>
  </si>
  <si>
    <t>60031581;60031581</t>
  </si>
  <si>
    <t>Annales Des T√©l√©communications</t>
  </si>
  <si>
    <t>Gorban, I. I.</t>
  </si>
  <si>
    <t>Gorban I.</t>
  </si>
  <si>
    <t>COMSAT Technical Review</t>
  </si>
  <si>
    <t>6602516364;12243765400</t>
  </si>
  <si>
    <t>Nezlin, D. V.;Dzhigan, V. I.</t>
  </si>
  <si>
    <t>Nezlin D.</t>
  </si>
  <si>
    <t>1432234X</t>
  </si>
  <si>
    <t>0720213X</t>
  </si>
  <si>
    <t>Zoomorphology</t>
  </si>
  <si>
    <t>Test &amp; measurement world</t>
  </si>
  <si>
    <t>102-104</t>
  </si>
  <si>
    <t>Sterrewacht Leiden</t>
  </si>
  <si>
    <t>Nanjing University of Aeronautics and Astronautics</t>
  </si>
  <si>
    <t>57190390552;7101764513</t>
  </si>
  <si>
    <t>Drosopoulos, A.;Haykin, S.</t>
  </si>
  <si>
    <t>Drosopoulos A.</t>
  </si>
  <si>
    <t>Biochemistry</t>
  </si>
  <si>
    <t>Netherlands;United States</t>
  </si>
  <si>
    <t>Amsterdam;Evanston</t>
  </si>
  <si>
    <t>Vrije Universiteit Amsterdam;Northwestern University</t>
  </si>
  <si>
    <t>60008734;60007363</t>
  </si>
  <si>
    <t>Tsukuba;Sendai</t>
  </si>
  <si>
    <t>98-100</t>
  </si>
  <si>
    <t>0004637X</t>
  </si>
  <si>
    <t>Astrophysical Journal</t>
  </si>
  <si>
    <t>Antennas | Dielectrics and dielectric devices | Microstrip</t>
  </si>
  <si>
    <t>['unstacked thylakoids', 'section measurements', 'sample scattering', 'properly correct', 'preparation contains', 'photosynthetic unit', 'permits determination', 'pea thylakoids', 'p700 ).', 'oxidation measurements', 'limitations associated', 'kinetic model', 'heterogeneous absorbers', 'functionally coupled', 'functional size', 'first tested', 'clearly indicate', 'broad distribution', 'antenna sizes', 'also discussed', 'absorption cross', 'a4d contains', '200 chlorophyll']</t>
  </si>
  <si>
    <t>absorption cross-section | antenna size | cation effects | P700 | photosynthetic unit size | photosystem I</t>
  </si>
  <si>
    <t>A procedure is described which permits determination of the absolute absorption cross-section of a photosynthetic unit from the kinetics of reaction center photo-oxidation under weak, continuous actinic illumination. The method was first tested on a simple model compound of known absorption cross-section. We then applied the technique to absorption cross-section and functional antenna size measurements in photosystem I (PS I). A kinetic model is presented that can be used to fit P700 photo-oxidation measurements and extract the effective photochemical rate constant. The procedure is shown to properly correct for sample scattering and for the presence of heterogeneous absorbers (pigments not functionally coupled to P700). The relevance of these corrections to comparisons of antenna size using techniques that measure 'relative' absorption cross-sections is discussed. Measurements on pea thylakoids in the presence and absence of 5 mM MgCl2 show a 45% increase in PS I absorption cross-section in unstacked thylakoids. Analysis of detergent-isolated 'native' PS I preparations (200 chlorophyll a+b/P700) clearly indicate that the preparation contains a broad distribution of antenna sizes. Finally, we confirm that Chlamydomonas reinhardtii strain LM3-A4d contains a PS I core antenna complex which binds only ‚àº60 chlorophyll a/P700, about half the functional size of the wild type complex. Limitations associated with calculation of functional antenna size from cross-section measurements are also discussed. ¬© 1991 Kluwer Academic Publishers.</t>
  </si>
  <si>
    <t>23-35</t>
  </si>
  <si>
    <t>6701713249;57213437301</t>
  </si>
  <si>
    <t>Zipfel, Warren;Owens, Thomas G.</t>
  </si>
  <si>
    <t>Zipfel W.</t>
  </si>
  <si>
    <t>Calculation of absolute photosystem I absorption cross-sections from P700 photo-oxidation kinetics</t>
  </si>
  <si>
    <t>10.1007/BF00035203</t>
  </si>
  <si>
    <t>2-s2.0-0006710261</t>
  </si>
  <si>
    <t>['œºs decay', '¬© 1991', '¬ ω', 'wide signal', 'via pheophytin', 'various durations', 'variable chlorophyll', 'tentatively attributed', 'subsequent darkness', 'rights reserved', 'rapid appearance', 'psii components', 'photoinhioition caused', 'photoinhibition effects', 'photoinhibited membranes', 'pheo ),', 'p680 +,', 'o2 evolution', 'light photoinhibition', 'j .,', 'gave evidence', 'fluorescence yield', 'exogenous reductants', 'epr spectra', 'electron transport', 'discernible decoupling', 'damage responsible', 'charge separation', 'biochemistry 29', 'antenna chlorophyll', 'additional 10', '8 min', '5118 ].', '2 region']</t>
  </si>
  <si>
    <t>Electron paramagnetic resonance (EPR) analyses (g = 2 region) and optical spectrophotometric analyses of P680+ were made of NH2OH-extracted photosystem II (PSII) membranes after various durations of weak-light photoinhibition, in order to identify the sites of damage responsible for the observed kinetic components of the loss of electron transport [Blubaugh, D. J., &amp; Cheniae, G. M. (1990) Biochemistry 29, 5109-5118]. The EPR spectra, recorded in the presence of K3Fe(CN)6, gave evidence for rapid (t1/2 = 2‚Äì3 min) and slow (t1/2 = 3‚Äì4 h) losses of formation of the tyrosyl radicals Yz+ and YD+, respectively, and the rapid appearance (t1/2 = 0.8 min) of a 12-G-wide signal, centered at g = 2.004, which persisted at 4 ¬∞C in subsequent darkness in rather constant abundance (√ß¬Ω spin Per PSII). This latter EPR signal is correlated with quenching of the variable chlorophyll a fluorescence yield and is tentatively attributed to a carotenoid (Car) cation. Exogenous reductants (NH2OH ‚â• NH2NH2 &gt; DPC ‚â´ Mn2+) were observed to reduce the quencher, but did not reverse other photoinhibition effects. An additional 10-G-wide signal, tentatively attributed to a chlorophyll (Chl) cation, is observed during illumination of photoinhibited membranes and rapidly decays following illumination. The amplitude of formation of the oxidized primary electron donor, P680+, was unaffected throughout 120 min of photoinhibition, indicating no impairment of charge separation from P680, via pheophytin (Pheo), to the first stable electron acceptor, QA. However, a 4-Œºs decay of P680+, reflecting Yz ‚Üí P680+, was rapidly (t¬Ω = 0.8 min) replaced by an 80‚Äì140-Œºs decay, presumably reflecting QA‚àí/P680+ back-reaction. Photoinhioition caused no discernible decoupling of the antenna chlorophyll from the reaction center complex. We conclude that the order of susceptibility of PSII components to photodamage when O2 evolution is impaired is Chl/Car &gt; Yz &gt; YD ‚â´ P680, Pheo, QA. ¬© 1991, American Chemical Society. All rights reserved.</t>
  </si>
  <si>
    <t>7586-7597</t>
  </si>
  <si>
    <t>60031706;60031707;60031707;60031707;60015941</t>
  </si>
  <si>
    <t>15133914600;57214055587;7102715172;7006150149;6602195431</t>
  </si>
  <si>
    <t>Blubaugh, Danny J.;Atamian, Mike;Babcock, Gerald T.;Golbeck, John H.;Cheniae, George M.</t>
  </si>
  <si>
    <t>East Lansing;Logan;Lexington</t>
  </si>
  <si>
    <t>Michigan State University;Utah State University;University of Kentucky</t>
  </si>
  <si>
    <t>60031707;60031706;60015941</t>
  </si>
  <si>
    <t>Blubaugh D.</t>
  </si>
  <si>
    <t>Photoinhibition of Hydroxylamine-Extracted Photosystem II Membranes: Identification of the Sites of Photodamage</t>
  </si>
  <si>
    <t>10.1021/bi00244a030</t>
  </si>
  <si>
    <t>2-s2.0-0025748045</t>
  </si>
  <si>
    <t>['two pairs', 'reserpine reduced', 'polyclonal antibody', 'oesophageal wall', 'nervous system', 'mainly arranged', 'longitudinal axis', 'fluorescent neurons', 'dopamine prior', 'complex suggest', 'complex catecholaminergic', 'ca perikarya', 'body appendages', 'also intensified', '50 ca']</t>
  </si>
  <si>
    <t>Catecholamines | Glyoxylic acid fluorescence | Immunohistochemistry | Nervous system | Nervous system, peripheral | Ophryotrocha puerilis (Annelida)</t>
  </si>
  <si>
    <t>The complex catecholaminergic (CA) nervous system of the polychaete Ophryotrocha puerilis is documented using glyoxylic acid induced fluorescence (GIF) and immunohistochemistry. CA-neurons are found both in the central and peripheral nervous system. In the brain, about 50 CA-neurons are present in the perikaryal layer together with numerous CA fibres. Two pairs of CA perikarya are characteristic for each ganglion of the ventral nerve cord. CA-neurites in the ventral nerve cord are mainly arranged in 4 strands paralleling the longitudinal axis of the worm. Fluorescent neurons with receptive ciliary structures are present in body appendages (antennae, palps, urites, parapodial cirri), in the body-wall, and within the oesophageal wall. Furthermore, a subepidermal nerve net of free CA nerve endings has been found. After incubation of specimens with dopamine prior to the development of GIF more fluorescent perikarya could be observed; the fluorescence was also intensified. Pre-incubation with reserpine reduced the intensity of GIF. Results of high pressure liquid chromatography and immunostaining with a polyclonal antibody against a dopamine-glutaraldehyde-complex suggest that dopamine is the major CA transmitter. It is thought that dopaminergic neurons together with ciliary receptive structures act as mechano- and/or chemoreceptors. ¬© 1991 Springer-Verlag.</t>
  </si>
  <si>
    <t>175-184</t>
  </si>
  <si>
    <t>0302766X</t>
  </si>
  <si>
    <t>Cell and Tissue Research</t>
  </si>
  <si>
    <t>60030718;60030718;60030718;60030718</t>
  </si>
  <si>
    <t>6506790148;6604097396;55477396400;7003798153</t>
  </si>
  <si>
    <t>Schlawny, A.;Hamann, T.;M√ºller, M. A.;Pfannenstiel, H. D.</t>
  </si>
  <si>
    <t>Freie Universit√§t Berlin</t>
  </si>
  <si>
    <t>Schlawny A.</t>
  </si>
  <si>
    <t>The catecholaminergic system of an annelid (Ophryotrocha puerilis, Polychaeta)</t>
  </si>
  <si>
    <t>10.1007/BF00318152</t>
  </si>
  <si>
    <t>2-s2.0-0025894694</t>
  </si>
  <si>
    <t>['radiation parameters', 'phasing antennas', 'mobile object', 'coherent communications']</t>
  </si>
  <si>
    <t>A method of investigating the radiation parameters of self-phasing antennas for coherent communications with a mobile object is proposed and sample practical applications of this method are given. The electromagnetic field structure near the object is analyzed.</t>
  </si>
  <si>
    <t>96-99</t>
  </si>
  <si>
    <t>6507095254;7006798446</t>
  </si>
  <si>
    <t>Erikhov, V. G.;Maslov, D. E.</t>
  </si>
  <si>
    <t>Erikhov V.</t>
  </si>
  <si>
    <t>Method of investigating the radiation parameters of self-phasing antennas for coherent communications with a mobile object</t>
  </si>
  <si>
    <t>2-s2.0-0026182676</t>
  </si>
  <si>
    <t>['transmitted signal', 'numerical values', 'major city', 'correlation intervals', 'autocorrelation functions']</t>
  </si>
  <si>
    <t>Numerical values of the correlation intervals of variations in the electromagnetic field level are given for the case where an aircraft-transmitted signal is received by wire antennas mounted on buildings in a major city. A method of determining the autocorrelation functions is described.</t>
  </si>
  <si>
    <t>102-103</t>
  </si>
  <si>
    <t>Korolenkov, A. V.</t>
  </si>
  <si>
    <t>Korolenkov A.</t>
  </si>
  <si>
    <t>Experimental determination of the autocorrelation function of a decameter-wave signal received in a city</t>
  </si>
  <si>
    <t>2-s2.0-0026184444</t>
  </si>
  <si>
    <t>['valley structure', 'numerical modeling', 'minimized functionals', 'discrete phase', 'comparative efficiency', 'array adaptation']</t>
  </si>
  <si>
    <t>The comparative efficiency of gradient and coordinate gradient descent algorithms for adaptation to interference to discrete phase-controlled antenna arrays is examined and the valley structure of the minimized functionals is demonstrated. Coordinate and bicoordinate gradient descent algorithms are proposed for array adaptation and results are given of numerical modeling of the algorithms.</t>
  </si>
  <si>
    <t>99-102</t>
  </si>
  <si>
    <t>12243765400;6602516364</t>
  </si>
  <si>
    <t>Dzhigan, V. I.;Nezlin, D. V.</t>
  </si>
  <si>
    <t>Dzhigan V.</t>
  </si>
  <si>
    <t>Gradient algorithms in problems of discrete phase adaptation of antenna arrays</t>
  </si>
  <si>
    <t>2-s2.0-0026184445</t>
  </si>
  <si>
    <t>['wide range', 'video tuners', 'various types', 'storage chokes', 'rf chokes', 'resonant circuits', 'mobile telephones', 'inductance values', 'different requirements', 'antenna amplifiers']</t>
  </si>
  <si>
    <t>RF chokes are used in car-radios, video tuners, mobile telephones, antenna amplifiers and the like in the frequency range kHz to GHz. To cope with the different requirements, such as attenuating interference pulses, for decoupling, as storage chokes and in resonant circuits, Siemens Matsushita Components (S + M) offers a wide range of inductance values in various types.</t>
  </si>
  <si>
    <t>112-116</t>
  </si>
  <si>
    <t>Siemens components English ed.</t>
  </si>
  <si>
    <t>Espenhain, Manfred</t>
  </si>
  <si>
    <t>EPCOS AG</t>
  </si>
  <si>
    <t>Espenhain M.</t>
  </si>
  <si>
    <t>Leaded and surface-mounted inductors for RF applications</t>
  </si>
  <si>
    <t>2-s2.0-0026186953</t>
  </si>
  <si>
    <t>['successful design', 'proper understanding']</t>
  </si>
  <si>
    <t>Successful design of many modern communication and radar systems depends on proper understanding of the interaction between different system parts. Subsystem building blocks can be specified without using vigorous mathematical analysis. A hypothetical Doppler radar receiver is used to illustrate the performance tradeoffs inherent in microwave subsystem design.</t>
  </si>
  <si>
    <t>Lander, Victor A.</t>
  </si>
  <si>
    <t>Lander V.A.</t>
  </si>
  <si>
    <t>Use simple methods to specify microwave subsystem components</t>
  </si>
  <si>
    <t>2-s2.0-0026188550</t>
  </si>
  <si>
    <t>['wind disturbances', 'unknown parameters', 'unknown disturbances', 'dynamic systems', 'deterministic functions', 'certain form']</t>
  </si>
  <si>
    <t>An approach is considered to determine a certain form of disturbances for dynamic systems. The disturbance is represented by a set of some semi-deterministic functions with unknown parameters. Observer-estimator is used for identification of the unknown disturbances. An example is considered in which wind disturbances are determined for an antenna position control system.</t>
  </si>
  <si>
    <t>77-81</t>
  </si>
  <si>
    <t>0882570X</t>
  </si>
  <si>
    <t>Soviet journal of automation and information sciences</t>
  </si>
  <si>
    <t>Radchenko, I. F.</t>
  </si>
  <si>
    <t>Glushkov Cybernetics Inst</t>
  </si>
  <si>
    <t>Radchenko I.F.</t>
  </si>
  <si>
    <t>On a method for estimating perturbations</t>
  </si>
  <si>
    <t>2-s2.0-0026192254</t>
  </si>
  <si>
    <t>['standard error', 'phase shift', 'next year', 'moisture content', 'microwave attenuation', 'measurement system', 'different variety', 'calibration equation', 'bulk density', 'average bias', '0 ghz']</t>
  </si>
  <si>
    <t>Moisture content of soft red winter wheat, Triticum aestivum L., has been expressed as a function of microwave attenuation and phase shift, measured at 9.0 GHz, independent of bulk density. The grain was held in 10.2-cm (4-in.) ID plastic tubing between two horn antennas of the measurement system. The calibration equation was verified with wheat of different variety and origin from the next year's crop. The average bias for the moisture content range from 10.7 to 20.4% was &lt;0.10% and the standard error of performance was 0.26% moisture content.</t>
  </si>
  <si>
    <t>1776-1783</t>
  </si>
  <si>
    <t>Transactions of the American Society of Agricultural Engineers</t>
  </si>
  <si>
    <t>60001989;60001989</t>
  </si>
  <si>
    <t>7006372477;7403081273</t>
  </si>
  <si>
    <t>Kraszewski, A. W.;Nelson, S. O.</t>
  </si>
  <si>
    <t>USDA Agricultural Research Service</t>
  </si>
  <si>
    <t>Kraszewski A.</t>
  </si>
  <si>
    <t>Density-independent moisture determination in wheat by microwave measurement</t>
  </si>
  <si>
    <t>2-s2.0-0026192420</t>
  </si>
  <si>
    <t>['two experiments', 'tracking performances', 'penetrating smoke', 'paragraph 2', 'ku band', 'ka band', 'important results', 'guiding radar', 'good performance', 'even 5m', 'dry snow']</t>
  </si>
  <si>
    <t>Due to the good performance of tracking low elevation target as compared to microwave and the superiority in penetrating smoke, dust, fog, and dry snow as compared to infrared, a Ku and Ka dual band experimental radar was designed and developed. This Ku and Ka dual band experimental radar is an amplitude-comparison monopulse tracking and guiding radar. The constitution and parameters of this radar is described in paragraph 2. Paragraph 3 deals with two experiments for testing the tracking performances against low elevation target, and gives the important results. Both Ku and Ka band have high tracking precision when they track high elevation targets, while Ka band has much better tracking performance than Ku band when they track low elevation targets. Ka band can track a helicopter, whose radar cross section is about 6 square meters, at 40m, 20m, 10m, and even 5m above sea. Ku band can only track the same helicopter at 160m and higher above the sea.</t>
  </si>
  <si>
    <t>124-128</t>
  </si>
  <si>
    <t>1001506X</t>
  </si>
  <si>
    <t>Xi Tong Gong Cheng Yu Dian Zi Ji Shu/Systems Engineering and Electronics</t>
  </si>
  <si>
    <t>60073446;60073446</t>
  </si>
  <si>
    <t>57202721762;7402267015</t>
  </si>
  <si>
    <t>Li, Jiliang;Xie, Zhanao</t>
  </si>
  <si>
    <t>Beijing Institute of Radio Measurement</t>
  </si>
  <si>
    <t>Ku and Ka dual band experimental radar</t>
  </si>
  <si>
    <t>2-s2.0-0026193737</t>
  </si>
  <si>
    <t>['voltage across', 'numerical computations', 'new expressions', 'integration path', 'current distribution', 'also given']</t>
  </si>
  <si>
    <t>In this paper, by change of integration path in complex spectrum domain and by defining input admittance as the ratio of complex radiated power to amplitude of square of voltage across the gap, new expressions of admittance (valid for all frequencies) of infinitely long cylindrical antenna with and without conducting ground are obtained. Meanwhile corresponding formulas of current distribution are derived in detail. Some numerical computations are also given.</t>
  </si>
  <si>
    <t>7501903669;7201455725</t>
  </si>
  <si>
    <t>Chen, Jinxion;Yin, Guotai</t>
  </si>
  <si>
    <t>Chen J.</t>
  </si>
  <si>
    <t>Input admittance and current distribution of infinitely long circular cylindrical antenna driven at center</t>
  </si>
  <si>
    <t>2-s2.0-0026194628</t>
  </si>
  <si>
    <t>['usually found', 'sensory cells', 'secretory vesicles', 'secretory cells', 'rootlet fragments', 'receptor neurones', 'putative secretory', 'pharmacological treatment', 'parapodial cirri', 'multivesicular bodies', 'multiciliary receptors', 'mostly found', 'monociliary receptors', 'located beneath', 'latter type', 'dense vesicles', 'dense cuffs', 'close association', 'ciliary rootlets', 'also characterized', '8 cilia']</t>
  </si>
  <si>
    <t>As revealed by glyoxylic acid induced fluorescence, the protandric polychaete Ophryotrocha puerilis possesses different types of catecholaminergic primary bipolar sensory cells, the perikarya of which are located beneath the epidermis. About 20 of such receptors are situated in each segment but they are mostly found on antennae, palps, urites and parapodial cirri. The dendrites of these sensory neurones run to the cuticle and dilate to form receptive endings. Three different types of dendritic endings could be distinguished: (1) multiciliary receptors with 4-8 cilia and ciliary rootlets, (2) monociliary receptors with microvilli arranged like a funnel and electron-dense cuffs and (3) monociliary receptors of the collar-type with, constantly, ten microvilli surrounding one single central cilium. The latter type is also characterized by rootlet fragments. Dendrites and dilated receptive endings of all three types contain clear (putative secretory) vesicles, multivesicular bodies and mitochondria. Pharmacological treatment (dopamine, reserpine) does not affect the number of secretory vesicles of the receptor neurones. Extra vesicular storage of catecholamines is discussed. Secretory cells of unknown function containing large numbers of electron-dense vesicles are usually found in close association with sensory cells. ¬© 1991 Springer-Verlag.</t>
  </si>
  <si>
    <t>209-215</t>
  </si>
  <si>
    <t>60030718;60030718;60030718</t>
  </si>
  <si>
    <t>6506790148;16482722800;7003798153</t>
  </si>
  <si>
    <t>Schlawny, A.;Gr√ºnig, C.;Pfannenstiel, H. D.</t>
  </si>
  <si>
    <t>Sensory and secretory cells of Ophryotrocha puerilis (Polychaeta)</t>
  </si>
  <si>
    <t>10.1007/BF01633005</t>
  </si>
  <si>
    <t>2-s2.0-0342577440</t>
  </si>
  <si>
    <t>['smoothing method', 'signal processing', 'optimal weighting', 'method improves', 'correlated noise', 'computer simulation', 'adaptive antennas']</t>
  </si>
  <si>
    <t>It is proposed that the spatial-smoothing method with optimal weighting be used to increase the efficiency of signal processing under conditions of correlated noise. It is shown that use of the method improves the characteristics of adaptive antennas. Results of a computer simulation are presented. ¬© 1992 Plenum Publishing Corporation.</t>
  </si>
  <si>
    <t>663-666</t>
  </si>
  <si>
    <t>16437661200;6603747137</t>
  </si>
  <si>
    <t>Savinov, I. V.;Serebryakov, G. V.</t>
  </si>
  <si>
    <t>Savinov I.</t>
  </si>
  <si>
    <t>Performance analysis of adaptive antenna array using spatial-smoothing method with optimal weighting</t>
  </si>
  <si>
    <t>10.1007/BF01039601</t>
  </si>
  <si>
    <t>2-s2.0-34249835279</t>
  </si>
  <si>
    <t>['wave number', 'operating frequency', 'much larger', 'integral equation', 'electromagnetic measurement', 'earth surface', 'drilling measurement', 'current distribution', 'conductive coating']</t>
  </si>
  <si>
    <t>Electric field strength on the earth surface | Method of integral equation | Petroleum drilling | Vertical antenna</t>
  </si>
  <si>
    <t>A vertical antenna embedded in earth with conductive coating has been investigated by employing the method of integral equation. This topic is available to EM-MWD (Electromagnetic Measurement-While-Drilling) system, which is a new real time system for drilling measurement. Under the condition that the wave number of the earth is much larger than that of the air, a current integral equation has been derived. After the current distribution having been determined, the electric field strength on the earth surface has been predicted and its dependences on the operating frequency and the depth of the well have been discussed as well. ¬© 1991 Science Press.</t>
  </si>
  <si>
    <t>220-230</t>
  </si>
  <si>
    <t>60027021;60027021</t>
  </si>
  <si>
    <t>7102492347;6504530016</t>
  </si>
  <si>
    <t>Mingyao, Xia;Kongyu, Feng</t>
  </si>
  <si>
    <t>Institute of Electronics Chinese Academy of Sciences</t>
  </si>
  <si>
    <t>Mingyao X.</t>
  </si>
  <si>
    <t>Vertical antenna embedded in earth with conductive coating</t>
  </si>
  <si>
    <t>10.1007/BF02778373</t>
  </si>
  <si>
    <t>2-s2.0-51649152986</t>
  </si>
  <si>
    <t>['two molecules', 'small amount', 'polar pigment', 'least one', 'heliobacterium chlorum', 'essentially identical', 'electron acceptor', 'chromatographic analysis', 'antenna consists', 'absorption spectrum', '), esterified']</t>
  </si>
  <si>
    <t>(H. chlorum | Hb. mobilis) | HPLC | Hydroxychlorophyll a | Pigment composition | Primary electron acceptor</t>
  </si>
  <si>
    <t>Chromatographic analysis of membranes and antenna-reaction center complexes of Heliobacterium chlorum and membranes of Heliobacillus mobilis revealed the presence of a small amount of a polar pigment with an absorption spectrum which was essentially identical to that of chlrophyll (Chl) a. Its structure was elucidated by means of 1H-NMR Correlated Spectroscopy, 13C-NMR and 252Cf-Plasma Desorption Mass Spectrometry as 81-hydroxychlorophyll a (81-OH-Chl a), esterified with farnesol. It is concluded that 81-OH-Chl a is responsible for the band near 670 nm in the absorption spectrum of heliobacteria. The molar ratio bacteriochlorophyll (BChl) g: 81-OH-Chl a was approx. 17 for rapidly growing cells of H. chlorum and Hb. mobilis. On the assumption that the antenna consists of 35-40 BChls g, this means that two molecules of 81-OH-Chl a are present per reaction center. At least one of them functions as electron acceptor in the primary charge separation. ¬© 1991 Elsevier Science Publishers B.V.</t>
  </si>
  <si>
    <t>356-362</t>
  </si>
  <si>
    <t>60003878;60180342;60070193;60019816;60003878;60180342</t>
  </si>
  <si>
    <t>6603444401;7405533010;7006584940;6701701029;7004456032;8609482600</t>
  </si>
  <si>
    <t>van de Meent, Erik Jan;Kobayashi, Masami;Erkelens, Cornelis;van Veelen, Peter A.;Amesz, Jan;Watanabe, Tadashi</t>
  </si>
  <si>
    <t>Japan;Netherlands;Netherlands;Netherlands</t>
  </si>
  <si>
    <t>Tokyo;Leiden;Leiden;Leiden</t>
  </si>
  <si>
    <t>Institute of Industrial Science;Gorlaeus Laboratory;Leiden University;Sterrewacht Leiden</t>
  </si>
  <si>
    <t>60180342;60070193;60019816;60003878</t>
  </si>
  <si>
    <t>van de Meent E.J.</t>
  </si>
  <si>
    <t>Identification of 8&lt;sup&gt;1&lt;/sup&gt;-hydroxychlorophyll a as a functional reaction center pigment in heliobacteria</t>
  </si>
  <si>
    <t>S0005272805801318</t>
  </si>
  <si>
    <t>10.1016/S0005-2728(05)80131-8</t>
  </si>
  <si>
    <t>2-s2.0-0025732279</t>
  </si>
  <si>
    <t>European Commission</t>
  </si>
  <si>
    <t>EC</t>
  </si>
  <si>
    <t>['wavelength side', 'varying intensity', 'two temperatures', 'time constant', 'stronger quenching', 'saturation curves', 'room temperature', 'redox state', 'reaction centers', 'reaction center', 'primary donor', 'possible mechanism', 'photosynthetic system', 'oxidized p', 'observed immediately', 'linear relationship', 'laser flash', 'heliobacterium chlorum', 'fully oxidized', 'fluorescence yield', 'fluorescence quenching', 'first one', 'emission band', 'chlorum consists', 'charge separation', 'antenna bchl', '798 +,', '4 k', '300 k']</t>
  </si>
  <si>
    <t>(H. chlorum) | Charge separation | Fluorescence quenching | Primary donor</t>
  </si>
  <si>
    <t>By means of short laser flashes of varying intensity, followed by weak xenon flashes to monitor the fluorescence, the relation was studied between the fluorescence yield of bacteriochlorophyll (BChl) g and the redox state of the reaction center in membranes of Heliobacterium chlorum. At room temperature, as well as at 4 K, a decrease of the fluorescence yield was observed immediately after the laser flash. The fluorescence yield recovered with the same time constant as the re-reduction of the oxidized primary electron donor P-798+, indicating that the fluorescence of antenna BChl in H. chlorum is quenched more strongly when the primary donor is oxidized than when it is reduced. At 4 K the fluorescence was reduced by 45% and at 300 K by 17% when P-798 was fully oxidized. At 4 K, the fluorescence quenching was stronger on the long-wavelength than on the short-wavelength side of the emission band. A linear relationship was observed between the fluorescence yield and the fraction of oxidized P-798+, from which we conclude that, at least at 4 K, the photosystem of H. chlorum consists of separate photosynthetic units between which transfer of energy does not occur. The light-saturation curves for the fluorescence quenching were similar at room temperature and at 4 K, indicating approximately equal efficiencies for charge separation at the two temperatures. The photosynthetic system of H. chlorum is the first one where a stronger quenching by 'closed' than by 'open' reaction centers was observed. A possible mechanism for this quenching is discussed. ¬© 1991 Elsevier Science Publishers B.V.</t>
  </si>
  <si>
    <t>339-344</t>
  </si>
  <si>
    <t>60003878;60003878;60003878;60003878;60003878</t>
  </si>
  <si>
    <t>57071565600;55414947400;7003777767;6701846565;7004456032</t>
  </si>
  <si>
    <t>Deinum, Geurt;Kramer, Hans;Aartsma, Thijs J.;Kleinherenbrink, Frank A.M.;Amesz, Jan</t>
  </si>
  <si>
    <t>Deinum G.</t>
  </si>
  <si>
    <t>Fluorescence quenching in Heliobacterium chlorum by reaction centers in the charge separated state</t>
  </si>
  <si>
    <t>S0005-2728(05)80129-X</t>
  </si>
  <si>
    <t>10.1016/S0005-2728(05)80129-X</t>
  </si>
  <si>
    <t>2-s2.0-0025869485</t>
  </si>
  <si>
    <t>['section dynamics', 'region 674', 'ps ii', 'photosystem ii', 'peripheral antenna', 'membrane proteins', 'heat treatment', 'first time', 'estimate directly', 'chlorophyll b', 'chl b', 'absorption cross', '687 nm', '687 mm', '676 mm']</t>
  </si>
  <si>
    <t>Chloroplast membrane reorganization | Cross-section | Excitation fluorescence spectroscopy | Photosystem I</t>
  </si>
  <si>
    <t>The advantages of the use of excitation fluorescence spectroscopy in the investigation of PS I absorption cross-section dynamics during phosphorylation of membrane proteins or heat treatment have been shown. After phosphorylation in the light, there occurred only 15-20% enhancement in absorption cross-section of F735 - PS I peripheral antenna - at the expense of chlorophyll b and short wavelength chlorophyll a species in the region 674-676 mm, which is attributed to the light-harvesting pigment complex of Photosystem II. Phosphorylation in the dark with dithionite caused increases of 30-35% in PS I absorption cross-section at the expense of Chl b, Chl a absorbing at 674-676 mm and long-wavelength PS II internal antenna chlorophyll at 685-687 nm. The same changes in the region of 685-687 mm were found after heat treatment of chloroplasts. The application of excitation fluorescence spectroscopy made it possible to estimate directly for the first time not only the extent of changes in absorption cross-section of PS I but also to describe which complex of PS II is responsible. ¬© 1991 Elsevier Science Publishers B.V.</t>
  </si>
  <si>
    <t>411-415</t>
  </si>
  <si>
    <t>Ruban, Alexander V.</t>
  </si>
  <si>
    <t>Sheffield</t>
  </si>
  <si>
    <t>The University of Sheffield</t>
  </si>
  <si>
    <t>Ruban A.</t>
  </si>
  <si>
    <t>The use of excitation fluorescence spectroscopy in the study of short-term chloroplast membrane reorganisation</t>
  </si>
  <si>
    <t>S0005272805801379</t>
  </si>
  <si>
    <t>10.1016/S0005-2728(05)80137-9</t>
  </si>
  <si>
    <t>2-s2.0-0025891870</t>
  </si>
  <si>
    <t>['wolfe effect', 'temperature fluctuations', 'scale power', 'popular case', 'order multipoles', 'microwave sky', 'gaussian distributed', 'flat universe', 'familiar sachs', 'confidence level', 'case 30']</t>
  </si>
  <si>
    <t>Cosmic background radiation | Galaxies: clustering</t>
  </si>
  <si>
    <t>We point out that the cosmic microwave background (CMB) temperature fluctuations, observed in the microwave sky with a large antenna beam, may not be Gaussian distributed, even if the primordial matter density fluctuations constitute a random Gaussian field. This effect is due to a dominance of low-order multipoles of the CMB anisotropy pattern and is then relevant for galaxy formation models with large-scale power, which produce CMB angular anisotropies through the familiar Sachs-Wolfe effect. We focus on the most popular case of a flat universe with scale-invariant, Gaussian distributed density fluctuations. In this case 30% of the cosmic observers would reject the hypothesis that CMB temperature fluctuations in their own microwave sky are Gaussian distributed at least at the 99% confidence level. We also give numerical bounds, at the 95% confidence level, for the skewness and kurtosis of the sky pixel temperature fluctuation distribution: these bounds will possibly be useful in discriminating against scenarios with primordial, Gaussian density fluctuations.</t>
  </si>
  <si>
    <t>439-442</t>
  </si>
  <si>
    <t>60024986;60018783</t>
  </si>
  <si>
    <t>9533992100;7004906256</t>
  </si>
  <si>
    <t>Scaramella, Roberto;Vittorio, Nicola</t>
  </si>
  <si>
    <t>Monte Porzio Catone;L'Aquila</t>
  </si>
  <si>
    <t>Osservatorio Astronomico di Roma;Universit√† degli Studi dell'Aquila</t>
  </si>
  <si>
    <t>Scaramella R.</t>
  </si>
  <si>
    <t>Non-Gaussian temperature fluctuations in the cosmic microwave background sky from a random Gaussian density field</t>
  </si>
  <si>
    <t>10.1086/170205</t>
  </si>
  <si>
    <t>2-s2.0-0001580618</t>
  </si>
  <si>
    <t>R01CA037853</t>
  </si>
  <si>
    <t>['œ ≤-', 'utilizing either', 'unfucosylated disaccharides', 'substrate specificity', 'sephadex chromatography', 'purified 45', 'ph optimum', 'oligosaccharide antenna', 'neuroblastoma res', 'kinetic properties', 'ion requirements', 'immobilized oligosaccharide', 'human tumors', 'human milk', 'higher activity', 'fucosyltransferase isolated', 'fucosylated glycoconjugates', 'fucosyl residues', 'enzymes purified', 'enzyme transfers', 'enzyme showed', 'enzyme differed', 'disaccharide substrates', 'differentially expressed', 'developmentally expressed', 'chp 134', 'cell extract', 'approximately 10', 'apparent k', '432 ).', '43 œºm', '4 mm', '1 mm', '0 mm']</t>
  </si>
  <si>
    <t>Fucosyl residues in the Œ±1‚Üí3 linkage to N-acetylglucosamine (FucŒ±1‚Üí3GlcNAc) on oligosaccharides of glycoproteins and glycolipids have been detected in certain human tumors and are developmentally expressed (reviewed in Foster, C. S. and Glick, M. C. (1988) Adv. Neuroblastoma Res. 2, 421-432). In order to understand control mechanisms for the biosynthesis of these fucosylated glycoconjugates, GDP-L-Fuc-N-acetyl-Œ≤-D-glucosaminide Œ±1‚Üí3fucosyltransferase was purified from human neuroblastoma cells, CHP 134, utilizing either the immobilized oligosaccharide or disaccharide substrates. The enzyme, extracted from CHP 134 cells, was purified by DEAE- and SP-Sephadex chromatography and then by either immobilized substrate. Œ±1‚Üí3Fucosyltransferase was obtained in approximately 10% yield and was purified 45,000-fold from the cell extract. The kinetic properties of the enzyme showed an apparent K(GDP-Fuc) 43 ŒºM, K(GalŒ≤1‚Üí4GlcNAc) 0.4 mM, K(GalŒ≤1‚Üí4Glc) 8.1 mM, and K(FucŒ±1‚Üí2GalŒ≤1‚Üí4Glc) 1.0 mM. Polyacrylamide gel electrophoresis of the affinity-purified enzyme showed two proteins which migrated, M(r) = 45,000-40,000. The enzyme differed in substrate specificity, pH optimum, response to N-ethylmaleimide and ion requirements from the enzymes purified from human milk or serum. The inability of Œ±1‚Üí3fucosyltransferase to transfer to substrates containing NeuAcŒ±2‚Üí3 or Œ±2‚Üí6Gal is in contrast to the reports for the enzyme in other human tumors. This substrate specificity correlates with the oligosaccharide residues thus far defined on glycoproteins of CHP 134 cells since NeuAc and FucŒ±1‚Üí3GlcNAc have yet to be detected on the same oligosaccharide antenna. However, the enzyme transfers to FucŒ±1‚Üí2GalŒ≤1‚Üí4GlcNAc/Glc with higher activity than the unfucosylated disaccharides, although neither Œ±1‚Üí2-fucosyltransferase nor FucŒ±1‚Üí2 residues have been detected in CHP 134 cells. The different substrate specifities of Œ±1‚Üí3-fucosyltransferase isolated from human tumors and normal sources leads to the suggestion that a family of Œ±1‚Üí3fucosyltransferases may exist and that they may be differentially expressed in human tumors.</t>
  </si>
  <si>
    <t>3526-3531</t>
  </si>
  <si>
    <t>60020413;60020413;60020413</t>
  </si>
  <si>
    <t>7401667359;7102409378;7102493230</t>
  </si>
  <si>
    <t>Foster, C. S.;Gillies, D. R.B.;Glick, M. C.</t>
  </si>
  <si>
    <t>Imperial College Faculty of Medicine</t>
  </si>
  <si>
    <t>Foster C.S.</t>
  </si>
  <si>
    <t>Purification and characterization of GDP-L-Fuc-N-acetyl-Œ≤-D-glucosaminide Œ±1‚Üí3fucosyltransferase from human neuroblastoma cells: Unusual substrate specificities of the tumor enzyme</t>
  </si>
  <si>
    <t>2-s2.0-0025849161</t>
  </si>
  <si>
    <t>['¬© 1991', 'transfer contribution', 'stark spectra', 'protein complex', 'monomeric chlorophyll', 'low temperatures', 'excited state', 'cp1 pigment', 'chemical oxidation', 'antenna chlorophyll', '704 nm']</t>
  </si>
  <si>
    <t>P700 | Photosynthesis | Photosystem I | Pigment-protein | Reaction center | Stark spectrum</t>
  </si>
  <si>
    <t>Quadratic Stark effect in CP1 pigment-protein complex was examined at low temperatures in the red spectral region. The Stark spectra of samples containing P700 in reduced form exhibit a strong negative band at 704 nm, which disappears on chemical oxidation of P700. The change in permanent dipole moment, ŒîŒº, of P700 on electronic excitation estimated from these spectra was found to be between 4.7 and 7.7 Debye units. It is suggested to reflect the charge-transfer contribution to the excited state of P700. For antenna chlorophyll, ŒîŒº{all equal to} 1 D was obtained in accordance with the data for monomeric chlorophyll. ¬© 1991.</t>
  </si>
  <si>
    <t>60011685;60011685</t>
  </si>
  <si>
    <t>35615147100;55935668900</t>
  </si>
  <si>
    <t>Krawczyk, S.;Maksymiec, W.</t>
  </si>
  <si>
    <t>Poland</t>
  </si>
  <si>
    <t>Lublin</t>
  </si>
  <si>
    <t>Maria Curie-Sklodowska University in Lublin</t>
  </si>
  <si>
    <t>Krawczyk S.</t>
  </si>
  <si>
    <t>Stark effect in P700, the primary electron donor of Photosystem I</t>
  </si>
  <si>
    <t>001457939180952Y</t>
  </si>
  <si>
    <t>10.1016/0014-5793(91)80952-Y</t>
  </si>
  <si>
    <t>2-s2.0-0025900494</t>
  </si>
  <si>
    <t>National Natural Science Foundation of China</t>
  </si>
  <si>
    <t>INT80-06403</t>
  </si>
  <si>
    <t>NSFC</t>
  </si>
  <si>
    <t>['¬© 1991', 'thermal noise', 'noise due', 'materials could', 'mass detectors', 'important figures', 'high vs', 'given frequency', 'fold increase', 'detector noise', 'density œå', 'antenna material', 'antenna geometry', 'antenna cross', 'also discuss']</t>
  </si>
  <si>
    <t>The sensitivity of resonant-mass gravitational radiation detectors depends on both the antenna cross-section and the detector noise. The cross-section is determined by the sound velocity vs and density œÅ{variant} of the antenna material, while the principal detector noise sources are thermal Nyquist noise and noise due to the readout electromechanical amplifier. The thermal noise is proportional to T/Q, where T is the temperature and Q is the antenna's mechanical quality factor. For a given frequency and antenna geometry, the cross-section is proportional to œÅ{variant}v5s. Thus the speed of sound and Q are important figures-of-merit in selecting the antenna material. Materials with high vs are available that in principle could provide about a hundred-fold increase in the cross-section of resonant-mass gravity wave detectors as compared to current generation detectors. In this Letter we report the results of measurements of the temperature-dependent mechanical losses associated with excitation of the fundamental longitudinal acoustic mode in several potentially suitable materials. We also discuss the impact that these materials could have on the sensitivity of resonant-mass detectors. ¬© 1991.</t>
  </si>
  <si>
    <t>209-216</t>
  </si>
  <si>
    <t>60021182;60012708;60012708;60012708;60000221</t>
  </si>
  <si>
    <t>24565237600;22965536800;16436137700;35230455000;16230961400</t>
  </si>
  <si>
    <t>Hu, En Ke;Zhou, C.;Mann, L.;Michelson, P. F.;Price, J. C.</t>
  </si>
  <si>
    <t>China;United States;United States</t>
  </si>
  <si>
    <t>Guangzhou;Palo Alto;Boulder</t>
  </si>
  <si>
    <t>Sun Yat-Sen University;Stanford University;University of Colorado Boulder</t>
  </si>
  <si>
    <t>60021182;60012708;60000221</t>
  </si>
  <si>
    <t>Hu E.K.</t>
  </si>
  <si>
    <t>Measurements of mechanical dissipation in high sound velocity materials: implications for resonant-mass gravitational radiation detectors</t>
  </si>
  <si>
    <t>0375-9601(91)90053-B</t>
  </si>
  <si>
    <t>10.1016/0375-9601(91)90053-B</t>
  </si>
  <si>
    <t>2-s2.0-0039867472</t>
  </si>
  <si>
    <t>['xanthophylls neoxanthin', 'wild type', 'type leaves', 'transcriptional level', 'since fluorescence', 'severely depleted', 'restrictive conditions', 'reaction centre', 'pronounced shoulder', 'primarily caused', 'permissive conditions', 'normally quenched', 'moving seedlings', 'monoclonal antibody', 'low temperatures', 'low light', 'large particles', 'kda polypeptide', 'high irradiance', 'high density', 'harvesting complex', 'fewer thylakoids', 'cpi ).', 'consequent loss', 'chlorotic leaves', 'chlorophyll deficiency', 'appressed lamellae', '720 nm', '680 began', '680 accumulation', '104 grown', '104 chloroplasts']</t>
  </si>
  <si>
    <t>Cab-gene expression | Excitation energy transfer | Hordeum | Light harvesting complex I (monoclonal antibody) | Mutant (barley) | Thylakoid (freeze-fracture)</t>
  </si>
  <si>
    <t>The nuclear gene mutant chlorina-104 of barley (Hordeum vulgare L.) is chlorophyll-deficient when grown under high irradiance, particularly at low temperatures. Chlorina-104 chloroplasts had fewer thylakoids than the wild type, and fewer appressed lamellae relative to non-appressed lamellae. The freeze-fracture ultrastructure showed a loss of particles from the protoplasmic fracture face of the stacked thylakoid region (PFs), consistent with the loss of most of the light-harvesting complex (LHC) II, and a loss of some of the large particles from the same face of the unstacked thylakoid region (PFu), indicating a loss of photosystem-I particles. The mutant is remarkable for the high density of particles on the exoplasmic fracture face of the unstacked thylakoid region (EFu), levels of which fell to normal after transfer to low light. The chlorophyll deficiency was shown to be primarily caused by the loss of LHCII and LHCI-680, with the consequent loss of much of the chlorophyll (Chl) b and the xanthophylls neoxanthin and lutein. The use of a monoclonal antibody which recognises the 23-kDa polypeptide of LHCI-680, confirmed that it was severely depleted in chloroplasts from chlorina-104 grown under restrictive conditions. The 77 K fluorescence emission spectrum was characterised by a pronounced shoulder at 720 nm, arising from the photosystem-I reaction centre (CPI). Since fluorescence from CPI is normally quenched by LHCI-730, this indicates that LHCI-680 mediates excitation energy transfer between LHCI-730 and the reaction centre. After moving seedlings to permissive conditions, LHCII and LHCI-680 began to accumulate in the chlorotic leaves and the fluorescence emission spectrum resembled that of wild-type leaves. Measurement of the steady-state mRNA levels with specific Cab probes, showed no difference between wild type and mutant, indicating that control of LHCII and LHCI-680 accumulation was at a post-transcriptional level. ¬© 1991 Springer-Verlag.</t>
  </si>
  <si>
    <t>111-123</t>
  </si>
  <si>
    <t>60019782;60019782</t>
  </si>
  <si>
    <t>6602072663;7402414929</t>
  </si>
  <si>
    <t>Knoetzel, J√ºrgen;Simpson, David</t>
  </si>
  <si>
    <t>Copenhagen</t>
  </si>
  <si>
    <t>Carlsberg Research Center</t>
  </si>
  <si>
    <t>Knoetzel J.</t>
  </si>
  <si>
    <t>Expression and organisation of antenna proteins in the light-and temperature-sensitive barley mutant chlorina-&lt;sup&gt;104&lt;/sup&gt;</t>
  </si>
  <si>
    <t>10.1007/BF00194522</t>
  </si>
  <si>
    <t>2-s2.0-0000682967</t>
  </si>
  <si>
    <t>['two components', 'treated seedlings', 'treated mustard', 'thylakoid membranes', 'synthase complex', 'subunits 1', 'substantially reduced', 'still less', 'splitting apparatus', 'representative proteins', 'psii polypeptides', 'psii activity', 'perform leephotosynthesis', 'major light', 'lutein rather', 'lumenal 33', 'level detectable', 'kda protein', 'kda chl', 'iron sulfur', 'harvesting chl', 'green cotyledons', 'free seedlings', 'fluorescence yield', 'electron transport', 'data indicate', 'd2 protein', 'cytochrome b559', 'control seedlings', 'control plants', 'completely inhibited', 'comparable amounts', 'cf1 moiety', 'carotenoids might', 'binding proteins', 'binding protein', 'antenna complex', 'accumulation kinetics', '1 %.']</t>
  </si>
  <si>
    <t>Carotenoid | Lutein | Photosystem I, II | Sinapis</t>
  </si>
  <si>
    <t>If Norflurazon-treated mustard (Sinapis alba L.) seedlings are grown in low-fluence-rate white light, accumulation of carotenoids is completely inhibited, while levels of chlorophyll (Chl) a and b are comparable to those of control seedlings. Measurements of fluorescence yield and oxygen evolution indicate that carotenoid-free, green cotyledons are unable to perform leephotosynthesis in vivo. When thylakoid membranes were prepared and electron transport was measured in vitro, only PSI but not PSII activity was detected. Solubilization of the photosystems from thylakoid membranes and separation by sucrose-gradient centrifugation confirmed that PSII is absent in carotenoid-free seedlings, while PSI is present. Western blot analysis for representative proteins of the four photosynthetic complexes showed that subunits 1 and 2 of PSI, the Rieske-iron sulfur-protein, the Œ±-subunit of the CF1 moiety of the ATP-synthase complex, cytochrome b559 and the lumenal 33-kDa protein of the water-splitting apparatus of PSII are present in comparable amounts in Norflurazon-treated and control plants, while the amounts of Chl-binding proteins of PSII (the major light-harvesting Chl-a/b-binding protein of the antenna complex and the 51- and 44-kDa Chl-a-binding proteins) and two components of the PSII reaction center, (the D1 and D2 protein) are substantially reduced. The data indicate that accumulation of PSII polypeptides is either not inhibited or not completely inhibited in carotenoid-free mustard seedlings, but that assembly of a functional PSII complex does not occur. If Norflurazon-treated seedlings are transferred to water, lutein accumulates rapidly and reaches about 80% of the level detectable in control plants, while the level of other carotenoids is still less than 1%. The accumulation kinetics for lutein are similar to the kinetics for the appearance of PSII activity. This indicates that the availibility of lutein rather than that of other carotenoids might be rate-limiting for the appearance of PSII activity. ¬© 1991 Springer-Verlag.</t>
  </si>
  <si>
    <t>60028717;60028717</t>
  </si>
  <si>
    <t>24454141400;7006426462</t>
  </si>
  <si>
    <t>Markgraf, Therese;Oelm√ºller, Ralf</t>
  </si>
  <si>
    <t>Ludwig-Maximilians-Universit√§t M√ºnchen</t>
  </si>
  <si>
    <t>Markgraf T.</t>
  </si>
  <si>
    <t>Evidence that carotenoids are required for the accumulation of a functional photosystem II, but not photosystem I in the cotyledons of mustard seedlings</t>
  </si>
  <si>
    <t>10.1007/BF00194520</t>
  </si>
  <si>
    <t>2-s2.0-0002910192</t>
  </si>
  <si>
    <t>['resonance frequency', 'microstrip feedline', 'input impedance', 'feeding junction', 'experimental analysis', 'directly usable']</t>
  </si>
  <si>
    <t>An experimental analysis is developed for the corner-fed printed square patch antenna, taking into account the width of the feeding junction and the proximity of the microstrip feedline. New accurate design relations for resonance frequency and input impedance are deduced, directly usable for the computer aided design of printed antenna arrays.</t>
  </si>
  <si>
    <t>35803010800;7202044329</t>
  </si>
  <si>
    <t>Cruz, E. Motta;Daniel, J. P.</t>
  </si>
  <si>
    <t>Cruz E.</t>
  </si>
  <si>
    <t>Experimental analysis of corner-fed printed square patch antennas</t>
  </si>
  <si>
    <t>2-s2.0-0026205987</t>
  </si>
  <si>
    <t>['simplified algorithm']</t>
  </si>
  <si>
    <t>We investigate a simplified algorithm for bicoordinate gradient descent intended for noise-adaptive antenna arrays with discrete phase control.</t>
  </si>
  <si>
    <t>116-119</t>
  </si>
  <si>
    <t>Simplified algorithm for bicoordinate gradient descent in problems of adaptive antenna arrays with discrete phase shifters</t>
  </si>
  <si>
    <t>2-s2.0-0026207872</t>
  </si>
  <si>
    <t>['numerically solving', 'directivity diagram', 'diffraction problem']</t>
  </si>
  <si>
    <t>We investigate the influence of an ideally conducting rectangular screen on the directivity diagram of an elementary electric dipole by numerically solving the integrodifferential equations corresponding to the diffraction problem, and present the results of the calculation.</t>
  </si>
  <si>
    <t>114-116</t>
  </si>
  <si>
    <t>7007013967;6507959040</t>
  </si>
  <si>
    <t>Pimenov, Yu V.;Khod'kov, D. A.</t>
  </si>
  <si>
    <t>Pimenov Y.</t>
  </si>
  <si>
    <t>Radiation of an elementary electric dipole placed parallel to a planar rectangular screen</t>
  </si>
  <si>
    <t>2-s2.0-0026207909</t>
  </si>
  <si>
    <t>['strongly affected', 'spurious radiation', 'spacing arrangement', 'require optimization', 'radiation system', 'radiating systems', 'quantitative estimate', 'optimal conditions', 'mutual placement', 'measurement receiver', 'measurement error', 'measurement consists', 'measurement apparatus', 'g .,', 'field conditions', 'errors caused', 'energy characteristics', 'different conditions', 'based components', 'based component', 'allows one']</t>
  </si>
  <si>
    <t>It is well-known that in measuring the energy characteristics of radiating systems the results are most strongly affected by the choice of conditions for mutual placement of the radiation system (RS) and the measurement apparatus (MA). The methods in common use recommend making the measurement under far-field conditions. As a measurement distance increases, the signal-to-noise ratio increases at the input to the measurement receiver, which leads to an increase in the apparatus-based component of the measurement error. In view of the latter, measurements of rather low levels of radiation ) e.g., at frequencies of spurious radiation from the transmitter) require optimization of the procedure for choosing the spacing arrangement for the MA. The choice of optimal conditions for measurement consists of determining the errors caused by these methodological and apparatus-based components. The method is proposed that allows one to obtain a quantitative estimate of the influence of different conditions on the accuracy of determining the energy characteristics of radiators, which increases the resulting measurement accuracy.</t>
  </si>
  <si>
    <t>Panychev, S. N.</t>
  </si>
  <si>
    <t>Panychev S.</t>
  </si>
  <si>
    <t>Method for estimating how distinctive features of natural measurement conditions affect the accuracy of determining the energy characteristics of radiating systems</t>
  </si>
  <si>
    <t>2-s2.0-0026207926</t>
  </si>
  <si>
    <t>GM07365</t>
  </si>
  <si>
    <t>['two complexes', 'sulfur bacteria', 'substantially larger', 'several mutants', 'rights reserved', 'reaction center', 'qx transitions', 'quantitative basis', 'purple non', 'protein complexes', 'photosynthetic antenna', 'organized environment', 'organic glasses', 'mutant proteins', 'much larger', 'minimize reversion', 'isolated pigments', 'field effects', 'extracted pigments', 'electronic structure', 'electrochromic effects', 'electric fields', 'data provide', 'considerably larger', 'carotenoids spheroidene', 'carotenoid bandshifts', 'bacteriopheophytin pigments', 'approximately equivalent', 'absorption spectra']</t>
  </si>
  <si>
    <t>Carotenoid | Carotenoid bandshift | Electric field effect | Stark effect</t>
  </si>
  <si>
    <t>The effects of electric fields on the absorption spectra of the carotenoids spheroidene and spheroidenone in photosynthetic antenna and reaction center complexes (wild-type and several mutants) from purple non-sulfur bacteria are compared with those for the isolated pigments in organic glasses. In general, the field effects are substantially larger for the carotenoid in the protein complexes than for the extracted pigments and larger for spheroidenone than spheroidene. Furthermore, the electrochromic effects for carotenoids in all complexes are much larger than those for the Qx transitions of the bacteriochlorophyll and bacteriopheophytin pigments which absorb in the 450-700 nm spectral region. The underlying mechanism responsible for the Stark effect spectra in the complexes is found to be dominated by a change in permanent dipole moment of the carotenoid upon excitation. The magnitude of this dipole moment change is found to be considerably larger in the B800-850 complex compared to the reaction center for spheroidene; it is approximately equivalent in the two complexes for spheroidenone. These results are discussed in terms of the effects of differences in the carotenoid functional groups, isomers and perturbations on the electronic structure from interactions with the organized environment in the proteins. These data provide a quantitative basis for the analysis of carotenoid bandshifts which are used to measure transmembrane potential, and they highlight some of the pitfalls in making such measurements on complex membranes containing multiple populations of carotenoids. The results for spheroidenone should be useful for studies of mutant proteins, since mutant strains are often grown semi-aerobically to minimize reversion. ¬© 1991 Elsevier Science Publishers B.V. All rights reserved.</t>
  </si>
  <si>
    <t>76-90</t>
  </si>
  <si>
    <t>Stark effect spectroscopy of carotenoids in photosynthetic antenna and reaction center complexes</t>
  </si>
  <si>
    <t>S0005-2728(05)80189-6</t>
  </si>
  <si>
    <t>10.1016/S0005-2728(05)80189-6</t>
  </si>
  <si>
    <t>2-s2.0-0025739127</t>
  </si>
  <si>
    <t>['œîœºa |,', 'well approximated', 'unusual result', 'stark spectrum', 'stark spectra', 'standard treatments', 'second derivative', 'rights reserved', 'rhodobacter sphaeroides', 'rhodobacter capsulatus', 'range 1', 'qy absorption', 'quantitative effect', 'quantitative analysis', 'prosthecochloris aestuarii', 'possible mechanisms', 'polymer film', 'photosynthetic bacteria', 'monomeric bacteriochlorophyll', 'may lie', 'lowest state', 'interacting set', 'harvesting complex', 'fluorescence spectra', 'energy states', 'electric field', 'dipole moment', 'derivative contribution', 'buffer glass', 'b875 light', 'b875 complex', 'anomalous lineshapes', 'also unusual', '850 light', '77 k']</t>
  </si>
  <si>
    <t>Antenna complex | Electric field effect | Energy transfer | Light harvesting complex | Stark effect</t>
  </si>
  <si>
    <t>The effects of an applied electric field on the Qy absorption and fluorescence spectra of three antenna complexes from photosynthetic bacteria have been measured at 77 K: the bacteriochlorophyll a protein (BCP) from Prosthecochloris aestuarii, the B800-850 light-harvesting complex from Rhodobacter sphaeroides and the B875 light-harvesting complex from Rhodobacter capsulatus. For BCP in a glycerol / buffer glass, the value of the change in dipole moment, |ŒîŒºA|, for three of the resolved absorption bands was found to lie in the range 1.3-2.0 D / f (where f is the local field correction factor), and the Stark spectrum lineshape is well approximated by the second derivative of the absorption. This is similar to what is found for monomeric bacteriochlorophyll a (BChl a) embedded in a polymer film and for the 800 nm monomer BChl a band of Rb. sphaeroides reaction centers; thus, the BChl a chromophores in BCP behave largely as a non-interacting set in an electric field. For B800-850 in a glycerol/buffer glass, the BChl a associated with the 800 nm band has a small |ŒîŒºA| = 0.8-0.9 D/f, while the BChl a of the 850 nm band is found to have |ŒîŒºA| = 3.1-3.4 D/f; however, the Stark spectra of both components have anomalous lineshapes, which complicates the quantitative analysis. |ŒîŒºA| for the 850 nm band is nearly unchanged upon attenuation of the 800 nm band by treatment with lithium dodecyl sulfate. The Stark spectrum of the B875 complex was obtained in whole chromatophore membranes. The lineshape for B875 is also unusual, and it appears that the electrochromism is not dominated by a dipole moment change. In all three antenna complexes, efficient energy transfer occurs from higher-energy states to the lowest-energy excited state, and, at 77 K, fluorescence occurs primarily from this lowest state. The electric field modulated fluorescence of BCP shows nearly the same quantitative effect as that obtained from absorption, with |ŒîŒºF| = 1.6 D/f. In contrast, the B800-850 complex shows an unprecedented, very large net decrease in fluorescence in an applied electric field. Possible mechanisms for this unusual result are discussed. B875 also shows an electric field induced fluorescence decrease; however, the Stark fluorescence spectrum is dominated by a first-derivative contribution, not unlike the electromodulated absorption spectrum. Explanations for this, and many of the results for strongly interacting chromophores, may lie in a breakdown of the standard treatments of electrochromism when strong intermolecular coupling dominates. ¬© 1991 Elsevier Science Publishers B.V. All rights reserved.</t>
  </si>
  <si>
    <t>63-75</t>
  </si>
  <si>
    <t>7004295537;57196656966;35473804100</t>
  </si>
  <si>
    <t>Gottfried, David S.;Stocker, Jonathan W.;Boxer, Steven G.</t>
  </si>
  <si>
    <t>Stark effect spectroscopy of bacteriochlorophyll in light-harvesting complexes from photosynthetic bacteria</t>
  </si>
  <si>
    <t>S0005-2728(05)80188-4</t>
  </si>
  <si>
    <t>10.1016/S0005-2728(05)80188-4</t>
  </si>
  <si>
    <t>2-s2.0-0025766588</t>
  </si>
  <si>
    <t>['wavelength antenna', 'upon excitation', 'triplet yield', 'triplet quenching', 'significantly different', 'rights reserved', 'protein complex', 'polarized triplet', 'one dimer', 'monomeric bchl', 'interacting bchl', 'high polarization', 'dimeric pair', 'absorption spectrum', 'absorption band', '825 nm', '809 nm', '77 k', ')- singlet']</t>
  </si>
  <si>
    <t>Bacteriochlorophyll | Exciton interaction | Photosynthesis</t>
  </si>
  <si>
    <t>The pigment-protein complex, B820, isolated from the long-wavelength antenna (LH-1) of the photosynthetic purple bacterium Rhodospirillum rubrum was studied with polarized nanosecond laser spectroscopy. The polarized triplet (T)-singlet (S) spectrum was obtained at 77 K. The spectrum is significantly different from the T-S spectrum of monomeric BChl a, and can be explained by assuming that upon excitation the absorption band at 825 nm, which is due to a dimeric pair of BChl a molecules, disappears from the absorption spectrum, and is replaced by a monomer absorption band peaking at 809 nm. From the energy-dependence of the triplet yield, the high polarization of the bleaching, and the absence of singlet-triplet quenching we conclude that the B820 complex contains only one dimer of interacting BChl a molecules. ¬© 1991 Elsevier Science Publishers B.V. All rights reserved.</t>
  </si>
  <si>
    <t>111-119</t>
  </si>
  <si>
    <t>60008734;60008734;60008734;60007363;60007363;60008734;60008734</t>
  </si>
  <si>
    <t>7003691142;6506686647;7004704010;6602856309;7003761706;7004878962;35599806700</t>
  </si>
  <si>
    <t>van Mourik, Frank;van der Oord, Cornelis J.R.;Visscher, Kees J.;Parkes-Loach, Pamela S.;Loach, Paul A.;Visschers, Ronald W.;van Grondelle, Rienk</t>
  </si>
  <si>
    <t>van Mourik F.</t>
  </si>
  <si>
    <t>Exciton interactions in the light-harvesting antenna of photosynthetic bacteria studied with triplet-singlet spectroscopy and singlet-triplet annihilation on the B820 subunit form of Rhodospirillum rubrum</t>
  </si>
  <si>
    <t>S0005-2728(05)80193-8</t>
  </si>
  <si>
    <t>10.1016/S0005-2728(05)80193-8</t>
  </si>
  <si>
    <t>2-s2.0-0025866044</t>
  </si>
  <si>
    <t>['signal processing', 'receive modes', 'optic processors', 'novel acousto', 'array antennas', 'antenna transmit']</t>
  </si>
  <si>
    <t>Acousto-optic device | Phased-array antenna | Signal phase</t>
  </si>
  <si>
    <t>Novel acousto-optic processors for control and signal processing in phased-array antennas are presented. These processors can operate in both the antenna transmit and receive modes. An experimental acousto¬≠optic processor is demonstrated in the laboratory. This optical technique replaces all the phase-shifting devices required in electronically controlled phased-array antennas. ¬© 1991 Optical Society of America.</t>
  </si>
  <si>
    <t>3294-3303</t>
  </si>
  <si>
    <t>60021211;60031581</t>
  </si>
  <si>
    <t>7103231658;23016251300</t>
  </si>
  <si>
    <t>Riza, Nabeel A.;Psaltis, Demetri</t>
  </si>
  <si>
    <t>Pasadena;Niskayuna</t>
  </si>
  <si>
    <t>California Institute of Technology;GE Global Research</t>
  </si>
  <si>
    <t>60031581;60021211</t>
  </si>
  <si>
    <t>Riza N.</t>
  </si>
  <si>
    <t>Acousto-optic signal processors for transmission and reception of phased-array antenna signals</t>
  </si>
  <si>
    <t>10.1364/AO.30.003294</t>
  </si>
  <si>
    <t>2-s2.0-84975609350</t>
  </si>
  <si>
    <t>['subunit stoichiometry', 'results show', 'quantitative separation', 'psii membranes', 'minor chl', 'major light', 'ii membranes', 'febs lett', 'dimeric organization', 'dimeric complex', 'data suggest', 'covalent cross', 'cell biol', 'b proteins', 'antenna chl', '5 mol', '234 ),', '12 mol', '., tognon', '., babcock']</t>
  </si>
  <si>
    <t>Photosystem (PS) II membranes, obtained by the method of Berthold et al. (Berthold, D. A., Babcock, G. T., and Yocum, C. F. (1981) FEBS Lett. 134, 231-234), have been fractionated by a sucrose gradient ultracentrifugation method which allows the quantitative separation of the three major chlorophyll binding complexes in these membranes: the chlorophyll (chl) a binding PSII reaction center core, the major light-harvesting complex II, and the minor chl a/b proteins called CP26, CP29, and CP24. Each fraction has been analyzed for its subunit stoichiometry by quantitative sodium dodecyl sulfate-polyacrylamide gel electrophoresis methods. The results show that 12 mol of light-harvesting complex II and 1.5 mol of each of the minor chl a/b proteins are present per mol of the PSII reaction center complex in PSII membranes. These data suggest a dimeric organization of PSII, in agreement with a recent crystallographic study (Bassi, R., Ghiretti Magaldi, A., Tognon, G., Giacometti, G. M., and Miller, K. (1989) Eur. J. Cell Biol. 50, 84-93) and imply that such a dimeric complex is served by antenna chl a/b proteins whose minimal aggregation state includes three polypeptides. This was confirmed by covalent cross-linking of purified antenna complexes.</t>
  </si>
  <si>
    <t>8136-8142</t>
  </si>
  <si>
    <t>60000481;60000481</t>
  </si>
  <si>
    <t>6603780088;35553979700</t>
  </si>
  <si>
    <t>Dainese, P.;Bassi, R.</t>
  </si>
  <si>
    <t>Padua</t>
  </si>
  <si>
    <t>Universit√† degli Studi di Padova</t>
  </si>
  <si>
    <t>Dainese P.</t>
  </si>
  <si>
    <t>Subunit stoichiometry of the chloroplast photosystem II antenna system and aggregation state of the component chlorophyll a/b binding proteins</t>
  </si>
  <si>
    <t>2-s2.0-0025837874</t>
  </si>
  <si>
    <t>['transfer processes', 'transfer process', 'state fluorescence', 'rights reserved', 'previous estimates', 'picosecond resolution', 'longer periods', 'isolated using', 'high stability', 'fluorescence decays', 'equilibration time', 'chloroflexus aurantiacus', 'characterized spectroscopically', '866 complex', '806 nm', '790 nm']</t>
  </si>
  <si>
    <t>(Chloroflexus aurantiacus) | Antenna complex | Energy transfer | Photosynthetic bacterium | Pigment organization</t>
  </si>
  <si>
    <t>The B806-866 antenna protein complex from Chloroflexus aurantiacus has been isolated using the detergents lauryldimethylamine N-oxide (LDAO) and Deriphat-160. These preparations have been characterized spectroscopically. While the B806-866 complex was unstable for longer periods in 0.1% LDAO a high stability was observed when 0.1% Deriphat-160 was used as a detergent. In order to study the energy-transfer processes between the 806 and 866 nm absorbing excited states, fluorescence decays were measured with picosecond resolution in the detection wavelength range from 800 to 910 nm upon excitation at 790 nm. A fast energy transfer from the 806 nm to the 866 nm absorbing states was resolved, and was found to have an equilibration time of 5 ¬± 1 ps. This equilibration time is in line with previous estimates from steady-state fluorescence. Due to the fast equilibration time, resolution of this energy-transfer process has not been achieved in the past when measuring whole cells of C. aurantiacus. ¬© 1991 Elsevier Science Publishers B.V. All rights reserved.</t>
  </si>
  <si>
    <t>226-232</t>
  </si>
  <si>
    <t>60072285;60072285;60072285</t>
  </si>
  <si>
    <t>36796558900;57199034833;35501122300</t>
  </si>
  <si>
    <t>Griebenow, Kai;M√ºller, Marc G.;Holzwarth, Alfred R.</t>
  </si>
  <si>
    <t>Griebenow K.</t>
  </si>
  <si>
    <t>Pigment organization and energy transfer in green bacteria. 3. Picosecond energy transfer kinetics within the B806-866 bacteriochlorophyll a antenna complex isolated from Chloroflexus aurantiacus</t>
  </si>
  <si>
    <t>S0005272805802075</t>
  </si>
  <si>
    <t>10.1016/S0005-2728(05)80207-5</t>
  </si>
  <si>
    <t>2-s2.0-0025816233</t>
  </si>
  <si>
    <t>['¬© 1991', 'surrounding cavity', 'rights reserved', 'mode performance', 'larger cavity', 'four slots', 'electrical engineers', 'efficient dual', 'dichroic structure', 'compact dual', 'circular waveguide', 'back wall', '408 mhz']</t>
  </si>
  <si>
    <t>Antenna feeders | Antennas</t>
  </si>
  <si>
    <t>A compact dual-frequency feed operating at 1420 and 408 MHz has been developed for a prime focus paraboloid. Efficient dual-mode performance at 1420 MHz results from the combination of modes in a circular waveguide of diameter 0‚Äì91Œª1420 and a surrounding cavity of diameter 2‚Äì61Œª1420. A single TE11 mode is excited in the larger cavity at 408 MHz by four slots in its back wall, which acts as a dichroic structure, allowing the passage of 408 MHz energy while reflecting 1420 MHz fields. Satisfactory 408 MHz performance is obtained in a feed of depth only 0*55Œª408, without significant effect on 1420 MHz performance. ¬© 1991 The Institution of Electrical Engineers. All rights reserved.</t>
  </si>
  <si>
    <t>1682-1683</t>
  </si>
  <si>
    <t>60030835;60009839;60030835;60030835</t>
  </si>
  <si>
    <t>6603302787;7003557448;6701557873;6602670307</t>
  </si>
  <si>
    <t>Trikha, P. K.;Landecker, T. L.;Routledge, D.;Vaneldik, J. F.</t>
  </si>
  <si>
    <t>Edmonton;Ottawa ON,</t>
  </si>
  <si>
    <t>University of Alberta;National Research Council Canada</t>
  </si>
  <si>
    <t>60030835;60009839</t>
  </si>
  <si>
    <t>Trikha P.K.</t>
  </si>
  <si>
    <t>Compact dual-frequency feed for prime-focus paraboloid</t>
  </si>
  <si>
    <t>10.1049/el:19911050</t>
  </si>
  <si>
    <t>2-s2.0-0026206755</t>
  </si>
  <si>
    <t>['¬© 1991', 'rights reserved', 'pyramidal horns', 'electrical engineers', '60 db', '50 db', '35 db', '25 db', '20 db', '183 ghz', '110 ghz']</t>
  </si>
  <si>
    <t>Antennas | Measurement | Radar cross-sections</t>
  </si>
  <si>
    <t>Three anechoic chambers have been tested at 110 and 183 GHz. Typical sidewall reflectivity levels are about 60 dB at 110 GHz and - 50 dB at 183 GHz measured with pyramidal horns which have a gain of 20 dB. Backwall reflectivity levels are about - 35 dB at 110 GHz and - 25 dB at 183 GHz. ¬© 1991 The Institution of Electrical Engineers. All rights reserved.</t>
  </si>
  <si>
    <t>1708-1709</t>
  </si>
  <si>
    <t>7003817193;7006775375;57194936930</t>
  </si>
  <si>
    <t>Lehto, A.;Tuovinen, J.;R√§is√§en, A.</t>
  </si>
  <si>
    <t>Reflections in anechoic chambers in 100‚Äì200 GHz range</t>
  </si>
  <si>
    <t>10.1049/el:19911063</t>
  </si>
  <si>
    <t>2-s2.0-0026219738</t>
  </si>
  <si>
    <t>['¬© 1991', 'special arrangement', 'small size', 'rights reserved', 'major characteristics', 'electrical engineers', 'dra ),', 'active circularly', '480 mhz']</t>
  </si>
  <si>
    <t>An active circularly-polarised dielectric radiator array (DRA), which is integrated with a transistor, is formed by a special arrangement of four slow wave Œª/4 dielectric resonators (DRs) together with a 90¬∞ phase shifter. Small size, low phase noise and high frequency stability are the major characteristics of this DRA at 480 MHz. With proper circuit topology, the DRA can be used as a Doppler motion detector. ¬© 1991 The Institution of Electrical Engineers. All rights reserved.</t>
  </si>
  <si>
    <t>1758-1759</t>
  </si>
  <si>
    <t>60013983;60013983;60013983</t>
  </si>
  <si>
    <t>57198917822;7005964999;7202630194</t>
  </si>
  <si>
    <t>Ng, T. B.;Yam, Y. O.;Lam, M. L.</t>
  </si>
  <si>
    <t>City University of Hong Kong</t>
  </si>
  <si>
    <t>Ng T.</t>
  </si>
  <si>
    <t>Active quarter-wavelength dielectric radiator with circularly polarised radiation pattern</t>
  </si>
  <si>
    <t>10.1049/el:19911093</t>
  </si>
  <si>
    <t>2-s2.0-0026219988</t>
  </si>
  <si>
    <t>['¬© 1991', 'several manufacturers', 'rights reserved', 'rapid degradation', 'measurements revealed', 'electrical engineers', 'different types', 'best absorbers', '40 db', '35 db', '183 ghz', '107 ghz']</t>
  </si>
  <si>
    <t>Different types (pyramidal, convoluted, wedge, flat) of absorber panel made by several manufacturers have been measured at 107 and 183 GHz. These measurements revealed a rapid degradation of the quality of absorbers from 107 to 183GHz: reflectivity increased nearly l0dB. The best absorbers have reflectivities below - 40 dB at 107 GHz and about - 35 dB at 183 GHz. ¬© 1991 The Institution of Electrical Engineers. All rights reserved.</t>
  </si>
  <si>
    <t>1699-1700</t>
  </si>
  <si>
    <t>7003817193;7006775375;57194929089</t>
  </si>
  <si>
    <t>Lehto, A.;Tuovinen, J.;R√§ls√§nen, A.</t>
  </si>
  <si>
    <t>Reflectivity of absorbers in 100‚Äì200 GHz range</t>
  </si>
  <si>
    <t>10.1049/el:19911058</t>
  </si>
  <si>
    <t>2-s2.0-0026221950</t>
  </si>
  <si>
    <t>['¬© 1991', 'two cases', 'simulated time', 'rights reserved', 'reflection coefficient', 'modelling coaxial', 'fed structures', 'excellent agreement', 'electrical engineers', 'domain wave', 'direct three', 'dimensional finite', 'difference time', 'coaxial line', 'accurate tool']</t>
  </si>
  <si>
    <t>Antennas | Microstrip | Modelling</t>
  </si>
  <si>
    <t>A direct three-dimensional finite-difference time-domain (FDTD) method is applied to coaxial-fed microstrip antennas. The model is shown to be an efficient and accurate tool for modelling coaxial-fed structures. The reflection coefficient can be determined from the simulated time-domain wave that is reflected down the coaxial line. Excellent agreement over a wide frequency range is shown in two cases between the measured and FDTD derived results. ¬© 1991 The Institution of Electrical Engineers. All rights reserved.</t>
  </si>
  <si>
    <t>1691-1692</t>
  </si>
  <si>
    <t>7501662188;7404507474;7102348576;7006562937</t>
  </si>
  <si>
    <t>Wu, C.;Wu, K. L.;Bi, Z.;Litva, J.</t>
  </si>
  <si>
    <t>Modelling of coaxial-fed microstrip patch antenna by finite difference time domain method</t>
  </si>
  <si>
    <t>10.1049/el:19911053</t>
  </si>
  <si>
    <t>2-s2.0-0026222101</t>
  </si>
  <si>
    <t>['œ ≤', '¬© 1991', 'vector cancellation', 'satellite antenna', 'rights reserved', 'residual error', 'induced depolarisation', 'ice depolarisation', 'electrical engineers', 'crosspolar signals', 'clearly distinguish']</t>
  </si>
  <si>
    <t>Data processing | Polarisation | Satellite links</t>
  </si>
  <si>
    <t>System-induced depolarisation of single-polarised satellite beacon signals can be cancelled with vector cancellation. It is demonstrated that the residual error after application of this bias removal technique depends only on the polarisation tilt angle and the XPD of the satellite antenna. It appears that for the calculation of the atmospheric-induced differential attenuation A and phase shift Œ≤, correction of the systeminduced differential phase shift for the copolar and crosspolar signals is necessary. An experiment is described to measure this system-induced differential phase shift. It is demonstrated that it is possible to clearly distinguish between rain and ice depolarisation by looking at the scatterplots of the calculated A and Œ≤ against measured copolar attenuation. ¬© 1991 The Institution of Electrical Engineers. All rights reserved.</t>
  </si>
  <si>
    <t>1752-1753</t>
  </si>
  <si>
    <t>60032882;60032882;60032882</t>
  </si>
  <si>
    <t>6507750479;7003821814;7004123347</t>
  </si>
  <si>
    <t>Hogers, R. A.;Herben, M. H.A.J.;Brussaard, G.</t>
  </si>
  <si>
    <t>Hogers R.</t>
  </si>
  <si>
    <t>Distinction between rain and ice depolarisation by calculation of differential attenuation and phase shift</t>
  </si>
  <si>
    <t>10.1049/el:19911089</t>
  </si>
  <si>
    <t>2-s2.0-0026223290</t>
  </si>
  <si>
    <t>['zea possess', 'zea males', 'zea consists', 'z11 16', 'virescens females', 'unique fashion', 'two types', 'third class', 'substance released', 'staining revealed', 'projection neurons', 'processing species', 'processing information', 'principal component', 'pheromone blend', 'pheromonal components', 'pheromonal blends', 'overlapping arborizations', 'mgc neurons', 'male h', 'male attraction', 'intracellular recording', 'heliothis virescens', 'female sex', 'exclusively involved', 'electrophysiological methods', 'dorsal glomeruli', 'different components', 'coding functions', 'antennal lobes', '6 ).', '3 ).', '12 ).', '11 ).', '10 ).', '1 ).']</t>
  </si>
  <si>
    <t>Corn earworm | Helicoverpa (Heliothis) zea | Interspecific inhibition | Intracellular recording | Sex pheromone</t>
  </si>
  <si>
    <t>1. The antennal lobes (ALs) in the brain of the corn earworm moth Helicoverpa zea (formerly Heliothis zea; Lepidoptera: Noctuidae) were examined using combined anatomical and electrophysiological methods. Like other moths, male H. zea possess a sex-specific macroglomerular complex (MGC) for processing information about the female sex-pheromone blend. Unlike other moths, however, the MGC in H. zea consists of 3 distinct glomerular structures: two situated dorsally, and a third situated ventrally (Fig. 1). 2. Intracellular recording and staining revealed a population of projection neurons that link the MGC with the protocerebrum (Figs. 4, 7, and 11). Four physiological classes of MGC neurons were identified based upon their responses to stimulation of the antenna with different components of the pheromonal blends of H. zea and Heliothis virescens (a sympatric species). One class responded selectively to the principal component in both species, Z11 16:AL (Figs. 2 and 3). A second, more broadly tuned class showed strong responses to Z11-16:AL and also to other pheromonal components (Figs. 5 and 6). A third class did not respond to Z11-16:AL but did respond to Z9-14:AL, a substance released by H. virescens females that helps attract conspecific males while it inhibits the attraction of H. zea males (Figs. 8, 9 and 10). Some of these neurons also responded to another pheromonal component required for male attraction in H. zea, Z9-16: AL. A fourth class responded in a unique fashion to a blend of Z11-16: AL and Z9-14:AL(Fig. 12). 3. Projection neurons that responded to Z11-16:AL had arborizations in all 3 MGC glomeruli (Figs. 4 and 7), whereas neurons that responded to Z9-14:AL from H. virescens had arborizations in just one of the dorsal glomeruli of the MGC (Fig. 11). Thus these two types of neurons with widely different quality-coding functions have overlapping arborizations in one dorsal glomerulus in the MGC, demonstrating that the MGC is not exclusively involved with processing species-specific (pheromonal) information. ¬© 1991 Springer-Verlag.</t>
  </si>
  <si>
    <t>259-274</t>
  </si>
  <si>
    <t>Journal of Comparative Physiology A</t>
  </si>
  <si>
    <t>60023324;60023324-60013141;60023324</t>
  </si>
  <si>
    <t>57213669759;6701730347;7102653635</t>
  </si>
  <si>
    <t>Christensen, Thomas A.;Mustaparta, Hanna;Hildebrand, John G.</t>
  </si>
  <si>
    <t>United States;Norway</t>
  </si>
  <si>
    <t>Tucson;Trondheim</t>
  </si>
  <si>
    <t>Arizona Research Laboratories;Norges Teknisk-Naturvitenskapelige Universitet</t>
  </si>
  <si>
    <t>60023324;60013141</t>
  </si>
  <si>
    <t>Christensen T.</t>
  </si>
  <si>
    <t>Chemical communication in heliothine moths - II. Central processing of intra- and interspecific olfactory messages in the male corn earworm moth Helicoverpa zea</t>
  </si>
  <si>
    <t>10.1007/BF00206990</t>
  </si>
  <si>
    <t>2-s2.0-0000599359</t>
  </si>
  <si>
    <t>['purpose complexes', 'providing ttc', 'past experience', 'new special', 'intelsat v', 'functions performed', 'design approach', '1989 ttc']</t>
  </si>
  <si>
    <t>The design and operation of tracking, telemetry, command, and monitoring (TTC&amp;M) earth stations implemented by the U.S. Signatory as part of INTELSAT's Post-1989 TTC&amp;M Network are discussed. Past experience in providing TTC&amp;M services to INTELSAT is presented, and implementation of two of the new special-purpose complexes is described. The U.S. Signatory's design approach and implementation are then presented as they relate to TTC&amp;M earth station operation in the INTELSAT VI era. Finally, the functions performed in support of INTELSAT V/V-A and VI spacecraft operations are reviewed.</t>
  </si>
  <si>
    <t>391-409</t>
  </si>
  <si>
    <t>6507551153;57196516016</t>
  </si>
  <si>
    <t>Skroban, R. J.;Belanger, D. J.</t>
  </si>
  <si>
    <t>Skroban R.</t>
  </si>
  <si>
    <t>Design and operation of a post-1989 INTELSAT TTC&amp;M earth station</t>
  </si>
  <si>
    <t>2-s2.0-0026212382</t>
  </si>
  <si>
    <t>['routinely performed', 'rf iot', 'ranging subsystems', 'prelaunch data', 'paper describes', 'orbit test', 'onboard subsystems', 'new spacecraft', 'iot station', 'intelsat 602', 'good agreement', 'communications payload', 'also presented']</t>
  </si>
  <si>
    <t>When a new spacecraft is launched for INTELSAT, a number of tests are routinely performed to verify that the stress loads imposed by the launch have not affected the onboard subsystems. An RF in-orbit test (IOT) is conducted to verify the performance of the communications payload (antennas and transponders) and telemetry, command, and ranging subsystems. This paper describes the new measurement methodologies developed and implemented at INTELSAT's Fucino, Italy, IOT station to accomplish the RF IOT of INTELSAT VI series spacecraft. Also presented are the test results obtained from IOT measurements performed on INTELSAT 602, which have proved to be in good agreement with prelaunch data.</t>
  </si>
  <si>
    <t>339-390</t>
  </si>
  <si>
    <t>;;;;</t>
  </si>
  <si>
    <t>6602110285;6507238463;7801329755;7006345687;7202099101</t>
  </si>
  <si>
    <t>Rosell, G. E.G.;Teixeira, B.;Olimpiew, A.;Pettersson, B. A.;Sanders, S. B.</t>
  </si>
  <si>
    <t>Rosell G.</t>
  </si>
  <si>
    <t>In-orbit RF test of an INTELSAT VI spacecraft</t>
  </si>
  <si>
    <t>2-s2.0-0026216116</t>
  </si>
  <si>
    <t>['unit level', 'uniquely successful', 'testing unique', 'solar arrays', 'sheer size', 'reflector antennas', 'monitoring program', 'monitoring approaches', 'major features', 'load 1', 'launch vehicles', 'launch site', 'intelsat vi', 'includes near', 'g deployment', 'discussed herein', 'complex problems', 'antenna testing', 'also reviewed']</t>
  </si>
  <si>
    <t>The uniquely successful and thorough monitoring approach used for all INTELSAT spacecraft since INTELSAT IV is presented. Because INTELSAT VI is the largest commercial communications satellite placed in service to date, it presented many new and complex problems to the contractor. Very comprehensive test plans, tests, and monitoring approaches were developed and executed. The major features of this monitoring program are discussed herein. The ground test program is sketched, from unit level through launch site, and the test data handling system and its use are presented. Testing unique to the INTELSAT VI program is also reviewed. This includes near-field anechoic chamber antenna measurements methodology, facilitation, and antenna testing; off-load 1-g deployment of solar arrays and reflector antennas; and electrostatic discharge testing. Finally, some of the problems (and their solutions) arising from the sheer size of the spacecraft and the change in launch vehicles are discussed.</t>
  </si>
  <si>
    <t>279-304</t>
  </si>
  <si>
    <t>7405670196;6602749753;7007001934;6507118721</t>
  </si>
  <si>
    <t>Johnson, C. E.;Persinger, R. R.;Lemon, J. J.;Volkert, K. J.</t>
  </si>
  <si>
    <t>Johnson C.</t>
  </si>
  <si>
    <t>Ensuring a reliable satellite</t>
  </si>
  <si>
    <t>2-s2.0-0026216471</t>
  </si>
  <si>
    <t>['waves diffracted', 'spectrum method', 'size mirror', 'reflection grating', 'reflected beam', 'radiation beam', 'plane waves', 'millimeter waves', 'lateral shape', 'grating spectrometer', 'fresnal region', 'focus beam', 'first order', 'experimentally verified', 'diffracted beam', 'conical lens', 'beam produced', 'antenna horn', '3db lapsed', '2 ).', '1 ).']</t>
  </si>
  <si>
    <t>Diffraction efficiency | Grating spectrometer | Lateral Shift | Resolving Power</t>
  </si>
  <si>
    <t>According to the angular-spectrum method, a radiation beam of an antenna horn in the Fresnal region is decomposed into the plane waves with the fast Fourier transform algorithm and the waves diffracted from a reflection grating are superposed as a diffracted beam. Compared with the reflected beam from the same size mirror, the radiation half width of the diffracted beam from a grating is narrower and its lateral shape is shift. These performances have been experimentally verified at Ka-band by: (1). The relative diffraction efficiencies in the first order with two triangular gratings which is put along propagating direction of a beam produced by a conical lens-horn. (2). H-plane lateral width with power-3dB lapsed of the focus beam from a grating and a mirror in a grating spectrometer for millimeter waves (25-100 GHz). ¬© 1991 Plenum Publishing Corporation.</t>
  </si>
  <si>
    <t>1023-1034</t>
  </si>
  <si>
    <t>60005465;60005465;60005465;60005465</t>
  </si>
  <si>
    <t>36078868800;55719317200;57213371562;7201901113</t>
  </si>
  <si>
    <t>Liu, Xiangdong;Liu, Hongwei;Yuan, Kexu;Du, Huiping</t>
  </si>
  <si>
    <t>Liu X.</t>
  </si>
  <si>
    <t>Millimeter wave beams diffracted from reflecting gratings</t>
  </si>
  <si>
    <t>10.1007/BF01009555</t>
  </si>
  <si>
    <t>2-s2.0-0026218897</t>
  </si>
  <si>
    <t>['wave losses', 'wave frequencies', 'transmission losses', 'samples containing', 'microstrip discontinuities', 'experimental investigation', 'compensated symmetrical', 'article presents']</t>
  </si>
  <si>
    <t>This article presents the results of an experimental investigation on the radiation and surface-wave losses at the microstrip discontinuities such as compensated symmetrical T junctions and bends at near-millimeter-wave frequencies. Reflection and transmission losses of samples containing those discontinuities with fine geometrical differences have been measured. The reduction of those losses with the use of smooth T junctions and bends is demonstrated.</t>
  </si>
  <si>
    <t>412-414</t>
  </si>
  <si>
    <t>Investigation of radiation and surface-wave losses at compensated microstrip T junctions and bends at near-millimeter-wave frequencies</t>
  </si>
  <si>
    <t>2-s2.0-0026222111</t>
  </si>
  <si>
    <t>['reliable results', 'reasonable test', 'radiation characteristic', 'numerical evaluation', 'moment method', 'good agreement', 'efficient mixture', 'dielectric rods', 'available measured', 'analytical integration']</t>
  </si>
  <si>
    <t>Some difficulties during the numerical evaluation of the radiation characteristic of dielectric rods by the moment method were investigated. An efficient mixture of numerical and analytical integration is described and a reasonable test for reliable results is given. The results of the computations are in good agreement with available measured as well as published calculated results.</t>
  </si>
  <si>
    <t>320-322</t>
  </si>
  <si>
    <t>100748116;100748116</t>
  </si>
  <si>
    <t>7801659786;57215981213</t>
  </si>
  <si>
    <t>Vollert, Thomas;Marquardt, Juergen</t>
  </si>
  <si>
    <t>Hannover</t>
  </si>
  <si>
    <t>Inst fuer Hochfrequenztechnik</t>
  </si>
  <si>
    <t>Vollert T.</t>
  </si>
  <si>
    <t>Computation of the radiation characteristic of rotational symmetric dielectric rods with the moment method</t>
  </si>
  <si>
    <t>2-s2.0-0026224014</t>
  </si>
  <si>
    <t>['various actions', 'thereby making', 'skin temperature', 'similar manner', 'radiation intensity', 'physiological probes', 'image dynamics', 'band depends']</t>
  </si>
  <si>
    <t>A remote dynamical radio imaging system operating in the centimeter band employing a scanning elliptical reflector antenna with a radiometer is described. It is shown that the radiation intensity in this band depends on the circulation of the blood and the skin temperature. A test of the system revealed signifcant responses to nitroglycerin, ammonia and other physiological probes. The image dynamics are analyzed, thereby making it possible to identify on the surface of an object functionally related areas that respond in a similar manner to various actions.</t>
  </si>
  <si>
    <t>6507195079;7005043871</t>
  </si>
  <si>
    <t>Valiyev, I. V.;Zakharchenko, I. I.</t>
  </si>
  <si>
    <t>Valiyev I.</t>
  </si>
  <si>
    <t>Remote dynamical radio imaging system for medical diagnostics</t>
  </si>
  <si>
    <t>2-s2.0-0026224052</t>
  </si>
  <si>
    <t>['within plus', 'type 2t', 'scanning plane', 'scanner surface', 'satisfactorily obeys', 'required degree', 'phase error', 'msast measurements', 'monitoring error', 'main sources', 'made using', 'axial position', 'axial direction', '6 degrees', '4800 points', '2 theodolite', '10 cm', '+/- œª']</t>
  </si>
  <si>
    <t>One of the main sources of monitoring error in the antennas for satellite TV broadcasting monitoring systems (MSAST) under consideration is the scanner, intended for moving the probe in the scanning plane. It is considered to be acceptable if the error in positioning the probe in this plane, in the axial direction, is no worse than +/-Œª/100. A 3 cm wave would yield a phase error of 3.6 degrees. To determine the required degree of correction of the probe's axial position in the MSAST measurements were made using a scanner with a scanning plane of 6 times 8 m. Measurements were carried out by means of a type 2T-2 theodolite and a type SHCHTS11 gauge instrument. The results were carried out in steps of 10 cm at 4800 points on the scanner surface and showed that the maximum random deviation from the scanning plane is within plus or minus 1 mm and satisfactorily obeys a normal distribution law.</t>
  </si>
  <si>
    <t>32-34</t>
  </si>
  <si>
    <t>Rumyantsev, R. I.</t>
  </si>
  <si>
    <t>Rumyantsev R.</t>
  </si>
  <si>
    <t>Method for improving antenna monitoring systems in satellite TV broadcasting</t>
  </si>
  <si>
    <t>2-s2.0-0026225865</t>
  </si>
  <si>
    <t>['without regard', 'uneven distributions', 'treated extensively', 'substantial reduction', 'sidelobe level', 'radio systems', 'problem reduces', 'practical attainment', 'one way', 'one hand', 'nonaxisymmetric excitation', 'large number', 'important problems', 'high efficiency', 'g .,', 'focussed specifically', 'first part', 'extensive bibliography', 'e .,', 'comparatively smooth', 'aperture antennas', 'another minimize']</t>
  </si>
  <si>
    <t>Reducing an antenna's sidelobe level while retaining its high efficiency is one of the more important problems for practically all radio systems. In the case of aperture antennas, this problem reduces, on the one hand, to determining the necessary amplitude field distributions in the aperture, which one way or another minimize the sidelobe level and, on the other hand, to developing specific excitation devices which produce optimal distributions. The first part of this problem has been treated extensively in a large number of publications (see, e.g., where an extensive bibliography on the subject is given. However, in the majority of these, the distribution optimization process is carried out without regard to the possibility of their practical attainment: attention was focussed specifically on nonmonotonic and uneven distributions, etc. Clearly, these or other distributions can only be obtained when they are comparatively smooth and monotonic, i.e., in the case of so-called ‚Ä≥smooth‚Ä≥ distributions. In this paper, we show how a substantial reduction in the antenna sidelobe level can be obtained in the case of nonaxisymmetric excitation.</t>
  </si>
  <si>
    <t>Yampol'skiy, V. G.</t>
  </si>
  <si>
    <t>Yampol'skiy V.</t>
  </si>
  <si>
    <t>Directional properties of aperture antennas with nonaxisymmetric excitation</t>
  </si>
  <si>
    <t>2-s2.0-0026225866</t>
  </si>
  <si>
    <t>['wave scattered', 'transmitting antenna', 'scattered wave', 'reception point', 'radio routes', 'radiation pattern', 'local approximation', 'interference formula', 'cumulative field']</t>
  </si>
  <si>
    <t>Radio routes with a nonuniform underlying surface are discussed. An expression is obtained in a quasi-local approximation for calculating the wave scattered by an inhomogeneity. A generalization of the interference formula for the case of a nonuniform underlying surface, taking into account the shape of the radiation pattern of a transmitting antenna, is given and the effect of the scattered wave on the parameters of the cumulative field at the reception point is estimated.</t>
  </si>
  <si>
    <t>85-87</t>
  </si>
  <si>
    <t>Formin, A. A.</t>
  </si>
  <si>
    <t>Formin A.</t>
  </si>
  <si>
    <t>Scattering of radio waves by inhomogeneities on the underlying surface along ground routes</t>
  </si>
  <si>
    <t>2-s2.0-0026225947</t>
  </si>
  <si>
    <t>['guide steering']</t>
  </si>
  <si>
    <t>Results of the design of millimeter and submillimeter phased antenna arrays with holographic and light-guide steering are presented.</t>
  </si>
  <si>
    <t>83-84</t>
  </si>
  <si>
    <t>6602267294;7003720048;7005505421</t>
  </si>
  <si>
    <t>Afromeyev, A. S.;Kaplun, V. A.;Naumov, I. A.</t>
  </si>
  <si>
    <t>Afromeyev A.</t>
  </si>
  <si>
    <t>Millimeter wave antenna with holographic and lightguide control</t>
  </si>
  <si>
    <t>2-s2.0-0026225948</t>
  </si>
  <si>
    <t>['various types', 'uhf bands', 'transmission lines', 'tl ).', 'systems based', 'rusl ).', 'practical realization', 'large number', 'essentially based', 'efficiency high', 'distinguishing features']</t>
  </si>
  <si>
    <t>The practical realization of high-efficiency high-rate data processing systems in the microwave and UHF bands is essentially based on the application of the technology and engineering of planar and bulk integrated circuits. One of the distinguishing features of systems based on microwave integrated circuits is the use when constructing the module - of a large number of various types of transmission lines (TL). It is, therefore, important to study new types of TL, for example, the ribbed unbalanced slotted line (RUSL).</t>
  </si>
  <si>
    <t>7003932680;6602783115;6603568057</t>
  </si>
  <si>
    <t>Nefedov, Ye I.;Utkin, M. I.;Chernikova, T. Yu</t>
  </si>
  <si>
    <t>Nefedov Y.</t>
  </si>
  <si>
    <t>Ribbed unbalanced slotted line</t>
  </si>
  <si>
    <t>2-s2.0-0026227402</t>
  </si>
  <si>
    <t>['yet available', 'type 75', 'strength construction', 'practical realization', 'powers greater', 'main feeders', 'feeder channel', 'coaxial cables', 'antenna consists', '500 kw']</t>
  </si>
  <si>
    <t>The SGD8/4RA antenna described in consists of rigid dipoles excited by type 75-120D coaxial cables, which are designed for an SWR &gt; 0.5 and a power of approximately 125 KW. The complexity of the practical realization of the feeder channel of this antenna consists of constructing a transition from coaxial cables to the main coaxial feeder that should have large transverse dimensions to ensure the necessary electrical strength. Equal-strength construction of the distributing and main feeders is achieved by making the latter from conductors, since coaxial cables are not yet available for powers greater than 500 kW. in this paper, a version of an antenna feeder channel is proposed which use type 75-120D coaxial feeders, and the results of tests of this feeder are presented.</t>
  </si>
  <si>
    <t>27-29</t>
  </si>
  <si>
    <t>7004141244;7004694316</t>
  </si>
  <si>
    <t>Kliger, G. A.;Eskin, N. A.</t>
  </si>
  <si>
    <t>Kliger G.</t>
  </si>
  <si>
    <t>Decameter antenna array with a nonsymmetrical feeder channel</t>
  </si>
  <si>
    <t>2-s2.0-0026227403</t>
  </si>
  <si>
    <t>['¬© 1991', 'two processes', 'time course', 'thylakoid membranes', 'thylakoid membrane', 'stable cp43', 'showed previously', 'reaction center', 'ps ii', 'proteins cp43', 'protein complexes', 'prolonged illumination', 'present study', 'plant physiologists', 'membrane later', 'kda protein', 'jspp ).', 'japanese society', 'harvesting chi', 'greening cells', 'extrinsic 30', 'evolving system', 'early stages', 'dl protein', 'dependent formation', '47 paralleled']</t>
  </si>
  <si>
    <t>Antenna Chl-binding protein | Euglena gracilis | Greening | Oxygen evolution | PS II</t>
  </si>
  <si>
    <t>The accumulation of the extrinsic 30-kDa protein of PS II in thylakoid membranes was studied in relation to the assembly of PS II antenna Chl-proteins CP43/47 and light-harvesting Chi a/b-protein (LHC) in greening cells of Euglena. We showed previously that the 30-kDa protein accumulates in the membrane later than the reaction center-binding Dl protein (Mizobuchi and Yamamoto 1989). In the present study, the rate of accumulation of the apoproteins of LHC and CP43/47 was shown to be similar to that of the Dl protein. By contrast, we found by non-denaturing lithium dodecyl sulfate-polyacrylamide gel electrophoresis that, at the early stages of greening, newly assembled antenna Chi a-binding proteins CP43 and CP47 were more susceptible to detergent than were the other Chl-protein complexes. Prolonged illumination was required for the stabilization of CP43 and CP47, and the time course of the light-dependent formation of stable CP43/47 paralleled that of the accumulation of the extrinsic 30-kDa protein. These results are discussed in terms of the relationship between the stabilization of CP43/47 and the accumulation of the 30-kDa protein in the thylakoid membrane and the roles of these two processes in the assembly of the oxygen-evolving system in Euglena are examined. ¬© 1991. The Japanese Society of Plant Physiologists (JSPP).</t>
  </si>
  <si>
    <t>881-889</t>
  </si>
  <si>
    <t>60023147;60023147;60023147;60023147</t>
  </si>
  <si>
    <t>36506748000;25950460500;57192933353;7405516662</t>
  </si>
  <si>
    <t>Hiramatsu, Hiroyuki;Mizobuchi, Akihiro;Mori, Hiroki;Yamamoto, Yasusi</t>
  </si>
  <si>
    <t>Okayama</t>
  </si>
  <si>
    <t>Okayama University</t>
  </si>
  <si>
    <t>Hiramatsu H.</t>
  </si>
  <si>
    <t>Relationship between the stability of antenna Chl Œ±-binding proteins CP43/47 and the accumulation of the extrinsic 30-kDa protein in PS II in euglena</t>
  </si>
  <si>
    <t>2-s2.0-0037559583</t>
  </si>
  <si>
    <t>['zea males', 'two species', 'tungsten microelectrodes', 'tonic neurons', 'stimulation period', 'showed variations', 'responses showed', 'receptor neurons', 'rapid decay', 'principal component', 'pheromone compounds', 'pheromone components', 'pheromone component', 'neurons selective', 'male helicoverpa', 'heliothis virescens', 'far outlasting', 'corresponding neurons', 'background activity', 'al respectively', 'al ).', 'al ),', '91 units']</t>
  </si>
  <si>
    <t>(Z)-11-hexadecenal | (Z)-9-tetradecenal | Helicoverpa (Heliothis) zea | Interspecific inhibitor | Pheromones | Single cell recordings | Temporal coding</t>
  </si>
  <si>
    <t>1. Responses of single olfactory receptor neurons to pheromones were recorded with tungsten microelectrodes on the antennae of male Helicoverpa (Heliothis) zea. Recordings were obtained from the male specific sensilla trichodea type 1. 2. More than half (49/91 units) could be classified as olfactory receptor neurons, 35 of which were selective for pheromone components of the heliothine moths H. zea and Heliothis virescens. The majority (31/35) were most responsive to the principal component (Z)-11-hexadecenal (Z11-16:AL). The other 4 were tuned to (Z)-9-tetradecenal (Z9-14:AL), which is a pheromone component in the sympatric species H. virescens, and also interrupts attraction of H. zea males. 3. The specificity and sensitivity of these neurons were similar to the corresponding neurons in H. virescens, suggesting homologous populations of neurons in the two species. No other neurons selective for other pheromone compounds were identified. 4. Receptor neurons of both types (tuned to Z11-16:AL and Z9-14:AL respectively) showed variations in temporal response characteristics. Some responses showed a pronounced phasic spiking component, a rapid decay, and return to background activity after stimulation. Other responses were more prolonged, far outlasting the stimulation period. Phasic neurons also followed short, rapid stimulus pulses better than tonic neurons, suggesting that they may encode different features of an intermittent pheromone plume. ¬© 1991 Springer-Verlag.</t>
  </si>
  <si>
    <t>249-258</t>
  </si>
  <si>
    <t>60013141;60013141-60023324;60013141</t>
  </si>
  <si>
    <t>6507105227;57213669759;6701730347</t>
  </si>
  <si>
    <t>Almaas, Tor J.;Christensen, Thomas A.;Mustaparta, Hanna</t>
  </si>
  <si>
    <t>Almaas T.</t>
  </si>
  <si>
    <t>Chemical communication in heliothine moths - I. Antennal receptor neurons encode several features of intra- and interspecific odorants in the male corn earworm moth Helicoverpa zea</t>
  </si>
  <si>
    <t>10.1007/BF00206989</t>
  </si>
  <si>
    <t>2-s2.0-0344190363</t>
  </si>
  <si>
    <t>['thylakoid membrane', 'reversible changes', 'ps 1', 'pea chloroplasts', 'may indicate', 'maxima 668', 'lhc 2', 'induced enhancement', 'induced changes', 'heterogeneous character', 'heavier fraction', 'granal unstacking', 'formed mostly', 'f735 ),', 'domain organisation', 'digitonin method', 'chloroplast preparations', '687 nm', '685 nm', '676 nm', '577 nm', '5 min']</t>
  </si>
  <si>
    <t>Œ±-transfer | energy redistribution | heat treatment | Photosystem 2 complexes | spillover</t>
  </si>
  <si>
    <t>Reversible changes in the room temperature fluorescence quenching at 685 nm and light scattering level at 577 nm, indicating about 15% of granal unstacking, induced by high temperature treatment (40¬∞C, for 5 min) of pea chloroplasts were shown. Analysis of the low temperature excitation fluorescence spectra of the 735 nm Photosystem 1 (PS 1) band (F735), in the 635-725 nm region, has revealed the involvement of light-harvesting (LHC 2, maxima at 650 and 676 nm) and the proximal Photosystem 2 antenna (maxima 668, 687 nm) in heat-induced enhancement of the PS 1 long wavelength antenna absorption cross-section. It was found that the two PS 1 sub-chloroplast preparations, achieved by the digitonin method, possessed different characteristics of this enhancement. For the heavier fraction (100 000 g) the additional absorption cross-section was formed mostly at the expense of PS 2 antennas (apparently spillover), but for the lighter PS 1 fraction (145 000 g) the changes have indicated an Œ±-transfer mechanism, i.e., participation of only LHC 2 in the energy transfer towards PS 1. This may indicate the heterogeneous character of the temperature-induced energy redistribution across the PS 1-containing chloroplast membrane compartments. The model of heat-induced changes in the pigment-protein complex arrangement is discussed in terms of domain organisation of the thylakoid membrane. ¬© 1991 Kluwer Academic Publishers.</t>
  </si>
  <si>
    <t>157-169</t>
  </si>
  <si>
    <t>60001881;60011313</t>
  </si>
  <si>
    <t>7102944615;6701754059</t>
  </si>
  <si>
    <t>Ruban, Alexander V.;Trach, Valentina V.</t>
  </si>
  <si>
    <t>Ukraine;United Kingdom</t>
  </si>
  <si>
    <t>Kiev;Sheffield</t>
  </si>
  <si>
    <t>National Academy of Sciences in Ukraine;The University of Sheffield</t>
  </si>
  <si>
    <t>60011313;60001881</t>
  </si>
  <si>
    <t>Heat-induced reversible changes in Photosystem 1 absorption cross-section of pea chloroplasts and sub-chloroplast preparations - Evidence from excitation fluorescence spectra</t>
  </si>
  <si>
    <t>10.1007/BF00036219</t>
  </si>
  <si>
    <t>2-s2.0-34249918022</t>
  </si>
  <si>
    <t>['weak dependence', 'present systems', 'physical parameters', 'material used', 'matching conditions', 'free parameter', 'dependence suggests', 'current amplifier', 'capacitive transducer', 'best sensitivity']</t>
  </si>
  <si>
    <t>The sensitivity of a resonant gravitational wave antenna coupled with a capacitive transducer to a current amplifier is written in terms of all the parameters of the system. The matching conditions that must be realized to obtain the maximum theoretical sensitivity are written as a function of the physical parameters of the transducer. It is shown that the energy coupling factor is independent of the mass as well as of the capacitance of the transducer. The only free parameter then, apart from a weak dependence on the material used, is shown to be the gap of the capacitor. This dependence suggests the strategy to be used to obtain the best sensitivity for the present systems. ¬© 1991 IOP Publishing Ltd.</t>
  </si>
  <si>
    <t>17-22</t>
  </si>
  <si>
    <t>EPL</t>
  </si>
  <si>
    <t>Cosmelli, C.</t>
  </si>
  <si>
    <t>Salerno</t>
  </si>
  <si>
    <t>Universit√† degli Studi di Salerno</t>
  </si>
  <si>
    <t>Cosmelli C.</t>
  </si>
  <si>
    <t>Free parameters in the matching conditions for a cryogenic gravitational radiation detector.</t>
  </si>
  <si>
    <t>10.1209/0295-5075/16/1/004</t>
  </si>
  <si>
    <t>2-s2.0-84956262427</t>
  </si>
  <si>
    <t>['œ ≥', 'undesired level', 'south pole', 'sky around', 'previous observations', 'observing campaign', 'nearby frequencies', 'measured temperatures', 'large deviations', 'fully consistent', 'frequency region', 'angular resolution', 'absolute temperature', '82 ghz', '6 k', '6 cm', '5 ghz', '34 k', '1989 december', '12 cm']</t>
  </si>
  <si>
    <t>Cosmic background radiation | Radio sources: extended</t>
  </si>
  <si>
    <t>The absolute temperature of the sky around the south celestial pole has been measured at v = 0.82 GHz (Œ≥ = 36.6 cm) and v = 2.5 GHz (Œ≥ = 12 cm) during an observing campaign from the Amundsen Scott Base at the South Pole in 1989 December. The antennas had an angular resolution of 18¬∞ √ó 23√ó. The measured temperatures of the sky have been used to determine the temperature of the cosmic background radiation in a frequency region where large deviations from a pure Planckian spectrum are expected. The results at 2.5 GHz (Tsky = 2.58 ¬± 0.34 K, TthCBR = 2.50 ¬± 0.34 K) are fully consistent with the results of previous observations at the same frequency. At 0.82 GHz an undesired level of the system attenuation gave large error bars (Tsky = 5.7 ¬± 1.6 K, TthCBR = 2.7 ¬± 1.6 K). In spite of that limitation we report the 0.82 GHz results because no data at the same or nearby frequencies can be found in the literature.</t>
  </si>
  <si>
    <t>550-556</t>
  </si>
  <si>
    <t>60030318;60021199;60025038</t>
  </si>
  <si>
    <t>7006084404;7006577232;57194133671</t>
  </si>
  <si>
    <t>Sironi, G.;Bonelli, G.;Limon, M.</t>
  </si>
  <si>
    <t>Italy;United States;Italy</t>
  </si>
  <si>
    <t>Milan;Berkeley;Rome</t>
  </si>
  <si>
    <t>Universit√† degli Studi di Milano;University of California, Berkeley;Consiglio Nazionale delle Ricerche</t>
  </si>
  <si>
    <t>60030318;60025038;60021199</t>
  </si>
  <si>
    <t>Sironi G.</t>
  </si>
  <si>
    <t>The brightness temperature of the south celestial pole and the temperature of the cosmic background radiation measured at 36.6 and 12 centimeter wavelength</t>
  </si>
  <si>
    <t>10.1086/170456</t>
  </si>
  <si>
    <t>2-s2.0-0012228813</t>
  </si>
  <si>
    <t>['¬© 1991', 'wave applications', 'uda antennas', 'rights reserved', 'five yagi', 'electrical engineers', 'crosstalk levels', 'adjacent antennas', '50 ghz', '30 db']</t>
  </si>
  <si>
    <t>An imaging array consisting of five Yagi-Uda antennas in a dielectric has been constructed for 50 GHz that has antenna patterns suitable for millimetre-wave applications. Crosstalk levels of less than 30 dB between adjacent antennas in an //10 imaging array have been measured in 5 GHz model experiments. ¬© 1991, The Institution of Electrical Engineers. All rights reserved.</t>
  </si>
  <si>
    <t>108-109</t>
  </si>
  <si>
    <t>60008435;60008435;60008435;60008435;60008435</t>
  </si>
  <si>
    <t>36818671300;7201993763;23016189800;7004067332;55731638400</t>
  </si>
  <si>
    <t>Mizuno, K.;Uehara, K.;Nishimura, H.;Yonekura, T.;Suzuki, T.</t>
  </si>
  <si>
    <t>Mizuno K.</t>
  </si>
  <si>
    <t>Yagi-uda array for millimetre-wave imaging</t>
  </si>
  <si>
    <t>10.1049/el:19910072</t>
  </si>
  <si>
    <t>2-s2.0-0025958244</t>
  </si>
  <si>
    <t>['¬© 1991', 'various parameters', 'studied using', 'slot dimensions', 'rights reserved', 'resonance frequency', 'input impedance', 'equivalent circuit', 'electrical engineers']</t>
  </si>
  <si>
    <t>The problem of an aperture-coupled patch antenna is studied using the spectral domain approach. The equivalent circuit for the structure is obtained and elements are determined using integral transform techniques. Effects of various parameters, such as slot dimensions and inclination with the feedline or the patch, on the resonance frequency and on the input impedance are studied. Some results that are useful for MMIC and array antenna applications are presented. ¬© 1991, The Institution of Electrical Engineers. All rights reserved.</t>
  </si>
  <si>
    <t>153-155</t>
  </si>
  <si>
    <t>60015186;60026338;60018714</t>
  </si>
  <si>
    <t>7402673635;35566584200;57027512900</t>
  </si>
  <si>
    <t>Bhattacharyya, A. K.;Antar, Y. M.M.;Ittipiboon, A.</t>
  </si>
  <si>
    <t>Kingston;Ottawa;Saskatoon</t>
  </si>
  <si>
    <t>Royal Military College of Canada;Communications Research Centre;University of Saskatchewan</t>
  </si>
  <si>
    <t>60026338;60018714;60015186</t>
  </si>
  <si>
    <t>Full wave analysis of an aperture-coupled patch antenna</t>
  </si>
  <si>
    <t>10.1049/el:19910099</t>
  </si>
  <si>
    <t>2-s2.0-0025958889</t>
  </si>
  <si>
    <t>['¬© 1991', 'tuning ranges', 'tuning devices', 'transistor circuitry', 'rights reserved', 'multilayer structure', 'inherently wideband', 'enables isolation', 'electrical engineers', 'base configuration']</t>
  </si>
  <si>
    <t>Antennas | Oscillators</t>
  </si>
  <si>
    <t>Active patch antennas incorporating Schottky diodes used as tuning devices have been constructed and tested, npn bipolar transistors operating in the common-base configuration are employed as sources, and the antenna itself is a multilayer structure which enables isolation of the diode biasing circuitry from the transistor circuitry, while being inherently wideband, and capable of realising desirable radiation patterns. Tuning ranges of up to around 100 MHz at 2¬∑2 GHz (4¬∑4%) have been obtained, with good radiation patterns over the entire frequency range. ¬© 1991, The Institution of Electrical Engineers. All rights reserved.</t>
  </si>
  <si>
    <t>1846-1848</t>
  </si>
  <si>
    <t>60009658;60009658;60009658</t>
  </si>
  <si>
    <t>7003982481;57213425197;7003504220</t>
  </si>
  <si>
    <t>Haskins, P. M.;Hall, P. S.;Dahele, J. S.</t>
  </si>
  <si>
    <t>Haskins P.</t>
  </si>
  <si>
    <t>Active patch antenna element with diode tuning</t>
  </si>
  <si>
    <t>10.1049/el:19911147</t>
  </si>
  <si>
    <t>2-s2.0-0026218863</t>
  </si>
  <si>
    <t>['¬© 1991', 'rights reserved', 'resonance frequency', 'multilayered substrate', 'multilayered cover', 'measured value', 'electrical engineers', 'calculated frequency']</t>
  </si>
  <si>
    <t>A modified Wolff model is proposed to calculate the resonance frequency of a covered microstrip rectangular patch with the accuracy of spectral domain analysis. In most of the cases the calculated frequency is within 0¬∑6% of the measured value. The modified Wolff model can be used for multilayered substrate and multilayered cover. The original Wolff model determines the resonance frequency of the uncovered microstrip patch. ¬© 1991, The Institution of Electrical Engineers. All rights reserved.</t>
  </si>
  <si>
    <t>1850-1852</t>
  </si>
  <si>
    <t>60029284;60029284</t>
  </si>
  <si>
    <t>7401937908;6508035569</t>
  </si>
  <si>
    <t>Verma, A. K.;Rostamy, Z.</t>
  </si>
  <si>
    <t>New Delhi</t>
  </si>
  <si>
    <t>University of Delhi</t>
  </si>
  <si>
    <t>Verma A.</t>
  </si>
  <si>
    <t>Modified wolff model for resonance frequency of covered rectangular microstrip patch antenna</t>
  </si>
  <si>
    <t>10.1049/el:19911150</t>
  </si>
  <si>
    <t>2-s2.0-0026221729</t>
  </si>
  <si>
    <t>['without effect', 'whereas phosphatidylcholine', 'substantially restored', 'stabilizing p', 'rights reserved', 'protein complexes', 'particles served', 'molecules bound', 'minor effects', 'lipid alone', 'heat stability', 'good correlation', 'either chlorophyll', 'depleted particles', 'antenna size', 'antenna chlorophyll', '700 photoresponse', '700 photooxidation']</t>
  </si>
  <si>
    <t>(S. elongatus) | (Spinach) | Chlorophyll a | Heat stability | P-700 | Photosystem I</t>
  </si>
  <si>
    <t>The heat-stability of P-700 photooxidation in Photosystem I particles from the thermophilic cyanobacterium Synechococcus elongatus dramatically decreased when bulk antenna chlorophyll a was extracted by diethyl ether treatment. The loss of the heat stability was related to the amount of extracted antenna chlorophyll a because the P-700 photooxidation became increasingly sensitive to heat as the chlorophyll a to P-700 ratio decreased. The heat-stability of P-700 photooxidation was substantially restored on addition of chlorophyll a, together with a lipid, to chlorophyll-depleted particles. Phosphatidylglycerol was most effective, followed by monogalactosyldiacylglycerol, whereas phosphatidylcholine, phosphatidylinositol and digalactosyldiacylglycerol had only minor effects. Addition of either chlorophyll a or lipid alone was without effect. A part of chlorophyll a rebound to the particles served as antenna of P-700 photooxidation and there was a good correlation between extents of the stabilization and increases in the antenna size. Thus, the stabilization of the P-700 photoresponse is ascribed to chlorophyll a molecules bound to the functional binding sites. The heat stability of P-700 photooxidation in Photosystem I particles from spinach was also largely lost by ether-treatment and restored by readdition of chlorophyll a and a lipid such as phosphatidylglycerol. It is concluded that antenna chlorophyll a has an important structural role in stabilizing P-700-chlorophyll-protein complexes. ¬© 1991 Elsevier Science Publishers B.V. All rights reserved.</t>
  </si>
  <si>
    <t>275-280</t>
  </si>
  <si>
    <t>60027553;60025272</t>
  </si>
  <si>
    <t>55974981900;7202864511</t>
  </si>
  <si>
    <t>Ikegami, Isamu;Katoh, Sakae</t>
  </si>
  <si>
    <t>Teikyo University;The University of Tokyo</t>
  </si>
  <si>
    <t>Ikegami I.</t>
  </si>
  <si>
    <t>Antenna chlorophyll a has a structural role in stabilizing the functional conformation of P-700-chlorophyll-protein complexes</t>
  </si>
  <si>
    <t>S0005272805802129</t>
  </si>
  <si>
    <t>10.1016/S0005-2728(05)80212-9</t>
  </si>
  <si>
    <t>2-s2.0-0025775830</t>
  </si>
  <si>
    <t>['using pg', 'two photosystems', 'trans results', 'trans liposomes', 'trans deficiency', 'trans ).', 'thylakoid membranes', 'state ii', 'simple rc', 'rights reserved', 'rc ii', 'previous studies', 'possible involvement', 'photosynthetic membranes', 'oligomeric organization', 'oligomeric form', 'main light', 'lacking mutant', 'growth induces', 'fatty acid', 'cp ii', 'containing phosphatidylglycerol', 'additional deficiency', 'additional c16']</t>
  </si>
  <si>
    <t>(C. reinhardtii) | Excitation energy transfer | Light-harvesting chlorophyll-protein complex | Thylakoid stacking | Œî -trans-Hexadecenoic acid 3</t>
  </si>
  <si>
    <t>The mf 2 mutant of Chlamydomonas reinhardtii lacks both Photosystem II reaction centers (RC II) and Œî3-trans-hexadecenoic fatty acid (C16:1-trans). Previous studies have shown that, by comparison with a simple mutant lacking only RC II, the additional deficiency in C16:1-trans results in: (1) a very low fluorescence yield; (2) a predominant and persistent energy transfer from the main light-harvesting antenna towards Photosystem I, which cannot be reversed by state II-state I transition; (3) absence of the oligomeric form of the chlorophyll a + b-protein complex CP II. These defects can be reversed by incorporating this fatty acid in vivo into the photosynthetic membranes of the mf 2 mutant with C16:1-trans-containing phosphatidylglycerol (PG-C16:1-trans) liposomes. In this paper, subsequent ultrastructural analyses show that: (1) by comparison with the simple RC-II-lacking mutant, the additional C16:1-trans deficiency in the mf 2 mutant results in extensive thylakoid destacking; (2) supplementation of the mf 2 mutant with PG-C16:1-trans liposomes during growth induces a significant re-appression of thylakoid membranes; (3) such restacking was not observed in the presence of cycloheximide or using PG-C16:0 (PG-palmitate) liposomes. A strong correlation therefore appears between the presence of C16:1-trans in the thylakoid membranes of C. reinhardtii and the ability of these membranes to stack, to present the oligomeric organization of CP II and to restore state II-state I transitions in excitation energy distribution between the two photosystems. The possible involvement of PG-C16:1-trans in the synthesis and/or in the stabilization of the CP II apoproteins during the biogenesis of thylakoids is considered. ¬© 1991 Elsevier Science Publishers B.V. All rights reserved.</t>
  </si>
  <si>
    <t>286-292</t>
  </si>
  <si>
    <t>60008134;60008134;60008134;60008134;60008134</t>
  </si>
  <si>
    <t>6603798324;7003386187;6603141799;16193893500;7201815134</t>
  </si>
  <si>
    <t>Tr√©moli√®res, Antoine;Roche, Odile;Dubertret, Guy;Guyon, Denise;Garnier, Jacques</t>
  </si>
  <si>
    <t>Tr√©moli√®res A.</t>
  </si>
  <si>
    <t>Restoration of thylakoid appression by Œî&lt;sup&gt;3&lt;/sup&gt;-trans-hexadecenoic acid-containing phosphatidylglycerol in a mutant of Chlamydomonas reinhardtii. Relationships with the regulation of excitation energy distribution</t>
  </si>
  <si>
    <t>S0005272805802142</t>
  </si>
  <si>
    <t>10.1016/S0005-2728(05)80214-2</t>
  </si>
  <si>
    <t>2-s2.0-0025788693</t>
  </si>
  <si>
    <t>['wave antenna', 'ultralow temperature', 'rome group', 'new gravitational', 'bar antenna', '95 mk']</t>
  </si>
  <si>
    <t>We report on the first cryogenic test at ultralow temperature of the new gravitational-wave antenna of the Rome group. The 2390 kg A1 5056 cylindrical-bar antenna has been cooled to a temperature of 95 mK. ¬© 1991 IOP Publishing Ltd.</t>
  </si>
  <si>
    <t>231-235</t>
  </si>
  <si>
    <t>60021660;60032350-60021660;60021660-60082962;60021660;60021660-60082962;60032350-60021660;60021660-60007061;60032350-60021660;60021660-60032350;60021660-60010146;60032350-60021660;60021660-60032350;60021660-60032350;60021660-60032350;60021660-60032350;60021660-60082962</t>
  </si>
  <si>
    <t>8728100700;7004985710;7004641893;6603642397;7103181547;7005568912;56236475400;7003483214;55154676300;7003816910;7003738313;7004243218;7003386560;7003636273;57206328910;6603743635</t>
  </si>
  <si>
    <t>Astone, P.;Bassan, M.;Bonifazi, P.;Bronzini, F.;Castellano, M. G.;Coccia, E.;Cosmelli, C.;Fafone, V.;Frasca, S.;Majorana, E.;Modena, I.;Pallottino, G. V.;Pizzella, G.;Rapagnani, P.;Ricci, F.;Visco, M.</t>
  </si>
  <si>
    <t>Italy;Italy;Italy;Italy;Italy</t>
  </si>
  <si>
    <t>Rome;Rome;Rome;Catania;Salerno</t>
  </si>
  <si>
    <t>Istituto di Fisica dello Spazio Interplanetario, Rome;Sapienza Universit√† di Roma;Istituto Nazionale di Fisica Nucleare - INFN;Universit√† degli Studi di Catania;Universit√† degli Studi di Salerno</t>
  </si>
  <si>
    <t>60082962;60032350;60021660;60010146;60007061</t>
  </si>
  <si>
    <t>First cooling below 0.1 k of the new gravitational-wave antenna of the rome group.</t>
  </si>
  <si>
    <t>10.1209/0295-5075/16/3/002</t>
  </si>
  <si>
    <t>2-s2.0-84956230006</t>
  </si>
  <si>
    <t>Drosophila melanogaster | Lozenge mutant | mAb 22C10 | Sensory development | Spineless-aristapedia mutant Antennal discs</t>
  </si>
  <si>
    <t>1063-1075</t>
  </si>
  <si>
    <t>Development</t>
  </si>
  <si>
    <t>60024631;60024631</t>
  </si>
  <si>
    <t>6603156303;7103138484</t>
  </si>
  <si>
    <t>Lienhard, M. C.;Stocker, R. F.</t>
  </si>
  <si>
    <t>Fribourg</t>
  </si>
  <si>
    <t>University of Fribourg</t>
  </si>
  <si>
    <t>Lienhard M.</t>
  </si>
  <si>
    <t>The development of the sensory neuron pattern in the antennal disc of wild-type and mutant (Iz&lt;sup&gt;3&lt;/sup&gt;, ss&lt;sup&gt;a&lt;/sup&gt;) Drosophila melanogaster</t>
  </si>
  <si>
    <t>2-s2.0-0025821391</t>
  </si>
  <si>
    <t>['take place', 'small clusters', 'rights reserved', 'number equals', 'induced oxidation', 'fluorescence emitted', 'excitation energy', 'energy barrier', 'either b800', 'cells containing', '850 complexes']</t>
  </si>
  <si>
    <t>(Rps. acidophila) | Antenna complex | Bacteriochlorophyll | Excitation annihilation | Fluorescence yield</t>
  </si>
  <si>
    <t>Transfer of excitation energy was studied in three different cultures of the purple bacterium Rhodopseudomonas acidophila, which all contained the core antenna complex B880, but differed with respect to the type of peripheral antenna complex, which was either B800-820, B800-850, or both. Contrary to that of B800-850, the fluorescence emitted by B800-820 did not increase upon light-induced oxidation of P-870. Singlet-singlet annihilation measurements showed that in cells containing only B880 and B800-820 energy transfer can take place within a domain of 50 ¬± 20 bacteriochlorophyll (BChl) molecules, which number equals that of BChls per reaction center. In cells containing B800-850 energy transfer can take place over at least 200 BChls of B880. Our results are explained by a model where small clusters of B880, the size of one photosynthetic unit, are separated from each other by a more or less continuous array of B800-820 or B800-850 complexes. B800-820, but not B800-850, acts as an energy barrier between different B880 units. ¬© 1991 Elsevier Science Publishers B.V. All rights reserved.</t>
  </si>
  <si>
    <t>60003878;60003878;60001490;60003878;60001490;60003878</t>
  </si>
  <si>
    <t>57071565600;7003966808;7006682688;7003777767;7006465617;7004456032</t>
  </si>
  <si>
    <t>Deinum, Geurt;Otte, Stephan C.M.;Gardiner, Alastair T.;Aartsma, Thijs J.;Cogdell, Richard J.;Amesz, Jan</t>
  </si>
  <si>
    <t>Netherlands;United Kingdom</t>
  </si>
  <si>
    <t>Leiden;Glasgow</t>
  </si>
  <si>
    <t>Sterrewacht Leiden;University of Glasgow</t>
  </si>
  <si>
    <t>60003878;60001490</t>
  </si>
  <si>
    <t>Antenna organization of Rhodopseudomonas acidophila: a study of the excitation migration</t>
  </si>
  <si>
    <t>S0005272805801276</t>
  </si>
  <si>
    <t>10.1016/S0005-2728(05)80127-6</t>
  </si>
  <si>
    <t>2-s2.0-0025743233</t>
  </si>
  <si>
    <t>['stroma lamellae', 'rights reserved', 'psiœ ≤).', 'psiœ ≤', 'psiœ ±)', 'psiœ ±', 'preferentially absorbed', 'photosystem ii', 'phase partitioning', 'chlorophyll b', 'aqueous two', 'antenna size', 'acta 936', '350 ).']</t>
  </si>
  <si>
    <t>(Sonication) | (Spinach chloroplast) | Antenna size | Phase partition | Photosystem I | Thylakoid membrane</t>
  </si>
  <si>
    <t>Thylakoids from spinach were sonicated and separated by aqueous two-phase partitioning into two vesicle populations originating from grana (Œ± vesicles) and stroma lamellae (Œ≤ vesicles), respectively, according to a procedure described earlier (Andreasson et al. (1988) Biochim. Biophys. Acta 936, 339-350). The functional antenna sizes of Photosystem I for these two vesicle populations were determined by measuring the kinetics of the photooxidation of P700. Under green light illumination, the antenna size of Photosystem I of the Œ± vesicles (PSIŒ±) was 40% larger (40% larger rate constant of photooxidation) than that of Photosystem I of the Œ≤ vesicles (PSIŒ≤). By using actinic light, which is preferentially absorbed by chlorophyll b, this difference was accentuated (60%) indicating that the antenna of PSIŒ± contains relatively more chlorophyll b. The experiments did not support the possibility that this difference in functional antenna size was due to 'spill over' from Photosystem II. A model is presented which shows that PSIŒ± is located in the periphery of the grana and PSIŒ≤ in the stroma lamellae. ¬© 1991 Elsevier Science Publishers B.V. All rights reserved.</t>
  </si>
  <si>
    <t>45-50</t>
  </si>
  <si>
    <t>60029170;60029170;60029170</t>
  </si>
  <si>
    <t>7103121358;6603595300;7005280402</t>
  </si>
  <si>
    <t>Svensson, Per;Andreasson, Eva;Albertsson, Per √Öke</t>
  </si>
  <si>
    <t>Lund</t>
  </si>
  <si>
    <t>Lunds Universitet</t>
  </si>
  <si>
    <t>Svensson P.</t>
  </si>
  <si>
    <t>Heterogeneity among photosystem I</t>
  </si>
  <si>
    <t>S0005272805801173</t>
  </si>
  <si>
    <t>10.1016/S0005-2728(05)80117-3</t>
  </si>
  <si>
    <t>2-s2.0-0025787201</t>
  </si>
  <si>
    <t>National Institute for Basic Biology</t>
  </si>
  <si>
    <t>NIBB</t>
  </si>
  <si>
    <t>['synechocystis 27170', 'state 2', 'state 1', 'rights reserved', 'red light', 'rcii related', 'psii chlorophyll', 'psi activity', 'modifying effect', 'light 2', 'light 1', 'inverse relationship', 'increased œéeff', 'increased half', 'flash yields', 'effect saturated', 'data support', 'closed rcii', 'approximately twice', 'although matching', 'adapt cells', '2 transitions']</t>
  </si>
  <si>
    <t>(Synechocystis 27170) | Energy transfer | Photosystem II | Reaction center</t>
  </si>
  <si>
    <t>Synechocystis 27170 was grown in green, orange and red light in order to adapt cells to light preferentially absorbed by phycoerythrin, phycocyanin and chlorophyll a, respectively. Chromatically adapted cells were used to study effective absorption cross-sections of RCII, œÉeff, in state 1 and state 2. œÉeff for state 1 and state 2 in orange and green light grown cells was approximately twice that for red light grown cells. Light 1 and 2 both induced increased œÉeff in an intensity dependent way. The effect saturated at &lt; 10 Œº mol quanta m-2 s-1 for light 1 and &gt; 40 Œº mol quanta m-2 s-1 of light 2. Increased œÉeff invoked by light 1 was related to PSI activity only, since light 1 did not close significant numbers of RCII. Light 2 also effected an increased œÉeff, but in an inverse relationship with the fraction of open RCII traps. These data support the model of modulated energy transfer from PSII chlorophyll a to PSI as the mechanism for state 1 &gt; 2 transitions in cyanobacteria. Although matching each other in light 1, PSII fluorescence yields deviated substantially from O2-flash yields in light 2 over a wide intensity range. Since the half-time of Q-A was equal in state 1 and 2, it was concluded that light 2 has a modifying effect on the RCII donor side, probably causing longer half-time of P+680, which delays the reopening of closed RCII. These results were interpreted as a feature of the RCII related to an increased half-time of an exciton in the PSII chlorophyll a antenna. This phenomenon is thought to be functional in facilitating energy transfer from PSII chlorophyll a to PSI. ¬© 1991 Elsevier Science Publishers B.V. All rights reserved.</t>
  </si>
  <si>
    <t>67-74</t>
  </si>
  <si>
    <t>60002483;60028586;60028586</t>
  </si>
  <si>
    <t>7006861021;7006461138;35462746400</t>
  </si>
  <si>
    <t>Post, Anton F.;Mimuro, Mamoru;Fujita, Yoshihiko</t>
  </si>
  <si>
    <t>Japan;Netherlands</t>
  </si>
  <si>
    <t>Okazaki;Amsterdam</t>
  </si>
  <si>
    <t>National Institutes of Natural Sciences - National Institute for Basic Biology;Universiteit van Amsterdam</t>
  </si>
  <si>
    <t>60028586;60002483</t>
  </si>
  <si>
    <t>Post A.</t>
  </si>
  <si>
    <t>Light 2 directed changes in the effective absorption cross-section of Photosystem II in Synechocystis 27170 are related to modified action on the donor side of the reaction center</t>
  </si>
  <si>
    <t>S0005272805801203</t>
  </si>
  <si>
    <t>10.1016/S0005-2728(05)80120-3</t>
  </si>
  <si>
    <t>2-s2.0-0025830634</t>
  </si>
  <si>
    <t>U.S. Department of Energy</t>
  </si>
  <si>
    <t>W-7405-Eng-82</t>
  </si>
  <si>
    <t>USDOE</t>
  </si>
  <si>
    <t>['time constant', 'subpicosecond depolarization', 'rights reserved', 'good agreement', 'first time', 'explained using', 'dependent isotropic', 'containing chlorosomes', 'cannot readily', '740 nm', '735 nm', '725 nm', '720 nm', '7 ps', '4 nm']</t>
  </si>
  <si>
    <t>(C. aurantiacus) | Antenna | Bacterial photosynthesis | Bacteriochlorophyll | Chlorosome | Pump-probe spectroscopy | Ultrafast spectroscopy</t>
  </si>
  <si>
    <t>Time-dependent isotropic and anisotropic absorption difference profiles have been obtained with 2 ps resolution for the (BChl) bacteriochlorophyll c antenna in BChl a-containing chlorosomes from the green photosynthetic bacterium Chloroflexus aurantiacus. The isotropic absorption difference spectra are bipolar; they are dominated by excited state absorption at wavelengths &lt; 725 nm, and by ground state photobleaching at wavelengths &gt; 735 nm. The entire isotropic spectrum exhibits a dynamic blue shift over approx. 4 nm with a time constant of approx. 7 ps. All of these phenomena are rationalized in terms of a linear exciton model that resembles the theory of J-aggregates. In this theory, the occurrence of the dynamic blue shift corresponds to relaxation between Qy excitation components; it cannot readily be explained using a model that assumes that the excitations are localized on single chromophores within 1 ps. The anisotropic decay times, resolved here for the first time with our 2 ps fwhm instrument function, are approx. 7 ¬± 1 ps at 720 nm and 4 ¬± 1 ps at 740 nm. The residual anisotropy r(‚àû) is 0.32 ¬± 0.02 at 740 nm, which is in good agreement with fluorescence and linear dichroism measurements. These anisotropy functions initialize to 0.4 within error, indicating that subpicosecond depolarization is not prevalent. ¬© 1991 Elsevier Science Publishers B.V. All rights reserved.</t>
  </si>
  <si>
    <t>13-24</t>
  </si>
  <si>
    <t>60008023;60008023;60008023</t>
  </si>
  <si>
    <t>7407162691;24282480000;57193129444</t>
  </si>
  <si>
    <t>Lin, Su;Amerongen, Herbert Van;Struve, Walter S.</t>
  </si>
  <si>
    <t>Ultrafast pump-probe spectroscopy of bacteriochlorophyll c antennae in bacteriochlorophyll a-containing chlorosomes from the green photosynthetic bacterium Chloroflexus aurantiacus</t>
  </si>
  <si>
    <t>S0005-2728(05)80113-6</t>
  </si>
  <si>
    <t>10.1016/S0005-2728(05)80113-6</t>
  </si>
  <si>
    <t>2-s2.0-0025887313</t>
  </si>
  <si>
    <t>['two generations', 'total number', 'successfully reared', 'subsequent instars', 'sigmoid curve', 'petri dish', 'life span', 'laboratory conditions', 'juveniles emerged', 'instar xii', 'instar vii', 'food source', 'first embryos', 'females followed', 'female throughout', 'different pattern', 'brood pouch', 'body length', 'attachment substrate']</t>
  </si>
  <si>
    <t>Caprella danilevskii Czerniavski, an epifaunal amphipod crustacean, was successfully reared for two generations under laboratory conditions. Amphipods were maintained in pairs or fours in a Petri dish. Temperature and photoperiod were maintained at 20¬∞C, and 14 h light: 10 h dark, respectively. Colonies of the diatom Cylindrotheca closterium (Ehrenberg) Reumann and Lewin were provided as food source. The red alga Gelidium amansii (Lamouroux) Lamouroux was used to provide an attachment substrate for the caprellids. Juveniles that emerged from the brood pouch were described as instar I. Subsequent instars were identified by molts. Juveniles molted successively at 2.5 to 6.5 d intervals. The body length of males at each instar increased exponentially, while that of females followed a sigmoid curve. A different pattern of flagellar segment addition in the antenna I of males and females was revealed. At the age of 20.8 d, females reached instar VII, and produced their first embryos. After 5.1 d, juveniles emerged from the brood pouch. On average, females produced 5.4 clutches successively at 5.0 d intervals. The number of offspring per spawning increased from 6.3 at instar VII to 22.0 at instar XII. The total number of offspring was 69.0 for a female throughout her life span. ¬© 1991 Springer-Verlag.</t>
  </si>
  <si>
    <t>391-397</t>
  </si>
  <si>
    <t>60025272;60025272</t>
  </si>
  <si>
    <t>57211309840;7006472323</t>
  </si>
  <si>
    <t>Takeuchi, I.;Hirano, R.</t>
  </si>
  <si>
    <t>Takeuchi I.</t>
  </si>
  <si>
    <t>Growth and reproduction of Caprella danilevskii (Crustacea: Amphipoda) reared in the laboratory</t>
  </si>
  <si>
    <t>10.1007/BF01344358</t>
  </si>
  <si>
    <t>2-s2.0-0000350729</t>
  </si>
  <si>
    <t>['transport directorate', 'transponder ),', 'train control', 'standard euro', 'short term', 'report published', 'real breakthrough', 'railways around', 'new generation', 'mutually incompatible', 'modular concept', 'major problem', 'later stages', 'initial differences', 'first step', 'european communities', 'ec commission', 'control equipment', 'brought representatives']</t>
  </si>
  <si>
    <t>The report published at the end of 1990 by the Commission of the European Communities on a high speed network emphasised that, apart from the four principal types of traction power supply, the diversity of train control and protection systems represents a major problem. Europe's railways now have at least three different types of train control in use on high speed lines, and they are mutually incompatible. In the last few months there has been a real breakthrough in starting a European Train Control Systems (ECTS) project. This was initiated by the Transport Directorate of the EC Commission, which brought representatives of governments, industry and railways around the same table. After initial differences had been resolved, a modular concept, to be implemented in stages, was agreed. Since it is not practicable to replace the existing expensive track equipment in the short term, the first step will be to integrate the control equipment on the train. A new generation of on-train equipment called Euro-cab is to be developed. This will utilise a powerful central computer and an open system architecture which will be able to communicate via different antennae with all types of track equipment currently in use in Europe. In later stages, data transmission components for a future unified system will be developed: first, a standard Euro-balise (transponder), and then, in conjunction with the UIC 900 MHz digital radio project, standardised continuous data transmission by radio.</t>
  </si>
  <si>
    <t>689-692</t>
  </si>
  <si>
    <t>Railway Gazette International</t>
  </si>
  <si>
    <t>Greaves, Tom A.</t>
  </si>
  <si>
    <t>Greaves T.</t>
  </si>
  <si>
    <t>ATP enters a rapid development phase</t>
  </si>
  <si>
    <t>2-s2.0-0026238284</t>
  </si>
  <si>
    <t>['wave antenna', 'performance characteristics', 'numerical results', 'new type', 'new leaky', 'leaky mode', 'groove guide', 'asymmetric strip']</t>
  </si>
  <si>
    <t>In this paper a new type of leaky-wave antenna for millimeter waves using an asymmetric strip in the V-groove guide is presented. The longitudinally continuous asymmetric metal strip provides the mechanism that transforms the initially bound mode into a leaky mode. A complete transverse equivalent network is presented for analysis and design of this new leaky-wave antenna. Numerical results for the antenna's performance characteristics are given. ¬© 1991 Plenum Publishing Corporation.</t>
  </si>
  <si>
    <t>1151-1160</t>
  </si>
  <si>
    <t>Zhongxiang, Shen</t>
  </si>
  <si>
    <t>Zhongxiang S.</t>
  </si>
  <si>
    <t>Study of a new leaky-wave antenna for millimeter waves based on the V-groove guide</t>
  </si>
  <si>
    <t>10.1007/BF01008557</t>
  </si>
  <si>
    <t>2-s2.0-0026239007</t>
  </si>
  <si>
    <t>['pin structure', 'experimental studies', 'conducting pins']</t>
  </si>
  <si>
    <t>The attenuation of electromagnetic fields propagating over a system of conducting pins is shown to be possible. The results of experimental studies of the dependence of microwave antenna decoupling on the parameters of the pin structure are given.</t>
  </si>
  <si>
    <t>6507201865;6602853323</t>
  </si>
  <si>
    <t>Vetluzhskiy, A. Yu;Lomukhin, Yu L.</t>
  </si>
  <si>
    <t>Vetluzhskiy A.</t>
  </si>
  <si>
    <t>Attenuation of the field of nonprotruding pin structure</t>
  </si>
  <si>
    <t>2-s2.0-0026240208</t>
  </si>
  <si>
    <t>['vax workstations', 'third project', 'test method', 'software package', 'second project', 'reconstruction technique', 'polar near', 'planar arrays', 'multipatch configurations', 'moment method', 'method approach', 'fourth project', 'first project', 'field data', 'dielectric media', 'developed based', 'best performance']</t>
  </si>
  <si>
    <t>Four antenna research projects at the Katholieke Universiteit Leuven are described. In the first project, four different methods for the transformation of plane-polar near-field data to far-field antenna characteristics have been compared, and the method with the best performance (accuracy versus computer time) has been implemented on an HP1000 and on a VAX under VMS. In the second project, a test method has been developed to detect faulty columns in three-dimensional array antennas. The method is based on a reconstruction technique, and has been implemented in an air-surveillance secondary radar system. In the third project, the transmission-line model developed for rectangular microstrip antennas has been implemented and verified for linear and planar arrays. The software package runs on a PC, as well as on VAX workstations. In the fourth project, a software package, running on a VAX under VMS, has been developed based on a moment-method approach for the analysis of multiprobe, multipatch configurations in stratified-dielectric media. The procedure developed contains features to improve the convergence, accuracy, and efficiency of the moment method.</t>
  </si>
  <si>
    <t>30-42</t>
  </si>
  <si>
    <t>60025063;60025063;60025063;60025063;60025063;60025063;60025063</t>
  </si>
  <si>
    <t>7003998197;7401501734;6602576643;7005721326;7005545716;6603387432;6701321570</t>
  </si>
  <si>
    <t>Van de Capelle, A.;Cao, C.;Demuynck, F.;Nauwelaers, B.;Vandenbosch, G.;Van Himbeeck, C.;Van Lil, E.</t>
  </si>
  <si>
    <t>3000 Leuven</t>
  </si>
  <si>
    <t>KU Leuven</t>
  </si>
  <si>
    <t>Van de Capelle A.</t>
  </si>
  <si>
    <t>Current antenna research at K. U. Leuven</t>
  </si>
  <si>
    <t>10.1109/74.97947</t>
  </si>
  <si>
    <t>2-s2.0-0026241804</t>
  </si>
  <si>
    <t>['three topics', 'scintillation index', 'rough surfaces', 'recent work', 'photon localization', 'historical development', 'enhanced imaging', 'enhanced backscattering', 'backscattering enhancement']</t>
  </si>
  <si>
    <t>The historical development of backscattering enhancement and recent work are reviewed. Three topics are discussed. They are: enhanced radar cross section and scintillation index in turbulence and enhanced imaging, enhanced backscattering from particles and photon localization, and enhanced backscattering from rough surfaces.</t>
  </si>
  <si>
    <t>Ishimaru, Akira</t>
  </si>
  <si>
    <t>Seattle</t>
  </si>
  <si>
    <t>University of Washington</t>
  </si>
  <si>
    <t>Ishimaru A.</t>
  </si>
  <si>
    <t>Backscattering enhancement: From radar cross sections to electron and light localizations to rough surface scattering</t>
  </si>
  <si>
    <t>10.1109/74.97944</t>
  </si>
  <si>
    <t>2-s2.0-0026242052</t>
  </si>
  <si>
    <t>['system capacity', 'spectral efficiency', 'recent events', 'rapid expansion', 'future cellular', 'emerging high', 'density personal', 'communication systems']</t>
  </si>
  <si>
    <t>The rapid expansion of the field of wireless personal communication services is described, focusing on statistics showing demands and on recent events on the industry. Some propagation research results that should have an impact on the design and implementation of future cellular and personal communication services are surveyed. A number of antenna and propagation research problems which need to be solved to improve the spectral efficiency, and thus the system capacity, of emerging high-density personal-communication systems are discussed.</t>
  </si>
  <si>
    <t>19-29</t>
  </si>
  <si>
    <t>Rappaport, Theodore S.</t>
  </si>
  <si>
    <t>Rappaport T.</t>
  </si>
  <si>
    <t>Wireless personal communications: Trends and challenges</t>
  </si>
  <si>
    <t>10.1109/74.97946</t>
  </si>
  <si>
    <t>2-s2.0-0026242214</t>
  </si>
  <si>
    <t>['wall conductance', 'useful approximations', 'transcendental equations', 'tangent effects', 'susceptance ratio', 'substrate may', 'patch analyses', 'natural loss', 'format common', 'cases requiring']</t>
  </si>
  <si>
    <t>The transcendental equations, which arise in the cavity-model of patch analyses, are reexamined. It is shown that when the radiation quality factor is not too small, useful approximations to the ensuing design equations may be obtained in a format common to both types of patch. To achieve this, it is assumed that natural loss-tangent effects in the substrate may be neglected. An emphasis is placed on the role of the cavity-wall conductance/susceptance ratio. It is important that a value for this parameter be selected with care in cases requiring a wideband frequency response.</t>
  </si>
  <si>
    <t>51-54</t>
  </si>
  <si>
    <t>Mahony, John D.</t>
  </si>
  <si>
    <t>Mahony J.</t>
  </si>
  <si>
    <t>Antenna Designer's Notebook--Similarities in the design equations for rectangular and circular patches</t>
  </si>
  <si>
    <t>10.1109/74.97950</t>
  </si>
  <si>
    <t>2-s2.0-0026242708</t>
  </si>
  <si>
    <t>['receive signals', 'radio astronomy', 'phase addition', 'outer space', 'microwave channel', 'maximum sensitivity', 'artificial origin']</t>
  </si>
  <si>
    <t>The growth of radio astronomy and long-range space communications requires the building of microwave receiver installations with maximum sensitivity and with the minimum effective antenna area. In the microwave channel of each antenna there is a phasing element providing for the in-phase addition of signals from all antennas in the receiver. The possibility of using a phased antenna system to receive signals from outer space of both natural as well as artificial origin is investigated.</t>
  </si>
  <si>
    <t>149-150</t>
  </si>
  <si>
    <t>Khevrolin, A. V.</t>
  </si>
  <si>
    <t>Khevrolin A.</t>
  </si>
  <si>
    <t>Phasing of multielement antenna system by means of a control signal from a satellite</t>
  </si>
  <si>
    <t>2-s2.0-0026243256</t>
  </si>
  <si>
    <t>['three 26', 'structural failures', 'reversal conditions', 'resulting stress', 'life span', 'fatigue caused', 'early 1960s', 'desired improvements', 'design required', 'dec structures', '20 years', '16 years']</t>
  </si>
  <si>
    <t>Three 26-m hour-angle/declination (HA-dec) antennas, designed for a life span of 20 years, were built in the early 1960s for the NASA Deep Space Network. After 16 years the antennas were upgraded. The design required a structural weight increase of about 50% in both the HA and dec structures to achieve the desired improvements. The fatigue caused by the resulting stress-reversal conditions is discussed. The structural failures and their analyses are described.</t>
  </si>
  <si>
    <t>69-72</t>
  </si>
  <si>
    <t>6508149060;6505620966</t>
  </si>
  <si>
    <t>Van Hek, Ronald A.;Saldua, Benjamin P.</t>
  </si>
  <si>
    <t>Van Hek R.A.</t>
  </si>
  <si>
    <t>Antenna Mechanic--Structural fatigue in the 34-meter HA-dec antennas</t>
  </si>
  <si>
    <t>10.1109/74.97954</t>
  </si>
  <si>
    <t>2-s2.0-0026243931</t>
  </si>
  <si>
    <t>['theoretical results', 'studied using', 'square error', 'square algorithm', 'signal transformation', 'signal estimation', 'shift keying', 'reference signal', 'output signal', 'noise ratio', 'gaussian interference', 'factor vector', 'desired signal', 'computer modeling', 'array output']</t>
  </si>
  <si>
    <t>The steady-state statistical characteristics of an adaptive antenna array whose weight-factor vector is adjusted by means of a least-mean-square algorithm are studied using a nonlinear inertialess transformation of the array output as a reference signal. The case of phase-shift keying of the desired signal with Gaussian interference and noise is examined. An optimal nonlinear reference-signal transformation is found for which mean-square error of signal estimation is minimized and the output signal-to-noise ratio is maximized. The theoretical results are confirmed by computer modeling. ¬© 1992 Plenum Publishing Corporation.</t>
  </si>
  <si>
    <t>899-906</t>
  </si>
  <si>
    <t>7004856676;57220358034;7103304413</t>
  </si>
  <si>
    <t>Ignatenko, S. V.;Mal'tsev, A. A.;Silaev, A. M.</t>
  </si>
  <si>
    <t>Ignatenko S.V.</t>
  </si>
  <si>
    <t>Analysis of statistical characteristics of adaptive antenna array with independent reference-signal generation</t>
  </si>
  <si>
    <t>10.1007/BF01083622</t>
  </si>
  <si>
    <t>2-s2.0-34249840469</t>
  </si>
  <si>
    <t>F32GM013013</t>
  </si>
  <si>
    <t>['various temperatures', 'triantennary glycopeptide', 'temperature range', 'systematically increasing', 'selectively attached', 'probable linkages', 'observed flexibility', 'n terminus', 'gal residue', 'fluorescence donor', 'flexible linkages', 'extended conformation', 'either gal', 'differential flexibilities', 'different branches', 'core region', 'conformational heterogeneity', 'conformational analysis', 'complex oligosaccharides', 'complex carbohydrates', 'biological significance', 'acceptor distance', '6 isomer', '1 kcal', '), 6']</t>
  </si>
  <si>
    <t>Oligosaccharides | Resonance energy transfer</t>
  </si>
  <si>
    <t>The solution conformation behavior of complex oligosaccharides was studied by resonance energy transfer, as measured by the time-resolved fluorescence method, to determine the conformational heterogeneity of a triantennary glycopeptide at various temperatures. Groups that acted as a fluorescence donor (naphthyl-2-acetyl, Nap) or acceptor (dansylethylenediamine, Dan) were selectively attached to the N terminus of the peptide and a Gal residue [either 6‚Ä≤ (shown below), 6, or 8] of the oligosaccharide, respectively. (6‚Ä≤) Dan-GalŒ≤4GlcNAcŒ≤2ManŒ±6‚Üò ManŒ≤4GlcNAcŒ≤4GlcNAcŒ≤-Asn-Ala-NH-Nap (6) GalŒ≤4GlcNAcŒ≤2ManŒ±3‚Üó (8) GalŒ≤4GlcNAcŒ≤4‚Üó Time-resolved fluorescence energy-transfer measurements revealed two populations of conformers when Dan was attached to either Gal-6‚Ä≤ or Gal-6. One conformer contained the antenna folded back toward the core region, and a second was in an extended conformation. The two conformations differed in donor-acceptor distance by about 10 √Ö. Systematically increasing the temperature from 0¬∞C to 40¬∞C increased the ratio of extended to folded forms 2-fold for the Gal-6 isomer and 4-fold for the Gal-6‚Ä≤ isomer, whereas the Gal-8 isomer showed only a single distance population throughout this temperature range. From these data, ŒîH and ŒîS for the reversible conformational change were calculated to be 3.1 kcal/mol and 10.8 cal/(mol¬∑K) for the Gal-6 isomer and 7.1 kcal/mol and 25.8 cal/(mol¬∑K) for the Gal-6‚Ä≤ isomer. In addition to the structural microheterogeneity commonly associated with glycoproteins, the differential flexibilities of the different branches in the oligosaccharides contribute conformational heterogeneity and should be considered in conformational analysis. The data are discussed in terms of the most probable linkages that contribute to the observed flexibility of the individual triantennary branches, and the biological significance of flexible linkages in complex carbohydrates is considered.</t>
  </si>
  <si>
    <t>9355-9359</t>
  </si>
  <si>
    <t>60005248;60005248-60003500;60005248;60005248</t>
  </si>
  <si>
    <t>7403119238;57203054054;7102793158;8161510400</t>
  </si>
  <si>
    <t>Wu, Pengguang;Rice, Kevin G.;Brand, L.;Lee, Y. C.</t>
  </si>
  <si>
    <t>Baltimore;Columbus</t>
  </si>
  <si>
    <t>Johns Hopkins University;The Ohio State University</t>
  </si>
  <si>
    <t>60005248;60003500</t>
  </si>
  <si>
    <t>Wu P.</t>
  </si>
  <si>
    <t>Differential flexibilities in three branches of an N-linked triantennary glycopeptide</t>
  </si>
  <si>
    <t>10.1073/pnas.88.20.9355</t>
  </si>
  <si>
    <t>2-s2.0-0026052393</t>
  </si>
  <si>
    <t>['¬© 1991', 'usual manner', 'two sheets', 'twist polariser', 'rights reserved', 'polariser consists', 'new type', 'electrical engineers']</t>
  </si>
  <si>
    <t>Antennas | Electromagnetic waves | Polarisation | Scattering</t>
  </si>
  <si>
    <t>A new type of twist polariser that has a frequency selective property is investigated. The polariser consists of two sheets of photoetched dipole array FSSs, spaced about one-quarter wavelength apart. Such a polariser reflects waves at the desired frequency band in the usual manner, but lets the other frequency waves pass through. ¬© 1991, The Institution of Electrical Engineers. All rights reserved.</t>
  </si>
  <si>
    <t>2110-2111</t>
  </si>
  <si>
    <t>60021666;60005244;60021666</t>
  </si>
  <si>
    <t>57194935851;7409424720;56107404400</t>
  </si>
  <si>
    <t>Shi, W. M.;Zhang, W. X.;Zhao, M. G.</t>
  </si>
  <si>
    <t>Nanjing;Nanjing</t>
  </si>
  <si>
    <t>Nanjing University of Aeronautics and Astronautics;Southeast University</t>
  </si>
  <si>
    <t>60021666;60005244</t>
  </si>
  <si>
    <t>Shi W.</t>
  </si>
  <si>
    <t>Novel frequency-selective twist polariser</t>
  </si>
  <si>
    <t>10.1049/el:19911307</t>
  </si>
  <si>
    <t>2-s2.0-0000475816</t>
  </si>
  <si>
    <t>['single locus', 'product required', 'mutation seems', 'molecular studies', 'eag amplitude', 'eag ),', 'drosophila melanogaster', 'developmental stages', 'antennal physiology', 'also abnormal', 'acj6 encodes', 'acj6 ).']</t>
  </si>
  <si>
    <t>antennae | brain | chemosensation | sensory system | signal transduction</t>
  </si>
  <si>
    <t>Mutations affecting olfactory behavior provide material for use in molecular studies of olfaction in Drosophila melanogaster. Using the electroantennogram (EAG), a measure of antennal physiology, we have found an adult antennal defect in the olfactory behavioral mutant abnormal chemosensory jump 6 (acj6). The acj6 EAG defect was mapped to a single locus and the same mutation was found to be responsible for both reduction in EAG amplitude and diminished behavioral response, as if reduced antennal responsiveness to odorant is responsible for abnormal chemosensory behavior in the mutant. acj6 larval olfactory behavior is also abnormal; the mutation seems to alter cellular processes necessary for olfaction at both developmental stages. The acj6 mutation exhibits specificity in that visual system function appears normal in larvae and adults. These experiments provide evidence that the acj6 encodes a product required for olfactory signal transduction.</t>
  </si>
  <si>
    <t>5467-5471</t>
  </si>
  <si>
    <t>7003397043;7402114946</t>
  </si>
  <si>
    <t>Ayer, R. K.;Carlson, J.</t>
  </si>
  <si>
    <t>Ayer R.</t>
  </si>
  <si>
    <t>acj6: A gene affecting olfactory physiology and behavior in Drosophila</t>
  </si>
  <si>
    <t>10.1073/pnas.88.12.5467</t>
  </si>
  <si>
    <t>2-s2.0-0026075688</t>
  </si>
  <si>
    <t>['¬© 1991', 'using gtd', 'rights reserved', 'radiation patterns', 'geometrical theory', 'electrical engineers']</t>
  </si>
  <si>
    <t>Antenna radiation patterns | Antennas | Microstrip</t>
  </si>
  <si>
    <t>A method for computing the radiation patterns of finite microstrip antennas by combining the mixed potential integral equation (MPIE) technique and the geometrical theory of diffraction (GTD) is presented. The patch and equivalent polarisation currents in the dielectric are first calculated using the infinite grounded dielectric slab Green function and subsequently the ground plane diffraction is accounted for using GTD. ¬© 1991, The Institution of Electrical Engineers. All rights reserved.</t>
  </si>
  <si>
    <t>2091-2093</t>
  </si>
  <si>
    <t>7006898765;7006665188;35609196900</t>
  </si>
  <si>
    <t>Bokhari, S. A.;Mosig, J. R.;Gardiol, F. E.</t>
  </si>
  <si>
    <t>Bokhari S.</t>
  </si>
  <si>
    <t>Hybrid approach to compute radiation pattern of finite microstrip antennas</t>
  </si>
  <si>
    <t>10.1049/el:19911295</t>
  </si>
  <si>
    <t>2-s2.0-0026240339</t>
  </si>
  <si>
    <t>['¬© 1991', 'rights reserved', 'electrical engineers', 'developed using', 'conversion efficiency']</t>
  </si>
  <si>
    <t>Antennas | Microstrip | Rectifiers</t>
  </si>
  <si>
    <t>A 35 GHz integrated circuit rectifying antenna (rectenna) has been developed using a microstrip dipole antenna and beam-lead mixer diode. Greater than 33% conversion efficiency has been achieved. The circuit should have applications in microwave/millimetre-wave power transmission and detection. ¬© 1991, The Institution of Electrical Engineers. All rights reserved.</t>
  </si>
  <si>
    <t>7101746122;7404879378</t>
  </si>
  <si>
    <t>Yoo, T. W.;Chang, K.</t>
  </si>
  <si>
    <t>Yoo T.W.</t>
  </si>
  <si>
    <t>35GHz integrated circuit rectifying antenna with 33% efficiency</t>
  </si>
  <si>
    <t>10.1049/el:19911311</t>
  </si>
  <si>
    <t>2-s2.0-28844479561</t>
  </si>
  <si>
    <t>['¬© 1991', 'shaped single', 'rights reserved', 'reflector antenna', 'existing work', 'electrical engineers', 'beam covering', 'australian continent']</t>
  </si>
  <si>
    <t>A method is presented for fast and efficient power pattern synthesis with a shaped single-reflector antenna. Using successive projections, the technique is an extension of existing work on array-fed reflector design. An example is given for a beam covering the Australian continent. ¬© 1991, The Institution of Electrical Engineers. All rights reserved.</t>
  </si>
  <si>
    <t>2156-2158</t>
  </si>
  <si>
    <t>60030000;60031004</t>
  </si>
  <si>
    <t>7003443054;7101875340</t>
  </si>
  <si>
    <t>Poulton, G. T.;Hay, S. G.</t>
  </si>
  <si>
    <t>Brisbane;Sydney</t>
  </si>
  <si>
    <t>The University of Queensland;CSIRO Industrial Physics</t>
  </si>
  <si>
    <t>60031004;60030000</t>
  </si>
  <si>
    <t>Poulton G.</t>
  </si>
  <si>
    <t>Efficient design of shaped reflectors using successive projections</t>
  </si>
  <si>
    <t>10.1049/el:19911335</t>
  </si>
  <si>
    <t>2-s2.0-84914115822</t>
  </si>
  <si>
    <t>['¬© 1991', 'rights reserved', 'radiation patterns', 'parallel dipoles', 'input impedances', 'infinite one', 'finite reflector', 'electrical engineers', 'design criteria']</t>
  </si>
  <si>
    <t>Antenna arrays | Antenna radiation patterns | Antennas | Dipole antennas</t>
  </si>
  <si>
    <t>The effects of a finitely sized reflecting plane on the radiation patterns and on the input impedances of linear low sidelobe arrays of parallel dipoles are analysed. The differences between arrays with a finite reflector and those with an infinite one are studied and the design criteria are discussed. ¬© 1991, The Institution of Electrical Engineers. All rights reserved.</t>
  </si>
  <si>
    <t>2103-2104</t>
  </si>
  <si>
    <t>60010421;60010421</t>
  </si>
  <si>
    <t>56092910000;7409376286</t>
  </si>
  <si>
    <t>Chen, W.;Zhang, S. M.</t>
  </si>
  <si>
    <t>Chen W.</t>
  </si>
  <si>
    <t>Low sidelobe arrays of parallel dipoles with finite reflector</t>
  </si>
  <si>
    <t>10.1049/el:19911303</t>
  </si>
  <si>
    <t>2-s2.0-85024356871</t>
  </si>
  <si>
    <t>31-25179.8</t>
  </si>
  <si>
    <t>['¬© 1991', 'terminal domains', 'synechococcus sp', 'specific rod', 'results indicate', 'pbs ).', 'one another', 'n termini', 'isolated pbs', 'four genes', 'distantly related', 'cpc operon', 'core via', 'core linker', 'conserved domains', 'ap ).', 'anabaena sp', "3 '."]</t>
  </si>
  <si>
    <t>antenna complex | cpcG genes | cyanobacteria | nucleotide sequence | photosynthesis | phycocyanin | Recombinant DNA</t>
  </si>
  <si>
    <t>The cpc operon of Anabaena sp. PCC7120 is shown to encode ten genes: 5'-cpcB-cpcA-cpcC-cpcd-cpcE-cpcF-cpcG1-cpcG2-cpcG3-cpcG4-3'. The 3' portion of this operon includes four tandemly repeated genes encoding phycocyanin (PC)-associated, rod-core linker polypeptides of the phycobilisomes (PBS). The products of these four genes are most similar at their N termini, and overall are 50-61 % identical and 68-76% similar to one another. The four CpcG proteins of Anabaena sp. PCC7120 are 41-47% identical and 62-65% similar to the single CpcG rod-core linker protein in Synechococcus sp. PCC7002. The N-terminal domains of the polypeptides are also more distantly related to the conserved domains of other types of rod-linker polypeptides associated with PC, phycoerythrin, and allophycocyanin (AP). Three of these rod-core linker proteins (CpcG1, CpcG2, and CpcG4) were demonstrated to occur in isolated PBS by N-terminal amino acid sequence analyses. These results indicate that previously proposed models for the PBS of Anabaena sp. are incorrect. It is suggested that the PBS of Anabaena sp. have eight peripheral rods, each of which interacts with the AP of the core via a specific rod-core linker (CpcG) polypeptide. ¬© 1991.</t>
  </si>
  <si>
    <t>91-99</t>
  </si>
  <si>
    <t>Gene</t>
  </si>
  <si>
    <t>60001439;60001439;60025858;60025858;60025858;60025858</t>
  </si>
  <si>
    <t>7202225529;6603374758;7102672736;7401890961;6701691144;7006345218</t>
  </si>
  <si>
    <t>Bryant, Donald A.;Stirewalt, Veronica L.;Glauser, Manuel;Frank, Gerhardt;Sidler, Walter;Zuber, Herbert</t>
  </si>
  <si>
    <t>Zurich ZH,;University Park</t>
  </si>
  <si>
    <t>ETH Zurich;Pennsylvania State University</t>
  </si>
  <si>
    <t>60025858;60001439</t>
  </si>
  <si>
    <t>Bryant D.</t>
  </si>
  <si>
    <t>A small multigene family encodes the rod-core linker polypeptides of Anabaena sp. PCC7120 phycobilisomes</t>
  </si>
  <si>
    <t>0378-1119(91)90301-Q</t>
  </si>
  <si>
    <t>10.1016/0378-1119(91)90301-Q</t>
  </si>
  <si>
    <t>2-s2.0-0026068057</t>
  </si>
  <si>
    <t>['specimens parasitic', 'redescribed p', 'planktonic specimens', 'original description', 'markevichi titar', 'markevich really', 'leningrad district', 'lake vrevo', 'known whether', 'caspian sea']</t>
  </si>
  <si>
    <t>Paraergasilus rylovi Markevich, 1937, described from the Caspian Sea, has been redescribed because of the uncertainties and errors in the original description. As the type-material had been destroyed, the comparison was made on the basis of planktonic specimens and specimens parasitic on the mussel Anodonta piscinalis in Lake Vrevo, Leningrad district. It is not known whether the specimens of Markevich really had a six-segmented first antenna. If they did, then we have redescribed P. markevichi Titar &amp; Chernogorenko, 1982. ¬© 1991 Kluwer Academic Publishers.</t>
  </si>
  <si>
    <t>165-171</t>
  </si>
  <si>
    <t>Systematic Parasitology</t>
  </si>
  <si>
    <t>100551571;60033022</t>
  </si>
  <si>
    <t>7006011469;16431101800</t>
  </si>
  <si>
    <t>Chernysheva, Natalia Borisovna;Purasjoki, Kalle J.</t>
  </si>
  <si>
    <t>Finland;Russia</t>
  </si>
  <si>
    <t>Helsinki;Saint Petersburg (ex Leningrad)</t>
  </si>
  <si>
    <t>Finnish Institute of Marine Research;GosNIORKh</t>
  </si>
  <si>
    <t>60033022;100551571</t>
  </si>
  <si>
    <t>Chernysheva N.</t>
  </si>
  <si>
    <t>A redescription of Paraergasilus rylovi Markevich, 1937 (Copepoda, Ergasilidae)</t>
  </si>
  <si>
    <t>10.1007/BF00009778</t>
  </si>
  <si>
    <t>2-s2.0-0002545186</t>
  </si>
  <si>
    <t>['prostate carcinoma', 'high sensitivity', 'endoscopic transmit', 'also described']</t>
  </si>
  <si>
    <t>1 H magnetic resonance imaging | 31 P magnetic resonance Spectroscopy | Human prostate</t>
  </si>
  <si>
    <t>1H magnetic resonance imaging and 31P nagnetic resonance spectroscopy of the human prostate using transrectal surface coild are discussed. 1H MR images were characterized by a high sensitivity, revealing many details in the prostate. Localized 31P spectra acquired during the same investigation showed phosphorous metabolites, which may help differentiate between benign prostatic hyperplasia and prostate carcinoma. An endoscopic transmit-receive radio frequency (RF) antenna is also described which can be used with very low RF power. ¬© 1991 Springer-Verlag.</t>
  </si>
  <si>
    <t>349-352</t>
  </si>
  <si>
    <t>Urological Research</t>
  </si>
  <si>
    <t>60028287;100408538</t>
  </si>
  <si>
    <t>7006261087;55457153100</t>
  </si>
  <si>
    <t>Hering, F.;M√ºller, S.</t>
  </si>
  <si>
    <t>Switzerland;Switzerland</t>
  </si>
  <si>
    <t>Basel;Basel</t>
  </si>
  <si>
    <t>Universit√§tsspital Basel;MR Center of the University</t>
  </si>
  <si>
    <t>Hering F.</t>
  </si>
  <si>
    <t>&lt;sup&gt;31&lt;/sup&gt;P MR spectroscopy and &lt;sup&gt;1&lt;/sup&gt;H MR imaging of the human prostate using a transrectal probe</t>
  </si>
  <si>
    <t>10.1007/BF00310148</t>
  </si>
  <si>
    <t>2-s2.0-0025918098</t>
  </si>
  <si>
    <t>['like immunoreactivity', 'larval photoreceptors', 'large parts', 'insect photoreceptors', 'histamine immunoreactivity', 'histamine immunoreactive', 'drosophila brain', 'demonstrate anti', 'cryostat sections', 'contain histamine', 'central brain', 'antennal nerve']</t>
  </si>
  <si>
    <t>Drosophila melanogaster (Insecta) | Histamine | Immunohistochemistry | Nervous system central | Photoreceptor cells | Transmitter | Visual system</t>
  </si>
  <si>
    <t>In this study, immunohistochemistry on cryostat sections is used to demonstrate anti-histamine immunoreactivity in the Drosophila brain. The results support earlier findings that histamine is probably a transmitter of insect photoreceptors. It is further shown that, in Drosophila, all imaginal photoreceptors including receptor type R7 are anti-histamine immunoreactive, whereas the larval photoreceptors do not seem to contain histamine. In addition to the photoreceptors, fibres in the antennal nerve and approximately 12 neurons in each brain hemisphere show strong histamine-like immunoreactivity. These cells arborize extensively in large parts of the central brain. ¬© 1991 Springer-Verlag.</t>
  </si>
  <si>
    <t>391-398</t>
  </si>
  <si>
    <t>60012689;60012689</t>
  </si>
  <si>
    <t>7102062740;7003330885</t>
  </si>
  <si>
    <t>Pollack, Inken;Hofbauer, Alois</t>
  </si>
  <si>
    <t>Wurzburg</t>
  </si>
  <si>
    <t>Julius-Maximilians-Universit√§t W√ºrzburg</t>
  </si>
  <si>
    <t>Pollack I.</t>
  </si>
  <si>
    <t>Histamine-like immunoreactivity in the visual system and brain of Drosophila melanogaster</t>
  </si>
  <si>
    <t>10.1007/BF00318195</t>
  </si>
  <si>
    <t>2-s2.0-0026046492</t>
  </si>
  <si>
    <t>['type atpase', 'shown recently', 'receptor current', 'proton antiport', 'mr 28000', 'midgut vacuolar', 'larval midgut', 'insect sensilla', 'immunofluorescence microscopy', 'examined sensilla', 'denatured state', 'current view', 'coeloconica ).', 'bound specifically', 'binding sites', 'auxiliary cells', 'apical region', 'antibody 86', 'antibody 47', 'antibodies labelled', 'antennal sensilla', '5 antibody', '5 ).']</t>
  </si>
  <si>
    <t>Antheraea pernyi (Insecta) | Cryofixation | Electrogenic potassium transport | Hygroreceptors | Manduca sexta (Insecta) | Midgut | Sensilla | Thermoreceptors | Vacuolar-type ATPase</t>
  </si>
  <si>
    <t>This comparative immunocytochemical investigation provides evidence that the electrogenic potassium pump of insect sensilla is a vacuolar-type proton ATPase energizing potassium-proton antiport, as was shown recently for the electrogenic potassium pump in the larval midgut of the sphinx moth Manduca sexta. Antennal sensilla of the saturniid moth Antheraea pernyi were probed with antibodies to the midgut vacuolar-type ATPase. The monoclonal antibodies recognized their epitopes in the native and SDS-denatured state, and bound specifically to the subunit with the relative molecular mass (Mr) of 67000 (antibody 86-3) or to the subunits of Mr 28000 and 16000 (antibody 47-5). Both antibodies labelled the apical region of the auxiliary cells, as was demonstrated by immunofluorescence microscopy. Immunogold-electron microscopy localized the binding sites of the 47-5 antibody in the highly folded apical plasma membranes of the auxiliary cells. Labelling was selective and was detected in all types of examined sensilla (S. trichodea, S. styloconica, S. coeloconica). These findings are in agreement with the current view that an electrogenic potassium pump is situated in the apical plasma membrane of the auxiliary cells and that the pump is involved in driving the receptor current. They support the hypothesis that a proton-motive force generated by a vacuolar-type ATPase provides an alternative to the classical Na+/K+-ATPase to energize animal plasma membranes. ¬© 1991 Springer-Verlag.</t>
  </si>
  <si>
    <t>265-273</t>
  </si>
  <si>
    <t>60028717;60030807</t>
  </si>
  <si>
    <t>7103320295;55735155500</t>
  </si>
  <si>
    <t>Klein, Ulla;Zimmermann, Bernhard</t>
  </si>
  <si>
    <t>Regensburg;Munich</t>
  </si>
  <si>
    <t>Universit√§t Regensburg;Ludwig-Maximilians-Universit√§t M√ºnchen</t>
  </si>
  <si>
    <t>60030807;60028717</t>
  </si>
  <si>
    <t>Klein U.</t>
  </si>
  <si>
    <t>The vacuolar-type ATPase from insect plasma membrane: immunocytochemical localization in insect sensilla</t>
  </si>
  <si>
    <t>10.1007/BF00318182</t>
  </si>
  <si>
    <t>2-s2.0-0026076559</t>
  </si>
  <si>
    <t>['warc 77', 'useful technology', 'uk dth', 'transmission techniques', 'term direct', 'strong debate', 'since 1982', 'satellite tv', 'relied primarily', 'radical changes', 'interchangeable basis', 'increasing audiences', 'future situation', 'follow bear', 'eutelsat il', 'either terrestrial', 'economic proposition', 'describe reception', 'cable means', 'broadly speaking']</t>
  </si>
  <si>
    <t>Since 1982, there has been a strong debate in Europe as to whether DBS TV would emerge through the use of high power satellites with a limited channel capacity as defined under the rules of WARC 77, or through medium power FSS satellites, of which we now have two operational systems, Astra and Eutelsat IL I believe that this debate is now over; the medium power concept has won the battle. However, it has left one area of confusion in termunology. The UK has, over the last few years, tended to use the term Direct to Home (DTH) TV to describe reception from the Astra satellite system, while, broadly speaking, it has retained the term DBS TV for reception from the Marco Polo satellite system. I have tended to use the terms on an interchangeable basis in this paper. At the time of writing, the future of the UK DTH/DBS industry looks uncertain. However, I hope that the analysis and predictions which follow bear the test of time. I expect that 1991 will see further radical changes in the way the UK approaches satellite TV. Like the old Chinese curse: 'We live in interesting times'. Direct Broadcast Satellite TV in Europe is proving to be just one technological element in the broadcaster's bag of transmission techniques. It is a programme delivery method, not an alternative or substitute for terrestrial and cable distribution methods. It has not proved to be an economic proposition for broadcasters who have relied primarily or solely on it to reach their audiences. However, it has proved to be a useful technology for increasing audiences where an existing broadcaster cannot reach them through either terrestrial or cable means. This conclusion is just as applicable in attempting to understand the current and future situation of satellite TV in the UK.</t>
  </si>
  <si>
    <t>357-364</t>
  </si>
  <si>
    <t>Space Communications</t>
  </si>
  <si>
    <t>Stanyard, Roger</t>
  </si>
  <si>
    <t>Stanyard R.</t>
  </si>
  <si>
    <t>Satellite TV in the UK</t>
  </si>
  <si>
    <t>2-s2.0-0026246185</t>
  </si>
  <si>
    <t>['seasat data', 'sar data', 'rf ambiguities', 'range frequency', 'range direction', 'novel algorithm', 'iterative processing', 'doppler centroid', 'derived theoretically', 'azimuth spectra', 'achievable accuracy']</t>
  </si>
  <si>
    <t>For high-precision synthetic aperture radar (SAR) processing, the determination of the Doppler centroid is indispensable. The Doppler frequency estimated from azimuth spectra, however, suffers from the fact that the data are sampled with the pulse repetition frequency (PRF) and an ambiguity about the correct PRF band remains. A novel algorithm to resolve this ambiguity is proposed. It uses the fact that the Doppler centroid depends linearly on the transmitted radar frequency for a given antenna squint angle. This dependence is not subject to RF ambiguities. It can be measured by Fourier-transforming the SAR data in the range direction and estimating the Doppler centroid at each range frequency. The achievable accuracy is derived theoretically and verified with Seasat data of different scene content. The algorithm works best with low contrast scenes, where the conventional look correlation technique fails. It needs no iterative processing of the SAR data and causes only low computational load.</t>
  </si>
  <si>
    <t>997-1003</t>
  </si>
  <si>
    <t>60007798;60007798</t>
  </si>
  <si>
    <t>7004572990;7005667777</t>
  </si>
  <si>
    <t>Bamler, Richard;Runge, Hartmut</t>
  </si>
  <si>
    <t>Bamler R.</t>
  </si>
  <si>
    <t>PRF-ambiguity resolving by wavelength diversity</t>
  </si>
  <si>
    <t>10.1109/36.101376</t>
  </si>
  <si>
    <t>2-s2.0-0026253688</t>
  </si>
  <si>
    <t>['tomographic analysis', 'theoretical approach', 'surrounding media', 'strongly governed', 'salt deposit', 'radiation pattern', 'often applied', 'logging cable', 'hole measurement', 'current distribution', 'borehole radars', 'borehole radar']</t>
  </si>
  <si>
    <t>A theoretical approach to cross-hole radar measurements is presented. An approximate analytical form for the current distribution on an antenna in a borehole is derived, and the theoretical receiving signal of the borehole radar in the cross-hole measurement is calculated. Theory is compared in the time-domain with the measured borehole radar signal obtained in a salt deposit. The radiation pattern of a borehole radar excited by a pulse is discussed. The accuracy of tomographic analysis, which is often applied to cross-hole radar measurements, is strongly governed by this radiation pattern. It is found that, in practice, most borehole radars have a pattern of a Œª/2 dipole antenna. However, the radiation pattern can be deformed by short pulse excitation, loading by the surrounding media, and coupling to the logging cable.</t>
  </si>
  <si>
    <t>899-904</t>
  </si>
  <si>
    <t>60008435;60008435</t>
  </si>
  <si>
    <t>7405726997;6603608081</t>
  </si>
  <si>
    <t>Sato, Motoyuki;Thierbach, Rudolf</t>
  </si>
  <si>
    <t>Sato M.</t>
  </si>
  <si>
    <t>Analysis of a borehole radar in cross-hole mode</t>
  </si>
  <si>
    <t>10.1109/36.101368</t>
  </si>
  <si>
    <t>2-s2.0-0026254126</t>
  </si>
  <si>
    <t>['¬± 1', '¬± 0', 'varying roughness', 'usually provide', 'uncalibrated data', 'technique requires', 'section residuals', 'radar scenes', 'phase calibration', 'nasa dc', 'lava flows', 'known targets', 'information necessary', 'images acquired', 'image data', 'calibration procedure', 'calibrated scene', 'calibrated data', 'authors present', 'authors developed', 'absolute calibration', '5 db', '2 db']</t>
  </si>
  <si>
    <t>The authors developed a calibration procedure for imaging radar polarimeters and applied it to a set of images acquired by the NASA DC-8 multifrequency radar system. The technique requires the use of ground reflectors known cross-section for absolute calibration, that is, solution for œÉ0; however, the image data themselves can usually provide all information necessary for phase calibration and for antenna crosstalk correction. The accuracy of the approach, as measured by calculating the cross-section residuals of known targets in each calibrated scene, is on the order of ¬±1-2 dB at P- and C-band, but improves to ¬±0.5 dB at L-band. The authors present the results of applying this technique to radar scenes of lava flows of varying roughness, temperate and tropical rain forests, and ocean water surfaces. They also present several example applications which are feasible with calibrated data but which would be difficult to implement with uncalibrated data.</t>
  </si>
  <si>
    <t>942-961</t>
  </si>
  <si>
    <t>7005577978;7103099518;7005890897;6603464784</t>
  </si>
  <si>
    <t>Zebker, Howard A.;Van Zyl, Jakob J.;Durden, Stephen L.;Norikane, Lynne</t>
  </si>
  <si>
    <t>Calibrated imaging radar polarimetry: Technique, examples, and applications</t>
  </si>
  <si>
    <t>10.1109/36.101373</t>
  </si>
  <si>
    <t>2-s2.0-0026254251</t>
  </si>
  <si>
    <t>['¬± 0', 'system parameters', 'sar system', 'results indicate', 'remote sensing', 'radar theory', 'radar system', 'overall error', 'month period', 'detailed model', 'authors describe', 'antenna radome', 'antenna boresight', '8 db']</t>
  </si>
  <si>
    <t>Determining the radar scattering coefficients from SAR (synthetic aperture radar) image data requires absolute radiometric calibration of the SAR system. The authors describe an internal calibration methodology for the airborne Canada Centre for Remote Sensing (CCRS) SAR system, based on radar theory, a detailed model of the radar system, and measurements of system parameters. The methodology is verified by analyzing external calibration data acquired over a 6-month period in 1988 by the C-band radar using HH polarization. The results indicate that the overall error is ¬±0.8 dB (1œÉ) for incidence angles ¬±20¬∞ from antenna boresight. The dominant error contributions are due to the antenna radome and uncertainties in the elevation angle relative to the antenna boresight.</t>
  </si>
  <si>
    <t>922-933</t>
  </si>
  <si>
    <t>60005603;60005603;60005603;60005603</t>
  </si>
  <si>
    <t>7005480938;7402932533;7006165751;55947137500</t>
  </si>
  <si>
    <t>Ulander, Lars M.H.;Hawkins, Robert K.;Livingstone, Charles E.;Lukowski, Tom I.</t>
  </si>
  <si>
    <t>Canada Centre for Remote Sensing</t>
  </si>
  <si>
    <t>Ulander L.</t>
  </si>
  <si>
    <t>Absolute radiometric calibration of the CCRS SAR</t>
  </si>
  <si>
    <t>10.1109/36.101371</t>
  </si>
  <si>
    <t>2-s2.0-0026254277</t>
  </si>
  <si>
    <t>['wide beamwidth', 'small dornier', 'sar system', 'radar configuration', 'phase history', 'oberpfaffenhofen operates', 'low altitudes', 'eventually results', 'data processing', 'computer simulation', 'atmospheric turbulences', '228 aircraft']</t>
  </si>
  <si>
    <t>The Institute for Radio Frequency Technology of the German Aerospace Research Establishment (DLR) in Oberpfaffenhofen operates an experimental synthetic aperture radar, E-SAR. The Radar configuration was developed by DLR and consists of a L/C/X-band SAR System and antennas with a wide beamwidth in azimuth and elevation. The system is installed in a small Dornier DO 228 aircraft, which operates at low altitudes between 1000 m - 3000 m above ground. Due to atmospheric turbulences, the aircraft is displaced from its nominal flight path, causing a variation of the phase history of the returned radar signal. This eventually results in a degraded image quality and therefore a highly accurate motion compensation becomes necessary. It is intended to integrate an inertial measurement unit (IMU) within the E-SAR system to support the used motion compensation algorithm during data processing. The required relative accuracy of the IMU can be determined by means of statistics i.e. an approach is demonstrated to estimate the power spectral density (PSD) of the tolerable uncompensated aircraft motion. The performance of an IMU motion compensation system has been evaluated by analysis, as well as by computer simulation.</t>
  </si>
  <si>
    <t>55-64</t>
  </si>
  <si>
    <t>European transactions on telecommunications and related technologies</t>
  </si>
  <si>
    <t>2-s2.0-0026256822</t>
  </si>
  <si>
    <t>['speed ics', 'skin effect', 'plane resonances', 'next generation', 'microwave engineers', 'making high', 'frequency problems', 'frequency phenomena', 'antenna effects']</t>
  </si>
  <si>
    <t>High-frequency phenomena, such as skin effect, ground-plane resonances, and antenna effects, have been problems only for microwave engineers until now. To characterize the next generation of high-speed ICs, and to come to grips with these high-frequency problems, IC designers need new measurement techniques and equipment. Special probes built to match the circuit under test are crucial to making high-speed digital measurements.</t>
  </si>
  <si>
    <t>100318148;100318148</t>
  </si>
  <si>
    <t>57213077941;7202046657</t>
  </si>
  <si>
    <t>Smith, Ken;Fraser, Arthur</t>
  </si>
  <si>
    <t>Beaverton</t>
  </si>
  <si>
    <t>Cascade Microtech Inc</t>
  </si>
  <si>
    <t>Smith K.</t>
  </si>
  <si>
    <t>Probing high-speed digital circuits</t>
  </si>
  <si>
    <t>2-s2.0-0026256891</t>
  </si>
  <si>
    <t>['urban region', 'taking account', 'reception site', 'receiver antennas', 'located within', 'experimental studies', 'directivity patterns', 'depends strongly', 'actual conditions']</t>
  </si>
  <si>
    <t>A method of taking account of the multitude of directivity patterns of receiver antennas, located within an urban region, the shape of which depends strongly on the reception site under actual conditions, as shown by the results of experimental studies, is proposed for calculating HF broadcasting radio links.</t>
  </si>
  <si>
    <t>Directivity pattern in vertical plane of antennas for reception of HF broadcasting in cities broadcasting in cities</t>
  </si>
  <si>
    <t>2-s2.0-0026257362</t>
  </si>
  <si>
    <t>['transient process', 'time representation', 'suchlike transients', 'size objects', 'readable picture', 'new representation', 'imaging transients', 'fully satisfactory', 'frequency representation', 'frequency evolution', 'frequency domain', 'conducting finite']</t>
  </si>
  <si>
    <t>Dipole | Frequency time representation | Pulse behaviour | Transients</t>
  </si>
  <si>
    <t>A new representation of electromagnetic transients associated with perfectly-conducting finite-size objects is proposed. Our proposal is motivated by the fact that both time representation and frequency representation of suchlike transients are not fully satisfactory. We examine a tool for imaging transients in the time-frequency domain, namely the Page instantaneous spectrum. This is illustrated in a number of examples with pulse excited dipoles that the Page spectrum leads to readable picture of time-frequency evolution of the transient process. ¬© 1991 Springer-Verlag.</t>
  </si>
  <si>
    <t>563-569</t>
  </si>
  <si>
    <t>Walkoiak, Maciej</t>
  </si>
  <si>
    <t>Zielona Gora</t>
  </si>
  <si>
    <t>Instytut Techniki WSP</t>
  </si>
  <si>
    <t>Walkoiak M.</t>
  </si>
  <si>
    <t>Time-frequency analysis of transients</t>
  </si>
  <si>
    <t>10.1007/BF02996357</t>
  </si>
  <si>
    <t>2-s2.0-0026257647</t>
  </si>
  <si>
    <t>['hybrid centimeter', 'diffraction distortions']</t>
  </si>
  <si>
    <t>The diffraction distortions of the field of a cylindrical phased antenna array, used as the feed of a hybrid centimeter-band reflector antenna, are estimated.</t>
  </si>
  <si>
    <t>89-92</t>
  </si>
  <si>
    <t>7005682842;6506485391;6506194654</t>
  </si>
  <si>
    <t>Braude, V. B.;Okatov, V. V.;Smorodin, G. N.</t>
  </si>
  <si>
    <t>Braude V.</t>
  </si>
  <si>
    <t>Estimate of diffraction distortions of the field of a cylindrical phased feed of a hybrid reflector antenna phased feed of a hybrid reflector antenna</t>
  </si>
  <si>
    <t>2-s2.0-0026257856</t>
  </si>
  <si>
    <t>This paper deals with the quality of a line-of-sight digital radio link using angle diversity reception. Starting from a simple multipath model based on total reflections of the electromagnetic rays propagating in the atmosphere, a relation of delay between rays is inferred which is linear with distance and, at least for long routes, is in accordance with experimental data. The paper goes on with the description of a radio channel, both for ‚Ä≥minimum phase‚Ä≥ and ‚Ä≥non-minimum phase‚Ä≥, and with a theoretical analysis of a hop quality. Said analysis leads to the consideration of antenna characteristics, both in transmission and in reception, as basic components of the link performance and concludes that the angle diversity may be used profitably if antennas with sufficiently narrow lobes are adopted.</t>
  </si>
  <si>
    <t>137-141</t>
  </si>
  <si>
    <t>Algebraic approach for performance evaluation in microwave links using angle diversity</t>
  </si>
  <si>
    <t>2-s2.0-0026261197</t>
  </si>
  <si>
    <t>1167-1171</t>
  </si>
  <si>
    <t>Tokatly, V. I.</t>
  </si>
  <si>
    <t>Systematic error components of electric field meters with rod antennas</t>
  </si>
  <si>
    <t>10.1007/BF00979704</t>
  </si>
  <si>
    <t>2-s2.0-34249919020</t>
  </si>
  <si>
    <t>['yet exceeds', 'south africa', 'ray binaries', 'ray behavior', 'radio emission', 'observations show', 'mass x', 'low level', 'late 1970s', 'hartebeesthoek antenna', 'ginga satellite', 'flaring episodes', 'eddington limit', 'early 1980s', 'circinus x', 'cir x', 'april 2', '5 ghz']</t>
  </si>
  <si>
    <t>During 1989 March 30 to April 2, Circinus X-1 was monitored at 5 GHz by one or other of a pair of two-element Australia Telescope interferometers and the Hartebeesthoek antenna, South Africa, and by the Ginga satellite in the 1-37 keV energy range. The observations show that Cir X-1 now has a very low level of radio emission, unlike the late 1970s and early 1980s, during which intense flare activity often occurred near zero orbital phase. Also, the X-ray behavior is strange in that it does now show the usual spectral states seen in low-mass X-ray binaries, yet exceeds the Eddington limit during flaring episodes.</t>
  </si>
  <si>
    <t>212-216</t>
  </si>
  <si>
    <t>60005920;60005920;60004333;60024322;60024322;60026053</t>
  </si>
  <si>
    <t>8364821700;16459833800;6602255260;7006245476;55433880000;7103038032</t>
  </si>
  <si>
    <t>Stewart, R. T.;Nelson, G. J.;Penninx, W.;Kitamoto, S.;Miyamoto, S.;Nicolson, G. D.</t>
  </si>
  <si>
    <t>South Africa;Japan;Australia;Netherlands</t>
  </si>
  <si>
    <t>Krugersdorp;Suita;Sydney;Amsterdam</t>
  </si>
  <si>
    <t>Hartebeesthoek Radio Astronomy Observatory;Osaka University;Australia Telescope National Facility;Astronomical Institute Anton Pannekoek</t>
  </si>
  <si>
    <t>60026053;60024322;60005920;60004333</t>
  </si>
  <si>
    <t>Stewart R.T.</t>
  </si>
  <si>
    <t>On the puzzling nature of the X-ray binary Circinus X-1</t>
  </si>
  <si>
    <t>10.1093/mnras/253.2.212</t>
  </si>
  <si>
    <t>2-s2.0-85079055727</t>
  </si>
  <si>
    <t>['¬© 1991', 'wave applications', 'tunnelling diode', 'scale model', 'rights reserved', 'open resonator', 'electrical engineers', 'carrier ratio', 'band frequencies']</t>
  </si>
  <si>
    <t>Microwave oscillation | Oscillators | Tunnel diodes</t>
  </si>
  <si>
    <t>A resonant-tunnelling diode has oscillated at X-band frequencies in a microwave circuit consisting of a slot antenna coupled to a semiconfocal open resonator. Coupling between the open resonator and the slot oscillator improves the noise- to-carrier ratio by about 36 dB relative to that of the slot oscillator alone in the 100‚Äì200 kHz range. A circuit operating near 10 GHz has been designed as a scale model for millimetre- and submillimetre-wave applications. ¬© 1991, The Institution of Electrical Engineers. All rights reserved.</t>
  </si>
  <si>
    <t>647-649</t>
  </si>
  <si>
    <t>7102375534;57198655831;7402174260;7004186546;7501961286;7004375228</t>
  </si>
  <si>
    <t>Stephan, K. D.;Brown, D. R.;Parker, C. D.;Goodhue, W. D.;Chen, C. L.;Sollner, T. C.L.G.</t>
  </si>
  <si>
    <t>Stephan K.D.</t>
  </si>
  <si>
    <t>Resonant-tunnelling diode oscillator using a slot-coupled quasioptical open resonator</t>
  </si>
  <si>
    <t>10.1049/el:19910406</t>
  </si>
  <si>
    <t>2-s2.0-0026141176</t>
  </si>
  <si>
    <t>['¬© 1991', 'rights reserved', 'new method', 'near zone', 'global minimum', 'found efficiently', 'far field', 'electrical engineers', 'crucial point', 'appropriate function']</t>
  </si>
  <si>
    <t>Antennas | Electromagnetic waves | Model analysis | Nonlinear systems</t>
  </si>
  <si>
    <t>A new method for the estimation of the far field from two amplitude distributions in near zone is presented. The crucial point of the proposed approach relies on the choice of an appropriate function of the data, which is minimised in order to find the solution. It turns out that, although the problem is nonlinear, the global minimum can be found efficiently by a Newton-like minimisation procedure. ¬© 1991, The Institution of Electrical Engineers. All rights reserved.</t>
  </si>
  <si>
    <t>652-654</t>
  </si>
  <si>
    <t>115552811;115552811;118847157</t>
  </si>
  <si>
    <t>7003402426;7005281565;56963446400</t>
  </si>
  <si>
    <t>Isernia, T.;Pierri, R.;Leone, D.</t>
  </si>
  <si>
    <t>Baronissi;Naples</t>
  </si>
  <si>
    <t>Istituto di Ingegneria Elettronica;Dipartimento di Ingegneria Elettronica</t>
  </si>
  <si>
    <t>118847157;115552811</t>
  </si>
  <si>
    <t>Isernia T.</t>
  </si>
  <si>
    <t>New technique for estimation of farfield from near-zone phaseless data</t>
  </si>
  <si>
    <t>10.1049/el:19910409</t>
  </si>
  <si>
    <t>2-s2.0-0026141827</t>
  </si>
  <si>
    <t>National Institute of Dental and Craniofacial Research</t>
  </si>
  <si>
    <t>R37DE007244</t>
  </si>
  <si>
    <t>NIDCR</t>
  </si>
  <si>
    <t>['structural basis', 'significant compositional', 'sequence homology', 'screened glycolipids', 'rich glycoproteins', 'receptor activity', 'prg oligosaccharides', 'prg ).', 'previously showed', 'prb3 gene', 'parotid saliva', 'p .,', 'overlay technique', 'nucleatum binding', 'nucleatum adherence', 'neoglycolipids constructed', 'mediate f', 'major oligosaccharide', 'glutamic acid', 'fucose ).', 'exon 3', 'also receptors', 'abolished binding', '., murray']</t>
  </si>
  <si>
    <t>Using an overlay technique, we previously showed that the Gram-negative periodontal pathogen Fusobacterium nucleatum binds to a glycoprotein of M(r) 89,000 (Prakobphol, A., Murray, P., and Fisher, S. J. (1987) Anal. Biochem. 164, 5-11) in the parotid saliva of some individuals. We now show that deglycosylation of the purified glycoprotein results in loss of receptor activity. Amino acid analysis of the protein core showed predominantly proline, glycine, and glutamic acid/glutamine, a characteristic of proline-rich glycoproteins (PRG). The amino terminus contained repeating sequences of Ser-Gln-Gly-Pro-Pro-Pro-Arg-Pro-Gly-Lys-Pro-Glu- Gly-Pro-Pro-Pro-Gln-Gly that had significant compositional and sequence homology to that encoded by exon 3 of the PRB3 gene. We analyzed the PRG oligosaccharides by a combination of mass spectrometry techniques and nuclear magnetic resonance spectroscopy. Twenty-seven highly fucosylated structures were identified. The most abundant was as follows (where Fuc is fucose). To understand the structural basis of F. nucleatum binding, we screened glycolipids and neoglycolipids carrying carbohydrate structures related to those of the PRG for receptor activity; components with unsubstituted terminal lactosamine residues best supported adherence. Neoglycolipids constructed from PRG oligosaccharides were also receptors. Treatment with Œ≤-galactosidase, but not Œ±-fucosidase, abolished binding, suggesting that unsubstituted lactosamine units, including the 6-antenna of the major oligosaccharide, mediate F. nucleatum adherence.</t>
  </si>
  <si>
    <t>17358-17368</t>
  </si>
  <si>
    <t>60023691;60023691;60023691;60023691;60023691</t>
  </si>
  <si>
    <t>6601967898;6701329499;35475505400;26643352700;7401755703</t>
  </si>
  <si>
    <t>Gillece-Castro, B. L.;Prakobphol, A.;Burlingame, A. L.;Leffler, H.;Fisher, S. J.</t>
  </si>
  <si>
    <t>Gillece-Castro B.L.</t>
  </si>
  <si>
    <t>Structure and bacterial receptor activity of a human salivary proline-rich glycoprotein</t>
  </si>
  <si>
    <t>2-s2.0-0025948394</t>
  </si>
  <si>
    <t>['trapping vs', 'trap properties', 'trap case', 'structural optimization', 'still compatible', 'spectral heterogeneity', 'slow trap', 'rights reserved', 'report simulations', 'relevant parameters', 'real photosystems', 'reaction center', 'quite limited', 'pronounced contribution', 'numerical solution', 'natural photosystems', 'limited kinetics', 'less important', 'hypothetical fast', 'high yield', 'fast trap', 'experimental data', 'exciton motion', 'exciton migration', 'exciton lifetime', 'exciton kinetics', 'direct comparison', 'diagnostic value', 'conclusions drawn', 'charge separation', 'authors regarding', 'antenna structure', 'absorbing pigments']</t>
  </si>
  <si>
    <t>Chlorophyll fluorescence | Energy transfer kinetics | Exciton migration | Fluorescence decay | Kinetic model | Photosynthesis</t>
  </si>
  <si>
    <t>We report simulations of exciton migration and charge separation kinetics in spectrally heterogeneous two-dimensional model antenna/reaction center complexes based on a numerical solution of the Pauli master equation for exciton motion. Experimentally accessible quantities like the charge separation yield, the exciton lifetime(s), the first passage time, the time-resolved and the steady-state fluorescence emission spectra are calculated. The simulated data lend themselves to a direct comparison with experimental data. The diagnostic value of these parameters for studying antenna heterogeneity, antenna structure and trap properties in real photosystems are discussed. Both the 'slow trap' and the 'fast trap' cases are examined in order to simulate the trap-limited and the diffusion-limited kinetics, respectively. For spectrally heterogeneous antenna sytems we show that conclusions drawn by other authors regarding the effects of antenna optimisation like, e.g., funnelling, on the charge separation yield and exciton kinetics apply only to the hypothetical fast-trap case. In contrast, in the 'slow-trap case', which is more relevant for natural photosystems, the influence of spectral and structural optimization on the charge separation yield is quite limited. The most relevant parameters that influence the charge separation yield and the exciton kinetics in the heterogeneous antenna case are the ratio of energy transfer rates for trapping vs. detrapping at the reaction center and the spectral heterogeneity of the antenna. We show that the presence of long-wavelength-absorbing pigments (in relation to reaction center absorption) is still compatible with a high yield of charge separation. However, long-wavelength-absorbing pigments will make a pronounced contribution to the steady-state fluorescence emission spectrum, which has considerable diagnostic value. Funneling is shown to be essential for a short first passage time but less important for achieving a high yield of charge separation. ¬© 1991 Elsevier Science Publishers B.V. All rights reserved.</t>
  </si>
  <si>
    <t>271-283</t>
  </si>
  <si>
    <t>7007133458;57197652329;35501122300</t>
  </si>
  <si>
    <t>Beauregard, Marc;Martin, Iris;Holzwarth, Alfred R.</t>
  </si>
  <si>
    <t>Beauregard M.</t>
  </si>
  <si>
    <t>Kinetic modelling of exciton migration in photosynthetic systems. (1) Effects of pigment heterogeneity and antenna topography on exciton kinetics and charge separation yields</t>
  </si>
  <si>
    <t>S0005272805803172</t>
  </si>
  <si>
    <t>10.1016/S0005-2728(05)80317-2</t>
  </si>
  <si>
    <t>2-s2.0-0025949153</t>
  </si>
  <si>
    <t>['without lhcii', 'state room', 'rights reserved', 'reaction centres', 'preferentially localised', 'main chl', 'longer wavelengths', 'isolated lhcii', 'fluorescence emission', 'excitation energy', 'energy transfer', 'either open', 'data show', 'chlorella cells', 'chl b', 'almost absent', '683 nm', '680 nm']</t>
  </si>
  <si>
    <t>(Spinach and barley thylakoids) | Antenna model | Excitation energy transfer | Fluorescence emission | Light-harvesting chlorophyll a/b protein complex II | Photosystem II</t>
  </si>
  <si>
    <t>Steady-state room-temperature emission spectra have been determined for spinach and barley (both wild-type and the chlorina mutant lacking Chl b and LHCII) thylakoids, a spinach Photosystem II membrane preparation and Chlorella cells, under conditions in which the Photosystem II reaction centres were either open or closed. The data show that the fluorescence quenching efficiency of open reaction centres is greatest for those chlorophyll species emitting in the 680-690 nm wavelength range. The reaction centre quenching efficiency decreases at both shorter and longer wavelengths. Calculation of the fluorescence emission ratio spectra for membrane preparations containing LHCII (wild-type barley thylakoids and isolated LHCII) with respect to those without LHCII (chlorina barley mutant thylakoids) indicates that this complex has characteristic emissions around 650 nm (Chl b) and 680 nm. The Chl b emission is about 2% that of the main Chl a emission at 683 nm (open reaction centres). As the characteristic LHCII emission bands near 650 nm and 680 nm are almost absent in the ratio between LHCII emission spectrum and both spinach and wild-type barley thylakoid emission spectra at open reaction centres, it is concluded that most Photosystem II fluorescence is from LHCII when reaction centres are open. Thus, excitation energy does not seem to be preferentially localised in the core antenna complexes prior to fluorescence emission. The data are interpreted in terms of a model in which energy transfer from antenna to reaction centres is basically diffusion limited. ¬© 1991 Elsevier Science Publishers B.V. All rights reserved.</t>
  </si>
  <si>
    <t>245-250</t>
  </si>
  <si>
    <t>7201971898;7006530694;6701308180</t>
  </si>
  <si>
    <t>Jennings, Robert C.;Zucchelli, Giuseppe;Garlaschi, Flavio M.</t>
  </si>
  <si>
    <t>The influence of quenching by open reaction centres on the photosystem II fluorescence emission spectrum</t>
  </si>
  <si>
    <t>S0005-2728(05)80313-5</t>
  </si>
  <si>
    <t>10.1016/S0005-2728(05)80313-5</t>
  </si>
  <si>
    <t>2-s2.0-0026047462</t>
  </si>
  <si>
    <t>['¬© 1991', 'within 1', 'uncovered patches', 'uncovered patch', 'rights reserved', 'results using', 'resonance frequency', 'measured value', 'electrical engineers', 'circular covered']</t>
  </si>
  <si>
    <t>Antennas | Modelling</t>
  </si>
  <si>
    <t>A new modified Wolff model (MWM) is proposed to calculate the resonance frequency of the circular covered and uncovered patch. For uncovered patches the calculated frequency using the MWM is within 0¬∑5% of the measured value. For covered patch antennas, the MWM determines resonance frequency to within 1% of the results using from SDA. ¬© 1991, The Institution of Electrical Engineers. All rights reserved.</t>
  </si>
  <si>
    <t>2234-2236</t>
  </si>
  <si>
    <t>Modified wolff model for determination of resonance frequency of dielectric covered circular microstrip patch antenna</t>
  </si>
  <si>
    <t>10.1049/el:19911382</t>
  </si>
  <si>
    <t>2-s2.0-0026260514</t>
  </si>
  <si>
    <t>['¬© 1991', 'x band', 'thomson method', 'rights reserved', 'priori information', 'multiple frequencies', 'experimental data', 'electrical engineers', 'diffuse multipath', 'combined specular', 'aoa estimator', 'additional improvement']</t>
  </si>
  <si>
    <t>Radiowave propagation</t>
  </si>
  <si>
    <t>The Thomson method of multiple-windows is applied to the problem of angle-of-arrival (AOA) estimation at low grazing angles, and in the presence of combined specular and diffuse multipath. Experimental data are used, collected by means of a 32 element sampled aperture antenna system operating at X band. Additional improvement is observed when multiple frequencies and a priori information is incorporated in the AOA estimator. ¬© 1991, The Institution of Electrical Engineers. All rights reserved.</t>
  </si>
  <si>
    <t>2273-2274</t>
  </si>
  <si>
    <t>Angle-of-arrival estimation in presence of multipath</t>
  </si>
  <si>
    <t>10.1049/el:19911406</t>
  </si>
  <si>
    <t>2-s2.0-0026256486</t>
  </si>
  <si>
    <t>['¬© 1991', 'significant feature', 'rights reserved', 'processed directly', 'priori choice', 'new approach', 'microstrip antennas', 'equivalent circuit', 'electrical engineers', 'design procedure', 'analytic form']</t>
  </si>
  <si>
    <t>Antenna theory | Antennas | Microstrip</t>
  </si>
  <si>
    <t>A new approach for increasing the bandwidth of microstrip antennas by using the simplified real frequency technique is presented. The method is numerical, its most significant feature is that it does not require any form of equivalent circuit or analytical impedance functions for the antennas and generators, and the measured or calculated impedance data are processed directly. Furthermore, neither an a priori choice of a matching network topology nor an analytic form of the system transfer function is needed. A representative example shows the validity of the design procedure. ¬© 1991, The Institution of Electrical Engineers. All rights reserved.</t>
  </si>
  <si>
    <t>2295-2297</t>
  </si>
  <si>
    <t>123304550;123304550;123304550</t>
  </si>
  <si>
    <t>54679304800;7005721326;7003998197</t>
  </si>
  <si>
    <t>An, H.;Nauwelaers, B.;van de capelle, A.</t>
  </si>
  <si>
    <t>Leuven</t>
  </si>
  <si>
    <t>Kathokieke Universiteit</t>
  </si>
  <si>
    <t>An H.</t>
  </si>
  <si>
    <t>Matching network design of microstrip antennas with simplified real frequency technique</t>
  </si>
  <si>
    <t>10.1049/el:19911419</t>
  </si>
  <si>
    <t>2-s2.0-0026259750</t>
  </si>
  <si>
    <t>['¬© 1991', 'rights reserved', 'reaction formula', 'radiates efficiently', 'probe length', 'investigated theoretically', 'input impedance', 'feed position', 'electrical engineers', 'dielectric constant', 'calculated using', 'broadside direction']</t>
  </si>
  <si>
    <t>Antennas | Dielectric antennas</t>
  </si>
  <si>
    <t>A coaxially fed hemispherical dielectric resonator antenna is investigated theoretically. The input impedance of the lowest order TE111 mode that radiates efficiently in the broadside direction is calculated using the reaction formula. The result is compared with experimental data available in the literature. The effects of the probe length, feed position and dielectric constant on the input impedance are studied. ¬© 1991, The Institution of Electrical Engineers. All rights reserved.</t>
  </si>
  <si>
    <t>2259-2260</t>
  </si>
  <si>
    <t>60002798;60002798;60002798;60025278</t>
  </si>
  <si>
    <t>56415172000;55510527400;56912776300;7403692161</t>
  </si>
  <si>
    <t>Leung, K. W.;Luk, K. M.;Lai, K. Y.A.;Lin, D.</t>
  </si>
  <si>
    <t>China;Hong Kong</t>
  </si>
  <si>
    <t>Beijing;Hong Kong</t>
  </si>
  <si>
    <t>Tsinghua University;Chinese University of Hong Kong</t>
  </si>
  <si>
    <t>60025278;60002798</t>
  </si>
  <si>
    <t>Leung K.</t>
  </si>
  <si>
    <t>Input impedance of hemispherical dielectric resonator antenna</t>
  </si>
  <si>
    <t>10.1049/el:19911397</t>
  </si>
  <si>
    <t>2-s2.0-0026261074</t>
  </si>
  <si>
    <t>['useful electronic', 'second wavelength', 'results provide', 'radiative process', 'programmed self', 'polynucleotides ).', 'photonic property', 'photonic properties', 'one wavelength', 'molecular structures', 'fluorescent oligonucleotides', 'close proximity', 'clear demonstration', 'assembling properties', 'amplifier structure', 'acceptor oligonucleotides']</t>
  </si>
  <si>
    <t>Work has been carried out with the objective of imparting the electronic/photonic property of extended Forster energy transfer into organized structures formed by the programmed self-assembly of synthetic nucleic acid units (fluorescent oligonucleotides and polynucleotides). Forster energy transfer is a non-radiative process by which a fluorescent donor molecule excited at one wavelength is able to transfer its absorbed photonic energy efficiently to a fluorescent acceptor molecule, in close proximity, which then re-emits it at a second wavelength. An extended energy transfer system, with multiple donor molecules, could be considered a molecular photonic antenna or amplifier structure. Relatively efficient extended Forster energy transfer was observed in initial experiments involving multiple fluorescent donor and acceptor oligonucleotides. These results provide a clear demonstration of totally synthetic molecules, with highly specific programmable self-assembling properties, organizing into molecular structures with useful electronic/photonic properties.</t>
  </si>
  <si>
    <t>Nanotechnology</t>
  </si>
  <si>
    <t>100634367;100634367</t>
  </si>
  <si>
    <t>34770584800;35732445900</t>
  </si>
  <si>
    <t>Heller, M. J.;Tullis, R. H.</t>
  </si>
  <si>
    <t>Synthetic Genetics, Inc.</t>
  </si>
  <si>
    <t>Heller M.</t>
  </si>
  <si>
    <t>Self-organizing molecular photonic structures based on functionalized synthetic nucleic acid (DNA) polymers</t>
  </si>
  <si>
    <t>10.1088/0957-4484/2/4/001</t>
  </si>
  <si>
    <t>2-s2.0-0000098216</t>
  </si>
  <si>
    <t>['versatile enough', 'vacuum chamber', 'techniques employed', 'sufficiently useful', 'scientific instrument', 'position within', 'plasma column', 'mid 1012', 'linear machine', 'large variety', 'lapd ),', 'companion paper', 'coated cathode', 'cm3 range', '3000 g']</t>
  </si>
  <si>
    <t>The large plasma research device (LAPD), a large, linear plasma research device designed to study space plasma processes, has been constructed at UCLA over the past four years. The LAPD has a 0.5√ó0.5 m2 oxide-coated cathode as a source which produces a 10-m-long plasma column with densities up to the mid 1012/cm3 range. The linear machine is surrounded by a set of 68 magnet coils which can generate an axial magnetic field of up to 3000 G. The vacuum chamber has 128 radial ports to ensure excellent access for probes and antennas. An internal probe drive capable of moving a set of probes to any position within the plasma column is described in a companion paper. This machine is a scientific instrument in its own right and was designed to be versatile enough to study a large variety of phenomena. The techniques employed in the design and construction are sufficiently useful to be discussed here so that others can benefit from our experience.</t>
  </si>
  <si>
    <t>2875-2883</t>
  </si>
  <si>
    <t>Review of Scientific Instruments</t>
  </si>
  <si>
    <t>60027550;60027550;60027550;60027550;60027550;60027550</t>
  </si>
  <si>
    <t>6701748977;12446017600;23015557500;7005776029;6507782387;7005855506</t>
  </si>
  <si>
    <t>Gekelman, W.;Pfister, H.;Lucky, Z.;Bamber, J.;Leneman, D.;Maggs, J.</t>
  </si>
  <si>
    <t>Gekelman W.</t>
  </si>
  <si>
    <t>Design, construction, and properties of the large plasma research device - The LAPD at UCLA</t>
  </si>
  <si>
    <t>10.1063/1.1142175</t>
  </si>
  <si>
    <t>2-s2.0-0000309232</t>
  </si>
  <si>
    <t>['wave scattering', 'turbulence wavenumbers', 'simple tool', 'polarization scattering', 'four diagnostics', 'fluctuations close', 'fluctuation rates', 'correlation reflectometry', 'calibrated measurements', 'antennae reflectometry']</t>
  </si>
  <si>
    <t>The problem of wave scattering by fluctuations close to a cut-off layer is investigated. A generalized wavenumber selection rule is introduced. It provides a simple tool for analyzing the localization of scattering and defining which turbulence wavenumbers are at the origin of the observed scattered signal. Moreover, absolutely-calibrated measurements of fluctuation rates can be envisaged. Applications to four diagnostics (one- and two-antennae reflectometry, correlation reflectometry and cross-polarization scattering) are discussed.</t>
  </si>
  <si>
    <t>903-918</t>
  </si>
  <si>
    <t>Plasma Physics and Controlled Fusion</t>
  </si>
  <si>
    <t>60003729;60003729;60003729</t>
  </si>
  <si>
    <t>7203047448;57188652412;6603918921</t>
  </si>
  <si>
    <t>Zou, X. L.;Laurent, L.;Rax, J. M.</t>
  </si>
  <si>
    <t>Saint Paul lez Durance</t>
  </si>
  <si>
    <t>CEA Cadarache</t>
  </si>
  <si>
    <t>Zou X.</t>
  </si>
  <si>
    <t>Scattering of an electromagnetic wave in a plasma close to a cut-off layer. Application to fluctuation measurements</t>
  </si>
  <si>
    <t>10.1088/0741-3335/33/8/003</t>
  </si>
  <si>
    <t>2-s2.0-0000502028</t>
  </si>
  <si>
    <t>['wave excitation', 'typical applications', 'three regions', 'surface wave', 'remote sensing', 'microstrip circuits', 'layered region', 'interest consists', 'conductor coated', 'arctic ice']</t>
  </si>
  <si>
    <t>The electromagnetic field generated by a horizontal electric dipole in the air over the surface of a two-layered region is determined for continuous-wave excitation. The region of interest consists of a conductor coated with an electrically thin layer of dielectric under a half-space of air. Simple explicit formulas are derived for the field at all points in all three regions, including the surface wave. Typical applications are to microstrip circuits and antennas and to remote sensing from the arctic ice.</t>
  </si>
  <si>
    <t>7987-7995</t>
  </si>
  <si>
    <t>Journal of Applied Physics</t>
  </si>
  <si>
    <t>King, Ronold W.P.</t>
  </si>
  <si>
    <t>Harvard University</t>
  </si>
  <si>
    <t>King R.</t>
  </si>
  <si>
    <t>The electromagnetic field of a horizontal electric dipole in the presence of a three-layered region</t>
  </si>
  <si>
    <t>10.1063/1.347494</t>
  </si>
  <si>
    <t>2-s2.0-0001057428</t>
  </si>
  <si>
    <t>['theoretical pattern', 'lithographic antennas', 'infrared wavelengths', 'incomplete filling', 'high efficiency', 'free space', 'close resemblance', 'antenna efficiency', 'antenna beam', '35 db', '2 db', '19 œºm']</t>
  </si>
  <si>
    <t>We have extended the high efficiency of lithographic antennas to mid-infrared wavelengths. Pattern measurements made at 9.5 Œºm wavelength on a 65¬∞, self-complementary, spiral antenna exhibit a ratio of response to orthogonal linear polarizations of 1.35 dB, a beamwidth of 85¬∞(3 dB full width), a directivity of 8.2 dB, and surprisingly, a close resemblance to the theoretical pattern for a 65¬∞spiral in free space. Direct detection measurements made with an ambient temperature blackbody source yield an antenna efficiency of 52¬±7%, when corrected for incomplete filling of the antenna beam by the source, at a mean effective wavelength of 19 Œºm.</t>
  </si>
  <si>
    <t>3225-3227</t>
  </si>
  <si>
    <t>Applied Physics Letters</t>
  </si>
  <si>
    <t>7202730843;6602559580;56284398700</t>
  </si>
  <si>
    <t>Grossman, E. N.;Sauvageau, J. E.;McDonald, D. G.</t>
  </si>
  <si>
    <t>Grossman E.</t>
  </si>
  <si>
    <t>Lithographic spiral antennas at short wavelengths</t>
  </si>
  <si>
    <t>10.1063/1.105739</t>
  </si>
  <si>
    <t>2-s2.0-0001406606</t>
  </si>
  <si>
    <t>['two intimately', 'rf voltage', 'rf antennas', 'linked parameters', 'jet highly', 'influxes result', 'impurity ions', 'icrf heating', 'fs geometry', 'faraday screens', 'enhanced bohm', 'debye sheaths', 'antenna voltage', 'antenna phasing']</t>
  </si>
  <si>
    <t>During ICRF heating in JET highly-localized impurity influxes from the Faraday screens (FS) of RF antennas are observed. The influxes result from the acceleration of deuterium and impurity ions in the RF-enhanced Bohm-Debye sheaths. The RF-enhanced sheaths form when the equilibrium magnetic field line, linking a large RF magnetic flux, connects two surfaces and closes a loop where the RF voltage is induced. The FS influxes depend on two intimately-linked parameters, the antenna voltage and the density at the FS, as well as on the magnetic field angle, antenna phasing, FS geometry and material.</t>
  </si>
  <si>
    <t>937-967</t>
  </si>
  <si>
    <t>60025104;60025104;60025104;60025104;60025104;60025104;60025104</t>
  </si>
  <si>
    <t>57212335886;7005524697;7103032460;7005377624;7007158559;7004011751;7004139188</t>
  </si>
  <si>
    <t>Bures, M.;Jacquinot, J.;Lawson, K.;Stamp, M.;Summers, H. P.;D'Ippolito, D. A.;Myra, J. R.</t>
  </si>
  <si>
    <t>Bures M.</t>
  </si>
  <si>
    <t>Impurity release from the ICRF antenna screens in JET</t>
  </si>
  <si>
    <t>10.1088/0741-3335/33/8/005</t>
  </si>
  <si>
    <t>2-s2.0-0001552569</t>
  </si>
  <si>
    <t>['value comparable', 'simple model', 'saturation properties', 'radiation mechanism', 'power scaling', 'bias field']</t>
  </si>
  <si>
    <t>We describe the power scaling and saturation properties of large-aperture planar photoconducting antennas which emit and detect ultrashort terahertz electromagnetic pulses. At high optical fluences, the radiated electric field saturates at a value comparable to the bias field in agreement with a simple model of the radiation mechanism.</t>
  </si>
  <si>
    <t>25-27</t>
  </si>
  <si>
    <t>60030162;60030162;60030162</t>
  </si>
  <si>
    <t>6701531352;7410280543;7003905455</t>
  </si>
  <si>
    <t>Darrow, J. T.;Zhang, X. C.;Auston, D. H.</t>
  </si>
  <si>
    <t>Columbia University</t>
  </si>
  <si>
    <t>Darrow J.</t>
  </si>
  <si>
    <t>Power scaling of large-aperture photoconducting antennas</t>
  </si>
  <si>
    <t>10.1063/1.104426</t>
  </si>
  <si>
    <t>2-s2.0-0001866856</t>
  </si>
  <si>
    <t>['water surface', 'turning behavior', 'stone protruding', 'sheathing ovipositors', 'probing ".', 'prepupal hosts', 'posterior ends', 'host stages', 'host cases', 'held backward', 'frequently accepted', 'female wasps', 'case size']</t>
  </si>
  <si>
    <t>The host acceptance behavior of the Japanese aquatic wasp, Agriotypus gracilis Waterston, an ectoparasitoid of the sand case building caddisfly, Goera japonica Banks was investigated in the laboratory. Female wasps were observed to enter the water by walking down a stone protruding from the water surface. Antennae were held backward and not utilized in searching for hosts under the water. Female wasps examined hosts from the outside of their cases by 2 consecutive steps, "turning" and "probing". Turning behavior, in which female wasps move between the anterior and posterior ends of host cases, may be related to the measurement of case size. Host stages are considered to be discriminated by probing, in which females probe host cases with their sheathing ovipositors. Female wasps most frequently accepted and oviposited on pupal and prepupal hosts. ¬© 1991 Japan Ethological Society.</t>
  </si>
  <si>
    <t>113-119</t>
  </si>
  <si>
    <t>Journal of Ethology</t>
  </si>
  <si>
    <t>60024322;60024322</t>
  </si>
  <si>
    <t>7201467729;15829571300</t>
  </si>
  <si>
    <t>Aoyagi, Masato;Ishii, Minoru</t>
  </si>
  <si>
    <t>Suita</t>
  </si>
  <si>
    <t>Osaka University</t>
  </si>
  <si>
    <t>Aoyagi M.</t>
  </si>
  <si>
    <t>Host acceptance behavior of the Japanese aquatic wasp, Agriotypus gracilis (Hymenoptera: Ichneumonidae) toward the caddisfly host, Goera japonica (Trichoptera: Limnephilidae)</t>
  </si>
  <si>
    <t>10.1007/BF02350215</t>
  </si>
  <si>
    <t>2-s2.0-0004521267</t>
  </si>
  <si>
    <t>['tore supra', 'thus ruling', 'suprathermal electrons', 'soft x', 'scattering matrices', 'reaches 0', 'observed consistent', 'nonthermal ece', 'lower hybrid', 'lh power', 'jet thanks', 'high volume', 'free periods', 'direct heating', 'clearly depends', 'axis creation', '9 kev']</t>
  </si>
  <si>
    <t>Anomalous transport | Current Drive | Fast Wave | JET | Lower Hybrid Wave | Pellet injection | Sawtooth suppression | Synergy | Tokamaks | TORE SUPRA | Transit Time Magnetic Pumping</t>
  </si>
  <si>
    <t>Lower hybrid current drive (LHCD) experiments in TORE SUPRA and JET are reported. Measurements of the scattering matrices of the antennae show good agreement with theory. The current drive efficiency in TORE SUPRA is about 0.2*1020 Am-2/W with LH power alone and reaches 0.4*1020 Am-2/W in JET thanks to a high volume-averaged electron temperature (1.9 keV) and also to a synergy between lower hybrid and fast magnetosonic waves. In TORE SUPRA, sawteeth are suppressed and m=1 MHD oscillations the frequency of which clearly depends on the amount of LH power are observed on soft X-rays, and also on nonthermal ECE. In JET ICRH produced sawtooth-free periods are extended by the application of LHCD and current profile broadening has been observed consistent with off-axis fast electron populations. LH power modulation experiments performed in TORE SUPRA show a delayed central electron heating despite the off-axis creation of suprathermal electrons, thus ruling out the possibility of a direct heating through central wave absorption. Successful pellet fuelling of a partially LH driven plasma was obtained in TORE SUPRA.</t>
  </si>
  <si>
    <t>1621-1638</t>
  </si>
  <si>
    <t>101496745;</t>
  </si>
  <si>
    <t>7102026019;7006674222</t>
  </si>
  <si>
    <t>Moreau, D.;Gormezano, C.</t>
  </si>
  <si>
    <t>Cent d'Etudes de Cadarache</t>
  </si>
  <si>
    <t>Moreau D.</t>
  </si>
  <si>
    <t>Lower hybrid current drive in TORE SUPRA and JET</t>
  </si>
  <si>
    <t>10.1088/0741-3335/33/13/010</t>
  </si>
  <si>
    <t>2-s2.0-0005130920</t>
  </si>
  <si>
    <t>['thin films', 'superconducting detector', 'possible mechanisms', 'offers promise', 'nonbolometric mode', 'measurements indicate', 'granular bi', 'briefly described', 'bolometric mode', '633 nm']</t>
  </si>
  <si>
    <t>We report here results of our investigations of the nonbolometric mode of detection in granular Bi-Sr-Ca-Cu-O thin films. We find that both bolometric and nonbolometric modes appear in the same sample under mutually exclusive conditions: bolometric with light (633 nm) and nonbolometric with microwaves (9 GHz). Our measurements indicate that the nonbolometric mode of detection is more sensitive than the bolometric mode in our samples, a result which offers promise for application to microwave power measurement. Possible mechanisms for the nonbolometric mode are reviewed, and the concept of using a broadband spiral antenna directly coupled to the superconducting detector for microwave power sensing is briefly described.</t>
  </si>
  <si>
    <t>2676-2678</t>
  </si>
  <si>
    <t>60005248;60005248;60005248;60005248;60005248</t>
  </si>
  <si>
    <t>35615982400;7003675335;16227509500;25227217800;6507507584</t>
  </si>
  <si>
    <t>Boone, B. G.;Sova, R. M.;Moorjani, K.;Green, W. J.;Grabow, B. E.</t>
  </si>
  <si>
    <t>Boone B.G.</t>
  </si>
  <si>
    <t>Microwave detection using granular Bi-Sr-Ca-Cu-O thin films</t>
  </si>
  <si>
    <t>10.1063/1.348662</t>
  </si>
  <si>
    <t>2-s2.0-0005273061</t>
  </si>
  <si>
    <t>['several types', 'several lines', 'repetitive flashes', 'reduce plastoquinone', 'reaction centers', 'proton release', 'present study', 'oxidizing water', 'oxidize water', 'higher plants', 'functionally heterogeneous', 'functional heterogeneity', 'flash yield', 'flash intensity', 'evidence show', 'effectively inactive', 'dmbq support', 'dmbq ).', 'dcbq ),', 'conflicting opinions', 'adapted leaves', '330 ).']</t>
  </si>
  <si>
    <t>antenna size | inactive Photosystem II | Photosystem II | water oxidation</t>
  </si>
  <si>
    <t>Photosystem II complexes of higher plants are structurally and functionally heterogeneous. While the only clearly defined structural difference is that Photosystem II reaction centers are served by two distinct antenna sizes, several types of functional heterogeneity have been demonstrated. Among these is the observation that in dark-adapted leaves of spinach and pea, over 30% of the Photosystem II reaction centers are unable to reduce plastoquinone to plastoquinol at physiologically meaningful rates. Several lines of evidence show that the impaired reaction centers are effectively inactive, because the rate of oxidation of the primary quinone acceptor, QA, is 1000 times slower than in normally active reaction centers. However, there are conflicting opinions and data over whether inactive Photosystem II complexes are capable of oxidizing water in the presence of certain artificial electron acceptors. In the present study we investigated whether inactive Photosystem II complexes have a functional water oxidizing system in spinach thylakoid membranes by measuring the flash yield of water oxidation products as a function of flash intensity. At low flash energies (less that 10% saturation), selected to minimize double turnovers of reaction centers, we found that in the presence of the artificial quinone acceptor, dichlorobenzoquinone (DCBQ), the yield of proton release was enhanced 20¬±2% over that observed in the presence of dimethylbenzoquinone (DMBQ). We argue that the extra proton release is from the normally inactive Photosystem II reaction centers that have been activated in the presence of DCBQ, demonstrating their capacity to oxidize water in repetitive flashes, as concluded by Graan and Ort (Biochim Biophys Acta (1986) 852: 320-330). The light saturation curves indicate that the effective antenna size of inactive reaction centers is 55¬±12% the size of active Photosystem II centers. Comparison of the light saturation dependence of steady state oxygen evolution in the presence of DCBQ or DMBQ support the conclusion that inactive Photosystem II complexes have a functional water oxidation system. ¬© 1991 Kluwer Academic Publishers.</t>
  </si>
  <si>
    <t>85-94</t>
  </si>
  <si>
    <t>;;60001989</t>
  </si>
  <si>
    <t>56028324700;6602727238;7004272536</t>
  </si>
  <si>
    <t>Nedbal, Ladislav;Gibas, Cynthia;Whitmarsh, John</t>
  </si>
  <si>
    <t>Nedbal L.</t>
  </si>
  <si>
    <t>Light saturation curves show competence of the water splitting complex in inactive Photosystem II reaction centers</t>
  </si>
  <si>
    <t>10.1007/BF00042006</t>
  </si>
  <si>
    <t>2-s2.0-0007504269</t>
  </si>
  <si>
    <t>['test masses', 'test mass', 'system consists', 'steep f', 'shell relative', 'shell mass', 'shell allows', 'pendulum inside', 'optic axis', 'model equations', 'mode shapes', 'measured frequencies', 'mass relative', 'mass hung', 'inner surface', 'double pendulum', 'damping system', 'bandwidth control', 'applying forces', 'also measured', 'also hung', 'active isolation']</t>
  </si>
  <si>
    <t>We have developed a nested double pendulum suspension system for the test masses of a laser interferometric gravitational wave antenna. The system consists of a mass hung as a pendulum inside a shell mass that is also hung as a pendulum. A set of two-degree-of-freedom reflective ''shadow detectors'' senses motion of the shell relative to ground. Identical sensors measure motion of the mass relative to the shell. The equations of motion were solved to find the resonances and mode shapes for all of the rigid body degrees of freedom. The predicted resonant frequencies agree well with the measured frequencies. A damping system has been implemented that damps the resonances by applying forces to the shell mass alone. The vibration transfer function along the optic axis was measured. It shows the steep f-4 decline expected of a double pendulum. We have also measured the vertical vibration transfer function and the cross coupling due to misalignment. A set of plates on the inner surface of the shell allows the application of low noise electrostatic forces directly to the test mass for high-bandwidth control such as interferometer fringe lock. We have measured the response of the system to this input, and compared it to that predicted by our model equations of motion. We have determined that there exist stable feedback loops that can maintain fringe lock. The possibilities of active isolation are discussed.</t>
  </si>
  <si>
    <t>924-932</t>
  </si>
  <si>
    <t>57216136830;6601979155;6602160488</t>
  </si>
  <si>
    <t>Stephens, M.;Saulson, P.;Kovalik, J.</t>
  </si>
  <si>
    <t>Stephens M.</t>
  </si>
  <si>
    <t>A double pendulum vibration isolation system for a laser interferometric gravitational wave antenna</t>
  </si>
  <si>
    <t>10.1063/1.1142030</t>
  </si>
  <si>
    <t>2-s2.0-0007867294</t>
  </si>
  <si>
    <t>['electrically steered']</t>
  </si>
  <si>
    <t>When illuminated by a train of properly spaced ultrashort optical pulses, an array of short photoconducting dipole antennas emits a submillimeter wave beam which can be electrically steered by varying the periodicity of the voltage bias applied to the individual antenna elements.</t>
  </si>
  <si>
    <t>446-448</t>
  </si>
  <si>
    <t>60030162;60030162;60030162;60030162;60030162</t>
  </si>
  <si>
    <t>6603945990;57216211819;24325456000;7410280543;7003905455</t>
  </si>
  <si>
    <t>Froberg, N.;Mack, M.;Hu, B. B.;Zhang, X. C.;Auston, D. H.</t>
  </si>
  <si>
    <t>Froberg N.</t>
  </si>
  <si>
    <t>500 GHz electrically steerable photoconducting antenna array</t>
  </si>
  <si>
    <t>10.1063/1.104629</t>
  </si>
  <si>
    <t>2-s2.0-0012040628</t>
  </si>
  <si>
    <t>['virtually eliminate', 'useful framework', 'several types', 'screen coatings', 'rf sheaths', 'observed dependence', 'model provides', 'metal impurities', 'local influx', 'induced radio', 'impurity influx', 'great increase', 'faraday screen', 'face sheaths', 'energies sufficient', 'detailed models', 'cyclotron range', 'certain conditions', 'antenna geometry', 'also shown', 'accelerate ions']</t>
  </si>
  <si>
    <t>A model is developed to calculate the impurity influx caused by induced radio-frequency (RF) sheaths near ion-cyclotron range of frequencies (ICRF) antennas, which accelerate ions to energies sufficient to sputter the Faraday screen and other adjacent material surfaces. The existence of several types of RF sheaths is discussed, and detailed models of Faraday-screen-gap and front-face sheaths are described which are relevant to the antenna geometry in the Joint European Torus (JET) experiment. Calculations of the local influx of metal impurities from the Faraday screen show good qualitative agreement with the observed dependence of the impurity influx in JET on phasing, magnetic field angle, and screen coatings, and the model provides a useful framework for understanding other aspects of the data. It is also shown that a great increase in the metal influx due to self-sputtering of the screen ('avalanche') can occur under certain conditions. However, the model calculations also demonstrate that proper antenna design can virtually eliminate the impurity influx from the screens.</t>
  </si>
  <si>
    <t>607-642</t>
  </si>
  <si>
    <t>60026358;60026358;60026358;60026358</t>
  </si>
  <si>
    <t>7004011751;7004139188;57212335886;7005524697</t>
  </si>
  <si>
    <t>D'Ippolito, D. A.;Myra, J. R.;Bures, M.;Jacquinot, J.</t>
  </si>
  <si>
    <t>Lodestar Research Corporation</t>
  </si>
  <si>
    <t>D'Ippolito D.</t>
  </si>
  <si>
    <t>A model of sheath-driven impurity production by ICRF antennas</t>
  </si>
  <si>
    <t>10.1088/0741-3335/33/6/005</t>
  </si>
  <si>
    <t>2-s2.0-0012167742</t>
  </si>
  <si>
    <t>['wobbling sinusoidally', 'sensitive detector', 'mm wavelengths', 'make measurements', 'italian base', 'hyperboloid combination', 'cbr ).', 'beam switching', 'axis paraboloid', 'antenna system', 'also planning', '50 arcmin', '164 e']</t>
  </si>
  <si>
    <t>The design and performance of a portable 94 GHz differential radiometer is discussed. The antenna system is an off-axis paraboloid-hyperboloid combination with a field of view of about 50 arcmin. All mirrors are made of carbon fiber coated with silver. Beam switching is obtained by wobbling sinusoidally the primary (parabolic) mirror. This radiometer was used in Antarctica (Italian Base, Terra Nova Bay, -74 S, +164 E) to make measurements to the diffuse sky emission at mm wavelengths. In future, we are also planning to use the antenna, together with a more sensitive detector, to make measurements of the cosmic background radiation anisotropy (CBR).</t>
  </si>
  <si>
    <t>1293-1298</t>
  </si>
  <si>
    <t>Piccirillo, L.</t>
  </si>
  <si>
    <t>Istituto Superiore Poste e Telecomunicazioni</t>
  </si>
  <si>
    <t>Piccirillo L.</t>
  </si>
  <si>
    <t>A 94 GHz differential radiometer for observations of diffuse sky emission</t>
  </si>
  <si>
    <t>10.1063/1.1142531</t>
  </si>
  <si>
    <t>2-s2.0-0012282165</t>
  </si>
  <si>
    <t>['within 0', 'water deficiency', 'time range', 'state intensity', 'soy beans', 'similar value', 'sensitive parameter', 'rb originates', 'ratio r', 'ratio fp', 'ne laser', 'measurement methods', 'leaf transmission', 'initial phase', 'initial decrease', 'fluorescence spectrum', 'fluorescence intensity', 'damage classes', 'current year', 'cm2 ).', 'also affected', '8 nm', '730 nm', '3 œºs', '12 mw', '10 œºs', '10 ms', '1 ms', ')= f730', ')/ f685']</t>
  </si>
  <si>
    <t>Measurement methods are described which determine the initial phase of the fluorescence induction kinetics with a maximum time resolution of 10 Œºs simultaneously for the two fluorescence components F685(t) and F130(t) selected by filters at the wavelengths 685 nm and 730 nm, respectively. The excitation light provided by a He-Ne laser (632.8 nm) is switched on within 0.3 Œºs (maximum intensity Ie=12 mW/cm2). Fo, Fp, and Fs, the initial-, peak-, and steady-state intensity and the initial value Ro of the ratio R(t)=F730(t)/F685(t) can accurately be determined as well as the initial time derivative Fo* of the fluorescence intensity. Fo and Fo* are related to the quantum yield œÜa of the antenna and to the photochemical quantum yield œÜpc, respectively. Spruce, oak, birch, poplar, and soy bean show a decline of R(t) from Ro to a first minimum Rb at some 10 ms which has a similar value as the second minimum Rp in the time range of seconds. Furthermore, the initial value Ro and the steady-state value RS of R(t) are also very similar. Measurements on spruce with water deficiency and with varying excitation light intensity Ie show effects on the initial phase of the fluorescence induction kinetics. Further measurements on spruce of different damage classes indicate that for the current year's needles the ratio Fp/Fo, is the most sensitive parameter to differentiate between the damage classes and that Fo/Fs and Ro/Rb are also affected. As demonstrated by measurements on leaves of soy beans, the initial decrease of R(t) from Ro to Rb originates from a change of the fluorescence spectrum because no change of the leaf transmission can be observed in the time range between 10 Œºs and 1 ms. ¬© 1991 Springer-Verlag.</t>
  </si>
  <si>
    <t>321-332</t>
  </si>
  <si>
    <t>0301634X</t>
  </si>
  <si>
    <t>Radiation and Environmental Biophysics</t>
  </si>
  <si>
    <t>Ruth, B.</t>
  </si>
  <si>
    <t>Neuherberg</t>
  </si>
  <si>
    <t>Helmholtz Center Munich German Research Center for Environmental Health</t>
  </si>
  <si>
    <t>Ruth B.</t>
  </si>
  <si>
    <t>Measurement of the chlorophyll fluorescence induction kinetics with a 10 Œºs time resolution and its application in the forest decline research</t>
  </si>
  <si>
    <t>10.1007/BF01210516</t>
  </si>
  <si>
    <t>2-s2.0-0026005568</t>
  </si>
  <si>
    <t>['‚ àº2', 'unknown function', 'tubular structures', 'sensory cells', 'second half', 'pupal development', 'proximal end', 'proximal direction', 'previously described', 'outer receptor', 'lymph cavity', 'lymph cavities', 'long growth', 'lipid membranes', 'lamellated type', 'inner receptor', 'hair wall', 'forming material', 'forming lamellae', 'formation starts', 'extensive inner', 'developmental stages', 'dense particles', 'dendrite sheath', 'cytoplasmic membrane', 'close similarities', 'autocellular junctions', 'apically attached', 'apical projection', 'antheraea pernyi', 'adult animals', '2 receptor']</t>
  </si>
  <si>
    <t>Antheraea pernyi (Insecta) | Development | High-pressure freezing | Hygroreceptors | Rapid freezing | Sensilla | Septate junctions | Thermoreceptors</t>
  </si>
  <si>
    <t>The morphogenesis of the thermo- and hygro-sensitive sensilla styloconica of Antheraea pernyi was studied, exclusively by cryomethods, during the second half of pupal development. The three major processes taking place during this period are (1) the differentiation of the dendritic outer segments of the sensory cells, especially of the lamellated type-2 receptor, (2) the formation of the receptor-lymph cavities, (3) the formation of tubular structures of unknown function in the inner receptor-lymph cavity, and (4) the elongation of the dendrite sheath. The formation of lamellae in the type-2 dendritic outer segment is achieved by the enfolding of its originally cylindrical cytoplasmic membrane. Autocellular junctions, previously described in the sensilla of adult animals, are found to join the forming lamellae. Close similarities between the junctions and smooth septate junctions are demonstrated. Both the extensive inner and outer receptor-lymph cavities are formed by invagination and folding of the apical cytoplasmic membranes of the three enveloping cells. Formation starts at the most apical projection of the cells and proceeds in a proximal direction. Up to 4-Œºm-long tubular structures appear, exclusively in developmental stages, in the inner receptor-lymph cavity. They are composed of plasma membranes whose inner surface is studded with regularly spaced electron-dense particles. Contacts with the cytoplasmic membrane of the innermost enveloping cell demonstrate that the structures are composed of lipid membranes. During elongation of the dendrite sheath, which in these sensilla is apically attached to the hair wall, an ‚àº2-Œºm-long growth-zone is observed at its proximal end. By addition of sheath-forming material to the growth-zone, the latter continuously moves proximally until the sheath is completed. ¬© 1991 Springer-Verlag.</t>
  </si>
  <si>
    <t>427-440</t>
  </si>
  <si>
    <t>Zimmermann, Bernhard</t>
  </si>
  <si>
    <t>Regensburg</t>
  </si>
  <si>
    <t>Universit√§t Regensburg</t>
  </si>
  <si>
    <t>Zimmermann B.</t>
  </si>
  <si>
    <t>Differentiation of the thermo-/hygrosensitive (no-pore) sensilla on the antenna of Antheraea pernyi (Lepidoptera, Saturniidae): a study of cryofixed material</t>
  </si>
  <si>
    <t>10.1007/BF00318584</t>
  </si>
  <si>
    <t>2-s2.0-0026094545</t>
  </si>
  <si>
    <t>['turn entails', 'parameter characterization', 'matching network', 'known field', 'field site', 'antenna factor', 'accurate calibration', '1000 mhz']</t>
  </si>
  <si>
    <t>Testing electronic equipment for radiated emissions requires the accurate calibration of antennas. This in turn entails the use of a high-quality measurement site. The design of an open-field site for the calibration of antennas in the frequency range 30-1000 MHz is described. An antenna that is used as a primary standard must have a calculable antenna factor since there are uncertainties in quantifying the quality of the site and hence of setting up a known field. The design of a standard dipole antenna and the S-parameter characterization of its balun/matching network is described, followed by methods for calibrating the antenna factor of antennas.</t>
  </si>
  <si>
    <t>510-519</t>
  </si>
  <si>
    <t>Measurement Science and Technology</t>
  </si>
  <si>
    <t>60010785;60010785</t>
  </si>
  <si>
    <t>7103121400;7402333759</t>
  </si>
  <si>
    <t>Salter, M. J.;Alexander, M. J.</t>
  </si>
  <si>
    <t>Middlesex</t>
  </si>
  <si>
    <t>National Physical Laboratory</t>
  </si>
  <si>
    <t>Salter M.</t>
  </si>
  <si>
    <t>EMC antenna calibration and the design of an open-field site</t>
  </si>
  <si>
    <t>10.1088/0957-0233/2/6/004</t>
  </si>
  <si>
    <t>2-s2.0-0026169807</t>
  </si>
  <si>
    <t>['vacuum environments', 'transfer function', 'steep roll', 'seismic isolation', 'resonant modes', 'metal spring', 'mechanical simplicity', 'laser interferometer', 'internal modes', 'initial test', 'frequencies less', 'design include', '50 hz', '300 hz']</t>
  </si>
  <si>
    <t>The design of an all-metal spring-mass vibration isolation system for use in gravitational wave detection instruments such as the resonant bar antenna and the laser interferometer is described. The vibration transfer characteristics of the system are investigated in view of the requirements of seismic isolation for this application. The transfer function of the isolation system considered has resonant modes with frequencies less than 300 Hz and a steep roll off with no internal modes in the domain of interest of the detector. The prototype model examined was designed with a relatively high corner frequency as an initial test of the concept but the design should allow this to be lowered to less than 50 Hz. The advantages of this design include its suitability for use under vacuum environments and its mechanical simplicity.</t>
  </si>
  <si>
    <t>846-850</t>
  </si>
  <si>
    <t>60031806;60031806;60031806</t>
  </si>
  <si>
    <t>22974326500;9744506400;36818702700</t>
  </si>
  <si>
    <t>Blair, D. G.;Van Kann, F. J.;Fairhall, A. L.</t>
  </si>
  <si>
    <t>Perth</t>
  </si>
  <si>
    <t>The University of Western Australia</t>
  </si>
  <si>
    <t>Blair D.</t>
  </si>
  <si>
    <t>Behaviour of a vibration isolator suitable for use in cryogenic or vacuum environments</t>
  </si>
  <si>
    <t>10.1088/0957-0233/2/9/003</t>
  </si>
  <si>
    <t>2-s2.0-0026218759</t>
  </si>
  <si>
    <t>['transmitting antenna', 'special case', 'simple theory', 'scattering probe', 'scattered waves', 'proximity effect', 'present probe', 'phase error', 'microwave field', 'measurement region', 'measured positions', 'little disturbance', 'important result', 'general theory', 'explicit expression', 'distances greater', 'amplitude made', 'affected whatever', 'additional effect', '5 degrees', '2 lambda', '1 degrees']</t>
  </si>
  <si>
    <t>The modulated scatterer technique can be used to measure a microwave field with very little disturbance. If the transmitting antenna is itself used to receive the scattered waves (monostatic configuration), the method is unaffected by the presence of conductors in the measurement region. However, when the scattering probe is very close to a conductor an additional effect, not allowed for in the simple theory, arises from waves that have been scattered more than once. A general theory is given for this proximity effect; an important result is that the measured positions of the zeros of the field are not affected whatever the shape of the conductor. An explicit expression is derived for the special case when the surface of the conductor is a plane, and an experiment to show up the proximity effect with this geometry has verified the applicability of the theory. It is concluded that the error in amplitude made by using the results from the present probe, uncorrected for proximity, is less than 5% for distances from the plane conductor greater than lambda /6, and less than 1% for distances greater than 2 lambda . The phase error is less than 5 degrees for distances greater than lambda /4 and less than 1 degrees for distances greater than 1.2 lambda .</t>
  </si>
  <si>
    <t>838-845</t>
  </si>
  <si>
    <t>60020650;60020650</t>
  </si>
  <si>
    <t>7006370365;6603022671</t>
  </si>
  <si>
    <t>Nye, J. F.;Hygate, G.</t>
  </si>
  <si>
    <t>Bristol</t>
  </si>
  <si>
    <t>University of Bristol</t>
  </si>
  <si>
    <t>Nye J.</t>
  </si>
  <si>
    <t>Measuring a microwave field close to a conductor</t>
  </si>
  <si>
    <t>10.1088/0957-0233/2/9/002</t>
  </si>
  <si>
    <t>2-s2.0-0026220992</t>
  </si>
  <si>
    <t>['using location', 'time processing', 'noisy signal', 'moving antennas']</t>
  </si>
  <si>
    <t>Methods are developed for optimizing the space-time processing of a noisy signal, suitable for moving antennas, using location and orientation in space. A number of optimum processing algorithms are synthesized.</t>
  </si>
  <si>
    <t>26-28</t>
  </si>
  <si>
    <t>Optimum space-time processing of stochastic signals under conditions of a moving antenna</t>
  </si>
  <si>
    <t>2-s2.0-0026279362</t>
  </si>
  <si>
    <t>['sidelobe level', 'microstrip antenna', 'effective length']</t>
  </si>
  <si>
    <t>A method is proposed for attenuating the sidelobe level of a microstrip antenna by means of resonant dipoles symmetrically arranged with respect to the edges of the emitter. A formula is given for calculating the effective length of a ribbed (or corrugated) dipole.</t>
  </si>
  <si>
    <t>79-80</t>
  </si>
  <si>
    <t>7003374031;7003825175;7007034422;7004190359</t>
  </si>
  <si>
    <t>Gorobets, N. N.;Nesterenko, M. V.;Petlenko, V. A.;Pchel'nikov, A. Ya</t>
  </si>
  <si>
    <t>Gorobets N.</t>
  </si>
  <si>
    <t>Radiation pattern of a rectangular microstrip antenna and an array of passive dipoles</t>
  </si>
  <si>
    <t>2-s2.0-0026284282</t>
  </si>
  <si>
    <t>['two versions', 'radio stations', 'experimental studies']</t>
  </si>
  <si>
    <t>Experimental studies of two versions of automatic antenna matching circuits for portable ultrashort wave (USW) radio stations are carried out. The basic requirements imposed on such devices are determined.</t>
  </si>
  <si>
    <t>73-75</t>
  </si>
  <si>
    <t>Galkin, V. A.</t>
  </si>
  <si>
    <t>Galkin V.</t>
  </si>
  <si>
    <t>Automatic antenna matching devices for portable radio stations</t>
  </si>
  <si>
    <t>2-s2.0-0026284283</t>
  </si>
  <si>
    <t>['receiver log', 'periodic antenna', 'pass filter', 'numerical investigations', 'directional couplers', 'dipoles connected', 'broadband amplifier']</t>
  </si>
  <si>
    <t>A receiver log-periodic antenna of vertical unbalanced dipoles is considered, with each of the dipoles connected to a collecting line via a broadband amplifier, low-pass filter and directional couplers. The results of numerical investigations are presented.</t>
  </si>
  <si>
    <t>66-69</t>
  </si>
  <si>
    <t>6602584648;7003580445</t>
  </si>
  <si>
    <t>Tilichenko, M. P.;Yatskevich, V. A.</t>
  </si>
  <si>
    <t>Tilichenko M.</t>
  </si>
  <si>
    <t>Active log-periodic receiver antenna based on directional couplers</t>
  </si>
  <si>
    <t>2-s2.0-0026289081</t>
  </si>
  <si>
    <t>['time processing', 'radio signals', 'quasioptimum algorithm', 'output signals', 'multisystem organization', 'markov theory', 'gaussian approximation']</t>
  </si>
  <si>
    <t>A quasioptimum algorithm for primary combined space-time processing of the radio signals of a distributed antenna system and the output signals of nonradio measuring instruments is obtained in a Gaussian approximation by the methods of the Markov theory of multisystem organization.</t>
  </si>
  <si>
    <t>Bogachev, A. S.</t>
  </si>
  <si>
    <t>Bogachev A.</t>
  </si>
  <si>
    <t>Optimum combined space-time processing of signals in the presence of partially colored noise</t>
  </si>
  <si>
    <t>2-s2.0-0026297337</t>
  </si>
  <si>
    <t>['unilamellar structure', 'threshold concentration', 'successful delivery', 'stringent requirements', 'reduced slightly', 'r .,', 'proteins exposed', 'proteinase k', 'pigment located', 'photosynthetic units', 'periplasmic surface', 'partial dissociation', 'native phosphatidylglycerol', 'morphological inside', 'lipid bilayers', 'harvesting complexes', 'fusion products', 'fusion process', 'fused membranes', 'following paper', 'expanded bilayer', 'electron micrographs', 'controlled digestion', 'chromatophore interior', 'absorption due']</t>
  </si>
  <si>
    <t>A protease delivery system was developed for the exclusive and controlled digestion of proteins exposed at the morphological inside (periplasmic surface) of Rhodobacter sphaeroides chromatophores. In this procedure, proteinase K is encapsulated within large unilamellar liposomes which are fused to the chromatophores in the presence of Ca2+ ions. The liposomes were prepared by a detergent dialysis procedure from native phosphatidylglycerol and found to undergo rapid bilayer fusion with purified chromatophore preparations above a threshold concentration of 12.5 mM CaCl2. The fusion process was complete within 10 min at 35 mM Ca2+ with about 80% of the pigment located in the fusion products. Electron micrographs of freeze-fracture replicas confirmed the intermixing of the lipid bilayers and the unilamellar structure of the fused membrane vesicles. The procedure did not affect the labile B800 chromophore of the B800-850 antenna complex, but reduced slightly the absorption due to the B875 core antenna. Emission from both light-harvesting complexes was increased in the fused membranes, suggesting a partial dissociation of photosynthetic units in the expanded bilayer. The results, together with those presented in the following paper (Theiler, R., and Niederman, R. A. (1991) J. Biol. Chem. 266, 23163-23168), demonstrate that this new method fulfills the stringent requirements for a successful delivery of macromolecules to the chromatophore interior.</t>
  </si>
  <si>
    <t>23157-23162</t>
  </si>
  <si>
    <t>60119141;60119141</t>
  </si>
  <si>
    <t>7005379893;7006668582</t>
  </si>
  <si>
    <t>Theiler, R.;Niederman, R. A.</t>
  </si>
  <si>
    <t>Theiler R.</t>
  </si>
  <si>
    <t>Localization of chromatophore proteins of Rhodobacter sphaeroides. I. Rapid Ca&lt;sup&gt;2+&lt;/sup&gt;-induced fusion of chromatophores with phosphatidylglycerol liposomes for proteinase delivery to the luminal membrane surface</t>
  </si>
  <si>
    <t>2-s2.0-0026335388</t>
  </si>
  <si>
    <t>563-565</t>
  </si>
  <si>
    <t>Naturwissenschaften</t>
  </si>
  <si>
    <t>60031720;60031720;60031720</t>
  </si>
  <si>
    <t>7402607188;6602486562;16180199200</t>
  </si>
  <si>
    <t>Nishikawa, M.;Yokohari, F.;Ishibashi, T.</t>
  </si>
  <si>
    <t>Nishikawa M.</t>
  </si>
  <si>
    <t>Deutocerebral interneurons responding to thermal stimulation on the antennae of the cockroach, Periplaneta americana L.</t>
  </si>
  <si>
    <t>10.1007/BF01134450</t>
  </si>
  <si>
    <t>2-s2.0-0026339921</t>
  </si>
  <si>
    <t>['statistical characteristics', 'random errors', 'present plots', 'obtained expressions', 'observation point', 'intensity fluctuations', 'fresnel zone', 'excitation voltages']</t>
  </si>
  <si>
    <t>We have obtained expressions for the average field intensity and intensity fluctuations in the Fresnel zone of a random antenna array (AA) subject to random phase errors in the excitation of the radiators. We present plots that illustrate the dependence of these statistical characteristics on the degree of sparseness of the array, its dimensions, the dispersion of random errors in the excitation voltages of the radiators, and the position of the observation point.</t>
  </si>
  <si>
    <t>82-91</t>
  </si>
  <si>
    <t>6601974180;7101884027</t>
  </si>
  <si>
    <t>Shifrin, YA S.;Nazarenko, V. A.</t>
  </si>
  <si>
    <t>Shifrin Y.</t>
  </si>
  <si>
    <t>Field of a random antenna array in the Fresnel zone</t>
  </si>
  <si>
    <t>2-s2.0-0026367710</t>
  </si>
  <si>
    <t>['method solutions', 'certain inferences']</t>
  </si>
  <si>
    <t>Certain inferences in the literature, concerning the necessity for using linearly independent basis functions in moment-method solutions of thin-wire antenna problems, are discussed and shown to be in error.</t>
  </si>
  <si>
    <t>573-574</t>
  </si>
  <si>
    <t>57225321613;57203176700</t>
  </si>
  <si>
    <t>van Rensburg, D. J.Janse;McNamara, D. A.</t>
  </si>
  <si>
    <t>van Rensburg D.J.J.</t>
  </si>
  <si>
    <t>Note on the effect of linear independence of testing functions used in the moment-method solution of thin-wire antenna problems</t>
  </si>
  <si>
    <t>2-s2.0-0026367808</t>
  </si>
  <si>
    <t>['various frequencies', 'varies linearly', 'smsw devices', 'ray paths', 'radiating antenna', 'obtain form', 'investigate theoretically', 'ferrite film', 'features vary', 'dispersion relation', 'different orientations']</t>
  </si>
  <si>
    <t>We investigate theoretically the shape of the ray paths and dependence of the dispersion relation for surface magnetostatic waves (SMSW) propagating in a ferrite film (FF) on the magnitude and direction of the wave vector k for various frequencies when the film is magnetized by a nonuniform constant magnetic field Hz(z) that varies linearly with z, and how these features vary with the gradient of H for a number of different orientations of the radiating antenna. The results we obtain form a basis for designing a number of SMSW devices.</t>
  </si>
  <si>
    <t>53-58</t>
  </si>
  <si>
    <t>Vashkovskii, A. V.Zubkov</t>
  </si>
  <si>
    <t>Vashkovskii A.</t>
  </si>
  <si>
    <t>Surface magnetostatic waves in a linearly nonuniform magnetic field</t>
  </si>
  <si>
    <t>2-s2.0-0026367890</t>
  </si>
  <si>
    <t>['theoretical calculations', 'sea surface', 'radiation wavelengths', 'radar signals', 'radar reflections', 'horizon region', 'experimental investigation', 'experimental data', 'directly related', 'determined primarily', '10 cm']</t>
  </si>
  <si>
    <t>A method is suggested for the experimental investigation of the structure of radar signals, scattered by a wavy sea surface at radiation wavelengths of 3 and 10 cm. It is shown on the basis of a comparison of the experimental data with theoretical calculations that the structure of the radar signals, scattered by the sea surface, is directly related to the radio wave attenuation function, and the level of radar reflections from the beyond-the-horizon region is determined primarily by refraction.</t>
  </si>
  <si>
    <t>55202629100;6701860178;6506548294;6506214782;6603886542;6504462638</t>
  </si>
  <si>
    <t>Volkov, A. V.;Koshel, K. V.;Latyshev, K. V.;Slavutskiy, L. A.;Shevtsov, B. M.;Shishakarev, A. A.</t>
  </si>
  <si>
    <t>Volkov A.V.</t>
  </si>
  <si>
    <t>Effect of refraction on the structure of radar reflections from sea surface</t>
  </si>
  <si>
    <t>2-s2.0-0026368764</t>
  </si>
  <si>
    <t>['type equations', 'solving convolution', 'radio physics', 'problems involving', 'principal attention', 'approaches leading', 'antenna arrays']</t>
  </si>
  <si>
    <t>Methods of solving convolution-type equations, typical of problems involving an analysis of antenna arrays, as well as a number of other problems of electrodynamics and radio physics, are reviewed here. Principal attention is directed at approaches leading to efficient programmed realizations on a computer through the use of the fast Fourier transformation algorithm.</t>
  </si>
  <si>
    <t>85-96</t>
  </si>
  <si>
    <t>7006076565;7003513371</t>
  </si>
  <si>
    <t>Chaplin, A. V.;Khzmalyan, A. D.</t>
  </si>
  <si>
    <t>Chaplin A.</t>
  </si>
  <si>
    <t>Convolution-type equations in the theory of antenna arrays (review)</t>
  </si>
  <si>
    <t>2-s2.0-0026369231</t>
  </si>
  <si>
    <t>['spectral method', 'slot lines', 'propagation constants', 'natural waves', 'mathematical model', 'integral equations', 'finite thickness', 'approximate values']</t>
  </si>
  <si>
    <t>The problem of the natural waves of slot lines is considered in a rigorous electrodynamic formulation of it as a boundary value problem of the eigenvalues for the system of Maxwell's equations. A spectral method is used to construct a mathematical model. The approximate values of the propagation constants and fields of the natural waves are found as a result of applying the regularizing projection method to the system of integral equations that describe the distribution of the fields in the slot. The results of calculations of the propagation constants and the fields of the natural waves are presented for lines with infinitely thin conductors and conductors having a finite thickness and also for lines with a nonsymmetrically arranged slot.</t>
  </si>
  <si>
    <t>38-43</t>
  </si>
  <si>
    <t>6506089278;6603699283</t>
  </si>
  <si>
    <t>Yena, M. L.;Il'Inskiy, A. S.</t>
  </si>
  <si>
    <t>Yena M.</t>
  </si>
  <si>
    <t>Calculation of the propagation constants and fields of the natural waves of slot transmission lines with the thickness of the conductors taken into account and for an arbitrary slot arrangement</t>
  </si>
  <si>
    <t>2-s2.0-0026369698</t>
  </si>
  <si>
    <t>['two separate', 'two problems', 'rectangular grid', 'paper proposes', 'numerical solution', 'method divides']</t>
  </si>
  <si>
    <t>This paper proposes a method of synthesizing a two-dimensional planar antenna array of linearly-polarized radiators placed at the nodes of a rectangular grid. The method divides the numerical solution into two separate, but related, problems. The results of the solution of these two problems are given.</t>
  </si>
  <si>
    <t>130-133</t>
  </si>
  <si>
    <t>6603901427;24448897100</t>
  </si>
  <si>
    <t>Voytovich, N. N.;Yaroshko, S. A.</t>
  </si>
  <si>
    <t>Voytovich N.</t>
  </si>
  <si>
    <t>Numerical solution of the problem of synthesizing a two-dimensional antenna array</t>
  </si>
  <si>
    <t>2-s2.0-0026371811</t>
  </si>
  <si>
    <t>['wave field', 'previously described', 'neumann problems', 'green functions', 'current synthesis', 'convex polygon', 'additional information']</t>
  </si>
  <si>
    <t>Some approaches to solving the problem of the current synthesis of a wave field having a given directivity pattern have been previously described. Another structural method is given in this paper for the current synthesis of the wave field in a minimum singular set requiring, as additional information, knowledge of the Green functions of the Dirichlet and Neumann problems of the outside of a convex polygon.</t>
  </si>
  <si>
    <t>124-126</t>
  </si>
  <si>
    <t>Apel'tsin, V. F.</t>
  </si>
  <si>
    <t>Apel'tsin V.</t>
  </si>
  <si>
    <t>On current synthesis in a minimal set in the inverse problem of antenna theory</t>
  </si>
  <si>
    <t>2-s2.0-0026373137</t>
  </si>
  <si>
    <t>['wave reflected', 'shape efficiently', 'horizontal portion', 'directivity pattern', 'direct wave']</t>
  </si>
  <si>
    <t>The possibility of narrowing the directivity pattern (DP) of a vertical antenna array (AA) when its base is placed on the side of a hill is considered. This placement of the antenna array makes it possible to shape efficiently and to sum three waves in-phase: the direct wave, the wave reflected from the hillside, and the wave reflected from the horizontal portion of the earth's surface.</t>
  </si>
  <si>
    <t>76-80</t>
  </si>
  <si>
    <t>6602449699;7801539624</t>
  </si>
  <si>
    <t>Fal'kovich, I. S.;Glibitskiy, M. M.</t>
  </si>
  <si>
    <t>Vertical antenna array, located above an inclined plane</t>
  </si>
  <si>
    <t>2-s2.0-0026373671</t>
  </si>
  <si>
    <t>['widely used', 'terms ofa', 'specified spectrum', 'resonant frequencies', 'resonant absorbers', 'metal disks', 'metal base', 'important characteristics', 'antenna engineering']</t>
  </si>
  <si>
    <t>Multilayer hexagonal gratings (MHG) of metal disks are widely used in devices for antenna engineering and resonant absorbers. One of the most important characteristics of the MHG, arranged in layers of a dielectric with a metal base, are the resonant frequencies. A method is considered for the the synthesis of the MHG from metal disks in terms ofa a specified spectrum of resonant frequencies.</t>
  </si>
  <si>
    <t>Bychkovskiy, V. A.</t>
  </si>
  <si>
    <t>Bychkovskiy V.</t>
  </si>
  <si>
    <t>Synthesis of multilayer hexagonal gratings of metal disks</t>
  </si>
  <si>
    <t>2-s2.0-0026373919</t>
  </si>
  <si>
    <t>['wave tube', 'wave structures', 'questions dealing', 'physical explanation', 'phase velocity', 'nonuniform along', 'initiate self', 'helical slow', 'fundamental signal', 'computer calculations']</t>
  </si>
  <si>
    <t>Questions dealing with the self-excitation of a traveling-wave tube (TWT) at the first backward spatial harmonic (FBH) with helical slow-wave structures (SWS) that are nonuniform along their length are examined. It is shown on the basis of the proposed mathematical model that in a TWT with a phase velocity that decreases smoothly toward the end of the helix the interaction of the frequency of the fundamental signal can initiate self-excitation at the FBH; a physical explanation is given for this effect and computer calculations are carried out.</t>
  </si>
  <si>
    <t>6701672232;7102750806</t>
  </si>
  <si>
    <t>Man'kin, I. A.;Filatov, V. A.</t>
  </si>
  <si>
    <t>Man'kin I.</t>
  </si>
  <si>
    <t>Self-excitation of travelling-wave tubes with nonuniform slow-wave structures</t>
  </si>
  <si>
    <t>2-s2.0-0026374004</t>
  </si>
  <si>
    <t>['wave domains', 'time interval', 'fourier transforms', 'directivity characteristics', 'antenna array']</t>
  </si>
  <si>
    <t>The influence of the duration of the time interval of specification of the realizations of the processes at the elements of an antenna array, used to determine their Fourier transforms, on the quality of the formation of the directivity characteristics of the array in the frequency and frequency-wave domains is investigated.</t>
  </si>
  <si>
    <t>118-123</t>
  </si>
  <si>
    <t>Gusev, V. G.</t>
  </si>
  <si>
    <t>Gusev V.</t>
  </si>
  <si>
    <t>Dependence of the quality of the directivity characteristics of wide-band antenna arrays on the parameters of the fast fourier transform algorithm</t>
  </si>
  <si>
    <t>2-s2.0-0026375315</t>
  </si>
  <si>
    <t>['three curvilinear', 'spatial structure', 'realized numerically', 'free space', 'developed theoretically', 'converted exactly', 'background ).', 'antenna devices']</t>
  </si>
  <si>
    <t>A method of synthesizing a two-dimensional electromagnetic field converter is developed theoretically. Such a converter can be formed by three curvilinear or four plane semitransparent surfaces having a variable transparency along the surface. It is shown that the spatial structure of different microwave fields in a waveguide or in free space (antenna devices) can be converted exactly (without a background). The method of synthesis is realized numerically.</t>
  </si>
  <si>
    <t>6701402726;7004714672;6701488061</t>
  </si>
  <si>
    <t>Pereyaslavets, M. L.;Sivov, A. N.;Chuprin, A. D.</t>
  </si>
  <si>
    <t>Pereyaslavets M.</t>
  </si>
  <si>
    <t>Background free field converter</t>
  </si>
  <si>
    <t>2-s2.0-0026376537</t>
  </si>
  <si>
    <t>['solution converges', 'significant improvement', 'shaped subreflectors', 'results show', 'radiation integral', 'phase approximation', 'numerical analysis', 'method based', 'example calculations', 'discrete approximation', 'constant magnitude', 'computed results', 'calculation replaces', 'approximated within']</t>
  </si>
  <si>
    <t>Numerical analysis of reflector antennas uses a discrete approximation of the radiation integral. The calculation replaces the actual reflector surface with a triangular facet representation. The physical optics current is then approximated within each facet. This paper provides analytical details of the method based on the assumption of a constant magnitude and linear-phase approximation of the physical optics current. Example calculations are provided for parabolic, elliptical, and shaped subreflectors. The computed results are compared with calculations made using a constant-phase approximation. These results show that the linear-phase approximation is a significant improvement over the constant-phase approximation in that the solution converges over a larger angular region of space. This improvement can significantly reduce storage requirements and possibly execution speed.</t>
  </si>
  <si>
    <t>74-85</t>
  </si>
  <si>
    <t>7003977774;7201718319</t>
  </si>
  <si>
    <t>Imbriale, W. A.;Hodges, R. E.</t>
  </si>
  <si>
    <t>Imbriale W.</t>
  </si>
  <si>
    <t>Linear-phase triangular facet approximation in physical optics analysis of reflector antennas</t>
  </si>
  <si>
    <t>2-s2.0-0026377368</t>
  </si>
  <si>
    <t>['small dipole', 'singularity treatment', 'paper describes', 'includes presentations', 'equation development', 'code development', 'best profile']</t>
  </si>
  <si>
    <t>This paper describes an effort to find the best profile for a figure-of-revolution, center-fed, electrically-small dipole. It includes presentations on equation development, singularity treatment, code development, verification, and performance.</t>
  </si>
  <si>
    <t>99-132</t>
  </si>
  <si>
    <t>Miron, Douglas B.</t>
  </si>
  <si>
    <t>Brookings</t>
  </si>
  <si>
    <t>South Dakota State University</t>
  </si>
  <si>
    <t>Miron D.B.</t>
  </si>
  <si>
    <t>Short fat dipole development in APL of a MoM solution</t>
  </si>
  <si>
    <t>2-s2.0-0026377603</t>
  </si>
  <si>
    <t>['three dimensions', 'paper describes', 'nec ).', 'large class', 'grid models', 'grid modelling', 'dimensional structures', 'continuous surfaces', 'appropriate wire']</t>
  </si>
  <si>
    <t>Wire-grid modelling of continuous surfaces for structures in three dimensions is a tedious and time consuming process. This paper describes a simplified automatic mesh generator that converts a large class of three-dimensional structures into appropriate wire-grid models. The output of the generator can readily be used as the input to wire antenna Moment Method codes. It is however designed specifically for use with the Numerical Electromagnetics Code (NEC).</t>
  </si>
  <si>
    <t>86-98</t>
  </si>
  <si>
    <t>Najm, Riyadh K.</t>
  </si>
  <si>
    <t>Najm R.</t>
  </si>
  <si>
    <t>Simplified 3-D mesh generator</t>
  </si>
  <si>
    <t>2-s2.0-0026378038</t>
  </si>
  <si>
    <t>['weighting vector', 'radiation pattern', 'physical explanation', 'maximum likelihood', 'dynamic characteristics']</t>
  </si>
  <si>
    <t>An algorithm for estimating the maximum likelihood of a weighting vector of a spatial filter producing 'strict' nulls in the radiation pattern of an adaptive antenna array is synthesized. The dynamic characteristics of this algorithm are investigated. A physical explanation of these results is given.</t>
  </si>
  <si>
    <t>20-24</t>
  </si>
  <si>
    <t>6701509526;6507532009;6506188619</t>
  </si>
  <si>
    <t>Sverdlik, M. B.;Shpatakovskiy, V. E.;Kushnerik, O. A.</t>
  </si>
  <si>
    <t>Sverdlik M.</t>
  </si>
  <si>
    <t>Maximum-likelihood estimate of the weighting vector of a spatial filter producing the radiation pattern</t>
  </si>
  <si>
    <t>2-s2.0-0026381553</t>
  </si>
  <si>
    <t>['microstrip antenna', 'interconnecting lines', 'input impedance', 'general method', 'first patch', 'different loadings']</t>
  </si>
  <si>
    <t>A simple and general method for estimating the input impedance of an array of series-fed microstrip rectangular patch elements is suggested, using the two-port transmission matrix of a microstrip antenna and the interconnecting lines. The loaded quality factor of the first patch is used with different loadings of the two succeeding elements to arrive at optimum input parameters. Results of the input VSWR obtained for a single rectangular element are compared with the experimental results available in the literature.</t>
  </si>
  <si>
    <t>60017597;60017597</t>
  </si>
  <si>
    <t>35563813100;57210085875</t>
  </si>
  <si>
    <t>Bhartia, P.;Rao, K. V.S.</t>
  </si>
  <si>
    <t>Defence Research and Development Canada</t>
  </si>
  <si>
    <t>Bhartia P.</t>
  </si>
  <si>
    <t>On the bandwidth and input impedance of series-fed microstrip arrays</t>
  </si>
  <si>
    <t>2-s2.0-0026381796</t>
  </si>
  <si>
    <t>['waveguide dimensions', 'waveguide circuit', 'typical antennas', 'tunnel junction', 'tuning circuit', 'submillimeter wavelengths', 'sliding elements', 'shorting elements', 'rectangular holes', 'reasonable alternative', 'placed along', 'periodic variation', 'optimum results', 'optimized arrangement', 'line impedance', 'impedance matching', 'higher frequencies', 'fabrication adjustability', 'device results', 'design requirements', 'demanding materials', '5 ghz', '5 db']</t>
  </si>
  <si>
    <t>Adjustable Tuning Elements | Planar Circuits | SIS | Submillimeter</t>
  </si>
  <si>
    <t>The Superconductor-Insulator-Superconductor (SIS) tunnel junction is an extremely sensitive heterodyne detector at millimeter and submillimeter wavelengths. The large inherent capacitance associated with this device results in a substantial impedance mismatch with typical antennas and, therefore, requires a tuning circuit for optimum results. At frequencies where waveguide dimensions are realizable, impedance matching can be accomplished by embedding the detector in a waveguide circuit with adjustable waveguide backshorts. At higher frequencies, where waveguide dimensions become prohibitively small, a planar transmission line embedding circuit provides a reasonable alternative. Typically, such planar circuits offer no post-fabrication adjustability, resulting in demanding materials and design requirements. An adjustable planar embedding circuit based on coplanar transmission lines with movable noncontacting shorting elements has been developed. The shorting elements each consist of a thin metallic plate with an optimized arrangement of rectangular holes, placed along the insulated metallic transmission line to provide a periodic variation of the line impedance. A scadel (1-5 GHz) has shown that a large reflection coefficient, |s11|‚â•-0.5 dB, can be achieved with these sliding elements. A low frequency tuning circuit incorporating these shorting elements has been tested to demonstrate practical tuning ranges. ¬© 1991 Plenum Publishing Corporation.</t>
  </si>
  <si>
    <t>1387-1397</t>
  </si>
  <si>
    <t>60031581;60009037;60031581</t>
  </si>
  <si>
    <t>6603919322;7006448685;7102803490</t>
  </si>
  <si>
    <t>Lubecke, Victor M.;McGrath, William R.;Rutledge, David B.</t>
  </si>
  <si>
    <t>Pasadena;Pasadena</t>
  </si>
  <si>
    <t>California Institute of Technology;Jet Propulsion Laboratory</t>
  </si>
  <si>
    <t>60031581;60009037</t>
  </si>
  <si>
    <t>Lubecke V.</t>
  </si>
  <si>
    <t>Sliding backshorts for planar circuits</t>
  </si>
  <si>
    <t>10.1007/BF01883872</t>
  </si>
  <si>
    <t>2-s2.0-0026383846</t>
  </si>
  <si>
    <t>['test range', 'obtained simultaneously', 'directivity pattern', 'airborne system', 'airborne radiometer']</t>
  </si>
  <si>
    <t>The possibilities of determining the amplitude, width and the shape of the directivity pattern of the antenna of a satellite microwave radiometer through the use of data, obtained simultaneously for the same test range with an airborne radiometer, are examined. The requirements on the test range and airborne system are formulated.</t>
  </si>
  <si>
    <t>104-110</t>
  </si>
  <si>
    <t>Yakovlev, V. P.</t>
  </si>
  <si>
    <t>Yakovlev V.P.</t>
  </si>
  <si>
    <t>Calculation of directivity pattern of satellite radiometer antenna from the data of measurements of an airborne analog</t>
  </si>
  <si>
    <t>2-s2.0-0026383855</t>
  </si>
  <si>
    <t>['widely used', 'statistical theory', 'rao variance', 'random displacements', 'questions associated', 'point objects', 'parametric estimates', 'multiplicative distortions', 'mlcrv ).', 'mimimum limits', 'joint influence', 'important place', 'finding problem', 'array elements', 'additive distortions']</t>
  </si>
  <si>
    <t>Questions associated with estimating the parameters of certain sinusoidal signals occupy an important place in the statistical theory of radar. In the direction-finding problem of point objects with a linear equidistant antenna array, random displacements of the array elements in the vertical and horizontal directions lead to multiplicative distortions. In general, it is sufficient to consider the multiplicative and additive distortions as mutually uncorrelated white Gaussian noise. An important potential characteristic of the quality of parametric estimates is the mimimum limits of the variance, among which the most widely used are the mimimum limits of the Cramer-Rao variance (MLCRV). The effects of the joint influence of additive and multiplicative distortions on the MLCRV of estimates of the frequencies of the signals are examined in this paper.</t>
  </si>
  <si>
    <t>6506312191;7101735163</t>
  </si>
  <si>
    <t>Yevstaf'yeva, T. N.;Moroz, A. V.</t>
  </si>
  <si>
    <t>Yevstaf'yeva T.</t>
  </si>
  <si>
    <t>Minimum limits of the cramer - rao variance of estimates of the frequencies of complex sinusoids in the presence of additive and multiplicative distortions</t>
  </si>
  <si>
    <t>2-s2.0-0026385480</t>
  </si>
  <si>
    <t>['transmitting antenna', 'several conditions', 'satisfied simultaneously', 'receiver aperture', 'phase distributions', 'maximum values', 'directivity pattern', 'axisymmetrical amplitude']</t>
  </si>
  <si>
    <t>A method is considered for the synthesis of axisymmetrical amplitude-phase distributions of the field at a transmitting antenna, which correspond to the maximum values of energy transmission efficiency in the receiver aperture, and several conditions, imposed on the shape of the directivity pattern, are satisfied simultaneously.</t>
  </si>
  <si>
    <t>91-96</t>
  </si>
  <si>
    <t>7004652700;57208727390</t>
  </si>
  <si>
    <t>Vanke, V. A.;Zaporozhets, A. A.</t>
  </si>
  <si>
    <t>Vanke V.</t>
  </si>
  <si>
    <t>On the synthesis of optimum amplitude-phase distributions for a channel for transmitting the energy of a microwave beam</t>
  </si>
  <si>
    <t>2-s2.0-0026385926</t>
  </si>
  <si>
    <t>['radiation pattern', 'planar antennas', 'phase distribution', 'phase characteristics', 'phase characteristic', 'phase center', 'partial pc', 'new expressions', 'minimum slope', 'main lobe', 'l2 functions', 'known conditions', 'far zone', 'arbitrary amplitude', 'aperture described', 'antenna engineering']</t>
  </si>
  <si>
    <t>The method of orthogonal aperture polynomials is used to obtain new expressions for calculating the radiation pattern (RP) and phase characteristics of linear and planar antennas with an arbitrary amplitude-phase distribution (APD) in the aperture described by L2 functions. In using these representations the well-known conditions which the APD must satisfy in order for the antenne to have a phase center (PC) are proved. New expressions are obtained for calculating the coordinates of a partial PC, relative to which the phase characteristic in the far zone has minimum slope in the region of the main lobe of the RP. Examples of the use of this approach for solving some problems in antenna engineering are presented.</t>
  </si>
  <si>
    <t>Gusevskiy, V. I.</t>
  </si>
  <si>
    <t>Gusevskiy V.</t>
  </si>
  <si>
    <t>Phase characteristic and phase center of linear and planar antennas</t>
  </si>
  <si>
    <t>2-s2.0-0026385928</t>
  </si>
  <si>
    <t>['single cpu', 'relatively simple', 'moments analysis', 'inmos transputers', 'infinite array', 'fortran method', 'electromagnetic properties', 'distributed across', 'currents induced']</t>
  </si>
  <si>
    <t>The fast concurrent implementation of a FORTRAN method of moments analysis of the electromagnetic properties of an array of tapered slot antennae is discussed. Decomposition of an existing FORTRAN algorithm for calculation of the currents induced by an incident radiation field in an infinite array of tapered slot antennae is described. The problem was distributed across an array of INMOS transputers, yielding significant speed-up over a single CPU. This decomposition was relatively simple to implement, can readily be scaled to larger processor arrays virtually indefinitely, and promises linear speed-up with the number of processors in the array.</t>
  </si>
  <si>
    <t>143-151</t>
  </si>
  <si>
    <t>60103092;60103092;60103092;60103092;60103092</t>
  </si>
  <si>
    <t>6505973375;7006791463;6507292070;57212723436;55829844400</t>
  </si>
  <si>
    <t>Cramb, Iain;Schaubert, Daniel H.;Beton, Richard;Kingdon, James;Upstill, Colin</t>
  </si>
  <si>
    <t>Romsey</t>
  </si>
  <si>
    <t>Roke Manor Research Limited</t>
  </si>
  <si>
    <t>Cramb I.</t>
  </si>
  <si>
    <t>Antenna array modelling by parallel processor farms</t>
  </si>
  <si>
    <t>2-s2.0-0026388007</t>
  </si>
  <si>
    <t>['zirconia cores', 'wavelength radiator', 'copper antenna', 'actual gain']</t>
  </si>
  <si>
    <t>helical radiators | High-temperature superconductors | quarter-wave matching circuits | small antennas | superconducting thick films</t>
  </si>
  <si>
    <t>To realize a highly efficient small antenna, high-Tcsuperconducting thick films with zirconia cores are adopted in order to fabricate both a self-resonating small helical radiator and a quarter-wave matching circuit. The actual gain of a superconducting antenna measured at 478 MHz using a 1/70-wavelength radiator was 4.9 dB higher than that of a copper antenna. ¬© 1991 Plenum Publishing Corporation.</t>
  </si>
  <si>
    <t>469-471</t>
  </si>
  <si>
    <t>Journal of Superconductivity</t>
  </si>
  <si>
    <t>60025555;60025555;60025555;60025555</t>
  </si>
  <si>
    <t>37019710800;7005560212;6701605003;7403954564</t>
  </si>
  <si>
    <t>Itoh, Keiichiro;Ishii, Osamu;Koshimoto, Yasuhiro;Cho, Keizo</t>
  </si>
  <si>
    <t>Itoh K.</t>
  </si>
  <si>
    <t>Small helical antenna made of high-temperature superconducting thick film</t>
  </si>
  <si>
    <t>10.1007/BF00635866</t>
  </si>
  <si>
    <t>2-s2.0-0026389519</t>
  </si>
  <si>
    <t>['polarization planes', 'polarization dispersion', 'phenomenon influences', 'ionospheric plasma', 'frequency content', 'detector antenna', 'band centimeter', 'applied signal', 'angular mismatch', 'account phase', '50 centimeters']</t>
  </si>
  <si>
    <t>We investigate the distortion of wide-band centimeter-to-decimeter wavelength radio signals propagating in the ionospheric plasma, taking into account phase and polarization dispersion. We show that polarization dispersion causes the shape of the envelope and frequency content of the 'convolution' pulse of a wide-band linearly polarized signal to depend on the angular mismatch between the polarization planes of the detector antenna and the applied signal. We find that this phenomenon influences the shape of the 'convolution' for radio wavelengths longer than 50 centimeters.</t>
  </si>
  <si>
    <t>42-46</t>
  </si>
  <si>
    <t>6507834060;7801656960;7102607613</t>
  </si>
  <si>
    <t>Kretov, N. V.;Ryzhkina, T. Ye;Fedorova, L. V.</t>
  </si>
  <si>
    <t>Kretov N.V.</t>
  </si>
  <si>
    <t>Electrodynamics, radiation and propagation of radio waves on the dispersion-induced distortion of wide-band signals in the ionospheric plasma</t>
  </si>
  <si>
    <t>2-s2.0-0026389953</t>
  </si>
  <si>
    <t>['plane wave', 'nonuniform components', 'nonuniform component', 'infinite array', 'current density', 'array elements']</t>
  </si>
  <si>
    <t>A method for determining the current density generated in a semi-infinite array, consisting of cylinders of arbitrary cross section, when a plane wave is diffracted is proposed. The method is based on separating the current in the array elements into uniform and nonuniform components and constructing an algorithm for determining the nonuniform component numerically. The behavior of the nonuniform component of the current density as a function of the array excitation conditions is studied.</t>
  </si>
  <si>
    <t>7007013967;6603308916</t>
  </si>
  <si>
    <t>Pimenov, Yu V.;Chervenko, M. Yu</t>
  </si>
  <si>
    <t>Structure of the currents generated on a semiinfinite array when a plane wave is diffracted</t>
  </si>
  <si>
    <t>2-s2.0-0026393525</t>
  </si>
  <si>
    <t>['scale model', 'reported result', 'radiation characteristics', 'measurements performed', 'low end', 'limited set', 'hf communications', 'hf band', 'frequency near', 'frequencies less', 'conclusions drawn', 'complex structures', '15 mhz']</t>
  </si>
  <si>
    <t>Numerical techniques allow engineers to evaluate the performance of antennas on complex structures. These techniques can provide valuable physical insights into the overall functional performance of such antennas. This short paper reports on the use of NEC2 to investigate the radiation characteristics of a loop antenna mounted below the tailboom of a helicopter in the frequency band 2-15 MHz. It was concluded that such a loop antenna serves mainly to excite a dominant electrical dipole mode of operation for frequencies less than the lowest natural electrical resonance frequency of the helicopter itself, but greater than some frequency near the low end of the HF band. A limited set of measurements performed on a scale model of a helicopter generally supports the conclusions drawn from the numerical results predicted using NEC2. The reported result is of importance in so-called 'nap of the earth' HF communications from helicopters.</t>
  </si>
  <si>
    <t>53-73</t>
  </si>
  <si>
    <t>Baker, Duncan C.</t>
  </si>
  <si>
    <t>Baker D.</t>
  </si>
  <si>
    <t>On the functioning of a helicopter-borne HF loop antenna</t>
  </si>
  <si>
    <t>2-s2.0-0026395828</t>
  </si>
  <si>
    <t>911NF-07-1-0318</t>
  </si>
  <si>
    <t>['tier coverage', 'technical literature', 'propagation exponent', 'previously reported', 'model used', 'mobile communications', 'interfering mobile', 'immediately adjacent', 'cluster size', 'channel interference', 'base communications', 'back ratio']</t>
  </si>
  <si>
    <t>Signal-to-inference ratio calculations for corner-excited cellular communications systems are presented. Specifically, the ratio of median signal power to the sum of median interference powers is considered. The interference model includes co-channel interference, and immediately adjacent as well as nonimmediately adjacent channel interference. Related system parameters are cluster size, receiver, and transmitter filter characteristics, propagation exponent, tier coverage, and directional antenna front-to-back ratio. Both mobile-to-base and base-to-mobile communications are considered. The method and model used for calculation are more complete than any previously reported in the technical literature. The calculated results show that the effect of adjacent channel interference compared to co-channel interference cannot be ignored in general. In mobile-to-base communications, the effect of immediately adjacent channel interference introduced by an interfering mobile which is very close to the receiving base antenna is serious.</t>
  </si>
  <si>
    <t>1886-1896</t>
  </si>
  <si>
    <t>7410346576;7102194828</t>
  </si>
  <si>
    <t>Wang, Szu Wei;Rappaport, Stephen S.</t>
  </si>
  <si>
    <t>Wang S.</t>
  </si>
  <si>
    <t>Signal-to-interference calculations for corner-excited cellular communications systems</t>
  </si>
  <si>
    <t>10.1109/26.120174</t>
  </si>
  <si>
    <t>2-s2.0-0026397741</t>
  </si>
  <si>
    <t>['wire antennas', 'state processes', 'pulsed excitation', 'investigated theoretically', 'impulse characteristics', 'far zones', 'charge model']</t>
  </si>
  <si>
    <t>The nonsteady-state processes in wire antennas are examined. A charge model is proposed for calculating the impulse characteristics of the antennas. Examples of a calculation of the characteristics in both the near and far zones are given. The interaction of two dipole antennas with a pulsed excitation is investigated theoretically and experimentally.</t>
  </si>
  <si>
    <t>84-90</t>
  </si>
  <si>
    <t>7102090231;7005755873;6505829282</t>
  </si>
  <si>
    <t>Kovalev, I. P.;Ponomarev, D. M.;Klyuyev, Ye A.</t>
  </si>
  <si>
    <t>Kovalev I.</t>
  </si>
  <si>
    <t>Nonsteady-state processes in wire antennas in the presence of pulsed excitation</t>
  </si>
  <si>
    <t>2-s2.0-0026398076</t>
  </si>
  <si>
    <t>['partial regions', 'numerical calculations', 'natural waves', 'floquet theorem']</t>
  </si>
  <si>
    <t>The problem of finding the natural waves of an infinite periodic grating of nonsymmetrical corrugated waveguides is solved on the basis of the Floquet theorem by the method of partial regions. The solution is illustrated by the results of numerical calculations.</t>
  </si>
  <si>
    <t>55-61</t>
  </si>
  <si>
    <t>6602069716;6603359474</t>
  </si>
  <si>
    <t>Vinichenko, Yu P.;Tumanskaya, A. Ye</t>
  </si>
  <si>
    <t>Vinichenko Y.</t>
  </si>
  <si>
    <t>Natural waves of corrugated waveguide as a constituent of an infinite periodic grating</t>
  </si>
  <si>
    <t>2-s2.0-0026399270</t>
  </si>
  <si>
    <t>['widely used', 'resonant frequencies', 'resonant absorbers', 'paper examines', 'multilayered structures', 'metal base', 'important characteristics', 'diffraction gratings', 'dielectric layers', 'antenna engineering']</t>
  </si>
  <si>
    <t>Multilayered structures with metal-rod diffraction gratings are widely used in antenna engineering and in resonant absorbers. One of the most important characteristics of structures with diffraction gratings in dielectric layers with a metal base is their resonant frequencies. This paper examines a method of synthesizing multilayered structures with metal-rod diffraction gratings for a given resonant frequency spectrum.</t>
  </si>
  <si>
    <t>Synthesis of multilayered structures with metal-rod diffraction gratings</t>
  </si>
  <si>
    <t>2-s2.0-0026400171</t>
  </si>
  <si>
    <t>['widely used', 'small size', 'recent improvements', 'mic substrate', 'low loss', 'high permittivity', 'determining element', 'antenna radiators']</t>
  </si>
  <si>
    <t>Recent improvements in temperature-stable dielectric resonators (DRs) provide these devices with low loss, small size, and high permittivity. As a result, they are widely used as the frequency-determining element in filters, oscillators, discriminators, and antenna radiators. An analytically iterative method is available that can determine proper cylindrical DR dimensions and evaluate resonant frequencies on a MIC substrate.</t>
  </si>
  <si>
    <t>60014982;60014982</t>
  </si>
  <si>
    <t>7410368148;6506828622</t>
  </si>
  <si>
    <t>Sun, Jwo Shiun;We, Chung Chuang</t>
  </si>
  <si>
    <t>Tainan</t>
  </si>
  <si>
    <t>National Cheng Kung University</t>
  </si>
  <si>
    <t>Sun J.</t>
  </si>
  <si>
    <t>Iterative method provides accurate resonator analysis</t>
  </si>
  <si>
    <t>2-s2.0-0026401645</t>
  </si>
  <si>
    <t>['shipboard measurements', 'satellite data', 'numerical experiments', 'cloudy atmosphere', 'atmosphere system', 'antenna smoothing', '3 cm']</t>
  </si>
  <si>
    <t>The results of numerical experiments on evaluating the effects of antenna smoothing of variations of the radio brightness temperature of the ocean - atmosphere system are discussed. Satellite data are modeled with high spatial resolution on the basis of shipboard measurements of thermal radio radiation of the cloudy atmosphere at Œª = 2.3 cm.</t>
  </si>
  <si>
    <t>110-117</t>
  </si>
  <si>
    <t>7004081465;6701814937</t>
  </si>
  <si>
    <t>Mitnik, L. M.;Shum, M. YU</t>
  </si>
  <si>
    <t>Mitnik L.</t>
  </si>
  <si>
    <t>Microwave radiometric sensing from space of the cloudy atmosphere above the ocean. Effect of antenna smoothing</t>
  </si>
  <si>
    <t>2-s2.0-0026403289</t>
  </si>
  <si>
    <t>['dissipative diagram', 'discuss methods']</t>
  </si>
  <si>
    <t>We discuss methods for calculating scattering matrices and admittances for dissipative diagram-forming circuits operating as part of receiver antenna arrays.</t>
  </si>
  <si>
    <t>71-77</t>
  </si>
  <si>
    <t>6602264662;6701546368;7004471853</t>
  </si>
  <si>
    <t>Belyanskii, A. V.;Kartashev, V. G.;Kuz'min, S. V.</t>
  </si>
  <si>
    <t>Belyanskii A.</t>
  </si>
  <si>
    <t>Matrix description of dissipative diagram-forming circuits in the receiver regime</t>
  </si>
  <si>
    <t>2-s2.0-0026403784</t>
  </si>
  <si>
    <t>['technical improvements', 'tau eti', 'reversed shear', 'plasma core', 'particle effects', 'ni system', 'mode produced', 'ion h', 'helped establish', 'helped clarify', 'firmer link', 'experimental simulation', 'energy transport', 'detailed analyses', 'continued investigation', 'beta fast', 'analytic studies', '3s kev', ')= 9']</t>
  </si>
  <si>
    <t>Divertor Physics | Energy Transport | Fusion Reactor | H-mode Physics | JET | Particle Transport | Tokamak</t>
  </si>
  <si>
    <t>In 1990 JET operated with a number of technical improvements which include beryllium antenna screens, a prototype lower hybrid current drive system, and modification of the NI system to enable the injection of 3He and 4He. Continued investigation of the hot-ion H-mode produced a value of nD(O) tau ETi(O)=9*1020 m-3s keV, which is near conditions required for QDT=1, while a new peaked density profile H-mode was developed with only slightly lower performance. Progress towards steady state operation has been made by achieving ELMy H-modes under certain operating conditions, while maintaining good tau E values. Experimental simulation of He ash transport indicates effective removal of alpha-particles from the plasma core for both L and H mode plasmas. Detailed analyses of particle and energy transport have helped establish a firmer link between particle and energy transport, and have suggested a connection between reduced energy transport and reversed shear. Numerical and analytic studies of divertor physics carried out for the pumped divertor phase of JET have helped clarify the key parameters governing impurity retention, and an intensive model validation effort has begun. Experimental simulation of alpha-particle effects with beta fast up to 8% have shown that the slowing down processes are classical, and have given no evidence of deleterious collective effects.</t>
  </si>
  <si>
    <t>1453-1477</t>
  </si>
  <si>
    <t>Keilhacker, M.</t>
  </si>
  <si>
    <t>Keilhacker M.</t>
  </si>
  <si>
    <t>JET: Progress in performance and understanding</t>
  </si>
  <si>
    <t>10.1088/0741-3335/33/13/002</t>
  </si>
  <si>
    <t>2-s2.0-0039743590</t>
  </si>
  <si>
    <t>['wire log', 'periodic antenna', 'new type', 'new antenna', 'gaas substrates']</t>
  </si>
  <si>
    <t>A new type of log-periodic antenna, the wire log-spiral, has been designed and implemented on GaAs substrates with low-temperature grown GaAs photoconductors. The new antenna is compared to two traditional antenna designs (log-periodic and dipole) used for the detection of pulsed THz radiation.</t>
  </si>
  <si>
    <t>262-264</t>
  </si>
  <si>
    <t>60021378;60021378;60021378;60021378;60021378;60021378</t>
  </si>
  <si>
    <t>7004467721;7102466588;7003491165;7202560058;35420992900;7006195754</t>
  </si>
  <si>
    <t>Dykaar, D. R.;Greene, B. I.;Federici, J. F.;Levi, A. F.J.;Pfeiffer, L. N.;Kopf, R. F.</t>
  </si>
  <si>
    <t>Dykaar D.R.</t>
  </si>
  <si>
    <t>Log-periodic antennas for pulsed terahertz radiation</t>
  </si>
  <si>
    <t>10.1063/1.105615</t>
  </si>
  <si>
    <t>2-s2.0-0040830558</t>
  </si>
  <si>
    <t>['yba 2cu3o7', 'thermal quenching', 'resonant frequency', 'radiation efficiency', 'loaded q', 'inductive section', 'induced switching', 'increased current', 'epitaxial film', 'around 2', '77 k', '65 %.', '3 ghz']</t>
  </si>
  <si>
    <t>Power-induced switching has been observed by Chaloupka et al. (1991) in a miniaturized patch antenna, patterned from an epitaxial film of YBa 2Cu3O7- delta deposited onto LaAlO3. The antenna is resonant at around 2.3 GHz with a loaded Q of 800 at 77 K and a radiation efficiency of up to 65%. At mean current densities above 2*106 A/cm2 the resonant frequency and Q drop hysteretically, decreasing further with increased current. These effects are attributed to the thermal quenching of weak links present in the inductive section of the antenna.</t>
  </si>
  <si>
    <t>436-438</t>
  </si>
  <si>
    <t>Superconductor Science and Technology</t>
  </si>
  <si>
    <t>60025038;;;;</t>
  </si>
  <si>
    <t>7005125850;7003780857;7801542770;7006693036;6504594789</t>
  </si>
  <si>
    <t>Portis, A. M.;Chaloupka, H.;Jeck, M.;Piel, H.;Pischke, A.</t>
  </si>
  <si>
    <t>Portis A.</t>
  </si>
  <si>
    <t>Power-induced switching of an HTS microstrip patch antenna</t>
  </si>
  <si>
    <t>10.1088/0953-2048/4/9/015</t>
  </si>
  <si>
    <t>2-s2.0-0041187786</t>
  </si>
  <si>
    <t>['weak links', 'w band', 'v band', 'tl 2caba2cu2o8', 'subharmonic mixing', 'millimeter mixers', 'heterodyne mixing', 'film growth', 'epitaxial films', 'efficient mixing', 'deliberately formed', 'bowtie antenna', 'bias voltage', '94 ghz', '55 ghz']</t>
  </si>
  <si>
    <t>Millimeter mixers have been fabricated from epitaxial films of Tl 2CaBa2Cu2O8, using a bowtie antenna structure integrated with grain-boundary weak links that were deliberately formed during film growth. The bowtie antenna was utilized for broadband millimeter wave coupling of the radiation into the weak links. Heterodyne mixing of signals at both V band (55 GHz) and W band (94 GHz) frequencies, and subharmonic mixing at V has been observed at liquid nitrogen temperature for zero and finite bias voltage conditions. The dependence of the IF output on temperature, bias voltage, and millimeter wave signal power has been studied. Efficient mixing with bias voltage exhibited strong signals right up to T c (101 K).</t>
  </si>
  <si>
    <t>991-993</t>
  </si>
  <si>
    <t>60027550;60027550;60027550;60001835;60001835</t>
  </si>
  <si>
    <t>55474007600;57199878259;7006388096;7005334225;7006326840</t>
  </si>
  <si>
    <t>Hong, J. P.;Kim, T. W.;Fetterman, H. R.;Cardona, A. H.;Bourne, L. C.</t>
  </si>
  <si>
    <t>University of California, Los Angeles;Superconductor Technologies Inc.</t>
  </si>
  <si>
    <t>60027550;60001835</t>
  </si>
  <si>
    <t>Hong J.P.</t>
  </si>
  <si>
    <t>Millimeter wave mixing from deliberate grain-boundary weak links in epitaxial Tl&lt;inf&gt;2&lt;/inf&gt;CaBa&lt;inf&gt;2&lt;/inf&gt;Cu&lt;inf&gt;2&lt;/inf&gt;O&lt;inf&gt;8&lt;/inf&gt; films</t>
  </si>
  <si>
    <t>10.1063/1.106324</t>
  </si>
  <si>
    <t>2-s2.0-0041635558</t>
  </si>
  <si>
    <t>['suspension occur', 'several types', 'mechanical suspensions', 'massive components', 'isolate resonant', 'internal resonances', 'external vibrations', 'antenna frequency', 'ambient noise']</t>
  </si>
  <si>
    <t>The use of mechanical suspensions to isolate resonant-mass gravitational radiation antennae from external vibrations is discussed. We investigate the optimization of several types of suspensions and illustrate the importance of ensuring that the internal resonances of both the flexible and massive components in the suspension occur at frequencies much higher than the antenna frequency. We present new techniques for estimating the Q limits imposed on the antenna by the suspension, and for determining the excitation of the antenna by ambient noise.</t>
  </si>
  <si>
    <t>140-155</t>
  </si>
  <si>
    <t>Veitch, P. J.</t>
  </si>
  <si>
    <t>Veitch P.</t>
  </si>
  <si>
    <t>Vibration isolation of distributed mechanical oscillators by mechanical suspensions with application to resonant-mass gravitational radiation antennae</t>
  </si>
  <si>
    <t>10.1063/1.1142320</t>
  </si>
  <si>
    <t>2-s2.0-0041673713</t>
  </si>
  <si>
    <t>['rf power', 'repetition rate', 'plasma via', 'ms h', 'long period', 'lifetime limitation', 'generating 1', 'extracted h', 'coupled inductively', 'coil antenna', 'coated copper', 'clean plasma', 'beam pulses', '150 hz']</t>
  </si>
  <si>
    <t>An rf driven multicusp source capable of generating 1-ms H- beam pulses with a repetition rate as high as 150 Hz has been developed. This source can be operated with a filament or other types of starter. There is almost no lifetime limitation and a clean plasma can be maintained for a long period of operation. It is demonstrated that rf power as high as 25 kW could be coupled inductively to the plasma via a glass-coated copper-coil antenna. The extracted H- current density achieved is about 200 mA/cm2.</t>
  </si>
  <si>
    <t>100-104</t>
  </si>
  <si>
    <t>60025038;60025038;60025038;60025038;60025038;60025038;60025038;60025038</t>
  </si>
  <si>
    <t>7401860698;7006709153;22970482000;57216079549;8680811700;24772799900;57198075396;57206717146</t>
  </si>
  <si>
    <t>Leung, K. N.;DeVries, G. J.;DiVergilio, W. F.;Hamm, R. W.;Hauck, C. A.;Kunkel, W. B.;McDonald, D. S.;Williams, M. D.</t>
  </si>
  <si>
    <t>Leung K.N.</t>
  </si>
  <si>
    <t>rf driven multicusp H&lt;sup&gt;-&lt;/sup&gt; ion source</t>
  </si>
  <si>
    <t>10.1063/1.1142315</t>
  </si>
  <si>
    <t>2-s2.0-0342501697</t>
  </si>
  <si>
    <t>['variables relating', 'spatial dispersion', 'scattering cross', 'scattered fields', 'remain valid', 'reciprocity relation', 'receiving antenna', 'probing radiation', 'practical importance', 'omega p', 'omega ce', 'millimeter waves', 'large tokamaks', 'electron density', 'electromagnetic radiation', 'earlier results', 'dielectric properties', 'density fluctuations']</t>
  </si>
  <si>
    <t>The effects of the dielectric properties of a relativistic magnetized plasma on the scattering of electromagnetic radiation by fluctuations in electron density are investigated. The origin of the density fluctuations is not considered. Expressions for the scattering cross-section and the scattered power accepted by the receiving antenna are derived for a plasma with spatial dispersion. The resulting expressions allow thermal motion to be included in the description of the plasma and remain valid for frequencies of the probing radiation in the region of omega p and omega ce, provided the absorption is small. Symmetry between variables relating to incident and scattered fields is demonstrated and shown to be in agreement with the reciprocity relation. Earlier results are confirmed in the cold plasma limit. Significant relativistic effects of practical importance to the scattering of millimeter waves in large Tokamaks, are predicted.</t>
  </si>
  <si>
    <t>1775-1804</t>
  </si>
  <si>
    <t>Bindslev, H.</t>
  </si>
  <si>
    <t>Bindslev H.</t>
  </si>
  <si>
    <t>Dielectric effects on Thomson scattering in a relativistic magnetized plasma</t>
  </si>
  <si>
    <t>10.1088/0741-3335/33/14/005</t>
  </si>
  <si>
    <t>2-s2.0-0343151477</t>
  </si>
  <si>
    <t>['synergistic acceleration', 'stringent h', 'prototype launcher', 'mode plasmas', 'mode conditions', 'maximum power', 'lhcd ).', 'icrh antennae', 'first observations', 'fast electrons', 'coupled power', 'authors present', '6 mw', '22 mw', '1990 operation']</t>
  </si>
  <si>
    <t>Antenna Screen | Confinement | Current Drive | Edge Physics | Fusion Yield | H-Mode | Heating | ICRH | L-Mode | LHCD | Peaked Density Profiles | Synergistic Effects</t>
  </si>
  <si>
    <t>During its 1990 operation, 2 large RF systems were available on JET. The ion cyclotron resonance heating (ICRH) system was equipped with new beryllium screens and with feedback matching systems. Specific impurities generated by ICRH were reduced to negligible levels even in the most stringent H-mode conditions. A maximum power of 22 MW was coupled to L-mode plasmas. A new high confinement mode was discovered. Experiments were performed with the prototype launcher of the lower hybrid current drive (LHCD) systems with coupled power up to 1.6 MW with current drive efficiencies up to &lt;ne&gt; R I CD/P=0.4*1020 m-2 A/W. The authors present the first observations of the synergistic acceleration of fast electrons by transit time magnetic pumping (TTMP) (from ICRH) and electron Landau damping (ELD) (from LHCD). The synergism generates TTMP current drive even without phasing the ICRH antennae.</t>
  </si>
  <si>
    <t>1657-1675</t>
  </si>
  <si>
    <t>Jacquinot, J.</t>
  </si>
  <si>
    <t>Jacquinot J.</t>
  </si>
  <si>
    <t>Heating, current drive and confinement regimes with the JET ICRH and LHCD systems</t>
  </si>
  <si>
    <t>10.1088/0741-3335/33/13/012</t>
  </si>
  <si>
    <t>2-s2.0-0345420878</t>
  </si>
  <si>
    <t>['theoretically using', 'theoretical models', 'textor situation', 'slab code', 'signals linked', 'several signals', 'power coupled', 'plasma edge', 'major features', 'explained using', 'brief comparison']</t>
  </si>
  <si>
    <t>The excitation of fast-wave global eigenmodes is investigated both experimentally for TEXTOR and theoretically using a slab coupling mode. A brief comparison with a cylindrical model shows that in the TEXTOR situation no essential geometrical effect is left out by the slab code. The resonant behaviour associated with eigenmodes is studied for several signals: the resistance and inductance of the antennae the r.f. magnetic and electric field components picked up by probes at the plasma edge, and the power coupled to a fast-wave antenna used as a receiver. It is shown that all the major features of these signals linked to the existence of eigenmodes can be explained using the theoretical models.</t>
  </si>
  <si>
    <t>1109-1133</t>
  </si>
  <si>
    <t>60004280;60004280;60004280;60004280;60004280;60004280;60004280;60004280;60004280</t>
  </si>
  <si>
    <t>57197253453;7403189436;6602572553;7006718297;6603516786;57224265997;7006450633;6603675835;7004079277</t>
  </si>
  <si>
    <t>Descamps, P.;Koch, R.;Van Nieuwenhove, R.;Van Oost, G.;Van Wassenhove, G.;Delvigne, T.;Messiaen, A. M.;Vandenplas, P. E.;Weynants, R. R.</t>
  </si>
  <si>
    <t>Brussels</t>
  </si>
  <si>
    <t>Koninklijke Militaire School - Ecole Royale Militaire</t>
  </si>
  <si>
    <t>Descamps P.</t>
  </si>
  <si>
    <t>Excitation of global modes in TEXTOR and comparison with theory</t>
  </si>
  <si>
    <t>10.1088/0741-3335/33/10/001</t>
  </si>
  <si>
    <t>2-s2.0-0347503747</t>
  </si>
  <si>
    <t>['transfer function', 'pupil elements', 'projections onto', 'nice properties', 'inverse problems', 'imaginary parts', 'image reconstruction', 'calibration constraints', 'aperture synthesis', 'amplitude compilation']</t>
  </si>
  <si>
    <t>The inverse problems of image reconstruction in aperture synthesis are very particular myopic deconvolution problems. The constraints on the transfer function, the calibration constraints, can easily be imposed. This results from the particular algebraic structures of interferometry. The real and imaginary parts of the logarithm of the transfer function lie in the ranges of two remarkable operators: the amplitude aberration operator Brho and the phase aberration operator Bphi. These operators have only two distinct singular values: square root 2n-2, square root n-2 for the first, and 0, square root n for the second (n is the number of antennas or pupil elements of the interferometric device). As a corollary, the projections onto the ranges of Brho and Bphi can be expressed in very simple closed forms. These very nice properties, which had so far remained unknown, reveal in fact more general structures underlying phase and amplitude compilation (and alternate compilation).</t>
  </si>
  <si>
    <t>261-298</t>
  </si>
  <si>
    <t>Inverse Problems</t>
  </si>
  <si>
    <t>Lannes, A.</t>
  </si>
  <si>
    <t>Toulouse</t>
  </si>
  <si>
    <t>Observatoire Midi-Pyr√©n√©es</t>
  </si>
  <si>
    <t>Lannes A.</t>
  </si>
  <si>
    <t>Phase and amplitude calibration in aperture synthesis. Algebraic structures</t>
  </si>
  <si>
    <t>10.1088/0266-5611/7/2/009</t>
  </si>
  <si>
    <t>2-s2.0-0347816826</t>
  </si>
  <si>
    <t>['tortus tokamak', 'range 2', 'poloidal arrays', 'plasma edge', 'omega ci', 'magnetic probes', 'dimensional structure', 'deuterium plasma', 'cavity modes', 'although many', 'also observed']</t>
  </si>
  <si>
    <t>Measurements are presented of the edge wave magnetic fields generated by fast wave antennas in the TORTUS Tokamak. All measurements were made in a deuterium plasma and at frequencies in the range 2&lt; omega / omega ci&lt;4, where omega ci is the ion cyclotron frequency. High Q cavity modes were observed only for the m=+1 mode, although many other cavity modes were expected on the basis of cold plasma calculations. High m modes were also observed, not as cavity modes, but in the form of an evanescent beam guided along steady magnetic field lines in the plasma edge. The three-dimensional structure of the beam was determined using toroidal and poloidal arrays of magnetic probes. The existence of the beam is attributed to Alfven resonance conditions at the plasma edge.</t>
  </si>
  <si>
    <t>1841-1861</t>
  </si>
  <si>
    <t>60025709;60025709</t>
  </si>
  <si>
    <t>6603510335;7202235472</t>
  </si>
  <si>
    <t>Ballico, M. J.;Cross, R. C.</t>
  </si>
  <si>
    <t>Ballico M.</t>
  </si>
  <si>
    <t>Measurements of ICRF edge wave fields in a Tokamak</t>
  </si>
  <si>
    <t>10.1088/0741-3335/33/14/008</t>
  </si>
  <si>
    <t>2-s2.0-22244438005</t>
  </si>
  <si>
    <t>['wave phase', 'wave beams', 'uda antennas', 'two types', 'quartz substrate', 'probe beam', 'orthogonal view', 'interferometer uses', 'imaging system', 'imaging interferometer', 'imaged onto', 'gamma 10', 'effective matching', 'detector array', 'density profiles', 'cell plasmas']</t>
  </si>
  <si>
    <t>A millimeter-wave phase-imaging interferometer has been developed for the study of density profiles of the GAMMA 10 tandem mirror. The interferometer uses a 70-GHz klystron oscillator and a quasi-optical transmission system. The probe beam is expanded so as to fill an orthogonal view of a plasma cross section. The view is imaged onto a detector array. The detector array consists of beam-lead GaAs Schottky barrier diodes bonded to antennas fabricated using photolithographic techniques on a fused-quartz substrate. Two types of antennas, bow-tie and Yagi-Uda antennas have been used in order to provide an effective matching to millimeter-wave beams, and compared for the performance of an imaging system. The interferometers have been applied to the central-cell and plug-cell plasmas of GAMMA 10.</t>
  </si>
  <si>
    <t>2857-2861</t>
  </si>
  <si>
    <t>60014256;60014256;60014256;60014256;60014256;60008435;60008435;60008435;60008435;60008435</t>
  </si>
  <si>
    <t>7401879201;7005566859;7006752604;7003624110;35394984600;7201993763;7004067332;23016189800;7202708368;36818671300</t>
  </si>
  <si>
    <t>Hattori, K.;Mase, A.;Itakura, A.;Inutake, M.;Miyoshi, S.;Uehara, K.;Yonekura, T.;Nishimura, H.;Miyashita, K.;Mizuno, K.</t>
  </si>
  <si>
    <t>University of Tsukuba;Tohoku University</t>
  </si>
  <si>
    <t>60014256;60008435</t>
  </si>
  <si>
    <t>Hattori K.</t>
  </si>
  <si>
    <t>Millimeter-wave phase-imaging interferometer for the GAMMA 10 tandem mirror</t>
  </si>
  <si>
    <t>10.1063/1.1142172</t>
  </si>
  <si>
    <t>2-s2.0-22244488803</t>
  </si>
  <si>
    <t>['water levels', 'vertical planes', 'using fluids', 'three tubes', 'three coils', 'square waves', 'previous detector', 'output signals', 'operating characteristics', 'one axis', 'new detector', 'manmade satellite', 'magnetic fluid', 'lightweight unit', 'life span', 'level alone', 'detector described', 'detect level', 'detect angles', 'communication systems', 'cannot detect', 'attitude detector']</t>
  </si>
  <si>
    <t>Level and attitude detector are required for the detection of level and angles, for controlling the attitude of robots, keeping solar cell panels directed toward the sun, and the parabola antenna constantly toward the manmade satellite in communication systems. The usual angle detector can detect an angle in one axis only, and cannot detect the level alone. The detector described in this paper is able to detect angles of orientation with respect to horizontal and vertical planes. In addition, the new detector can detect level by itself for using fluids, such as water levels. This detector has three tubes with the magnetic fluid placed inside with three coils. The tubes are sealed and the solvent of the magnetic fluid does not evaporate. Therefore, the life span of the detector is longer than the previous detector. Its structure is very simple, small, and robust. It is also a lightweight unit. The output signals are square waves, always in use with digital signal processes. The operating characteristics are described in this paper.</t>
  </si>
  <si>
    <t>5097-5099</t>
  </si>
  <si>
    <t>60006838;60006838</t>
  </si>
  <si>
    <t>36895809400;57216089670</t>
  </si>
  <si>
    <t>Kanamaru, Y.;Kojima, A.</t>
  </si>
  <si>
    <t>Kanazawa Institute of Technology</t>
  </si>
  <si>
    <t>Kanamaru Y.</t>
  </si>
  <si>
    <t>Characteristics of level and two-axis attitude detector a using magnetic fluid</t>
  </si>
  <si>
    <t>10.1063/1.348135</t>
  </si>
  <si>
    <t>2-s2.0-30244436242</t>
  </si>
  <si>
    <t>['wall interactions', 'sheath effects', 'plasma boundary', 'mechanisms responsible', 'induced effects', 'icrf antenna', 'harmonic frequencies', 'generator frequency', 'excited waves', 'edge plasma', 'certain conditions', 'also excited', 'also detected']</t>
  </si>
  <si>
    <t>Measurements of different wave phenomena at the plasma boundary during auxiliary heating experiments on TEXTOR were performed to elucidate some the mechanisms responsible for ICRF-induced effects on the edge plasma and on plasma-wall interactions. Capacitive probes capable of withstanding high heat loads were used. Excited waves were studied during carbonized and boronized wall conditions in TEXTOR. Apart from at the r.f. generator frequency, waves were also detected at the harmonic frequencies due to sheath effects at the ICRF antenna. Furthermore, waves at half-harmonic frequencies were also excited under certain conditions.</t>
  </si>
  <si>
    <t>1135-1144</t>
  </si>
  <si>
    <t>60004280;60004280;60004280</t>
  </si>
  <si>
    <t>7003909720;6602572553;7006718297</t>
  </si>
  <si>
    <t>Bora, D.;Van Nieuwenhove, R.;Van Oost, G.</t>
  </si>
  <si>
    <t>Bora D.</t>
  </si>
  <si>
    <t>Nonlinear wave phenomena measured by capacitive probes during auxiliary heating in the SOL of TEXTOR</t>
  </si>
  <si>
    <t>10.1088/0741-3335/33/10/002</t>
  </si>
  <si>
    <t>2-s2.0-3142683488</t>
  </si>
  <si>
    <t>['resonant layer', 'r0 approximately', 'produced using', 'plasma formation', 'plasma densities', 'phenomena indicate', 'peaked profiles', 'negative potential', 'mode cut', 'microwave absorption', 'magnetic axis', '70 times', '10 19']</t>
  </si>
  <si>
    <t>Plasma formation by microwave absorption at fundamental and second harmonic electron cyclotron resonance (ECR) has been achieved in the SHEILA flexible heliac (R0 approximately=0.19 m, Bm&lt;or=0.2 T, (a p) approximately=0.03 m). Plasma densities up to 5*10 19 m-3 (70 times the fundamental O-mode cut-off density) have been produced using a dipole antenna launching from the high field side of the resonant layer. With a low field side launch antenna (helical or linearly polarized dipole), core densities were limited to 4*1017 m -3 (3-4 times overdense). With a low field side launch either hollow, flat or centrally peaked radial density profiles were obtained, depending on the position of the resonant field layer. The hollow profiles occurred with 'on-axis' heating (resonant layer intersecting the magnetic axis) and were accompanied by an increase in the positive core potential and a reversal from a positive to negative potential in the unconfined plasma region. These phenomena indicate a reduction in the central electron confinement, which is consistent with the density clamping phenomena observed in many ECR heated devices. High field side launch produced only peaked profiles, irrespective of the resonant layer position.</t>
  </si>
  <si>
    <t>135-153</t>
  </si>
  <si>
    <t>60008950;60008950</t>
  </si>
  <si>
    <t>8627612400;7102179574</t>
  </si>
  <si>
    <t>Conway, G. D.;Blackwell, B. D.</t>
  </si>
  <si>
    <t>The Australian National University</t>
  </si>
  <si>
    <t>Conway G.</t>
  </si>
  <si>
    <t>Plasma production by first and second harmonic electron cyclotron resonance in heliac geometry</t>
  </si>
  <si>
    <t>10.1088/0741-3335/33/2/004</t>
  </si>
  <si>
    <t>2-s2.0-36149032472</t>
  </si>
  <si>
    <t>['temporal waveform', 'spatial profile', 'radiated pulses', 'property allows', 'mapped onto']</t>
  </si>
  <si>
    <t>When a photoconducting antenna array is illuminated by a subpicosecond laser pulse, the spatial profile of the applied bias field is mapped onto the temporal waveform of the radiated electric field. This property allows the array to function as a multiplexer, in which parallel electronic data are converted to a sequence of radiated pulses.</t>
  </si>
  <si>
    <t>3207-3209</t>
  </si>
  <si>
    <t>60030162;60030162;60030162;60030162</t>
  </si>
  <si>
    <t>6603945990;24325456000;7410280543;7003905455</t>
  </si>
  <si>
    <t>Froberg, N. M.;Hu, B. B.;Zhang, X. C.;Auston, D. H.</t>
  </si>
  <si>
    <t>Time-division multiplexing by a photoconducting antenna array</t>
  </si>
  <si>
    <t>10.1063/1.105733</t>
  </si>
  <si>
    <t>2-s2.0-3643142121</t>
  </si>
  <si>
    <t>['whose temperature', 'thin strip', 'superconducting interfaces', 'resistive transition', 'resistive load', 'novel antenna', 'makes use', 'make frequency', 'k ).', 'infrared current', 'filter networks', 'defined bandpasses', 'calculations give', 'astronomical observations', '2 whz', '16 t5']</t>
  </si>
  <si>
    <t>We propose a novel antenna-coupled low Tc superconducting bolometer which makes use of the thermal boundary resistance and the trapping of quasiparticles at metal-superconducting interfaces. A thin strip of superconductor, whose temperature is regulated at the midpoint of its resistive transition, serves both as a resistive load to thermalize the infrared current from the antenna and as a thermometer to measure the resulting temperature rise. Calculations give a noise equivalent power (NEP)‚âà7√ó10-16 T5/2 WHz-1/2 and a time constant œÑ‚âà10-8 T-2s for a 2√ó2 Œºm2 thermometer area at temperature T (K). Designs for efficient on-chip rf matching and filter networks with well-defined bandpasses are presented. These detectors can be used to make frequency-multiplexed array receivers for astronomical observations at near millimeter wavelengths.</t>
  </si>
  <si>
    <t>2329-2331</t>
  </si>
  <si>
    <t>60025038;60025038;60025038</t>
  </si>
  <si>
    <t>6603871305;7004472931;7201484168</t>
  </si>
  <si>
    <t>Mees, J.;Nahum, M.;Richards, P. L.</t>
  </si>
  <si>
    <t>Mees J.</t>
  </si>
  <si>
    <t>New designs for antenna-coupled superconducting bolometers</t>
  </si>
  <si>
    <t>10.1063/1.106059</t>
  </si>
  <si>
    <t>2-s2.0-36449001681</t>
  </si>
  <si>
    <t>['temporal features', 'new method', 'hertzian dipoles', 'generating pulses', 'free space', '190 fs']</t>
  </si>
  <si>
    <t>We have demonstrated a new method of generating pulses of freely propagating THz electromagnetic radiation. The resulting 380 fs pulses are the shortest directly measured THz pulses in free space to date and are more powerful than those generated by Hertzian dipoles or by resonant dipole antennas. Temporal features as short as 190 fs were observed on these THz radiation pulses and thereby, illustrate an ultrafast receiver response time.</t>
  </si>
  <si>
    <t>60017366;60017366</t>
  </si>
  <si>
    <t>7801568993;7005233382</t>
  </si>
  <si>
    <t>Katzenellenbogen, N.;Grischkowsky, D.</t>
  </si>
  <si>
    <t>Katzenellenbogen N.</t>
  </si>
  <si>
    <t>Efficient generation of 380 fs pulses of THz radiation by ultrafast laser pulse excitation of a biased metal-semiconductor interface</t>
  </si>
  <si>
    <t>10.1063/1.104695</t>
  </si>
  <si>
    <t>2-s2.0-36449002424</t>
  </si>
  <si>
    <t>['radiation frequency', 'electromagnetic wave', 'electrically scanned', 'bias voltage']</t>
  </si>
  <si>
    <t>The radiation frequency of an electromagnetic wave from a spatial periodically biased photoconducting antenna array can be electrically scanned by varying the periodicity of the bias voltage on the antennas. Over 900 GHz frequency tuning bandwidth has been demonstrated.</t>
  </si>
  <si>
    <t>1369-1371</t>
  </si>
  <si>
    <t>24325456000;6603945990;57216211819;7410280543;7003905455</t>
  </si>
  <si>
    <t>Hu, B. B.;Froberg, N.;Mack, M.;Zhang, X. C.;Auston, D. H.</t>
  </si>
  <si>
    <t>Hu B.B.</t>
  </si>
  <si>
    <t>Electrically controlled frequency scanning by a photoconducting antenna array</t>
  </si>
  <si>
    <t>10.1063/1.104311</t>
  </si>
  <si>
    <t>2-s2.0-36449002943</t>
  </si>
  <si>
    <t>['values must', 'time domain', 'terrestrial vehicles', 'sensors using', 'printed antenna', 'motion relative', 'microwave range', 'low time', 'highest accuracy', 'doppler effect', 'distance covered', 'also necessary']</t>
  </si>
  <si>
    <t>In order to automate the driving of terrestrial vehicles it is necessary to know at any time and with the highest accuracy the values of the speed of the vehicle and of the distance covered by the vehicle; it is also necessary to know the direction of the motion relative to the ground. These values must be measured in the real-time domain and this involves that contactless and very low time-constant sensors must be used. On the other hand, the applications concerned ask for a miniaturization of the whole measurement system. For these reasons, sensors using the Doppler effect in the microwave range are particularly well convenient to these applications. We developed an X band microwave Doppler cinemometer (MDC) with a printed antenna that is built using microstrip technology.</t>
  </si>
  <si>
    <t>2016-2018</t>
  </si>
  <si>
    <t>60008134;60008134;60008134</t>
  </si>
  <si>
    <t>35551660200;6506015657;6602517840</t>
  </si>
  <si>
    <t>Descamps, P.;El Bekkali, M.;Vindevoghel, J.</t>
  </si>
  <si>
    <t>An integrated microwave Doppler cinemometer for transport applications</t>
  </si>
  <si>
    <t>10.1063/1.1142356</t>
  </si>
  <si>
    <t>2-s2.0-36449004423</t>
  </si>
  <si>
    <t>['relative position', 'pronounced optimum', 'plasma generator', 'magnet filter', 'linear scaling', 'ion output', 'ion current', 'incident positive', 'hydrogen plasma', 'dc discharges', 'actual geometry']</t>
  </si>
  <si>
    <t>The production of H- ions at a barium, magnesium, strontium, molybdenum, and lanthanum-hexaboride converter immersed in a hydrogen plasma have been investigated for pulsed and dc discharges. The scaling of the negative-ion output with incident positive-ion current on the converter depends greatly on the actual geometry and type of plasma generator. A less than linear scaling is observed in a multicusp system using filaments or rf to generate the discharge. A more than linear scaling is obtained in a configuration where the filament and the converter are separated by a permanent-magnet filter. For a rf plasma generator, there is a pronounced optimum in the relative position of antenna and converter.</t>
  </si>
  <si>
    <t>3485-3493</t>
  </si>
  <si>
    <t>23016962400;7401860698;24772799900</t>
  </si>
  <si>
    <t>Van Os, C. F.A.;Leung, K. N.;Kunkel, W. B.</t>
  </si>
  <si>
    <t>Van Os C.F.A.</t>
  </si>
  <si>
    <t>Plasma-generator-induced effects on the dynamics of a negative-ion surface conversion source</t>
  </si>
  <si>
    <t>10.1063/1.348489</t>
  </si>
  <si>
    <t>2-s2.0-36449009650</t>
  </si>
  <si>
    <t>['two sets', 'great potential', 'first time', '8 ghz', '740 mhz']</t>
  </si>
  <si>
    <t>Two sets of new type high Tc superconducting antennas have been designed and fabricated. When compared with the corresponding copper antennas under liquid nitrogen temperature, the 'U' type superconducting dipole antenna made from Y-based material obtained a 3 dB relative gain enhancement (RGE) at the frequency of 740 MHz and a 7 dB RGE at 5.8 GHz for the Bi-based superconducting microstrip patch antenna was achieved and reported for the first time, which indicated that the newly discovered high Tc superconducting materials do have great potential in improving the performance of the conventional metal antennas.</t>
  </si>
  <si>
    <t>1 S</t>
  </si>
  <si>
    <t>60025278;;60025278;60025278;60025278;60025278;60025278;;</t>
  </si>
  <si>
    <t>7404941893;7101781579;51565281600;7402120825;57206419227;57207170389;56253875800;55448834500;24082305300</t>
  </si>
  <si>
    <t>He, Y. S.;He, A. S.;Zhang, X. X.;Shi, C. S.;Lu, N.;Tian, B.;Lu, D. R.;Zhou, M. L.;Wang, W. G.</t>
  </si>
  <si>
    <t>Tsinghua University</t>
  </si>
  <si>
    <t>He Y.</t>
  </si>
  <si>
    <t>Progress in high T&lt;inf&gt;c&lt;/inf&gt; superconducting ceramic antennas</t>
  </si>
  <si>
    <t>10.1088/0953-2048/4/1S/027</t>
  </si>
  <si>
    <t>2-s2.0-42549173511</t>
  </si>
  <si>
    <t>['¬© 1992', 'thermophilic non', 'structure containing', 'selective excitation', 'qy transitions', 'p ãñ', 'intact cells', 'individual chlorosome', 'excited state', 'excitation energy', 'bound associates', 'bchl c', 'antennal pigments', 'antenna comes']</t>
  </si>
  <si>
    <t>The orientation of the moments of the Qy transitions of the light harvesting bacteriochlorophyll c (Bchl c) in the intact cells of the thermophilic non-sulphur green bacteria Chloroflexus aurantiacus has been studied. The picosecond polarization kinetics of decay of the fluorescence of the antennal pigments on selective excitation with linearly polarized light of the Qy transitions of Bchl c have been measured. It is shown that polarization of the fluorescence of Bchl c (p) remains practically constant during the lifetime of the excited state of Bchl c (p ÃÑ = 0¬∑41 ¬± 0¬∑01). It is concluded from this that in each individual chlorosome - structure containing all the Bchl of the cell - the moments of the Qy transitions of Bchl c are parallel to each other so that transfer of the excitation energy over this antenna comes about between the chromophores (or their bound associates) with parallel transitional moments. ¬© 1992.</t>
  </si>
  <si>
    <t>62-66</t>
  </si>
  <si>
    <t>Biophysics</t>
  </si>
  <si>
    <t>100965441-60007457;100965441-60007457;100965441-60007457</t>
  </si>
  <si>
    <t>6701855945;7005109792;7003830809</t>
  </si>
  <si>
    <t>Timpmann, K. E.;Freiberg, A. M.;Fetisova, Z. G.</t>
  </si>
  <si>
    <t>Russian Federation;Russian Federation</t>
  </si>
  <si>
    <t>Moscow;Tartu</t>
  </si>
  <si>
    <t>Lomonosov Moscow State University;E.S.S.R. Academy of Sciences</t>
  </si>
  <si>
    <t>60007457;100965441</t>
  </si>
  <si>
    <t>Timpmann K.E.</t>
  </si>
  <si>
    <t>Investigation by picosecond polarization-fluorescence spectroscopy of the orientation of the moments of the Q&lt;inf&gt;y&lt;/inf&gt; transitions of the light harvesting bacteriochlorophyll c in the intact cells of thermophilic green bacteria Cloroflexus aurantiacus</t>
  </si>
  <si>
    <t>2-s2.0-44949272077</t>
  </si>
  <si>
    <t>['two steps', 'tokamak played', 'ti0 ).', 'theoretical values', 'step transition', 'null x', 'nearly twice', 'monster sawtooth', 'modes produced', 'mode prediction', 'long sawtooth', 'jet tokamak', 'icrh h', 'icrh antennas', 'icrh alone', 'goldston l', 'free period', 'first wall', 'field side', 'experimental values', 'crucial role', 'characteristics typical', 'beryllium evaporation', 'also decreases', 'achieving h', '10 kev']</t>
  </si>
  <si>
    <t>H-modes produced by ion-cyclotron resonance heating (ICRH) in a double-null X-point open divertor configuration in the JET Tokamak are studied, where the ICRH antennas, operated in the dipole (0, pi ) phasing, are located on the low-field side of the Tokamak. Beryllium evaporation on the nickel antenna screen and the first wall of the Tokamak played a crucial role in achieving H-modes with ICRH alone. In these discharges, all the characteristics typical of neutral-beam injection heating H-modes are found, and the global energy confinement time approaches two times the Goldston L-mode prediction. For most of their duration, ICRH H-modes are free from ELMs (edge-localized modes). In addition, the monster sawtooth (long sawtooth-free period) feature of ICRH is maintained during H-modes, leading to a central electron temperature (T c0) of 10 keV, nearly twice the value of the central ion temperature (Ti0). ICRH H-modes often occur as a two-step transition and the antenna plasma coupling resistance (Rc) also decreases in two steps. Theoretical values of Rc agree well with experimental values during the H-phase.</t>
  </si>
  <si>
    <t>99-121</t>
  </si>
  <si>
    <t>60025104;60025104;60025104;60025104;60025104;60025104;60025104;60025104;60025104;60025104;60025104;60025104;60025104;60025104</t>
  </si>
  <si>
    <t>7102660576;7005524697;6701379838;55410096700;6603893101;6603724199;6603936866;57212335886;7404497658;7101659327;7003828555;7103032460;6506326812;7003994552</t>
  </si>
  <si>
    <t>Bhatnagar, V. P.;Jacquinot, J.;Tubbing, B. J.D.;Stork, D.;Tanga, A.;Balet, B.;Bosia, G.;Bures, M.;Campbell, D.;Clement, S.;Hatayama, A.;Lawson, K.;Tibone, F.;Start, D. F.H.</t>
  </si>
  <si>
    <t>Bhatnagar V.P.</t>
  </si>
  <si>
    <t>ICRH-produced H-modes in the JET tokamak</t>
  </si>
  <si>
    <t>10.1088/0741-3335/33/2/002</t>
  </si>
  <si>
    <t>2-s2.0-9644299079</t>
  </si>
  <si>
    <t>-FG02-88ER13969</t>
  </si>
  <si>
    <t>['¬© 1991', 'wild type', 'upon excitation', 'significant long', 'ps ii', 'phycobilisomes displayed', 'phycobilisome components', 'photosystem ii', 'pcc 6803', 'mutant lacking', 'mutant containing', 'mutant carrying', 'lived fluorescence', 'isolated systems', 'intact cells', 'fluorescence yield', 'considerably smaller', 'chlorophyll could', 'another chlorophyll', 'anchor protein']</t>
  </si>
  <si>
    <t>Chlorophyll fluorescence | Cyanobacterium | Energy transfer | Photosystem II | Phycobilisome</t>
  </si>
  <si>
    <t>Time-resolved and steady-state fluorescence spectra have been determined in intact cells of wild type and selected Photosystem II mutants of the cyanobacterium Synechocystis sp. PCC 6803. Upon excitation of phycobilisome components, in wild type fluorescence lifetimes and spectra are observed that are compatible with energy transfer within the phycobilisome, between the phycobilisome and Photosystem II, and within Photosystem II (PS II). In a mutant carrying a spinach/Synechocystis CP47 hybrid protein (one of the chlorophyll-binding antennae within PS II), energy transfer between phycobilisomes and PS II. In a mutant containing some CP43 (another chlorophyll-binding antenna protein in PS II) but lacking all other major PS II proteins, chlorophyll can still be bound to CP43, but significant long-lived fluorescence from this chlorophyll could not be observed. In a mutant lacking all major PS II components, phycobilisomes displayed a fluorescence yield larger than in wild type, but considerably smaller than observed in isolated systems. The conformation of one or more phycobilins in or near the anchor protein most likely is important in determining the fluorescence yield of phycobilisomes. ¬© 1991.</t>
  </si>
  <si>
    <t>105-116</t>
  </si>
  <si>
    <t>6602426350;7005345187</t>
  </si>
  <si>
    <t>Bittersmann, Edith;Vermaas, Wim</t>
  </si>
  <si>
    <t>Bittersmann E.</t>
  </si>
  <si>
    <t>Fluorescence lifetime studies of cyanobacterial photosystem II mutants</t>
  </si>
  <si>
    <t>000527289190014F</t>
  </si>
  <si>
    <t>10.1016/0005-2728(91)90014-F</t>
  </si>
  <si>
    <t>2-s2.0-0026060584</t>
  </si>
  <si>
    <t>['¬© 1991', 'rights reserved', 'reduced analytically', 'probe without', 'global structure', 'finite number', 'electrical engineers', 'coaxial probe', 'coaxial aperture', 'analytical account']</t>
  </si>
  <si>
    <t>Antenna feeders | Antenna theory | Antennas</t>
  </si>
  <si>
    <t>A coaxial feed located between two parallel conductors is reduced analytically into a finite number of cosinusoidal voltage sources over the coaxial probe. This allows an analytical account to be made of the effect of the coaxial aperture and of the exact current distribution on the probe without having to solve the global structure for each cosinusoidal probe current component. ¬© 1991, The Institution of Electrical Engineers. All rights reserved.</t>
  </si>
  <si>
    <t>2387-2389</t>
  </si>
  <si>
    <t>60025063;60025063</t>
  </si>
  <si>
    <t>Vandenbosch, G. A.E.;van de capelle, A. R.</t>
  </si>
  <si>
    <t>Reduction of coaxial feed between two parallel conductors into finite number of voltage sources</t>
  </si>
  <si>
    <t>10.1049/el:19911477</t>
  </si>
  <si>
    <t>2-s2.0-0026417479</t>
  </si>
  <si>
    <t>['¬© 1991', 'rights reserved', 'realised gain', 'radiating patches', 'electrical engineers', 'centre frequency', 'active devices']</t>
  </si>
  <si>
    <t>Antenna arrays | Antennas | Microstrip</t>
  </si>
  <si>
    <t>The design is presented of active microstrip array elements by the combination of active devices with radiating patches to obtain broad bandwidth and extra power gain. The design is illustrated with an active microstrip transmit antenna in a two sided structure. In terms of the realised gain with a flatness of ¬±0¬∑45 dB, a bandwidth of 24% of the centre frequency was achieved. The results are very attractive for broadband MIC active array design. ¬© 1991, The Institution of Electrical Engineers. All rights reserved.</t>
  </si>
  <si>
    <t>2378-2379</t>
  </si>
  <si>
    <t>60025063;60025063;60025063</t>
  </si>
  <si>
    <t>Broadband active microstrip array elements</t>
  </si>
  <si>
    <t>10.1049/el:19911472</t>
  </si>
  <si>
    <t>2-s2.0-0026417504</t>
  </si>
  <si>
    <t>['¬© 1991', 'theoretical results', 'rights reserved', 'receiving antenna', 'multiport representation', 'model uses', 'mmic amplifier', 'largely increased', 'good agreement', 'full model', 'experimental results', 'electrical engineers', 'antenna without', 'active circuit']</t>
  </si>
  <si>
    <t>A full model is presented of a receiving antenna that includes a microstrip dipole together with its MMIC amplifier. The model uses the integral equation technique associated with the multiport representation of an active circuit. Theoretical results are in good agreement with experimental results. Gain and bandwidth are largely increased in comparison to those of the same antenna without an amplifier. ¬© 1991, The Institution of Electrical Engineers. All rights reserved.</t>
  </si>
  <si>
    <t>2357-2359</t>
  </si>
  <si>
    <t>60005049;60005049;60005049;60005049</t>
  </si>
  <si>
    <t>7005398972;6701637532;7004142829;22955400400</t>
  </si>
  <si>
    <t>Gillard, R.;Legay, H.;Floch, J. M.;Citerne, J.</t>
  </si>
  <si>
    <t>INSA Rennes</t>
  </si>
  <si>
    <t>Gillard R.</t>
  </si>
  <si>
    <t>Rigorous modelling of receiving active microstrip antenna</t>
  </si>
  <si>
    <t>10.1049/el:19911460</t>
  </si>
  <si>
    <t>2-s2.0-0026417539</t>
  </si>
  <si>
    <t>['¬© 1991', 'rights reserved', 'reflector antenna', 'reflection coefficient', 'radome covering', 'possible distortion', 'electrical engineers', 'chiral device', 'central region', 'antenna feed']</t>
  </si>
  <si>
    <t>A method is proposed which consists of placing a chiral device in the central region of a radome covering a reflector antenna, to minimise the reflection coefficient at the antenna feed and any possible distortion in the antenna radiation pattern due to the device. ¬© 1991, The Institution of Electrical Engineers. All rights reserved.</t>
  </si>
  <si>
    <t>2345-2347</t>
  </si>
  <si>
    <t>126790806;126790806</t>
  </si>
  <si>
    <t>57194912686;57194925431</t>
  </si>
  <si>
    <t>Cory, G.;Rosenhouse, H.</t>
  </si>
  <si>
    <t>Technion City</t>
  </si>
  <si>
    <t>Technion</t>
  </si>
  <si>
    <t>Cory G.</t>
  </si>
  <si>
    <t>Minimisation of reflection coefficient at feed of radome-covered reflector antenna by chiral device</t>
  </si>
  <si>
    <t>10.1049/el:19911452</t>
  </si>
  <si>
    <t>2-s2.0-0026417540</t>
  </si>
  <si>
    <t>['¬© 1991', 'tio2 obtained', 'ru complexes', 'polychromophoric complexes', 'photocurrent spectra', 'general formula', 'external moieties', 'efficiently funneled', 'complex suggest', 'cn ]+,', 'central fragment', 'bonded ru', '10 phenantroline']</t>
  </si>
  <si>
    <t>In polychromophoric complexes of the type: [NC-Ru(L)2-CN-Ru(L')2-CN]+, [NC-Ru(L)2-CN-Ru (L‚Ä≥)2-NC-Ru(L)2]2+ (L = 2,2'bipyridine, L' = 2,2' bipyridine or 1-10 phenantroline, L‚Ä≥= 2,2' bipyridine or 4,4'dicarboxy-2,2'bipyridine) photoinduced energy transfer from C- to N- bonded Ru-units takes place. Photocurrent spectra on TiO2 obtained with the trinuclear [NC-Ru(bpy)2-CN-Ru(bpy(COOH)2)2-NC-Ru(bpy)2-CN]2+ complex suggest that the light energy absorbed by the external moieties is efficiently funneled to the central fragment and used for the sensitization of the semiconductor. Towards the building of more extended antenna units, polychromophoric Re-Ru complexes of general formula: [(phen)(CO)3Re-CN-[Ru(bpy)2-CN]n-Ru(bpy)2-CN](n+1) (n = 0 - 3) have been synthesized and studied. ¬© 1991.</t>
  </si>
  <si>
    <t>261-266</t>
  </si>
  <si>
    <t>Coordination Chemistry Reviews</t>
  </si>
  <si>
    <t>60021199;60021199;60021199;60028218;60021199</t>
  </si>
  <si>
    <t>7004810859;57202705693;6603760300;7003819913;7003684669</t>
  </si>
  <si>
    <t>Bignozzi, C. A.;Argazzi, R.;Chiorboli, C.;Roffia, S.;Scandola, F.</t>
  </si>
  <si>
    <t>Bologna;Rome</t>
  </si>
  <si>
    <t>Alma Mater Studiorum Universit√† di Bologna;Consiglio Nazionale delle Ricerche</t>
  </si>
  <si>
    <t>60028218;60021199</t>
  </si>
  <si>
    <t>Bignozzi C.A.</t>
  </si>
  <si>
    <t>Photoinduced intramolecular energy transfer processes in polynuclear ruthenium(II) polypyridine complexes. Design of long chain cyanobridged polynuclear species featuring vectorial energy transfer</t>
  </si>
  <si>
    <t>001085459184032Z</t>
  </si>
  <si>
    <t>10.1016/0010-8545(91)84032-Z</t>
  </si>
  <si>
    <t>2-s2.0-0000839472</t>
  </si>
  <si>
    <t>['weakly coupled', 'thus shown', 'measured wavefields', 'low density', 'investigated theoretically', 'important role', 'electron inertia', 'electron dynamics', 'antenna fields']</t>
  </si>
  <si>
    <t>Ion cyclotron modes excited in a low density, cylindrical plasma cavity using an external inductive antenna are investigated theoretically and experimentally. These modes, which have a long parallel wavelength, exhibit a strong electrostatic character and are only weakly coupled to the antenna fields. Comparison is made of the measured wavefields with those predicted by a theory that includes the influence of electron dynamics. It is thus shown that not only the electron inertia but also electron Landau damping plays an important role in determining the cavity mode structure. ¬© 1991 IOP Publishing Ltd.</t>
  </si>
  <si>
    <t>2135-2148</t>
  </si>
  <si>
    <t>Journal of Physics D: Applied Physics</t>
  </si>
  <si>
    <t>60028186;60028186</t>
  </si>
  <si>
    <t>57225399173;7102125789</t>
  </si>
  <si>
    <t>Sawley, M. L.;Paris, P. J.</t>
  </si>
  <si>
    <t>Sawley M.L.</t>
  </si>
  <si>
    <t>Ion cyclotron modes in a low density plasma cavity</t>
  </si>
  <si>
    <t>10.1088/0022-3727/24/12/002</t>
  </si>
  <si>
    <t>2-s2.0-0026367763</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</si>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</sst>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19">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0" fontId="0" fillId="7" borderId="0" xfId="0" applyFill="1"/>
    <xf numFmtId="0" fontId="5" fillId="0" borderId="1" xfId="3" applyFont="1" applyFill="1"/>
    <xf numFmtId="0" fontId="6" fillId="0" borderId="2" xfId="0" applyFont="1" applyBorder="1" applyAlignment="1">
      <alignment horizontal="center" vertical="top"/>
    </xf>
    <xf numFmtId="0" fontId="4" fillId="0" borderId="0" xfId="0" applyFont="1"/>
    <xf numFmtId="2" fontId="7" fillId="0" borderId="0" xfId="1" applyNumberFormat="1" applyFont="1" applyFill="1"/>
    <xf numFmtId="2" fontId="4" fillId="0" borderId="0" xfId="0" applyNumberFormat="1" applyFont="1"/>
    <xf numFmtId="0" fontId="6" fillId="0" borderId="0" xfId="0" applyFont="1" applyAlignment="1">
      <alignment horizontal="center" vertical="top"/>
    </xf>
    <xf numFmtId="0" fontId="8" fillId="0" borderId="0" xfId="2" applyFont="1" applyFill="1" applyBorder="1" applyAlignment="1">
      <alignment horizontal="center" vertical="top"/>
    </xf>
    <xf numFmtId="164" fontId="4"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2"/>
      <sheetName val="1993"/>
      <sheetName val="1994"/>
      <sheetName val="1995"/>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5BB33-2F18-1A43-8F4B-0FC4A74758CA}">
  <dimension ref="A1:AW210"/>
  <sheetViews>
    <sheetView tabSelected="1" topLeftCell="V1" workbookViewId="0">
      <selection activeCell="AN2" sqref="AN2"/>
    </sheetView>
  </sheetViews>
  <sheetFormatPr baseColWidth="10" defaultRowHeight="16" x14ac:dyDescent="0.2"/>
  <sheetData>
    <row r="1" spans="1:49" s="10" customFormat="1" x14ac:dyDescent="0.2">
      <c r="A1" s="13"/>
      <c r="B1" s="13" t="s">
        <v>2394</v>
      </c>
      <c r="C1" s="13" t="s">
        <v>2393</v>
      </c>
      <c r="D1" s="13" t="s">
        <v>2392</v>
      </c>
      <c r="E1" s="13" t="s">
        <v>2391</v>
      </c>
      <c r="F1" s="13" t="s">
        <v>2390</v>
      </c>
      <c r="G1" s="13" t="s">
        <v>2389</v>
      </c>
      <c r="H1" s="13" t="s">
        <v>2388</v>
      </c>
      <c r="I1" s="13" t="s">
        <v>2387</v>
      </c>
      <c r="J1" s="13" t="s">
        <v>2386</v>
      </c>
      <c r="K1" s="13" t="s">
        <v>2385</v>
      </c>
      <c r="L1" s="13" t="s">
        <v>2384</v>
      </c>
      <c r="M1" s="13" t="s">
        <v>2383</v>
      </c>
      <c r="N1" s="13" t="s">
        <v>2382</v>
      </c>
      <c r="O1" s="13" t="s">
        <v>2381</v>
      </c>
      <c r="P1" s="13" t="s">
        <v>2380</v>
      </c>
      <c r="Q1" s="13" t="s">
        <v>2379</v>
      </c>
      <c r="R1" s="18" t="s">
        <v>2378</v>
      </c>
      <c r="S1" s="13" t="s">
        <v>2377</v>
      </c>
      <c r="T1" s="13" t="s">
        <v>2377</v>
      </c>
      <c r="U1" s="13" t="s">
        <v>2376</v>
      </c>
      <c r="V1" s="18" t="s">
        <v>2375</v>
      </c>
      <c r="W1" s="13" t="s">
        <v>2374</v>
      </c>
      <c r="X1" s="12" t="s">
        <v>2373</v>
      </c>
      <c r="Y1" s="17" t="s">
        <v>2372</v>
      </c>
      <c r="Z1" s="16" t="s">
        <v>2357</v>
      </c>
      <c r="AA1" s="13" t="s">
        <v>2371</v>
      </c>
      <c r="AB1" s="13" t="s">
        <v>2370</v>
      </c>
      <c r="AC1" s="13" t="s">
        <v>2369</v>
      </c>
      <c r="AD1" s="13" t="s">
        <v>2368</v>
      </c>
      <c r="AE1" s="13" t="s">
        <v>2367</v>
      </c>
      <c r="AF1" s="13" t="s">
        <v>2366</v>
      </c>
      <c r="AG1" s="13" t="s">
        <v>2365</v>
      </c>
      <c r="AH1" s="13" t="s">
        <v>2364</v>
      </c>
      <c r="AI1" s="13" t="s">
        <v>2363</v>
      </c>
      <c r="AJ1" s="13" t="s">
        <v>2362</v>
      </c>
      <c r="AK1" s="12" t="s">
        <v>2361</v>
      </c>
      <c r="AL1" s="13" t="s">
        <v>2360</v>
      </c>
      <c r="AM1" s="15" t="s">
        <v>2359</v>
      </c>
      <c r="AN1" s="14" t="s">
        <v>2358</v>
      </c>
      <c r="AO1" s="14" t="s">
        <v>2357</v>
      </c>
      <c r="AP1" s="13" t="s">
        <v>2356</v>
      </c>
      <c r="AQ1" s="13" t="s">
        <v>2355</v>
      </c>
      <c r="AR1" s="13" t="s">
        <v>2354</v>
      </c>
      <c r="AS1" s="13" t="s">
        <v>2353</v>
      </c>
      <c r="AT1" s="12" t="s">
        <v>2352</v>
      </c>
      <c r="AU1" s="11" t="s">
        <v>2351</v>
      </c>
      <c r="AV1" s="11" t="s">
        <v>2350</v>
      </c>
      <c r="AW1" s="11" t="s">
        <v>2349</v>
      </c>
    </row>
    <row r="2" spans="1:49" x14ac:dyDescent="0.2">
      <c r="A2">
        <v>0</v>
      </c>
      <c r="B2" t="s">
        <v>2348</v>
      </c>
      <c r="C2" t="s">
        <v>2347</v>
      </c>
      <c r="F2" t="s">
        <v>2346</v>
      </c>
      <c r="G2" t="s">
        <v>3</v>
      </c>
      <c r="H2" t="s">
        <v>2</v>
      </c>
      <c r="I2" t="s">
        <v>2345</v>
      </c>
      <c r="J2">
        <v>60028186</v>
      </c>
      <c r="K2" t="s">
        <v>179</v>
      </c>
      <c r="L2" t="s">
        <v>178</v>
      </c>
      <c r="M2" t="s">
        <v>99</v>
      </c>
      <c r="N2">
        <v>2</v>
      </c>
      <c r="O2" t="s">
        <v>2344</v>
      </c>
      <c r="P2" t="s">
        <v>2343</v>
      </c>
      <c r="Q2" t="s">
        <v>2342</v>
      </c>
      <c r="R2" s="7">
        <v>33586</v>
      </c>
      <c r="S2" s="8">
        <f t="shared" ref="S2:S65" si="0">YEAR(R2)</f>
        <v>1991</v>
      </c>
      <c r="T2" s="8">
        <v>1991</v>
      </c>
      <c r="U2" s="8">
        <f t="shared" ref="U2:U65" si="1">2022-T2</f>
        <v>31</v>
      </c>
      <c r="V2" s="7">
        <v>33586</v>
      </c>
      <c r="W2" t="s">
        <v>2341</v>
      </c>
      <c r="X2" s="2">
        <v>0.85699999999999998</v>
      </c>
      <c r="Y2" s="6">
        <f t="shared" ref="Y2:Y65" si="2">(X2-$Z$4)/($Z$3-$Z$4)</f>
        <v>2.287712554389899E-2</v>
      </c>
      <c r="AA2">
        <v>223727</v>
      </c>
      <c r="AB2">
        <v>28570</v>
      </c>
      <c r="AC2">
        <v>13616463</v>
      </c>
      <c r="AD2" t="s">
        <v>1</v>
      </c>
      <c r="AE2">
        <v>24</v>
      </c>
      <c r="AF2">
        <v>12</v>
      </c>
      <c r="AH2" t="s">
        <v>2340</v>
      </c>
      <c r="AI2" t="s">
        <v>2339</v>
      </c>
      <c r="AK2" t="s">
        <v>2338</v>
      </c>
      <c r="AL2">
        <v>2</v>
      </c>
      <c r="AM2" s="5">
        <f t="shared" ref="AM2:AM65" si="3">AL2/U2</f>
        <v>6.4516129032258063E-2</v>
      </c>
      <c r="AN2" s="4">
        <f t="shared" ref="AN2:AN65" si="4">(AM2-$AO$4)/($AO$3-$AO$4)</f>
        <v>9.7714697511939517E-5</v>
      </c>
      <c r="AO2" s="3"/>
      <c r="AP2">
        <v>0</v>
      </c>
      <c r="AR2" t="s">
        <v>0</v>
      </c>
      <c r="AT2" s="2" t="s">
        <v>5</v>
      </c>
      <c r="AU2" s="1">
        <f t="shared" ref="AU2:AU65" si="5">(Y2*0.7+AN2*0.3)*100</f>
        <v>1.6043302289982873</v>
      </c>
      <c r="AV2" s="1">
        <f t="shared" ref="AV2:AV65" si="6">(Y2*0.5+AN2*0.5)*100</f>
        <v>1.1487420120705465</v>
      </c>
      <c r="AW2" s="1">
        <f t="shared" ref="AW2:AW65" si="7">(Y2*0.3+AN2*0.7)*100</f>
        <v>0.69315379514280551</v>
      </c>
    </row>
    <row r="3" spans="1:49" x14ac:dyDescent="0.2">
      <c r="A3">
        <v>1</v>
      </c>
      <c r="B3" t="s">
        <v>2337</v>
      </c>
      <c r="C3" t="s">
        <v>2336</v>
      </c>
      <c r="D3" t="s">
        <v>2335</v>
      </c>
      <c r="F3" t="s">
        <v>2334</v>
      </c>
      <c r="G3" t="s">
        <v>3</v>
      </c>
      <c r="H3" t="s">
        <v>2</v>
      </c>
      <c r="I3" t="s">
        <v>2333</v>
      </c>
      <c r="J3" t="s">
        <v>2332</v>
      </c>
      <c r="K3" t="s">
        <v>2331</v>
      </c>
      <c r="L3" t="s">
        <v>2330</v>
      </c>
      <c r="M3" t="s">
        <v>95</v>
      </c>
      <c r="N3">
        <v>5</v>
      </c>
      <c r="O3" t="s">
        <v>2329</v>
      </c>
      <c r="P3" t="s">
        <v>2328</v>
      </c>
      <c r="Q3" t="s">
        <v>2327</v>
      </c>
      <c r="R3" s="7">
        <v>33578</v>
      </c>
      <c r="S3" s="8">
        <f t="shared" si="0"/>
        <v>1991</v>
      </c>
      <c r="T3" s="8">
        <v>1991</v>
      </c>
      <c r="U3" s="8">
        <f t="shared" si="1"/>
        <v>31</v>
      </c>
      <c r="V3" s="7">
        <v>33578</v>
      </c>
      <c r="W3" t="s">
        <v>2326</v>
      </c>
      <c r="X3" s="2">
        <v>5.1660000000000004</v>
      </c>
      <c r="Y3" s="6">
        <f t="shared" si="2"/>
        <v>0.13790341955633861</v>
      </c>
      <c r="Z3">
        <v>37.460999999999999</v>
      </c>
      <c r="AA3">
        <v>108545</v>
      </c>
      <c r="AB3">
        <v>23470</v>
      </c>
      <c r="AD3" t="s">
        <v>1</v>
      </c>
      <c r="AE3">
        <v>111</v>
      </c>
      <c r="AF3" t="s">
        <v>85</v>
      </c>
      <c r="AH3" t="s">
        <v>2325</v>
      </c>
      <c r="AI3" t="s">
        <v>2324</v>
      </c>
      <c r="AK3" t="s">
        <v>2323</v>
      </c>
      <c r="AL3">
        <v>46</v>
      </c>
      <c r="AM3" s="5">
        <f t="shared" si="3"/>
        <v>1.4838709677419355</v>
      </c>
      <c r="AN3" s="4">
        <f t="shared" si="4"/>
        <v>2.247438042774609E-3</v>
      </c>
      <c r="AO3" s="3">
        <v>660.25</v>
      </c>
      <c r="AP3">
        <v>0</v>
      </c>
      <c r="AR3" t="s">
        <v>0</v>
      </c>
      <c r="AT3" s="2">
        <v>22.315000000000001</v>
      </c>
      <c r="AU3" s="1">
        <f t="shared" si="5"/>
        <v>9.7206625102269406</v>
      </c>
      <c r="AV3" s="1">
        <f t="shared" si="6"/>
        <v>7.0075428799556612</v>
      </c>
      <c r="AW3" s="1">
        <f t="shared" si="7"/>
        <v>4.2944232496843808</v>
      </c>
    </row>
    <row r="4" spans="1:49" x14ac:dyDescent="0.2">
      <c r="A4">
        <v>2</v>
      </c>
      <c r="B4" t="s">
        <v>2322</v>
      </c>
      <c r="C4" t="s">
        <v>2321</v>
      </c>
      <c r="F4" t="s">
        <v>2320</v>
      </c>
      <c r="G4" t="s">
        <v>3</v>
      </c>
      <c r="H4" t="s">
        <v>2</v>
      </c>
      <c r="I4" t="s">
        <v>2319</v>
      </c>
      <c r="J4">
        <v>126790806</v>
      </c>
      <c r="K4" t="s">
        <v>2318</v>
      </c>
      <c r="L4" t="s">
        <v>2317</v>
      </c>
      <c r="M4" t="s">
        <v>151</v>
      </c>
      <c r="N4">
        <v>2</v>
      </c>
      <c r="O4" t="s">
        <v>2316</v>
      </c>
      <c r="P4" t="s">
        <v>2315</v>
      </c>
      <c r="Q4" t="s">
        <v>2314</v>
      </c>
      <c r="R4" s="7">
        <v>33577</v>
      </c>
      <c r="S4" s="8">
        <f t="shared" si="0"/>
        <v>1991</v>
      </c>
      <c r="T4" s="8">
        <v>1991</v>
      </c>
      <c r="U4" s="8">
        <f t="shared" si="1"/>
        <v>31</v>
      </c>
      <c r="V4" s="7">
        <v>33577</v>
      </c>
      <c r="W4" t="s">
        <v>48</v>
      </c>
      <c r="X4" s="2">
        <v>0.375</v>
      </c>
      <c r="Y4" s="6">
        <f t="shared" si="2"/>
        <v>1.0010410827260351E-2</v>
      </c>
      <c r="Z4">
        <v>0</v>
      </c>
      <c r="AA4">
        <v>135194</v>
      </c>
      <c r="AB4">
        <v>24918</v>
      </c>
      <c r="AD4" t="s">
        <v>1</v>
      </c>
      <c r="AE4">
        <v>27</v>
      </c>
      <c r="AF4">
        <v>25</v>
      </c>
      <c r="AH4" t="s">
        <v>2313</v>
      </c>
      <c r="AI4" t="s">
        <v>2312</v>
      </c>
      <c r="AJ4" t="s">
        <v>213</v>
      </c>
      <c r="AK4" t="s">
        <v>2311</v>
      </c>
      <c r="AL4">
        <v>12</v>
      </c>
      <c r="AM4" s="5">
        <f t="shared" si="3"/>
        <v>0.38709677419354838</v>
      </c>
      <c r="AN4" s="4">
        <f t="shared" si="4"/>
        <v>5.8628818507163707E-4</v>
      </c>
      <c r="AO4" s="3">
        <v>0</v>
      </c>
      <c r="AP4">
        <v>0</v>
      </c>
      <c r="AR4" t="s">
        <v>0</v>
      </c>
      <c r="AT4" s="2">
        <v>1.3140000000000001</v>
      </c>
      <c r="AU4" s="1">
        <f t="shared" si="5"/>
        <v>0.71831740346037365</v>
      </c>
      <c r="AV4" s="1">
        <f t="shared" si="6"/>
        <v>0.52983495061659946</v>
      </c>
      <c r="AW4" s="1">
        <f t="shared" si="7"/>
        <v>0.34135249777282511</v>
      </c>
    </row>
    <row r="5" spans="1:49" x14ac:dyDescent="0.2">
      <c r="A5">
        <v>3</v>
      </c>
      <c r="B5" t="s">
        <v>2310</v>
      </c>
      <c r="C5" t="s">
        <v>2309</v>
      </c>
      <c r="F5" t="s">
        <v>2308</v>
      </c>
      <c r="G5" t="s">
        <v>3</v>
      </c>
      <c r="H5" t="s">
        <v>2</v>
      </c>
      <c r="I5" t="s">
        <v>2307</v>
      </c>
      <c r="J5">
        <v>60005049</v>
      </c>
      <c r="K5" t="s">
        <v>2306</v>
      </c>
      <c r="L5" t="s">
        <v>129</v>
      </c>
      <c r="M5" t="s">
        <v>20</v>
      </c>
      <c r="N5">
        <v>4</v>
      </c>
      <c r="O5" t="s">
        <v>2305</v>
      </c>
      <c r="P5" t="s">
        <v>2304</v>
      </c>
      <c r="Q5" t="s">
        <v>2303</v>
      </c>
      <c r="R5" s="7">
        <v>33577</v>
      </c>
      <c r="S5" s="8">
        <f t="shared" si="0"/>
        <v>1991</v>
      </c>
      <c r="T5" s="8">
        <v>1991</v>
      </c>
      <c r="U5" s="8">
        <f t="shared" si="1"/>
        <v>31</v>
      </c>
      <c r="V5" s="7">
        <v>33577</v>
      </c>
      <c r="W5" t="s">
        <v>48</v>
      </c>
      <c r="X5" s="2">
        <v>0.375</v>
      </c>
      <c r="Y5" s="6">
        <f t="shared" si="2"/>
        <v>1.0010410827260351E-2</v>
      </c>
      <c r="AA5">
        <v>135194</v>
      </c>
      <c r="AB5">
        <v>24918</v>
      </c>
      <c r="AD5" t="s">
        <v>1</v>
      </c>
      <c r="AE5">
        <v>27</v>
      </c>
      <c r="AF5">
        <v>25</v>
      </c>
      <c r="AH5" t="s">
        <v>2302</v>
      </c>
      <c r="AI5" t="s">
        <v>2301</v>
      </c>
      <c r="AJ5" t="s">
        <v>664</v>
      </c>
      <c r="AK5" t="s">
        <v>2300</v>
      </c>
      <c r="AL5">
        <v>16</v>
      </c>
      <c r="AM5" s="5">
        <f t="shared" si="3"/>
        <v>0.5161290322580645</v>
      </c>
      <c r="AN5" s="4">
        <f t="shared" si="4"/>
        <v>7.8171758009551613E-4</v>
      </c>
      <c r="AO5" s="3"/>
      <c r="AP5">
        <v>0</v>
      </c>
      <c r="AR5" t="s">
        <v>0</v>
      </c>
      <c r="AT5" s="2">
        <v>1.3140000000000001</v>
      </c>
      <c r="AU5" s="1">
        <f t="shared" si="5"/>
        <v>0.72418028531109013</v>
      </c>
      <c r="AV5" s="1">
        <f t="shared" si="6"/>
        <v>0.53960642036779338</v>
      </c>
      <c r="AW5" s="1">
        <f t="shared" si="7"/>
        <v>0.35503255542449663</v>
      </c>
    </row>
    <row r="6" spans="1:49" x14ac:dyDescent="0.2">
      <c r="A6">
        <v>4</v>
      </c>
      <c r="B6" t="s">
        <v>2299</v>
      </c>
      <c r="C6" t="s">
        <v>2298</v>
      </c>
      <c r="F6" t="s">
        <v>2297</v>
      </c>
      <c r="G6" t="s">
        <v>3</v>
      </c>
      <c r="H6" t="s">
        <v>2</v>
      </c>
      <c r="I6" t="s">
        <v>1457</v>
      </c>
      <c r="J6">
        <v>60025063</v>
      </c>
      <c r="K6" t="s">
        <v>1058</v>
      </c>
      <c r="L6" t="s">
        <v>1057</v>
      </c>
      <c r="M6" t="s">
        <v>131</v>
      </c>
      <c r="N6">
        <v>3</v>
      </c>
      <c r="O6" t="s">
        <v>1454</v>
      </c>
      <c r="P6" t="s">
        <v>1453</v>
      </c>
      <c r="Q6" t="s">
        <v>2296</v>
      </c>
      <c r="R6" s="7">
        <v>33577</v>
      </c>
      <c r="S6" s="8">
        <f t="shared" si="0"/>
        <v>1991</v>
      </c>
      <c r="T6" s="8">
        <v>1991</v>
      </c>
      <c r="U6" s="8">
        <f t="shared" si="1"/>
        <v>31</v>
      </c>
      <c r="V6" s="7">
        <v>33577</v>
      </c>
      <c r="W6" t="s">
        <v>48</v>
      </c>
      <c r="X6" s="2">
        <v>0.375</v>
      </c>
      <c r="Y6" s="6">
        <f t="shared" si="2"/>
        <v>1.0010410827260351E-2</v>
      </c>
      <c r="AA6">
        <v>135194</v>
      </c>
      <c r="AB6">
        <v>24918</v>
      </c>
      <c r="AD6" t="s">
        <v>1</v>
      </c>
      <c r="AE6">
        <v>27</v>
      </c>
      <c r="AF6">
        <v>25</v>
      </c>
      <c r="AH6" t="s">
        <v>2295</v>
      </c>
      <c r="AI6" t="s">
        <v>2294</v>
      </c>
      <c r="AJ6" t="s">
        <v>2293</v>
      </c>
      <c r="AK6" t="s">
        <v>2292</v>
      </c>
      <c r="AL6">
        <v>16</v>
      </c>
      <c r="AM6" s="5">
        <f t="shared" si="3"/>
        <v>0.5161290322580645</v>
      </c>
      <c r="AN6" s="4">
        <f t="shared" si="4"/>
        <v>7.8171758009551613E-4</v>
      </c>
      <c r="AO6" s="3"/>
      <c r="AP6">
        <v>0</v>
      </c>
      <c r="AR6" t="s">
        <v>0</v>
      </c>
      <c r="AT6" s="2">
        <v>1.3140000000000001</v>
      </c>
      <c r="AU6" s="1">
        <f t="shared" si="5"/>
        <v>0.72418028531109013</v>
      </c>
      <c r="AV6" s="1">
        <f t="shared" si="6"/>
        <v>0.53960642036779338</v>
      </c>
      <c r="AW6" s="1">
        <f t="shared" si="7"/>
        <v>0.35503255542449663</v>
      </c>
    </row>
    <row r="7" spans="1:49" x14ac:dyDescent="0.2">
      <c r="A7">
        <v>5</v>
      </c>
      <c r="B7" t="s">
        <v>2291</v>
      </c>
      <c r="C7" t="s">
        <v>2290</v>
      </c>
      <c r="F7" t="s">
        <v>2289</v>
      </c>
      <c r="G7" t="s">
        <v>3</v>
      </c>
      <c r="H7" t="s">
        <v>2</v>
      </c>
      <c r="I7" t="s">
        <v>135</v>
      </c>
      <c r="J7">
        <v>60025063</v>
      </c>
      <c r="K7" t="s">
        <v>1058</v>
      </c>
      <c r="L7" t="s">
        <v>1057</v>
      </c>
      <c r="M7" t="s">
        <v>131</v>
      </c>
      <c r="N7">
        <v>2</v>
      </c>
      <c r="O7" t="s">
        <v>2288</v>
      </c>
      <c r="P7" t="s">
        <v>134</v>
      </c>
      <c r="Q7" t="s">
        <v>2287</v>
      </c>
      <c r="R7" s="7">
        <v>33577</v>
      </c>
      <c r="S7" s="8">
        <f t="shared" si="0"/>
        <v>1991</v>
      </c>
      <c r="T7" s="8">
        <v>1991</v>
      </c>
      <c r="U7" s="8">
        <f t="shared" si="1"/>
        <v>31</v>
      </c>
      <c r="V7" s="7">
        <v>33577</v>
      </c>
      <c r="W7" t="s">
        <v>48</v>
      </c>
      <c r="X7" s="2">
        <v>0.375</v>
      </c>
      <c r="Y7" s="6">
        <f t="shared" si="2"/>
        <v>1.0010410827260351E-2</v>
      </c>
      <c r="AA7">
        <v>135194</v>
      </c>
      <c r="AB7">
        <v>24918</v>
      </c>
      <c r="AD7" t="s">
        <v>1</v>
      </c>
      <c r="AE7">
        <v>27</v>
      </c>
      <c r="AF7">
        <v>25</v>
      </c>
      <c r="AH7" t="s">
        <v>2286</v>
      </c>
      <c r="AI7" t="s">
        <v>2285</v>
      </c>
      <c r="AJ7" t="s">
        <v>2284</v>
      </c>
      <c r="AK7" t="s">
        <v>2283</v>
      </c>
      <c r="AL7">
        <v>16</v>
      </c>
      <c r="AM7" s="5">
        <f t="shared" si="3"/>
        <v>0.5161290322580645</v>
      </c>
      <c r="AN7" s="4">
        <f t="shared" si="4"/>
        <v>7.8171758009551613E-4</v>
      </c>
      <c r="AO7" s="3"/>
      <c r="AP7">
        <v>0</v>
      </c>
      <c r="AR7" t="s">
        <v>0</v>
      </c>
      <c r="AT7" s="2">
        <v>1.3140000000000001</v>
      </c>
      <c r="AU7" s="1">
        <f t="shared" si="5"/>
        <v>0.72418028531109013</v>
      </c>
      <c r="AV7" s="1">
        <f t="shared" si="6"/>
        <v>0.53960642036779338</v>
      </c>
      <c r="AW7" s="1">
        <f t="shared" si="7"/>
        <v>0.35503255542449663</v>
      </c>
    </row>
    <row r="8" spans="1:49" x14ac:dyDescent="0.2">
      <c r="A8">
        <v>6</v>
      </c>
      <c r="B8" t="s">
        <v>2282</v>
      </c>
      <c r="C8" t="s">
        <v>2281</v>
      </c>
      <c r="D8" t="s">
        <v>2280</v>
      </c>
      <c r="F8" t="s">
        <v>2279</v>
      </c>
      <c r="G8" t="s">
        <v>3</v>
      </c>
      <c r="H8" t="s">
        <v>2</v>
      </c>
      <c r="I8" t="s">
        <v>2278</v>
      </c>
      <c r="J8">
        <v>60003892</v>
      </c>
      <c r="K8" t="s">
        <v>186</v>
      </c>
      <c r="L8" t="s">
        <v>185</v>
      </c>
      <c r="M8" t="s">
        <v>6</v>
      </c>
      <c r="N8">
        <v>2</v>
      </c>
      <c r="O8" t="s">
        <v>2277</v>
      </c>
      <c r="P8" t="s">
        <v>2276</v>
      </c>
      <c r="Q8" t="s">
        <v>184</v>
      </c>
      <c r="R8" s="7">
        <v>33575</v>
      </c>
      <c r="S8" s="8">
        <f t="shared" si="0"/>
        <v>1991</v>
      </c>
      <c r="T8" s="8">
        <v>1991</v>
      </c>
      <c r="U8" s="8">
        <f t="shared" si="1"/>
        <v>31</v>
      </c>
      <c r="V8" s="7">
        <v>33575</v>
      </c>
      <c r="W8" t="s">
        <v>228</v>
      </c>
      <c r="X8" s="2">
        <v>1.59</v>
      </c>
      <c r="Y8" s="6">
        <f t="shared" si="2"/>
        <v>4.2444141907583888E-2</v>
      </c>
      <c r="AA8">
        <v>52728</v>
      </c>
      <c r="AB8">
        <v>16791</v>
      </c>
      <c r="AD8" t="s">
        <v>1</v>
      </c>
      <c r="AE8">
        <v>1098</v>
      </c>
      <c r="AF8">
        <v>1</v>
      </c>
      <c r="AH8" t="s">
        <v>2275</v>
      </c>
      <c r="AI8" t="s">
        <v>2274</v>
      </c>
      <c r="AJ8" t="s">
        <v>2273</v>
      </c>
      <c r="AK8" t="s">
        <v>2272</v>
      </c>
      <c r="AL8">
        <v>46</v>
      </c>
      <c r="AM8" s="5">
        <f t="shared" si="3"/>
        <v>1.4838709677419355</v>
      </c>
      <c r="AN8" s="4">
        <f t="shared" si="4"/>
        <v>2.247438042774609E-3</v>
      </c>
      <c r="AO8" s="3"/>
      <c r="AP8">
        <v>0</v>
      </c>
      <c r="AQ8" t="s">
        <v>45</v>
      </c>
      <c r="AR8" t="s">
        <v>2271</v>
      </c>
      <c r="AS8" t="s">
        <v>44</v>
      </c>
      <c r="AT8" s="2" t="s">
        <v>5</v>
      </c>
      <c r="AU8" s="1">
        <f t="shared" si="5"/>
        <v>3.0385130748141105</v>
      </c>
      <c r="AV8" s="1">
        <f t="shared" si="6"/>
        <v>2.2345789975179247</v>
      </c>
      <c r="AW8" s="1">
        <f t="shared" si="7"/>
        <v>1.4306449202217391</v>
      </c>
    </row>
    <row r="9" spans="1:49" x14ac:dyDescent="0.2">
      <c r="A9">
        <v>7</v>
      </c>
      <c r="B9" t="s">
        <v>2270</v>
      </c>
      <c r="C9" t="s">
        <v>2269</v>
      </c>
      <c r="F9" t="s">
        <v>2268</v>
      </c>
      <c r="G9" t="s">
        <v>3</v>
      </c>
      <c r="H9" t="s">
        <v>2</v>
      </c>
      <c r="I9" t="s">
        <v>2267</v>
      </c>
      <c r="J9">
        <v>60025104</v>
      </c>
      <c r="K9" t="s">
        <v>211</v>
      </c>
      <c r="M9" t="s">
        <v>10</v>
      </c>
      <c r="N9">
        <v>14</v>
      </c>
      <c r="O9" t="s">
        <v>2266</v>
      </c>
      <c r="P9" t="s">
        <v>2265</v>
      </c>
      <c r="Q9" t="s">
        <v>2264</v>
      </c>
      <c r="R9" s="7">
        <v>33573</v>
      </c>
      <c r="S9" s="8">
        <f t="shared" si="0"/>
        <v>1991</v>
      </c>
      <c r="T9" s="8">
        <v>1991</v>
      </c>
      <c r="U9" s="8">
        <f t="shared" si="1"/>
        <v>31</v>
      </c>
      <c r="V9" s="7">
        <v>1991</v>
      </c>
      <c r="W9" t="s">
        <v>1501</v>
      </c>
      <c r="X9" s="2">
        <v>1.3280000000000001</v>
      </c>
      <c r="Y9" s="6">
        <f t="shared" si="2"/>
        <v>3.5450201542937994E-2</v>
      </c>
      <c r="AA9">
        <v>7413335</v>
      </c>
      <c r="AB9">
        <v>29251</v>
      </c>
      <c r="AD9" t="s">
        <v>1</v>
      </c>
      <c r="AE9">
        <v>33</v>
      </c>
      <c r="AF9">
        <v>2</v>
      </c>
      <c r="AG9">
        <v>2</v>
      </c>
      <c r="AH9" t="s">
        <v>2263</v>
      </c>
      <c r="AI9" t="s">
        <v>2262</v>
      </c>
      <c r="AK9" t="s">
        <v>2261</v>
      </c>
      <c r="AL9">
        <v>8</v>
      </c>
      <c r="AM9" s="5">
        <f t="shared" si="3"/>
        <v>0.25806451612903225</v>
      </c>
      <c r="AN9" s="4">
        <f t="shared" si="4"/>
        <v>3.9085879004775807E-4</v>
      </c>
      <c r="AO9" s="3"/>
      <c r="AP9">
        <v>0</v>
      </c>
      <c r="AR9" t="s">
        <v>0</v>
      </c>
      <c r="AT9" s="2">
        <v>2.4580000000000002</v>
      </c>
      <c r="AU9" s="1">
        <f t="shared" si="5"/>
        <v>2.4932398717070923</v>
      </c>
      <c r="AV9" s="1">
        <f t="shared" si="6"/>
        <v>1.7920530166492876</v>
      </c>
      <c r="AW9" s="1">
        <f t="shared" si="7"/>
        <v>1.090866161591483</v>
      </c>
    </row>
    <row r="10" spans="1:49" x14ac:dyDescent="0.2">
      <c r="A10">
        <v>8</v>
      </c>
      <c r="B10" t="s">
        <v>2260</v>
      </c>
      <c r="D10">
        <v>6350991900494</v>
      </c>
      <c r="F10" t="s">
        <v>2259</v>
      </c>
      <c r="G10" t="s">
        <v>3</v>
      </c>
      <c r="H10" t="s">
        <v>2</v>
      </c>
      <c r="I10" t="s">
        <v>2258</v>
      </c>
      <c r="J10" t="s">
        <v>2257</v>
      </c>
      <c r="K10" t="s">
        <v>2256</v>
      </c>
      <c r="L10" t="s">
        <v>2255</v>
      </c>
      <c r="M10" t="s">
        <v>2254</v>
      </c>
      <c r="N10">
        <v>3</v>
      </c>
      <c r="O10" t="s">
        <v>2253</v>
      </c>
      <c r="P10" t="s">
        <v>2252</v>
      </c>
      <c r="Q10" t="s">
        <v>2251</v>
      </c>
      <c r="R10" s="7">
        <v>33573</v>
      </c>
      <c r="S10" s="8">
        <f t="shared" si="0"/>
        <v>1991</v>
      </c>
      <c r="T10" s="8">
        <v>1991</v>
      </c>
      <c r="U10" s="8">
        <f t="shared" si="1"/>
        <v>31</v>
      </c>
      <c r="V10" s="7">
        <v>1991</v>
      </c>
      <c r="W10" t="s">
        <v>2250</v>
      </c>
      <c r="X10" s="2" t="s">
        <v>5</v>
      </c>
      <c r="Y10" s="6" t="e">
        <f t="shared" si="2"/>
        <v>#VALUE!</v>
      </c>
      <c r="AA10">
        <v>63509</v>
      </c>
      <c r="AB10">
        <v>14860</v>
      </c>
      <c r="AD10" t="s">
        <v>1</v>
      </c>
      <c r="AE10">
        <v>36</v>
      </c>
      <c r="AF10">
        <v>1</v>
      </c>
      <c r="AH10" t="s">
        <v>2249</v>
      </c>
      <c r="AI10" t="s">
        <v>2248</v>
      </c>
      <c r="AK10" t="s">
        <v>2247</v>
      </c>
      <c r="AL10">
        <v>0</v>
      </c>
      <c r="AM10" s="5">
        <f t="shared" si="3"/>
        <v>0</v>
      </c>
      <c r="AN10" s="4">
        <f t="shared" si="4"/>
        <v>0</v>
      </c>
      <c r="AO10" s="3"/>
      <c r="AP10">
        <v>0</v>
      </c>
      <c r="AR10" t="s">
        <v>0</v>
      </c>
      <c r="AT10" s="2" t="s">
        <v>5</v>
      </c>
      <c r="AU10" s="1" t="e">
        <f t="shared" si="5"/>
        <v>#VALUE!</v>
      </c>
      <c r="AV10" s="1" t="e">
        <f t="shared" si="6"/>
        <v>#VALUE!</v>
      </c>
      <c r="AW10" s="1" t="e">
        <f t="shared" si="7"/>
        <v>#VALUE!</v>
      </c>
    </row>
    <row r="11" spans="1:49" x14ac:dyDescent="0.2">
      <c r="A11">
        <v>9</v>
      </c>
      <c r="B11" t="s">
        <v>2246</v>
      </c>
      <c r="C11" t="s">
        <v>2245</v>
      </c>
      <c r="F11" t="s">
        <v>2244</v>
      </c>
      <c r="G11" t="s">
        <v>3</v>
      </c>
      <c r="H11" t="s">
        <v>2</v>
      </c>
      <c r="I11" t="s">
        <v>2243</v>
      </c>
      <c r="J11">
        <v>60025278</v>
      </c>
      <c r="K11" t="s">
        <v>2242</v>
      </c>
      <c r="L11" t="s">
        <v>84</v>
      </c>
      <c r="M11" t="s">
        <v>83</v>
      </c>
      <c r="N11">
        <v>9</v>
      </c>
      <c r="O11" t="s">
        <v>2241</v>
      </c>
      <c r="P11" t="s">
        <v>2240</v>
      </c>
      <c r="Q11" t="s">
        <v>2239</v>
      </c>
      <c r="R11" s="7">
        <v>33573</v>
      </c>
      <c r="S11" s="8">
        <f t="shared" si="0"/>
        <v>1991</v>
      </c>
      <c r="T11" s="8">
        <v>1991</v>
      </c>
      <c r="U11" s="8">
        <f t="shared" si="1"/>
        <v>31</v>
      </c>
      <c r="V11" s="7">
        <v>1991</v>
      </c>
      <c r="W11" t="s">
        <v>2049</v>
      </c>
      <c r="X11" s="2">
        <v>1.0329999999999999</v>
      </c>
      <c r="Y11" s="6">
        <f t="shared" si="2"/>
        <v>2.7575345025493178E-2</v>
      </c>
      <c r="AA11">
        <v>9532048</v>
      </c>
      <c r="AB11">
        <v>12278</v>
      </c>
      <c r="AD11" t="s">
        <v>1</v>
      </c>
      <c r="AE11">
        <v>4</v>
      </c>
      <c r="AF11" t="s">
        <v>2238</v>
      </c>
      <c r="AG11">
        <v>27</v>
      </c>
      <c r="AI11" t="s">
        <v>2237</v>
      </c>
      <c r="AK11" t="s">
        <v>2236</v>
      </c>
      <c r="AL11">
        <v>2</v>
      </c>
      <c r="AM11" s="5">
        <f t="shared" si="3"/>
        <v>6.4516129032258063E-2</v>
      </c>
      <c r="AN11" s="4">
        <f t="shared" si="4"/>
        <v>9.7714697511939517E-5</v>
      </c>
      <c r="AO11" s="3"/>
      <c r="AP11">
        <v>0</v>
      </c>
      <c r="AR11" t="s">
        <v>0</v>
      </c>
      <c r="AT11" s="2" t="s">
        <v>5</v>
      </c>
      <c r="AU11" s="1">
        <f t="shared" si="5"/>
        <v>1.9332055927098806</v>
      </c>
      <c r="AV11" s="1">
        <f t="shared" si="6"/>
        <v>1.3836529861502558</v>
      </c>
      <c r="AW11" s="1">
        <f t="shared" si="7"/>
        <v>0.8341003795906311</v>
      </c>
    </row>
    <row r="12" spans="1:49" x14ac:dyDescent="0.2">
      <c r="A12">
        <v>10</v>
      </c>
      <c r="B12" t="s">
        <v>2235</v>
      </c>
      <c r="C12" t="s">
        <v>2234</v>
      </c>
      <c r="F12" t="s">
        <v>2233</v>
      </c>
      <c r="G12" t="s">
        <v>3</v>
      </c>
      <c r="H12" t="s">
        <v>2</v>
      </c>
      <c r="I12" t="s">
        <v>2232</v>
      </c>
      <c r="J12">
        <v>60025038</v>
      </c>
      <c r="K12" t="s">
        <v>8</v>
      </c>
      <c r="L12" t="s">
        <v>7</v>
      </c>
      <c r="M12" t="s">
        <v>6</v>
      </c>
      <c r="N12">
        <v>3</v>
      </c>
      <c r="O12" t="s">
        <v>2231</v>
      </c>
      <c r="P12" t="s">
        <v>2230</v>
      </c>
      <c r="Q12" t="s">
        <v>2193</v>
      </c>
      <c r="R12" s="7">
        <v>33573</v>
      </c>
      <c r="S12" s="8">
        <f t="shared" si="0"/>
        <v>1991</v>
      </c>
      <c r="T12" s="8">
        <v>1991</v>
      </c>
      <c r="U12" s="8">
        <f t="shared" si="1"/>
        <v>31</v>
      </c>
      <c r="V12" s="7">
        <v>1991</v>
      </c>
      <c r="W12" t="s">
        <v>1514</v>
      </c>
      <c r="X12" s="2">
        <v>0.69899999999999995</v>
      </c>
      <c r="Y12" s="6">
        <f t="shared" si="2"/>
        <v>1.8659405782013295E-2</v>
      </c>
      <c r="AA12">
        <v>218979</v>
      </c>
      <c r="AB12">
        <v>28132</v>
      </c>
      <c r="AD12" t="s">
        <v>1</v>
      </c>
      <c r="AE12">
        <v>69</v>
      </c>
      <c r="AF12">
        <v>6</v>
      </c>
      <c r="AH12" t="s">
        <v>2229</v>
      </c>
      <c r="AI12" t="s">
        <v>2228</v>
      </c>
      <c r="AK12" t="s">
        <v>2227</v>
      </c>
      <c r="AL12">
        <v>5</v>
      </c>
      <c r="AM12" s="5">
        <f t="shared" si="3"/>
        <v>0.16129032258064516</v>
      </c>
      <c r="AN12" s="4">
        <f t="shared" si="4"/>
        <v>2.4428674377984877E-4</v>
      </c>
      <c r="AO12" s="3"/>
      <c r="AP12">
        <v>0</v>
      </c>
      <c r="AR12" t="s">
        <v>0</v>
      </c>
      <c r="AT12" s="2">
        <v>2.5459999999999998</v>
      </c>
      <c r="AU12" s="1">
        <f t="shared" si="5"/>
        <v>1.3134870070543261</v>
      </c>
      <c r="AV12" s="1">
        <f t="shared" si="6"/>
        <v>0.94518462628965727</v>
      </c>
      <c r="AW12" s="1">
        <f t="shared" si="7"/>
        <v>0.57688224552498824</v>
      </c>
    </row>
    <row r="13" spans="1:49" x14ac:dyDescent="0.2">
      <c r="A13">
        <v>11</v>
      </c>
      <c r="B13" t="s">
        <v>2226</v>
      </c>
      <c r="C13" t="s">
        <v>2225</v>
      </c>
      <c r="F13" t="s">
        <v>2224</v>
      </c>
      <c r="G13" t="s">
        <v>3</v>
      </c>
      <c r="H13" t="s">
        <v>2</v>
      </c>
      <c r="I13" t="s">
        <v>2112</v>
      </c>
      <c r="J13">
        <v>60008134</v>
      </c>
      <c r="K13" t="s">
        <v>72</v>
      </c>
      <c r="L13" t="s">
        <v>71</v>
      </c>
      <c r="M13" t="s">
        <v>20</v>
      </c>
      <c r="N13">
        <v>3</v>
      </c>
      <c r="O13" t="s">
        <v>2223</v>
      </c>
      <c r="P13" t="s">
        <v>2222</v>
      </c>
      <c r="Q13" t="s">
        <v>2221</v>
      </c>
      <c r="R13" s="7">
        <v>33573</v>
      </c>
      <c r="S13" s="8">
        <f t="shared" si="0"/>
        <v>1991</v>
      </c>
      <c r="T13" s="8">
        <v>1991</v>
      </c>
      <c r="U13" s="8">
        <f t="shared" si="1"/>
        <v>31</v>
      </c>
      <c r="V13" s="7">
        <v>1991</v>
      </c>
      <c r="W13" t="s">
        <v>1490</v>
      </c>
      <c r="X13" s="2">
        <v>0.60499999999999998</v>
      </c>
      <c r="Y13" s="6">
        <f t="shared" si="2"/>
        <v>1.6150129467980032E-2</v>
      </c>
      <c r="AA13">
        <v>346748</v>
      </c>
      <c r="AB13">
        <v>15563</v>
      </c>
      <c r="AD13" t="s">
        <v>1</v>
      </c>
      <c r="AE13">
        <v>62</v>
      </c>
      <c r="AF13">
        <v>8</v>
      </c>
      <c r="AH13" t="s">
        <v>2220</v>
      </c>
      <c r="AI13" t="s">
        <v>2219</v>
      </c>
      <c r="AK13" t="s">
        <v>2218</v>
      </c>
      <c r="AL13">
        <v>0</v>
      </c>
      <c r="AM13" s="5">
        <f t="shared" si="3"/>
        <v>0</v>
      </c>
      <c r="AN13" s="4">
        <f t="shared" si="4"/>
        <v>0</v>
      </c>
      <c r="AO13" s="3"/>
      <c r="AP13">
        <v>0</v>
      </c>
      <c r="AR13" t="s">
        <v>0</v>
      </c>
      <c r="AT13" s="2">
        <v>1.5229999999999999</v>
      </c>
      <c r="AU13" s="1">
        <f t="shared" si="5"/>
        <v>1.1305090627586021</v>
      </c>
      <c r="AV13" s="1">
        <f t="shared" si="6"/>
        <v>0.80750647339900161</v>
      </c>
      <c r="AW13" s="1">
        <f t="shared" si="7"/>
        <v>0.48450388403940098</v>
      </c>
    </row>
    <row r="14" spans="1:49" x14ac:dyDescent="0.2">
      <c r="A14">
        <v>12</v>
      </c>
      <c r="B14" t="s">
        <v>2217</v>
      </c>
      <c r="C14" t="s">
        <v>2216</v>
      </c>
      <c r="F14" t="s">
        <v>2215</v>
      </c>
      <c r="G14" t="s">
        <v>3</v>
      </c>
      <c r="H14" t="s">
        <v>2</v>
      </c>
      <c r="I14" t="s">
        <v>2214</v>
      </c>
      <c r="J14">
        <v>60030162</v>
      </c>
      <c r="K14" t="s">
        <v>1547</v>
      </c>
      <c r="L14" t="s">
        <v>152</v>
      </c>
      <c r="M14" t="s">
        <v>6</v>
      </c>
      <c r="N14">
        <v>5</v>
      </c>
      <c r="O14" t="s">
        <v>2213</v>
      </c>
      <c r="P14" t="s">
        <v>2212</v>
      </c>
      <c r="Q14" t="s">
        <v>1610</v>
      </c>
      <c r="R14" s="7">
        <v>33573</v>
      </c>
      <c r="S14" s="8">
        <f t="shared" si="0"/>
        <v>1991</v>
      </c>
      <c r="T14" s="8">
        <v>1991</v>
      </c>
      <c r="U14" s="8">
        <f t="shared" si="1"/>
        <v>31</v>
      </c>
      <c r="V14" s="7">
        <v>1991</v>
      </c>
      <c r="W14" t="s">
        <v>1524</v>
      </c>
      <c r="X14" s="2">
        <v>1.1819999999999999</v>
      </c>
      <c r="Y14" s="6">
        <f t="shared" si="2"/>
        <v>3.1552814927524625E-2</v>
      </c>
      <c r="AA14">
        <v>36951</v>
      </c>
      <c r="AB14">
        <v>27030</v>
      </c>
      <c r="AD14" t="s">
        <v>1</v>
      </c>
      <c r="AE14">
        <v>58</v>
      </c>
      <c r="AF14">
        <v>13</v>
      </c>
      <c r="AH14" t="s">
        <v>2211</v>
      </c>
      <c r="AI14" t="s">
        <v>2210</v>
      </c>
      <c r="AK14" t="s">
        <v>2209</v>
      </c>
      <c r="AL14">
        <v>10</v>
      </c>
      <c r="AM14" s="5">
        <f t="shared" si="3"/>
        <v>0.32258064516129031</v>
      </c>
      <c r="AN14" s="4">
        <f t="shared" si="4"/>
        <v>4.8857348755969754E-4</v>
      </c>
      <c r="AO14" s="3"/>
      <c r="AP14">
        <v>0</v>
      </c>
      <c r="AR14" t="s">
        <v>0</v>
      </c>
      <c r="AT14" s="2">
        <v>3.7909999999999999</v>
      </c>
      <c r="AU14" s="1">
        <f t="shared" si="5"/>
        <v>2.2233542495535148</v>
      </c>
      <c r="AV14" s="1">
        <f t="shared" si="6"/>
        <v>1.6020694207542163</v>
      </c>
      <c r="AW14" s="1">
        <f t="shared" si="7"/>
        <v>0.98078459195491752</v>
      </c>
    </row>
    <row r="15" spans="1:49" x14ac:dyDescent="0.2">
      <c r="A15">
        <v>13</v>
      </c>
      <c r="B15" t="s">
        <v>2208</v>
      </c>
      <c r="C15" t="s">
        <v>2207</v>
      </c>
      <c r="F15" t="s">
        <v>2206</v>
      </c>
      <c r="G15" t="s">
        <v>3</v>
      </c>
      <c r="H15" t="s">
        <v>2</v>
      </c>
      <c r="I15" t="s">
        <v>2205</v>
      </c>
      <c r="J15">
        <v>60017366</v>
      </c>
      <c r="K15" t="s">
        <v>191</v>
      </c>
      <c r="L15" t="s">
        <v>190</v>
      </c>
      <c r="M15" t="s">
        <v>6</v>
      </c>
      <c r="N15">
        <v>2</v>
      </c>
      <c r="O15" t="s">
        <v>2204</v>
      </c>
      <c r="P15" t="s">
        <v>2203</v>
      </c>
      <c r="Q15" t="s">
        <v>2202</v>
      </c>
      <c r="R15" s="7">
        <v>33573</v>
      </c>
      <c r="S15" s="8">
        <f t="shared" si="0"/>
        <v>1991</v>
      </c>
      <c r="T15" s="8">
        <v>1991</v>
      </c>
      <c r="U15" s="8">
        <f t="shared" si="1"/>
        <v>31</v>
      </c>
      <c r="V15" s="7">
        <v>1991</v>
      </c>
      <c r="W15" t="s">
        <v>1524</v>
      </c>
      <c r="X15" s="2">
        <v>1.1819999999999999</v>
      </c>
      <c r="Y15" s="6">
        <f t="shared" si="2"/>
        <v>3.1552814927524625E-2</v>
      </c>
      <c r="AA15">
        <v>36951</v>
      </c>
      <c r="AB15">
        <v>27030</v>
      </c>
      <c r="AD15" t="s">
        <v>1</v>
      </c>
      <c r="AE15">
        <v>58</v>
      </c>
      <c r="AF15">
        <v>3</v>
      </c>
      <c r="AH15" t="s">
        <v>153</v>
      </c>
      <c r="AI15" t="s">
        <v>2201</v>
      </c>
      <c r="AK15" t="s">
        <v>2200</v>
      </c>
      <c r="AL15">
        <v>157</v>
      </c>
      <c r="AM15" s="5">
        <f t="shared" si="3"/>
        <v>5.064516129032258</v>
      </c>
      <c r="AN15" s="4">
        <f t="shared" si="4"/>
        <v>7.6706037546872517E-3</v>
      </c>
      <c r="AO15" s="3"/>
      <c r="AP15">
        <v>0</v>
      </c>
      <c r="AR15" t="s">
        <v>0</v>
      </c>
      <c r="AT15" s="2">
        <v>3.7909999999999999</v>
      </c>
      <c r="AU15" s="1">
        <f t="shared" si="5"/>
        <v>2.4388151575673414</v>
      </c>
      <c r="AV15" s="1">
        <f t="shared" si="6"/>
        <v>1.9611709341105941</v>
      </c>
      <c r="AW15" s="1">
        <f t="shared" si="7"/>
        <v>1.4835267106538466</v>
      </c>
    </row>
    <row r="16" spans="1:49" x14ac:dyDescent="0.2">
      <c r="A16">
        <v>14</v>
      </c>
      <c r="B16" t="s">
        <v>2199</v>
      </c>
      <c r="C16" t="s">
        <v>2198</v>
      </c>
      <c r="F16" t="s">
        <v>2197</v>
      </c>
      <c r="G16" t="s">
        <v>3</v>
      </c>
      <c r="H16" t="s">
        <v>2</v>
      </c>
      <c r="I16" t="s">
        <v>2196</v>
      </c>
      <c r="J16">
        <v>60025038</v>
      </c>
      <c r="K16" t="s">
        <v>8</v>
      </c>
      <c r="L16" t="s">
        <v>7</v>
      </c>
      <c r="M16" t="s">
        <v>6</v>
      </c>
      <c r="N16">
        <v>3</v>
      </c>
      <c r="O16" t="s">
        <v>2195</v>
      </c>
      <c r="P16" t="s">
        <v>2194</v>
      </c>
      <c r="Q16" t="s">
        <v>2193</v>
      </c>
      <c r="R16" s="7">
        <v>33573</v>
      </c>
      <c r="S16" s="8">
        <f t="shared" si="0"/>
        <v>1991</v>
      </c>
      <c r="T16" s="8">
        <v>1991</v>
      </c>
      <c r="U16" s="8">
        <f t="shared" si="1"/>
        <v>31</v>
      </c>
      <c r="V16" s="7">
        <v>1991</v>
      </c>
      <c r="W16" t="s">
        <v>1524</v>
      </c>
      <c r="X16" s="2">
        <v>1.1819999999999999</v>
      </c>
      <c r="Y16" s="6">
        <f t="shared" si="2"/>
        <v>3.1552814927524625E-2</v>
      </c>
      <c r="AA16">
        <v>36951</v>
      </c>
      <c r="AB16">
        <v>27030</v>
      </c>
      <c r="AD16" t="s">
        <v>1</v>
      </c>
      <c r="AE16">
        <v>59</v>
      </c>
      <c r="AF16">
        <v>18</v>
      </c>
      <c r="AH16" t="s">
        <v>2192</v>
      </c>
      <c r="AI16" t="s">
        <v>2191</v>
      </c>
      <c r="AK16" t="s">
        <v>2190</v>
      </c>
      <c r="AL16">
        <v>30</v>
      </c>
      <c r="AM16" s="5">
        <f t="shared" si="3"/>
        <v>0.967741935483871</v>
      </c>
      <c r="AN16" s="4">
        <f t="shared" si="4"/>
        <v>1.4657204626790927E-3</v>
      </c>
      <c r="AO16" s="3"/>
      <c r="AP16">
        <v>0</v>
      </c>
      <c r="AR16" t="s">
        <v>0</v>
      </c>
      <c r="AT16" s="2">
        <v>3.7909999999999999</v>
      </c>
      <c r="AU16" s="1">
        <f t="shared" si="5"/>
        <v>2.2526686588070963</v>
      </c>
      <c r="AV16" s="1">
        <f t="shared" si="6"/>
        <v>1.6509267695101859</v>
      </c>
      <c r="AW16" s="1">
        <f t="shared" si="7"/>
        <v>1.0491848802132753</v>
      </c>
    </row>
    <row r="17" spans="1:49" x14ac:dyDescent="0.2">
      <c r="A17">
        <v>15</v>
      </c>
      <c r="B17" t="s">
        <v>2189</v>
      </c>
      <c r="C17" t="s">
        <v>2188</v>
      </c>
      <c r="F17" t="s">
        <v>2187</v>
      </c>
      <c r="G17" t="s">
        <v>3</v>
      </c>
      <c r="H17" t="s">
        <v>2</v>
      </c>
      <c r="I17" t="s">
        <v>1613</v>
      </c>
      <c r="J17">
        <v>60030162</v>
      </c>
      <c r="K17" t="s">
        <v>1547</v>
      </c>
      <c r="L17" t="s">
        <v>152</v>
      </c>
      <c r="M17" t="s">
        <v>6</v>
      </c>
      <c r="N17">
        <v>4</v>
      </c>
      <c r="O17" t="s">
        <v>2186</v>
      </c>
      <c r="P17" t="s">
        <v>2185</v>
      </c>
      <c r="Q17" t="s">
        <v>2184</v>
      </c>
      <c r="R17" s="7">
        <v>33573</v>
      </c>
      <c r="S17" s="8">
        <f t="shared" si="0"/>
        <v>1991</v>
      </c>
      <c r="T17" s="8">
        <v>1991</v>
      </c>
      <c r="U17" s="8">
        <f t="shared" si="1"/>
        <v>31</v>
      </c>
      <c r="V17" s="7">
        <v>1991</v>
      </c>
      <c r="W17" t="s">
        <v>1524</v>
      </c>
      <c r="X17" s="2">
        <v>1.1819999999999999</v>
      </c>
      <c r="Y17" s="6">
        <f t="shared" si="2"/>
        <v>3.1552814927524625E-2</v>
      </c>
      <c r="AA17">
        <v>36951</v>
      </c>
      <c r="AB17">
        <v>27030</v>
      </c>
      <c r="AD17" t="s">
        <v>1</v>
      </c>
      <c r="AE17">
        <v>59</v>
      </c>
      <c r="AF17">
        <v>25</v>
      </c>
      <c r="AH17" t="s">
        <v>2183</v>
      </c>
      <c r="AI17" t="s">
        <v>2182</v>
      </c>
      <c r="AK17" t="s">
        <v>2181</v>
      </c>
      <c r="AL17">
        <v>12</v>
      </c>
      <c r="AM17" s="5">
        <f t="shared" si="3"/>
        <v>0.38709677419354838</v>
      </c>
      <c r="AN17" s="4">
        <f t="shared" si="4"/>
        <v>5.8628818507163707E-4</v>
      </c>
      <c r="AO17" s="3"/>
      <c r="AP17">
        <v>0</v>
      </c>
      <c r="AR17" t="s">
        <v>0</v>
      </c>
      <c r="AT17" s="2">
        <v>3.7909999999999999</v>
      </c>
      <c r="AU17" s="1">
        <f t="shared" si="5"/>
        <v>2.2262856904788726</v>
      </c>
      <c r="AV17" s="1">
        <f t="shared" si="6"/>
        <v>1.6069551556298129</v>
      </c>
      <c r="AW17" s="1">
        <f t="shared" si="7"/>
        <v>0.9876246207807533</v>
      </c>
    </row>
    <row r="18" spans="1:49" x14ac:dyDescent="0.2">
      <c r="A18">
        <v>16</v>
      </c>
      <c r="B18" t="s">
        <v>2180</v>
      </c>
      <c r="C18" t="s">
        <v>2179</v>
      </c>
      <c r="F18" t="s">
        <v>2178</v>
      </c>
      <c r="G18" t="s">
        <v>3</v>
      </c>
      <c r="H18" t="s">
        <v>2</v>
      </c>
      <c r="I18" t="s">
        <v>2177</v>
      </c>
      <c r="J18">
        <v>60008950</v>
      </c>
      <c r="K18" t="s">
        <v>2176</v>
      </c>
      <c r="L18" t="s">
        <v>82</v>
      </c>
      <c r="M18" t="s">
        <v>39</v>
      </c>
      <c r="N18">
        <v>2</v>
      </c>
      <c r="O18" t="s">
        <v>2175</v>
      </c>
      <c r="P18" t="s">
        <v>2174</v>
      </c>
      <c r="Q18" t="s">
        <v>2173</v>
      </c>
      <c r="R18" s="7">
        <v>33573</v>
      </c>
      <c r="S18" s="8">
        <f t="shared" si="0"/>
        <v>1991</v>
      </c>
      <c r="T18" s="8">
        <v>1991</v>
      </c>
      <c r="U18" s="8">
        <f t="shared" si="1"/>
        <v>31</v>
      </c>
      <c r="V18" s="7">
        <v>1991</v>
      </c>
      <c r="W18" t="s">
        <v>1501</v>
      </c>
      <c r="X18" s="2">
        <v>1.3280000000000001</v>
      </c>
      <c r="Y18" s="6">
        <f t="shared" si="2"/>
        <v>3.5450201542937994E-2</v>
      </c>
      <c r="AA18">
        <v>7413335</v>
      </c>
      <c r="AB18">
        <v>29251</v>
      </c>
      <c r="AD18" t="s">
        <v>1</v>
      </c>
      <c r="AE18">
        <v>33</v>
      </c>
      <c r="AF18">
        <v>2</v>
      </c>
      <c r="AG18">
        <v>4</v>
      </c>
      <c r="AH18" t="s">
        <v>2172</v>
      </c>
      <c r="AI18" t="s">
        <v>2171</v>
      </c>
      <c r="AK18" t="s">
        <v>2170</v>
      </c>
      <c r="AL18">
        <v>3</v>
      </c>
      <c r="AM18" s="5">
        <f t="shared" si="3"/>
        <v>9.6774193548387094E-2</v>
      </c>
      <c r="AN18" s="4">
        <f t="shared" si="4"/>
        <v>1.4657204626790927E-4</v>
      </c>
      <c r="AO18" s="3"/>
      <c r="AP18">
        <v>0</v>
      </c>
      <c r="AR18" t="s">
        <v>0</v>
      </c>
      <c r="AT18" s="2">
        <v>2.4580000000000002</v>
      </c>
      <c r="AU18" s="1">
        <f t="shared" si="5"/>
        <v>2.4859112693936969</v>
      </c>
      <c r="AV18" s="1">
        <f t="shared" si="6"/>
        <v>1.7798386794602952</v>
      </c>
      <c r="AW18" s="1">
        <f t="shared" si="7"/>
        <v>1.0737660895268935</v>
      </c>
    </row>
    <row r="19" spans="1:49" x14ac:dyDescent="0.2">
      <c r="A19">
        <v>17</v>
      </c>
      <c r="B19" t="s">
        <v>2169</v>
      </c>
      <c r="C19" t="s">
        <v>2168</v>
      </c>
      <c r="F19" t="s">
        <v>2167</v>
      </c>
      <c r="G19" t="s">
        <v>3</v>
      </c>
      <c r="H19" t="s">
        <v>2</v>
      </c>
      <c r="I19" t="s">
        <v>2166</v>
      </c>
      <c r="J19">
        <v>60004280</v>
      </c>
      <c r="K19" t="s">
        <v>2111</v>
      </c>
      <c r="L19" t="s">
        <v>2110</v>
      </c>
      <c r="M19" t="s">
        <v>131</v>
      </c>
      <c r="N19">
        <v>3</v>
      </c>
      <c r="O19" t="s">
        <v>2165</v>
      </c>
      <c r="P19" t="s">
        <v>2164</v>
      </c>
      <c r="Q19" t="s">
        <v>2163</v>
      </c>
      <c r="R19" s="7">
        <v>33573</v>
      </c>
      <c r="S19" s="8">
        <f t="shared" si="0"/>
        <v>1991</v>
      </c>
      <c r="T19" s="8">
        <v>1991</v>
      </c>
      <c r="U19" s="8">
        <f t="shared" si="1"/>
        <v>31</v>
      </c>
      <c r="V19" s="7">
        <v>1991</v>
      </c>
      <c r="W19" t="s">
        <v>1501</v>
      </c>
      <c r="X19" s="2">
        <v>1.3280000000000001</v>
      </c>
      <c r="Y19" s="6">
        <f t="shared" si="2"/>
        <v>3.5450201542937994E-2</v>
      </c>
      <c r="AA19">
        <v>7413335</v>
      </c>
      <c r="AB19">
        <v>29251</v>
      </c>
      <c r="AD19" t="s">
        <v>1</v>
      </c>
      <c r="AE19">
        <v>33</v>
      </c>
      <c r="AF19">
        <v>10</v>
      </c>
      <c r="AG19">
        <v>2</v>
      </c>
      <c r="AH19" t="s">
        <v>2162</v>
      </c>
      <c r="AI19" t="s">
        <v>2161</v>
      </c>
      <c r="AK19" t="s">
        <v>2160</v>
      </c>
      <c r="AL19">
        <v>5</v>
      </c>
      <c r="AM19" s="5">
        <f t="shared" si="3"/>
        <v>0.16129032258064516</v>
      </c>
      <c r="AN19" s="4">
        <f t="shared" si="4"/>
        <v>2.4428674377984877E-4</v>
      </c>
      <c r="AO19" s="3"/>
      <c r="AP19">
        <v>0</v>
      </c>
      <c r="AR19" t="s">
        <v>0</v>
      </c>
      <c r="AT19" s="2">
        <v>2.4580000000000002</v>
      </c>
      <c r="AU19" s="1">
        <f t="shared" si="5"/>
        <v>2.4888427103190551</v>
      </c>
      <c r="AV19" s="1">
        <f t="shared" si="6"/>
        <v>1.784724414335892</v>
      </c>
      <c r="AW19" s="1">
        <f t="shared" si="7"/>
        <v>1.0806061183527294</v>
      </c>
    </row>
    <row r="20" spans="1:49" x14ac:dyDescent="0.2">
      <c r="A20">
        <v>18</v>
      </c>
      <c r="B20" t="s">
        <v>2159</v>
      </c>
      <c r="C20" t="s">
        <v>2158</v>
      </c>
      <c r="F20" t="s">
        <v>2157</v>
      </c>
      <c r="G20" t="s">
        <v>3</v>
      </c>
      <c r="H20" t="s">
        <v>2</v>
      </c>
      <c r="I20" t="s">
        <v>2156</v>
      </c>
      <c r="J20">
        <v>60006838</v>
      </c>
      <c r="K20" t="s">
        <v>2155</v>
      </c>
      <c r="M20" t="s">
        <v>26</v>
      </c>
      <c r="N20">
        <v>2</v>
      </c>
      <c r="O20" t="s">
        <v>2154</v>
      </c>
      <c r="P20" t="s">
        <v>2153</v>
      </c>
      <c r="Q20" t="s">
        <v>2152</v>
      </c>
      <c r="R20" s="7">
        <v>33573</v>
      </c>
      <c r="S20" s="8">
        <f t="shared" si="0"/>
        <v>1991</v>
      </c>
      <c r="T20" s="8">
        <v>1991</v>
      </c>
      <c r="U20" s="8">
        <f t="shared" si="1"/>
        <v>31</v>
      </c>
      <c r="V20" s="7">
        <v>1991</v>
      </c>
      <c r="W20" t="s">
        <v>1514</v>
      </c>
      <c r="X20" s="2">
        <v>0.69899999999999995</v>
      </c>
      <c r="Y20" s="6">
        <f t="shared" si="2"/>
        <v>1.8659405782013295E-2</v>
      </c>
      <c r="AA20">
        <v>218979</v>
      </c>
      <c r="AB20">
        <v>28132</v>
      </c>
      <c r="AD20" t="s">
        <v>1</v>
      </c>
      <c r="AE20">
        <v>69</v>
      </c>
      <c r="AF20">
        <v>8</v>
      </c>
      <c r="AH20" t="s">
        <v>2151</v>
      </c>
      <c r="AI20" t="s">
        <v>2150</v>
      </c>
      <c r="AK20" t="s">
        <v>2149</v>
      </c>
      <c r="AL20">
        <v>1</v>
      </c>
      <c r="AM20" s="5">
        <f t="shared" si="3"/>
        <v>3.2258064516129031E-2</v>
      </c>
      <c r="AN20" s="4">
        <f t="shared" si="4"/>
        <v>4.8857348755969758E-5</v>
      </c>
      <c r="AO20" s="3"/>
      <c r="AP20">
        <v>0</v>
      </c>
      <c r="AQ20" t="s">
        <v>45</v>
      </c>
      <c r="AR20">
        <v>954941</v>
      </c>
      <c r="AS20" t="s">
        <v>44</v>
      </c>
      <c r="AT20" s="2">
        <v>2.5459999999999998</v>
      </c>
      <c r="AU20" s="1">
        <f t="shared" si="5"/>
        <v>1.3076241252036096</v>
      </c>
      <c r="AV20" s="1">
        <f t="shared" si="6"/>
        <v>0.93541315653846335</v>
      </c>
      <c r="AW20" s="1">
        <f t="shared" si="7"/>
        <v>0.56320218787331666</v>
      </c>
    </row>
    <row r="21" spans="1:49" x14ac:dyDescent="0.2">
      <c r="A21">
        <v>19</v>
      </c>
      <c r="B21" t="s">
        <v>2148</v>
      </c>
      <c r="C21" t="s">
        <v>2147</v>
      </c>
      <c r="F21" t="s">
        <v>2146</v>
      </c>
      <c r="G21" t="s">
        <v>3</v>
      </c>
      <c r="H21" t="s">
        <v>2</v>
      </c>
      <c r="I21" t="s">
        <v>2145</v>
      </c>
      <c r="J21" t="s">
        <v>2144</v>
      </c>
      <c r="K21" t="s">
        <v>2143</v>
      </c>
      <c r="L21" t="s">
        <v>256</v>
      </c>
      <c r="M21" t="s">
        <v>59</v>
      </c>
      <c r="N21">
        <v>10</v>
      </c>
      <c r="O21" t="s">
        <v>2142</v>
      </c>
      <c r="P21" t="s">
        <v>2141</v>
      </c>
      <c r="Q21" t="s">
        <v>2140</v>
      </c>
      <c r="R21" s="7">
        <v>33573</v>
      </c>
      <c r="S21" s="8">
        <f t="shared" si="0"/>
        <v>1991</v>
      </c>
      <c r="T21" s="8">
        <v>1991</v>
      </c>
      <c r="U21" s="8">
        <f t="shared" si="1"/>
        <v>31</v>
      </c>
      <c r="V21" s="7">
        <v>1991</v>
      </c>
      <c r="W21" t="s">
        <v>1490</v>
      </c>
      <c r="X21" s="2">
        <v>0.60499999999999998</v>
      </c>
      <c r="Y21" s="6">
        <f t="shared" si="2"/>
        <v>1.6150129467980032E-2</v>
      </c>
      <c r="AA21">
        <v>346748</v>
      </c>
      <c r="AB21">
        <v>15563</v>
      </c>
      <c r="AD21" t="s">
        <v>1</v>
      </c>
      <c r="AE21">
        <v>62</v>
      </c>
      <c r="AF21">
        <v>12</v>
      </c>
      <c r="AH21" t="s">
        <v>2139</v>
      </c>
      <c r="AI21" t="s">
        <v>2138</v>
      </c>
      <c r="AK21" t="s">
        <v>2137</v>
      </c>
      <c r="AL21">
        <v>17</v>
      </c>
      <c r="AM21" s="5">
        <f t="shared" si="3"/>
        <v>0.54838709677419351</v>
      </c>
      <c r="AN21" s="4">
        <f t="shared" si="4"/>
        <v>8.3057492885148579E-4</v>
      </c>
      <c r="AO21" s="3"/>
      <c r="AP21">
        <v>0</v>
      </c>
      <c r="AR21" t="s">
        <v>0</v>
      </c>
      <c r="AT21" s="2">
        <v>1.5229999999999999</v>
      </c>
      <c r="AU21" s="1">
        <f t="shared" si="5"/>
        <v>1.1554263106241467</v>
      </c>
      <c r="AV21" s="1">
        <f t="shared" si="6"/>
        <v>0.84903521984157593</v>
      </c>
      <c r="AW21" s="1">
        <f t="shared" si="7"/>
        <v>0.54264412905900505</v>
      </c>
    </row>
    <row r="22" spans="1:49" x14ac:dyDescent="0.2">
      <c r="A22">
        <v>20</v>
      </c>
      <c r="B22" t="s">
        <v>2136</v>
      </c>
      <c r="C22" t="s">
        <v>2135</v>
      </c>
      <c r="F22" t="s">
        <v>2134</v>
      </c>
      <c r="G22" t="s">
        <v>3</v>
      </c>
      <c r="H22" t="s">
        <v>2</v>
      </c>
      <c r="I22" t="s">
        <v>2133</v>
      </c>
      <c r="J22">
        <v>60025709</v>
      </c>
      <c r="K22" t="s">
        <v>132</v>
      </c>
      <c r="L22" t="s">
        <v>40</v>
      </c>
      <c r="M22" t="s">
        <v>39</v>
      </c>
      <c r="N22">
        <v>2</v>
      </c>
      <c r="O22" t="s">
        <v>2132</v>
      </c>
      <c r="P22" t="s">
        <v>2131</v>
      </c>
      <c r="Q22" t="s">
        <v>2130</v>
      </c>
      <c r="R22" s="7">
        <v>33573</v>
      </c>
      <c r="S22" s="8">
        <f t="shared" si="0"/>
        <v>1991</v>
      </c>
      <c r="T22" s="8">
        <v>1991</v>
      </c>
      <c r="U22" s="8">
        <f t="shared" si="1"/>
        <v>31</v>
      </c>
      <c r="V22" s="7">
        <v>1991</v>
      </c>
      <c r="W22" t="s">
        <v>1501</v>
      </c>
      <c r="X22" s="2">
        <v>1.3280000000000001</v>
      </c>
      <c r="Y22" s="6">
        <f t="shared" si="2"/>
        <v>3.5450201542937994E-2</v>
      </c>
      <c r="AA22">
        <v>7413335</v>
      </c>
      <c r="AB22">
        <v>29251</v>
      </c>
      <c r="AD22" t="s">
        <v>1</v>
      </c>
      <c r="AE22">
        <v>33</v>
      </c>
      <c r="AF22">
        <v>14</v>
      </c>
      <c r="AG22">
        <v>8</v>
      </c>
      <c r="AH22" t="s">
        <v>2129</v>
      </c>
      <c r="AI22" t="s">
        <v>2128</v>
      </c>
      <c r="AK22" t="s">
        <v>2127</v>
      </c>
      <c r="AL22">
        <v>6</v>
      </c>
      <c r="AM22" s="5">
        <f t="shared" si="3"/>
        <v>0.19354838709677419</v>
      </c>
      <c r="AN22" s="4">
        <f t="shared" si="4"/>
        <v>2.9314409253581854E-4</v>
      </c>
      <c r="AO22" s="3"/>
      <c r="AP22">
        <v>0</v>
      </c>
      <c r="AR22" t="s">
        <v>0</v>
      </c>
      <c r="AT22" s="2">
        <v>2.4580000000000002</v>
      </c>
      <c r="AU22" s="1">
        <f t="shared" si="5"/>
        <v>2.490308430781734</v>
      </c>
      <c r="AV22" s="1">
        <f t="shared" si="6"/>
        <v>1.7871672817736908</v>
      </c>
      <c r="AW22" s="1">
        <f t="shared" si="7"/>
        <v>1.0840261327656471</v>
      </c>
    </row>
    <row r="23" spans="1:49" x14ac:dyDescent="0.2">
      <c r="A23">
        <v>21</v>
      </c>
      <c r="B23" t="s">
        <v>2126</v>
      </c>
      <c r="C23" t="s">
        <v>2125</v>
      </c>
      <c r="F23" t="s">
        <v>2124</v>
      </c>
      <c r="G23" t="s">
        <v>3</v>
      </c>
      <c r="H23" t="s">
        <v>2</v>
      </c>
      <c r="I23" t="s">
        <v>2123</v>
      </c>
      <c r="J23">
        <v>60025468</v>
      </c>
      <c r="K23" t="s">
        <v>2122</v>
      </c>
      <c r="L23" t="s">
        <v>2121</v>
      </c>
      <c r="M23" t="s">
        <v>20</v>
      </c>
      <c r="N23">
        <v>1</v>
      </c>
      <c r="O23" t="s">
        <v>2120</v>
      </c>
      <c r="P23">
        <v>56024235400</v>
      </c>
      <c r="Q23">
        <v>60025468</v>
      </c>
      <c r="R23" s="7">
        <v>33573</v>
      </c>
      <c r="S23" s="8">
        <f t="shared" si="0"/>
        <v>1991</v>
      </c>
      <c r="T23" s="8">
        <v>1991</v>
      </c>
      <c r="U23" s="8">
        <f t="shared" si="1"/>
        <v>31</v>
      </c>
      <c r="V23" s="7">
        <v>1991</v>
      </c>
      <c r="W23" t="s">
        <v>2119</v>
      </c>
      <c r="X23" s="2">
        <v>1.0029999999999999</v>
      </c>
      <c r="Y23" s="6">
        <f t="shared" si="2"/>
        <v>2.6774512159312348E-2</v>
      </c>
      <c r="AA23">
        <v>2665611</v>
      </c>
      <c r="AB23">
        <v>28497</v>
      </c>
      <c r="AD23" t="s">
        <v>1</v>
      </c>
      <c r="AE23">
        <v>7</v>
      </c>
      <c r="AF23">
        <v>2</v>
      </c>
      <c r="AG23">
        <v>9</v>
      </c>
      <c r="AH23" t="s">
        <v>2118</v>
      </c>
      <c r="AI23" t="s">
        <v>2117</v>
      </c>
      <c r="AK23" t="s">
        <v>2116</v>
      </c>
      <c r="AL23">
        <v>9</v>
      </c>
      <c r="AM23" s="5">
        <f t="shared" si="3"/>
        <v>0.29032258064516131</v>
      </c>
      <c r="AN23" s="4">
        <f t="shared" si="4"/>
        <v>4.3971613880372783E-4</v>
      </c>
      <c r="AO23" s="3"/>
      <c r="AP23">
        <v>0</v>
      </c>
      <c r="AR23" t="s">
        <v>0</v>
      </c>
      <c r="AT23" s="2">
        <v>2.407</v>
      </c>
      <c r="AU23" s="1">
        <f t="shared" si="5"/>
        <v>1.8874073353159759</v>
      </c>
      <c r="AV23" s="1">
        <f t="shared" si="6"/>
        <v>1.3607114149058039</v>
      </c>
      <c r="AW23" s="1">
        <f t="shared" si="7"/>
        <v>0.83401549449563139</v>
      </c>
    </row>
    <row r="24" spans="1:49" x14ac:dyDescent="0.2">
      <c r="A24">
        <v>22</v>
      </c>
      <c r="B24" t="s">
        <v>2115</v>
      </c>
      <c r="C24" t="s">
        <v>2114</v>
      </c>
      <c r="F24" t="s">
        <v>2113</v>
      </c>
      <c r="G24" t="s">
        <v>3</v>
      </c>
      <c r="H24" t="s">
        <v>2</v>
      </c>
      <c r="I24" t="s">
        <v>2112</v>
      </c>
      <c r="J24">
        <v>60004280</v>
      </c>
      <c r="K24" t="s">
        <v>2111</v>
      </c>
      <c r="L24" t="s">
        <v>2110</v>
      </c>
      <c r="M24" t="s">
        <v>131</v>
      </c>
      <c r="N24">
        <v>9</v>
      </c>
      <c r="O24" t="s">
        <v>2109</v>
      </c>
      <c r="P24" t="s">
        <v>2108</v>
      </c>
      <c r="Q24" t="s">
        <v>2107</v>
      </c>
      <c r="R24" s="7">
        <v>33573</v>
      </c>
      <c r="S24" s="8">
        <f t="shared" si="0"/>
        <v>1991</v>
      </c>
      <c r="T24" s="8">
        <v>1991</v>
      </c>
      <c r="U24" s="8">
        <f t="shared" si="1"/>
        <v>31</v>
      </c>
      <c r="V24" s="7">
        <v>1991</v>
      </c>
      <c r="W24" t="s">
        <v>1501</v>
      </c>
      <c r="X24" s="2">
        <v>1.3280000000000001</v>
      </c>
      <c r="Y24" s="6">
        <f t="shared" si="2"/>
        <v>3.5450201542937994E-2</v>
      </c>
      <c r="AA24">
        <v>7413335</v>
      </c>
      <c r="AB24">
        <v>29251</v>
      </c>
      <c r="AD24" t="s">
        <v>1</v>
      </c>
      <c r="AE24">
        <v>33</v>
      </c>
      <c r="AF24">
        <v>10</v>
      </c>
      <c r="AG24">
        <v>1</v>
      </c>
      <c r="AH24" t="s">
        <v>2106</v>
      </c>
      <c r="AI24" t="s">
        <v>2105</v>
      </c>
      <c r="AK24" t="s">
        <v>2104</v>
      </c>
      <c r="AL24">
        <v>15</v>
      </c>
      <c r="AM24" s="5">
        <f t="shared" si="3"/>
        <v>0.4838709677419355</v>
      </c>
      <c r="AN24" s="4">
        <f t="shared" si="4"/>
        <v>7.3286023133954637E-4</v>
      </c>
      <c r="AO24" s="3"/>
      <c r="AP24">
        <v>0</v>
      </c>
      <c r="AR24" t="s">
        <v>0</v>
      </c>
      <c r="AT24" s="2">
        <v>2.4580000000000002</v>
      </c>
      <c r="AU24" s="1">
        <f t="shared" si="5"/>
        <v>2.5034999149458459</v>
      </c>
      <c r="AV24" s="1">
        <f t="shared" si="6"/>
        <v>1.8091530887138769</v>
      </c>
      <c r="AW24" s="1">
        <f t="shared" si="7"/>
        <v>1.114806262481908</v>
      </c>
    </row>
    <row r="25" spans="1:49" x14ac:dyDescent="0.2">
      <c r="A25">
        <v>23</v>
      </c>
      <c r="B25" t="s">
        <v>2103</v>
      </c>
      <c r="C25" t="s">
        <v>2102</v>
      </c>
      <c r="F25" t="s">
        <v>2101</v>
      </c>
      <c r="G25" t="s">
        <v>3</v>
      </c>
      <c r="H25" t="s">
        <v>2</v>
      </c>
      <c r="I25" t="s">
        <v>2100</v>
      </c>
      <c r="J25">
        <v>60025104</v>
      </c>
      <c r="K25" t="s">
        <v>211</v>
      </c>
      <c r="M25" t="s">
        <v>10</v>
      </c>
      <c r="N25">
        <v>1</v>
      </c>
      <c r="O25" t="s">
        <v>2099</v>
      </c>
      <c r="P25">
        <v>7005524697</v>
      </c>
      <c r="Q25">
        <v>60025104</v>
      </c>
      <c r="R25" s="7">
        <v>33573</v>
      </c>
      <c r="S25" s="8">
        <f t="shared" si="0"/>
        <v>1991</v>
      </c>
      <c r="T25" s="8">
        <v>1991</v>
      </c>
      <c r="U25" s="8">
        <f t="shared" si="1"/>
        <v>31</v>
      </c>
      <c r="V25" s="7">
        <v>1991</v>
      </c>
      <c r="W25" t="s">
        <v>1501</v>
      </c>
      <c r="X25" s="2">
        <v>1.3280000000000001</v>
      </c>
      <c r="Y25" s="6">
        <f t="shared" si="2"/>
        <v>3.5450201542937994E-2</v>
      </c>
      <c r="AA25">
        <v>7413335</v>
      </c>
      <c r="AB25">
        <v>29251</v>
      </c>
      <c r="AD25" t="s">
        <v>1</v>
      </c>
      <c r="AE25">
        <v>33</v>
      </c>
      <c r="AF25">
        <v>13</v>
      </c>
      <c r="AG25">
        <v>12</v>
      </c>
      <c r="AH25" t="s">
        <v>2098</v>
      </c>
      <c r="AI25" t="s">
        <v>2097</v>
      </c>
      <c r="AJ25" t="s">
        <v>2096</v>
      </c>
      <c r="AK25" t="s">
        <v>2095</v>
      </c>
      <c r="AL25">
        <v>27</v>
      </c>
      <c r="AM25" s="5">
        <f t="shared" si="3"/>
        <v>0.87096774193548387</v>
      </c>
      <c r="AN25" s="4">
        <f t="shared" si="4"/>
        <v>1.3191484164111836E-3</v>
      </c>
      <c r="AO25" s="3"/>
      <c r="AP25">
        <v>0</v>
      </c>
      <c r="AR25" t="s">
        <v>0</v>
      </c>
      <c r="AT25" s="2">
        <v>2.4580000000000002</v>
      </c>
      <c r="AU25" s="1">
        <f t="shared" si="5"/>
        <v>2.5210885604979949</v>
      </c>
      <c r="AV25" s="1">
        <f t="shared" si="6"/>
        <v>1.8384674979674589</v>
      </c>
      <c r="AW25" s="1">
        <f t="shared" si="7"/>
        <v>1.1558464354369227</v>
      </c>
    </row>
    <row r="26" spans="1:49" x14ac:dyDescent="0.2">
      <c r="A26">
        <v>24</v>
      </c>
      <c r="B26" t="s">
        <v>2094</v>
      </c>
      <c r="C26" t="s">
        <v>2093</v>
      </c>
      <c r="F26" t="s">
        <v>2092</v>
      </c>
      <c r="G26" t="s">
        <v>3</v>
      </c>
      <c r="H26" t="s">
        <v>2</v>
      </c>
      <c r="I26" t="s">
        <v>2091</v>
      </c>
      <c r="J26">
        <v>60025104</v>
      </c>
      <c r="K26" t="s">
        <v>211</v>
      </c>
      <c r="M26" t="s">
        <v>10</v>
      </c>
      <c r="N26">
        <v>1</v>
      </c>
      <c r="O26" t="s">
        <v>2090</v>
      </c>
      <c r="P26">
        <v>56210163700</v>
      </c>
      <c r="Q26">
        <v>60025104</v>
      </c>
      <c r="R26" s="7">
        <v>33573</v>
      </c>
      <c r="S26" s="8">
        <f t="shared" si="0"/>
        <v>1991</v>
      </c>
      <c r="T26" s="8">
        <v>1991</v>
      </c>
      <c r="U26" s="8">
        <f t="shared" si="1"/>
        <v>31</v>
      </c>
      <c r="V26" s="7">
        <v>1991</v>
      </c>
      <c r="W26" t="s">
        <v>1501</v>
      </c>
      <c r="X26" s="2">
        <v>1.3280000000000001</v>
      </c>
      <c r="Y26" s="6">
        <f t="shared" si="2"/>
        <v>3.5450201542937994E-2</v>
      </c>
      <c r="AA26">
        <v>7413335</v>
      </c>
      <c r="AB26">
        <v>29251</v>
      </c>
      <c r="AD26" t="s">
        <v>1</v>
      </c>
      <c r="AE26">
        <v>33</v>
      </c>
      <c r="AF26">
        <v>14</v>
      </c>
      <c r="AG26">
        <v>5</v>
      </c>
      <c r="AH26" t="s">
        <v>2089</v>
      </c>
      <c r="AI26" t="s">
        <v>2088</v>
      </c>
      <c r="AK26" t="s">
        <v>2087</v>
      </c>
      <c r="AL26">
        <v>28</v>
      </c>
      <c r="AM26" s="5">
        <f t="shared" si="3"/>
        <v>0.90322580645161288</v>
      </c>
      <c r="AN26" s="4">
        <f t="shared" si="4"/>
        <v>1.3680057651671532E-3</v>
      </c>
      <c r="AO26" s="3"/>
      <c r="AP26">
        <v>0</v>
      </c>
      <c r="AR26" t="s">
        <v>0</v>
      </c>
      <c r="AT26" s="2">
        <v>2.4580000000000002</v>
      </c>
      <c r="AU26" s="1">
        <f t="shared" si="5"/>
        <v>2.5225542809606742</v>
      </c>
      <c r="AV26" s="1">
        <f t="shared" si="6"/>
        <v>1.8409103654052572</v>
      </c>
      <c r="AW26" s="1">
        <f t="shared" si="7"/>
        <v>1.1592664498498404</v>
      </c>
    </row>
    <row r="27" spans="1:49" x14ac:dyDescent="0.2">
      <c r="A27">
        <v>25</v>
      </c>
      <c r="B27" t="s">
        <v>2086</v>
      </c>
      <c r="C27" t="s">
        <v>2085</v>
      </c>
      <c r="F27" t="s">
        <v>2084</v>
      </c>
      <c r="G27" t="s">
        <v>3</v>
      </c>
      <c r="H27" t="s">
        <v>2</v>
      </c>
      <c r="I27" t="s">
        <v>2083</v>
      </c>
      <c r="J27">
        <v>60025038</v>
      </c>
      <c r="K27" t="s">
        <v>8</v>
      </c>
      <c r="L27" t="s">
        <v>7</v>
      </c>
      <c r="M27" t="s">
        <v>6</v>
      </c>
      <c r="N27">
        <v>8</v>
      </c>
      <c r="O27" t="s">
        <v>2082</v>
      </c>
      <c r="P27" t="s">
        <v>2081</v>
      </c>
      <c r="Q27" t="s">
        <v>2080</v>
      </c>
      <c r="R27" s="7">
        <v>33573</v>
      </c>
      <c r="S27" s="8">
        <f t="shared" si="0"/>
        <v>1991</v>
      </c>
      <c r="T27" s="8">
        <v>1991</v>
      </c>
      <c r="U27" s="8">
        <f t="shared" si="1"/>
        <v>31</v>
      </c>
      <c r="V27" s="7">
        <v>1991</v>
      </c>
      <c r="W27" t="s">
        <v>1490</v>
      </c>
      <c r="X27" s="2">
        <v>0.60499999999999998</v>
      </c>
      <c r="Y27" s="6">
        <f t="shared" si="2"/>
        <v>1.6150129467980032E-2</v>
      </c>
      <c r="AA27">
        <v>346748</v>
      </c>
      <c r="AB27">
        <v>15563</v>
      </c>
      <c r="AD27" t="s">
        <v>1</v>
      </c>
      <c r="AE27">
        <v>62</v>
      </c>
      <c r="AF27">
        <v>1</v>
      </c>
      <c r="AH27" t="s">
        <v>2079</v>
      </c>
      <c r="AI27" t="s">
        <v>2078</v>
      </c>
      <c r="AK27" t="s">
        <v>2077</v>
      </c>
      <c r="AL27">
        <v>58</v>
      </c>
      <c r="AM27" s="5">
        <f t="shared" si="3"/>
        <v>1.8709677419354838</v>
      </c>
      <c r="AN27" s="4">
        <f t="shared" si="4"/>
        <v>2.8337262278462457E-3</v>
      </c>
      <c r="AO27" s="3"/>
      <c r="AP27">
        <v>0</v>
      </c>
      <c r="AR27" t="s">
        <v>0</v>
      </c>
      <c r="AT27" s="2">
        <v>1.5229999999999999</v>
      </c>
      <c r="AU27" s="1">
        <f t="shared" si="5"/>
        <v>1.2155208495939895</v>
      </c>
      <c r="AV27" s="1">
        <f t="shared" si="6"/>
        <v>0.94919278479131397</v>
      </c>
      <c r="AW27" s="1">
        <f t="shared" si="7"/>
        <v>0.68286471998863818</v>
      </c>
    </row>
    <row r="28" spans="1:49" x14ac:dyDescent="0.2">
      <c r="A28">
        <v>26</v>
      </c>
      <c r="B28" t="s">
        <v>2076</v>
      </c>
      <c r="C28" t="s">
        <v>2075</v>
      </c>
      <c r="F28" t="s">
        <v>2074</v>
      </c>
      <c r="G28" t="s">
        <v>3</v>
      </c>
      <c r="H28" t="s">
        <v>2</v>
      </c>
      <c r="I28" t="s">
        <v>2073</v>
      </c>
      <c r="J28">
        <v>60031806</v>
      </c>
      <c r="K28" t="s">
        <v>1680</v>
      </c>
      <c r="L28" t="s">
        <v>1679</v>
      </c>
      <c r="M28" t="s">
        <v>39</v>
      </c>
      <c r="N28">
        <v>1</v>
      </c>
      <c r="O28" t="s">
        <v>2072</v>
      </c>
      <c r="P28">
        <v>7005135152</v>
      </c>
      <c r="Q28">
        <v>60031806</v>
      </c>
      <c r="R28" s="7">
        <v>33573</v>
      </c>
      <c r="S28" s="8">
        <f t="shared" si="0"/>
        <v>1991</v>
      </c>
      <c r="T28" s="8">
        <v>1991</v>
      </c>
      <c r="U28" s="8">
        <f t="shared" si="1"/>
        <v>31</v>
      </c>
      <c r="V28" s="7">
        <v>1991</v>
      </c>
      <c r="W28" t="s">
        <v>1490</v>
      </c>
      <c r="X28" s="2">
        <v>0.60499999999999998</v>
      </c>
      <c r="Y28" s="6">
        <f t="shared" si="2"/>
        <v>1.6150129467980032E-2</v>
      </c>
      <c r="AA28">
        <v>346748</v>
      </c>
      <c r="AB28">
        <v>15563</v>
      </c>
      <c r="AD28" t="s">
        <v>1</v>
      </c>
      <c r="AE28">
        <v>62</v>
      </c>
      <c r="AF28">
        <v>1</v>
      </c>
      <c r="AH28" t="s">
        <v>2071</v>
      </c>
      <c r="AI28" t="s">
        <v>2070</v>
      </c>
      <c r="AK28" t="s">
        <v>2069</v>
      </c>
      <c r="AL28">
        <v>7</v>
      </c>
      <c r="AM28" s="5">
        <f t="shared" si="3"/>
        <v>0.22580645161290322</v>
      </c>
      <c r="AN28" s="4">
        <f t="shared" si="4"/>
        <v>3.420014412917883E-4</v>
      </c>
      <c r="AO28" s="3"/>
      <c r="AP28">
        <v>0</v>
      </c>
      <c r="AR28" t="s">
        <v>0</v>
      </c>
      <c r="AT28" s="2">
        <v>1.5229999999999999</v>
      </c>
      <c r="AU28" s="1">
        <f t="shared" si="5"/>
        <v>1.1407691059973559</v>
      </c>
      <c r="AV28" s="1">
        <f t="shared" si="6"/>
        <v>0.82460654546359113</v>
      </c>
      <c r="AW28" s="1">
        <f t="shared" si="7"/>
        <v>0.50844398492982612</v>
      </c>
    </row>
    <row r="29" spans="1:49" x14ac:dyDescent="0.2">
      <c r="A29">
        <v>27</v>
      </c>
      <c r="B29" t="s">
        <v>2068</v>
      </c>
      <c r="C29" t="s">
        <v>2067</v>
      </c>
      <c r="F29" t="s">
        <v>2066</v>
      </c>
      <c r="G29" t="s">
        <v>3</v>
      </c>
      <c r="H29" t="s">
        <v>2</v>
      </c>
      <c r="I29" t="s">
        <v>2065</v>
      </c>
      <c r="J29" t="s">
        <v>2064</v>
      </c>
      <c r="K29" t="s">
        <v>2063</v>
      </c>
      <c r="L29" t="s">
        <v>154</v>
      </c>
      <c r="M29" t="s">
        <v>12</v>
      </c>
      <c r="N29">
        <v>5</v>
      </c>
      <c r="O29" t="s">
        <v>2062</v>
      </c>
      <c r="P29" t="s">
        <v>2061</v>
      </c>
      <c r="Q29" t="s">
        <v>2060</v>
      </c>
      <c r="R29" s="7">
        <v>33573</v>
      </c>
      <c r="S29" s="8">
        <f t="shared" si="0"/>
        <v>1991</v>
      </c>
      <c r="T29" s="8">
        <v>1991</v>
      </c>
      <c r="U29" s="8">
        <f t="shared" si="1"/>
        <v>31</v>
      </c>
      <c r="V29" s="7">
        <v>1991</v>
      </c>
      <c r="W29" t="s">
        <v>1524</v>
      </c>
      <c r="X29" s="2">
        <v>1.1819999999999999</v>
      </c>
      <c r="Y29" s="6">
        <f t="shared" si="2"/>
        <v>3.1552814927524625E-2</v>
      </c>
      <c r="AA29">
        <v>36951</v>
      </c>
      <c r="AB29">
        <v>27030</v>
      </c>
      <c r="AD29" t="s">
        <v>1</v>
      </c>
      <c r="AE29">
        <v>59</v>
      </c>
      <c r="AF29">
        <v>8</v>
      </c>
      <c r="AH29" t="s">
        <v>2059</v>
      </c>
      <c r="AI29" t="s">
        <v>2058</v>
      </c>
      <c r="AK29" t="s">
        <v>2057</v>
      </c>
      <c r="AL29">
        <v>17</v>
      </c>
      <c r="AM29" s="5">
        <f t="shared" si="3"/>
        <v>0.54838709677419351</v>
      </c>
      <c r="AN29" s="4">
        <f t="shared" si="4"/>
        <v>8.3057492885148579E-4</v>
      </c>
      <c r="AO29" s="3"/>
      <c r="AP29">
        <v>0</v>
      </c>
      <c r="AR29" t="s">
        <v>0</v>
      </c>
      <c r="AT29" s="2">
        <v>3.7909999999999999</v>
      </c>
      <c r="AU29" s="1">
        <f t="shared" si="5"/>
        <v>2.233614292792268</v>
      </c>
      <c r="AV29" s="1">
        <f t="shared" si="6"/>
        <v>1.6191694928188054</v>
      </c>
      <c r="AW29" s="1">
        <f t="shared" si="7"/>
        <v>1.0047246928453428</v>
      </c>
    </row>
    <row r="30" spans="1:49" x14ac:dyDescent="0.2">
      <c r="A30">
        <v>28</v>
      </c>
      <c r="B30" t="s">
        <v>2056</v>
      </c>
      <c r="C30" t="s">
        <v>2055</v>
      </c>
      <c r="F30" t="s">
        <v>2054</v>
      </c>
      <c r="G30" t="s">
        <v>3</v>
      </c>
      <c r="H30" t="s">
        <v>2</v>
      </c>
      <c r="I30" t="s">
        <v>2053</v>
      </c>
      <c r="J30">
        <v>60025038</v>
      </c>
      <c r="K30" t="s">
        <v>8</v>
      </c>
      <c r="L30" t="s">
        <v>7</v>
      </c>
      <c r="M30" t="s">
        <v>6</v>
      </c>
      <c r="N30">
        <v>5</v>
      </c>
      <c r="O30" t="s">
        <v>2052</v>
      </c>
      <c r="P30" t="s">
        <v>2051</v>
      </c>
      <c r="Q30" t="s">
        <v>2050</v>
      </c>
      <c r="R30" s="7">
        <v>33573</v>
      </c>
      <c r="S30" s="8">
        <f t="shared" si="0"/>
        <v>1991</v>
      </c>
      <c r="T30" s="8">
        <v>1991</v>
      </c>
      <c r="U30" s="8">
        <f t="shared" si="1"/>
        <v>31</v>
      </c>
      <c r="V30" s="7">
        <v>1991</v>
      </c>
      <c r="W30" t="s">
        <v>2049</v>
      </c>
      <c r="X30" s="2">
        <v>1.0329999999999999</v>
      </c>
      <c r="Y30" s="6">
        <f t="shared" si="2"/>
        <v>2.7575345025493178E-2</v>
      </c>
      <c r="AA30">
        <v>9532048</v>
      </c>
      <c r="AB30">
        <v>12278</v>
      </c>
      <c r="AD30" t="s">
        <v>1</v>
      </c>
      <c r="AE30">
        <v>4</v>
      </c>
      <c r="AF30">
        <v>9</v>
      </c>
      <c r="AG30">
        <v>15</v>
      </c>
      <c r="AH30" t="s">
        <v>2048</v>
      </c>
      <c r="AI30" t="s">
        <v>2047</v>
      </c>
      <c r="AK30" t="s">
        <v>2046</v>
      </c>
      <c r="AL30">
        <v>14</v>
      </c>
      <c r="AM30" s="5">
        <f t="shared" si="3"/>
        <v>0.45161290322580644</v>
      </c>
      <c r="AN30" s="4">
        <f t="shared" si="4"/>
        <v>6.840028825835766E-4</v>
      </c>
      <c r="AO30" s="3"/>
      <c r="AP30">
        <v>0</v>
      </c>
      <c r="AR30" t="s">
        <v>0</v>
      </c>
      <c r="AT30" s="2" t="s">
        <v>5</v>
      </c>
      <c r="AU30" s="1">
        <f t="shared" si="5"/>
        <v>1.9507942382620298</v>
      </c>
      <c r="AV30" s="1">
        <f t="shared" si="6"/>
        <v>1.4129673954038378</v>
      </c>
      <c r="AW30" s="1">
        <f t="shared" si="7"/>
        <v>0.8751405525456456</v>
      </c>
    </row>
    <row r="31" spans="1:49" x14ac:dyDescent="0.2">
      <c r="A31">
        <v>29</v>
      </c>
      <c r="B31" t="s">
        <v>2045</v>
      </c>
      <c r="C31" t="s">
        <v>2044</v>
      </c>
      <c r="F31" t="s">
        <v>2043</v>
      </c>
      <c r="G31" t="s">
        <v>3</v>
      </c>
      <c r="H31" t="s">
        <v>2</v>
      </c>
      <c r="I31" t="s">
        <v>2042</v>
      </c>
      <c r="J31">
        <v>60021378</v>
      </c>
      <c r="K31" t="s">
        <v>111</v>
      </c>
      <c r="L31" t="s">
        <v>110</v>
      </c>
      <c r="M31" t="s">
        <v>6</v>
      </c>
      <c r="N31">
        <v>6</v>
      </c>
      <c r="O31" t="s">
        <v>2041</v>
      </c>
      <c r="P31" t="s">
        <v>2040</v>
      </c>
      <c r="Q31" t="s">
        <v>2039</v>
      </c>
      <c r="R31" s="7">
        <v>33573</v>
      </c>
      <c r="S31" s="8">
        <f t="shared" si="0"/>
        <v>1991</v>
      </c>
      <c r="T31" s="8">
        <v>1991</v>
      </c>
      <c r="U31" s="8">
        <f t="shared" si="1"/>
        <v>31</v>
      </c>
      <c r="V31" s="7">
        <v>1991</v>
      </c>
      <c r="W31" t="s">
        <v>1524</v>
      </c>
      <c r="X31" s="2">
        <v>1.1819999999999999</v>
      </c>
      <c r="Y31" s="6">
        <f t="shared" si="2"/>
        <v>3.1552814927524625E-2</v>
      </c>
      <c r="AA31">
        <v>36951</v>
      </c>
      <c r="AB31">
        <v>27030</v>
      </c>
      <c r="AD31" t="s">
        <v>1</v>
      </c>
      <c r="AE31">
        <v>59</v>
      </c>
      <c r="AF31">
        <v>3</v>
      </c>
      <c r="AH31" t="s">
        <v>2038</v>
      </c>
      <c r="AI31" t="s">
        <v>2037</v>
      </c>
      <c r="AK31" t="s">
        <v>2036</v>
      </c>
      <c r="AL31">
        <v>42</v>
      </c>
      <c r="AM31" s="5">
        <f t="shared" si="3"/>
        <v>1.3548387096774193</v>
      </c>
      <c r="AN31" s="4">
        <f t="shared" si="4"/>
        <v>2.0520086477507295E-3</v>
      </c>
      <c r="AO31" s="3"/>
      <c r="AP31">
        <v>0</v>
      </c>
      <c r="AR31" t="s">
        <v>0</v>
      </c>
      <c r="AT31" s="2">
        <v>3.7909999999999999</v>
      </c>
      <c r="AU31" s="1">
        <f t="shared" si="5"/>
        <v>2.2702573043592453</v>
      </c>
      <c r="AV31" s="1">
        <f t="shared" si="6"/>
        <v>1.6802411787637677</v>
      </c>
      <c r="AW31" s="1">
        <f t="shared" si="7"/>
        <v>1.0902250531682898</v>
      </c>
    </row>
    <row r="32" spans="1:49" x14ac:dyDescent="0.2">
      <c r="A32">
        <v>30</v>
      </c>
      <c r="B32" t="s">
        <v>2035</v>
      </c>
      <c r="C32" t="s">
        <v>2034</v>
      </c>
      <c r="F32" t="s">
        <v>2033</v>
      </c>
      <c r="G32" t="s">
        <v>3</v>
      </c>
      <c r="H32" t="s">
        <v>2</v>
      </c>
      <c r="I32" t="s">
        <v>2032</v>
      </c>
      <c r="J32">
        <v>60025104</v>
      </c>
      <c r="K32" t="s">
        <v>211</v>
      </c>
      <c r="M32" t="s">
        <v>10</v>
      </c>
      <c r="N32">
        <v>1</v>
      </c>
      <c r="O32" t="s">
        <v>2031</v>
      </c>
      <c r="P32">
        <v>7004122122</v>
      </c>
      <c r="Q32">
        <v>60025104</v>
      </c>
      <c r="R32" s="7">
        <v>33573</v>
      </c>
      <c r="S32" s="8">
        <f t="shared" si="0"/>
        <v>1991</v>
      </c>
      <c r="T32" s="8">
        <v>1991</v>
      </c>
      <c r="U32" s="8">
        <f t="shared" si="1"/>
        <v>31</v>
      </c>
      <c r="V32" s="7">
        <v>1991</v>
      </c>
      <c r="W32" t="s">
        <v>1501</v>
      </c>
      <c r="X32" s="2">
        <v>1.3280000000000001</v>
      </c>
      <c r="Y32" s="6">
        <f t="shared" si="2"/>
        <v>3.5450201542937994E-2</v>
      </c>
      <c r="AA32">
        <v>7413335</v>
      </c>
      <c r="AB32">
        <v>29251</v>
      </c>
      <c r="AD32" t="s">
        <v>1</v>
      </c>
      <c r="AE32">
        <v>33</v>
      </c>
      <c r="AF32">
        <v>13</v>
      </c>
      <c r="AG32">
        <v>2</v>
      </c>
      <c r="AH32" t="s">
        <v>2030</v>
      </c>
      <c r="AI32" t="s">
        <v>2029</v>
      </c>
      <c r="AJ32" t="s">
        <v>2028</v>
      </c>
      <c r="AK32" t="s">
        <v>2027</v>
      </c>
      <c r="AL32">
        <v>16</v>
      </c>
      <c r="AM32" s="5">
        <f t="shared" si="3"/>
        <v>0.5161290322580645</v>
      </c>
      <c r="AN32" s="4">
        <f t="shared" si="4"/>
        <v>7.8171758009551613E-4</v>
      </c>
      <c r="AO32" s="3"/>
      <c r="AP32">
        <v>0</v>
      </c>
      <c r="AR32" t="s">
        <v>0</v>
      </c>
      <c r="AT32" s="2">
        <v>2.4580000000000002</v>
      </c>
      <c r="AU32" s="1">
        <f t="shared" si="5"/>
        <v>2.5049656354085252</v>
      </c>
      <c r="AV32" s="1">
        <f t="shared" si="6"/>
        <v>1.8115959561516755</v>
      </c>
      <c r="AW32" s="1">
        <f t="shared" si="7"/>
        <v>1.1182262768948259</v>
      </c>
    </row>
    <row r="33" spans="1:49" x14ac:dyDescent="0.2">
      <c r="A33">
        <v>31</v>
      </c>
      <c r="B33" t="s">
        <v>2026</v>
      </c>
      <c r="F33" t="s">
        <v>2025</v>
      </c>
      <c r="G33" t="s">
        <v>3</v>
      </c>
      <c r="H33" t="s">
        <v>2</v>
      </c>
      <c r="I33" t="s">
        <v>2024</v>
      </c>
      <c r="N33">
        <v>3</v>
      </c>
      <c r="O33" t="s">
        <v>2023</v>
      </c>
      <c r="P33" t="s">
        <v>2022</v>
      </c>
      <c r="Q33" t="s">
        <v>54</v>
      </c>
      <c r="R33" s="7">
        <v>33573</v>
      </c>
      <c r="S33" s="8">
        <f t="shared" si="0"/>
        <v>1991</v>
      </c>
      <c r="T33" s="8">
        <v>1991</v>
      </c>
      <c r="U33" s="8">
        <f t="shared" si="1"/>
        <v>31</v>
      </c>
      <c r="V33" s="7">
        <v>1991</v>
      </c>
      <c r="W33" t="s">
        <v>50</v>
      </c>
      <c r="X33" s="2" t="s">
        <v>5</v>
      </c>
      <c r="Y33" s="6" t="e">
        <f t="shared" si="2"/>
        <v>#VALUE!</v>
      </c>
      <c r="AA33">
        <v>87566648</v>
      </c>
      <c r="AB33">
        <v>74127</v>
      </c>
      <c r="AD33" t="s">
        <v>1</v>
      </c>
      <c r="AE33">
        <v>36</v>
      </c>
      <c r="AF33">
        <v>9</v>
      </c>
      <c r="AH33" t="s">
        <v>2021</v>
      </c>
      <c r="AI33" t="s">
        <v>2020</v>
      </c>
      <c r="AK33" t="s">
        <v>2019</v>
      </c>
      <c r="AL33">
        <v>0</v>
      </c>
      <c r="AM33" s="5">
        <f t="shared" si="3"/>
        <v>0</v>
      </c>
      <c r="AN33" s="4">
        <f t="shared" si="4"/>
        <v>0</v>
      </c>
      <c r="AO33" s="3"/>
      <c r="AP33">
        <v>0</v>
      </c>
      <c r="AR33" t="s">
        <v>0</v>
      </c>
      <c r="AT33" s="2" t="s">
        <v>5</v>
      </c>
      <c r="AU33" s="1" t="e">
        <f t="shared" si="5"/>
        <v>#VALUE!</v>
      </c>
      <c r="AV33" s="1" t="e">
        <f t="shared" si="6"/>
        <v>#VALUE!</v>
      </c>
      <c r="AW33" s="1" t="e">
        <f t="shared" si="7"/>
        <v>#VALUE!</v>
      </c>
    </row>
    <row r="34" spans="1:49" x14ac:dyDescent="0.2">
      <c r="A34">
        <v>32</v>
      </c>
      <c r="B34" t="s">
        <v>2018</v>
      </c>
      <c r="F34" t="s">
        <v>2017</v>
      </c>
      <c r="G34" t="s">
        <v>3</v>
      </c>
      <c r="H34" t="s">
        <v>2</v>
      </c>
      <c r="I34" t="s">
        <v>2016</v>
      </c>
      <c r="N34">
        <v>2</v>
      </c>
      <c r="O34" t="s">
        <v>2015</v>
      </c>
      <c r="P34" t="s">
        <v>2014</v>
      </c>
      <c r="Q34" t="s">
        <v>51</v>
      </c>
      <c r="R34" s="7">
        <v>33573</v>
      </c>
      <c r="S34" s="8">
        <f t="shared" si="0"/>
        <v>1991</v>
      </c>
      <c r="T34" s="8">
        <v>1991</v>
      </c>
      <c r="U34" s="8">
        <f t="shared" si="1"/>
        <v>31</v>
      </c>
      <c r="V34" s="7">
        <v>1991</v>
      </c>
      <c r="W34" t="s">
        <v>50</v>
      </c>
      <c r="X34" s="2" t="s">
        <v>5</v>
      </c>
      <c r="Y34" s="6" t="e">
        <f t="shared" si="2"/>
        <v>#VALUE!</v>
      </c>
      <c r="AA34">
        <v>87566648</v>
      </c>
      <c r="AB34">
        <v>74127</v>
      </c>
      <c r="AD34" t="s">
        <v>1</v>
      </c>
      <c r="AE34">
        <v>36</v>
      </c>
      <c r="AF34">
        <v>12</v>
      </c>
      <c r="AH34" t="s">
        <v>2013</v>
      </c>
      <c r="AI34" t="s">
        <v>2012</v>
      </c>
      <c r="AK34" t="s">
        <v>2011</v>
      </c>
      <c r="AL34">
        <v>0</v>
      </c>
      <c r="AM34" s="5">
        <f t="shared" si="3"/>
        <v>0</v>
      </c>
      <c r="AN34" s="4">
        <f t="shared" si="4"/>
        <v>0</v>
      </c>
      <c r="AO34" s="3"/>
      <c r="AP34">
        <v>0</v>
      </c>
      <c r="AR34" t="s">
        <v>0</v>
      </c>
      <c r="AT34" s="2" t="s">
        <v>5</v>
      </c>
      <c r="AU34" s="1" t="e">
        <f t="shared" si="5"/>
        <v>#VALUE!</v>
      </c>
      <c r="AV34" s="1" t="e">
        <f t="shared" si="6"/>
        <v>#VALUE!</v>
      </c>
      <c r="AW34" s="1" t="e">
        <f t="shared" si="7"/>
        <v>#VALUE!</v>
      </c>
    </row>
    <row r="35" spans="1:49" x14ac:dyDescent="0.2">
      <c r="A35">
        <v>33</v>
      </c>
      <c r="B35" t="s">
        <v>2010</v>
      </c>
      <c r="F35" t="s">
        <v>2009</v>
      </c>
      <c r="G35" t="s">
        <v>3</v>
      </c>
      <c r="H35" t="s">
        <v>2</v>
      </c>
      <c r="I35" t="s">
        <v>2008</v>
      </c>
      <c r="J35">
        <v>60014982</v>
      </c>
      <c r="K35" t="s">
        <v>2007</v>
      </c>
      <c r="L35" t="s">
        <v>2006</v>
      </c>
      <c r="M35" t="s">
        <v>105</v>
      </c>
      <c r="N35">
        <v>2</v>
      </c>
      <c r="O35" t="s">
        <v>2005</v>
      </c>
      <c r="P35" t="s">
        <v>2004</v>
      </c>
      <c r="Q35" t="s">
        <v>2003</v>
      </c>
      <c r="R35" s="7">
        <v>33573</v>
      </c>
      <c r="S35" s="8">
        <f t="shared" si="0"/>
        <v>1991</v>
      </c>
      <c r="T35" s="8">
        <v>1991</v>
      </c>
      <c r="U35" s="8">
        <f t="shared" si="1"/>
        <v>31</v>
      </c>
      <c r="V35" s="7">
        <v>33573</v>
      </c>
      <c r="W35" t="s">
        <v>231</v>
      </c>
      <c r="X35" s="2">
        <v>0.10100000000000001</v>
      </c>
      <c r="Y35" s="6">
        <f t="shared" si="2"/>
        <v>2.6961373161421215E-3</v>
      </c>
      <c r="AA35">
        <v>7452993</v>
      </c>
      <c r="AB35">
        <v>18563</v>
      </c>
      <c r="AD35" t="s">
        <v>1</v>
      </c>
      <c r="AE35">
        <v>30</v>
      </c>
      <c r="AF35">
        <v>12</v>
      </c>
      <c r="AI35" t="s">
        <v>2002</v>
      </c>
      <c r="AK35" t="s">
        <v>2001</v>
      </c>
      <c r="AL35">
        <v>2</v>
      </c>
      <c r="AM35" s="5">
        <f t="shared" si="3"/>
        <v>6.4516129032258063E-2</v>
      </c>
      <c r="AN35" s="4">
        <f t="shared" si="4"/>
        <v>9.7714697511939517E-5</v>
      </c>
      <c r="AO35" s="3"/>
      <c r="AP35">
        <v>0</v>
      </c>
      <c r="AR35" t="s">
        <v>0</v>
      </c>
      <c r="AT35" s="2" t="s">
        <v>5</v>
      </c>
      <c r="AU35" s="1">
        <f t="shared" si="5"/>
        <v>0.19166105305530667</v>
      </c>
      <c r="AV35" s="1">
        <f t="shared" si="6"/>
        <v>0.13969260068270303</v>
      </c>
      <c r="AW35" s="1">
        <f t="shared" si="7"/>
        <v>8.7724148310099406E-2</v>
      </c>
    </row>
    <row r="36" spans="1:49" x14ac:dyDescent="0.2">
      <c r="A36">
        <v>34</v>
      </c>
      <c r="B36" t="s">
        <v>2000</v>
      </c>
      <c r="F36" t="s">
        <v>1999</v>
      </c>
      <c r="G36" t="s">
        <v>3</v>
      </c>
      <c r="H36" t="s">
        <v>2</v>
      </c>
      <c r="I36" t="s">
        <v>1820</v>
      </c>
      <c r="N36">
        <v>1</v>
      </c>
      <c r="O36" t="s">
        <v>1819</v>
      </c>
      <c r="P36">
        <v>6602121674</v>
      </c>
      <c r="R36" s="7">
        <v>33573</v>
      </c>
      <c r="S36" s="8">
        <f t="shared" si="0"/>
        <v>1991</v>
      </c>
      <c r="T36" s="8">
        <v>1991</v>
      </c>
      <c r="U36" s="8">
        <f t="shared" si="1"/>
        <v>31</v>
      </c>
      <c r="V36" s="7">
        <v>1991</v>
      </c>
      <c r="W36" t="s">
        <v>50</v>
      </c>
      <c r="X36" s="2" t="s">
        <v>5</v>
      </c>
      <c r="Y36" s="6" t="e">
        <f t="shared" si="2"/>
        <v>#VALUE!</v>
      </c>
      <c r="AA36">
        <v>87566648</v>
      </c>
      <c r="AB36">
        <v>74127</v>
      </c>
      <c r="AD36" t="s">
        <v>1</v>
      </c>
      <c r="AE36">
        <v>36</v>
      </c>
      <c r="AF36">
        <v>16</v>
      </c>
      <c r="AH36" t="s">
        <v>98</v>
      </c>
      <c r="AI36" t="s">
        <v>1998</v>
      </c>
      <c r="AK36" t="s">
        <v>1997</v>
      </c>
      <c r="AL36">
        <v>0</v>
      </c>
      <c r="AM36" s="5">
        <f t="shared" si="3"/>
        <v>0</v>
      </c>
      <c r="AN36" s="4">
        <f t="shared" si="4"/>
        <v>0</v>
      </c>
      <c r="AO36" s="3"/>
      <c r="AP36">
        <v>0</v>
      </c>
      <c r="AR36" t="s">
        <v>0</v>
      </c>
      <c r="AT36" s="2" t="s">
        <v>5</v>
      </c>
      <c r="AU36" s="1" t="e">
        <f t="shared" si="5"/>
        <v>#VALUE!</v>
      </c>
      <c r="AV36" s="1" t="e">
        <f t="shared" si="6"/>
        <v>#VALUE!</v>
      </c>
      <c r="AW36" s="1" t="e">
        <f t="shared" si="7"/>
        <v>#VALUE!</v>
      </c>
    </row>
    <row r="37" spans="1:49" x14ac:dyDescent="0.2">
      <c r="A37">
        <v>35</v>
      </c>
      <c r="B37" t="s">
        <v>1996</v>
      </c>
      <c r="F37" t="s">
        <v>1995</v>
      </c>
      <c r="G37" t="s">
        <v>3</v>
      </c>
      <c r="H37" t="s">
        <v>2</v>
      </c>
      <c r="I37" t="s">
        <v>1994</v>
      </c>
      <c r="N37">
        <v>2</v>
      </c>
      <c r="O37" t="s">
        <v>1993</v>
      </c>
      <c r="P37" t="s">
        <v>1992</v>
      </c>
      <c r="Q37" t="s">
        <v>51</v>
      </c>
      <c r="R37" s="7">
        <v>33573</v>
      </c>
      <c r="S37" s="8">
        <f t="shared" si="0"/>
        <v>1991</v>
      </c>
      <c r="T37" s="8">
        <v>1991</v>
      </c>
      <c r="U37" s="8">
        <f t="shared" si="1"/>
        <v>31</v>
      </c>
      <c r="V37" s="7">
        <v>1991</v>
      </c>
      <c r="W37" t="s">
        <v>50</v>
      </c>
      <c r="X37" s="2" t="s">
        <v>5</v>
      </c>
      <c r="Y37" s="6" t="e">
        <f t="shared" si="2"/>
        <v>#VALUE!</v>
      </c>
      <c r="AA37">
        <v>87566648</v>
      </c>
      <c r="AB37">
        <v>74127</v>
      </c>
      <c r="AD37" t="s">
        <v>1</v>
      </c>
      <c r="AE37">
        <v>36</v>
      </c>
      <c r="AF37">
        <v>10</v>
      </c>
      <c r="AH37" t="s">
        <v>1991</v>
      </c>
      <c r="AI37" t="s">
        <v>1990</v>
      </c>
      <c r="AK37" t="s">
        <v>1989</v>
      </c>
      <c r="AL37">
        <v>0</v>
      </c>
      <c r="AM37" s="5">
        <f t="shared" si="3"/>
        <v>0</v>
      </c>
      <c r="AN37" s="4">
        <f t="shared" si="4"/>
        <v>0</v>
      </c>
      <c r="AO37" s="3"/>
      <c r="AP37">
        <v>0</v>
      </c>
      <c r="AR37" t="s">
        <v>0</v>
      </c>
      <c r="AT37" s="2" t="s">
        <v>5</v>
      </c>
      <c r="AU37" s="1" t="e">
        <f t="shared" si="5"/>
        <v>#VALUE!</v>
      </c>
      <c r="AV37" s="1" t="e">
        <f t="shared" si="6"/>
        <v>#VALUE!</v>
      </c>
      <c r="AW37" s="1" t="e">
        <f t="shared" si="7"/>
        <v>#VALUE!</v>
      </c>
    </row>
    <row r="38" spans="1:49" x14ac:dyDescent="0.2">
      <c r="A38">
        <v>36</v>
      </c>
      <c r="B38" t="s">
        <v>1988</v>
      </c>
      <c r="F38" t="s">
        <v>1987</v>
      </c>
      <c r="G38" t="s">
        <v>3</v>
      </c>
      <c r="H38" t="s">
        <v>2</v>
      </c>
      <c r="I38" t="s">
        <v>1986</v>
      </c>
      <c r="N38">
        <v>3</v>
      </c>
      <c r="O38" t="s">
        <v>1985</v>
      </c>
      <c r="P38" t="s">
        <v>1984</v>
      </c>
      <c r="Q38" t="s">
        <v>54</v>
      </c>
      <c r="R38" s="7">
        <v>33573</v>
      </c>
      <c r="S38" s="8">
        <f t="shared" si="0"/>
        <v>1991</v>
      </c>
      <c r="T38" s="8">
        <v>1991</v>
      </c>
      <c r="U38" s="8">
        <f t="shared" si="1"/>
        <v>31</v>
      </c>
      <c r="V38" s="7">
        <v>1991</v>
      </c>
      <c r="W38" t="s">
        <v>50</v>
      </c>
      <c r="X38" s="2" t="s">
        <v>5</v>
      </c>
      <c r="Y38" s="6" t="e">
        <f t="shared" si="2"/>
        <v>#VALUE!</v>
      </c>
      <c r="AA38">
        <v>87566648</v>
      </c>
      <c r="AB38">
        <v>74127</v>
      </c>
      <c r="AD38" t="s">
        <v>1</v>
      </c>
      <c r="AE38">
        <v>36</v>
      </c>
      <c r="AF38">
        <v>12</v>
      </c>
      <c r="AH38" t="s">
        <v>1983</v>
      </c>
      <c r="AI38" t="s">
        <v>1982</v>
      </c>
      <c r="AK38" t="s">
        <v>1981</v>
      </c>
      <c r="AL38">
        <v>0</v>
      </c>
      <c r="AM38" s="5">
        <f t="shared" si="3"/>
        <v>0</v>
      </c>
      <c r="AN38" s="4">
        <f t="shared" si="4"/>
        <v>0</v>
      </c>
      <c r="AO38" s="3"/>
      <c r="AP38">
        <v>0</v>
      </c>
      <c r="AR38" t="s">
        <v>0</v>
      </c>
      <c r="AT38" s="2" t="s">
        <v>5</v>
      </c>
      <c r="AU38" s="1" t="e">
        <f t="shared" si="5"/>
        <v>#VALUE!</v>
      </c>
      <c r="AV38" s="1" t="e">
        <f t="shared" si="6"/>
        <v>#VALUE!</v>
      </c>
      <c r="AW38" s="1" t="e">
        <f t="shared" si="7"/>
        <v>#VALUE!</v>
      </c>
    </row>
    <row r="39" spans="1:49" x14ac:dyDescent="0.2">
      <c r="A39">
        <v>37</v>
      </c>
      <c r="B39" t="s">
        <v>1980</v>
      </c>
      <c r="C39" t="s">
        <v>1979</v>
      </c>
      <c r="F39" t="s">
        <v>1978</v>
      </c>
      <c r="G39" t="s">
        <v>3</v>
      </c>
      <c r="H39" t="s">
        <v>2</v>
      </c>
      <c r="I39" t="s">
        <v>1977</v>
      </c>
      <c r="J39">
        <v>60026415</v>
      </c>
      <c r="K39" t="s">
        <v>166</v>
      </c>
      <c r="L39" t="s">
        <v>165</v>
      </c>
      <c r="M39" t="s">
        <v>6</v>
      </c>
      <c r="N39">
        <v>2</v>
      </c>
      <c r="O39" t="s">
        <v>1976</v>
      </c>
      <c r="P39" t="s">
        <v>1975</v>
      </c>
      <c r="Q39" t="s">
        <v>164</v>
      </c>
      <c r="R39" s="7">
        <v>33573</v>
      </c>
      <c r="S39" s="8">
        <f t="shared" si="0"/>
        <v>1991</v>
      </c>
      <c r="T39" s="8">
        <v>1991</v>
      </c>
      <c r="U39" s="8">
        <f t="shared" si="1"/>
        <v>31</v>
      </c>
      <c r="V39" s="7">
        <v>33573</v>
      </c>
      <c r="W39" t="s">
        <v>188</v>
      </c>
      <c r="X39" s="2">
        <v>1.468</v>
      </c>
      <c r="Y39" s="6">
        <f t="shared" si="2"/>
        <v>3.9187421585115186E-2</v>
      </c>
      <c r="AA39">
        <v>906778</v>
      </c>
      <c r="AB39">
        <v>18931</v>
      </c>
      <c r="AD39" t="s">
        <v>1</v>
      </c>
      <c r="AE39">
        <v>39</v>
      </c>
      <c r="AF39">
        <v>12</v>
      </c>
      <c r="AH39" t="s">
        <v>1974</v>
      </c>
      <c r="AI39" t="s">
        <v>1973</v>
      </c>
      <c r="AK39" t="s">
        <v>1972</v>
      </c>
      <c r="AL39">
        <v>6</v>
      </c>
      <c r="AM39" s="5">
        <f t="shared" si="3"/>
        <v>0.19354838709677419</v>
      </c>
      <c r="AN39" s="4">
        <f t="shared" si="4"/>
        <v>2.9314409253581854E-4</v>
      </c>
      <c r="AO39" s="3"/>
      <c r="AP39">
        <v>0</v>
      </c>
      <c r="AQ39" t="s">
        <v>45</v>
      </c>
      <c r="AR39" t="s">
        <v>1971</v>
      </c>
      <c r="AS39" t="s">
        <v>44</v>
      </c>
      <c r="AT39" s="2">
        <v>5.0830000000000002</v>
      </c>
      <c r="AU39" s="1">
        <f t="shared" si="5"/>
        <v>2.7519138337341373</v>
      </c>
      <c r="AV39" s="1">
        <f t="shared" si="6"/>
        <v>1.9740282838825502</v>
      </c>
      <c r="AW39" s="1">
        <f t="shared" si="7"/>
        <v>1.1961427340309629</v>
      </c>
    </row>
    <row r="40" spans="1:49" x14ac:dyDescent="0.2">
      <c r="A40">
        <v>38</v>
      </c>
      <c r="B40" t="s">
        <v>1970</v>
      </c>
      <c r="F40" t="s">
        <v>1969</v>
      </c>
      <c r="G40" t="s">
        <v>3</v>
      </c>
      <c r="H40" t="s">
        <v>2</v>
      </c>
      <c r="I40" t="s">
        <v>1968</v>
      </c>
      <c r="J40">
        <v>60021902</v>
      </c>
      <c r="K40" t="s">
        <v>159</v>
      </c>
      <c r="L40" t="s">
        <v>158</v>
      </c>
      <c r="M40" t="s">
        <v>157</v>
      </c>
      <c r="N40">
        <v>1</v>
      </c>
      <c r="O40" t="s">
        <v>1967</v>
      </c>
      <c r="P40">
        <v>7404141260</v>
      </c>
      <c r="Q40">
        <v>60021902</v>
      </c>
      <c r="R40" s="7">
        <v>33573</v>
      </c>
      <c r="S40" s="8">
        <f t="shared" si="0"/>
        <v>1991</v>
      </c>
      <c r="T40" s="8">
        <v>1991</v>
      </c>
      <c r="U40" s="8">
        <f t="shared" si="1"/>
        <v>31</v>
      </c>
      <c r="V40" s="7">
        <v>33573</v>
      </c>
      <c r="W40" t="s">
        <v>55</v>
      </c>
      <c r="X40" s="2">
        <v>0.216</v>
      </c>
      <c r="Y40" s="6">
        <f t="shared" si="2"/>
        <v>5.765996636501962E-3</v>
      </c>
      <c r="AA40">
        <v>10544887</v>
      </c>
      <c r="AB40">
        <v>13200</v>
      </c>
      <c r="AD40" t="s">
        <v>1</v>
      </c>
      <c r="AE40">
        <v>6</v>
      </c>
      <c r="AF40">
        <v>2</v>
      </c>
      <c r="AH40" t="s">
        <v>1966</v>
      </c>
      <c r="AI40" t="s">
        <v>1965</v>
      </c>
      <c r="AK40" t="s">
        <v>1964</v>
      </c>
      <c r="AL40">
        <v>0</v>
      </c>
      <c r="AM40" s="5">
        <f t="shared" si="3"/>
        <v>0</v>
      </c>
      <c r="AN40" s="4">
        <f t="shared" si="4"/>
        <v>0</v>
      </c>
      <c r="AO40" s="3"/>
      <c r="AP40">
        <v>0</v>
      </c>
      <c r="AR40" t="s">
        <v>0</v>
      </c>
      <c r="AT40" s="2" t="s">
        <v>5</v>
      </c>
      <c r="AU40" s="1">
        <f t="shared" si="5"/>
        <v>0.40361976455513726</v>
      </c>
      <c r="AV40" s="1">
        <f t="shared" si="6"/>
        <v>0.28829983182509811</v>
      </c>
      <c r="AW40" s="1">
        <f t="shared" si="7"/>
        <v>0.17297989909505887</v>
      </c>
    </row>
    <row r="41" spans="1:49" x14ac:dyDescent="0.2">
      <c r="A41">
        <v>39</v>
      </c>
      <c r="B41" t="s">
        <v>1963</v>
      </c>
      <c r="F41" t="s">
        <v>1962</v>
      </c>
      <c r="G41" t="s">
        <v>3</v>
      </c>
      <c r="H41" t="s">
        <v>2</v>
      </c>
      <c r="I41" t="s">
        <v>544</v>
      </c>
      <c r="N41">
        <v>2</v>
      </c>
      <c r="O41" t="s">
        <v>1961</v>
      </c>
      <c r="P41" t="s">
        <v>1960</v>
      </c>
      <c r="Q41" t="s">
        <v>51</v>
      </c>
      <c r="R41" s="7">
        <v>33573</v>
      </c>
      <c r="S41" s="8">
        <f t="shared" si="0"/>
        <v>1991</v>
      </c>
      <c r="T41" s="8">
        <v>1991</v>
      </c>
      <c r="U41" s="8">
        <f t="shared" si="1"/>
        <v>31</v>
      </c>
      <c r="V41" s="7">
        <v>1991</v>
      </c>
      <c r="W41" t="s">
        <v>50</v>
      </c>
      <c r="X41" s="2" t="s">
        <v>5</v>
      </c>
      <c r="Y41" s="6" t="e">
        <f t="shared" si="2"/>
        <v>#VALUE!</v>
      </c>
      <c r="AA41">
        <v>87566648</v>
      </c>
      <c r="AB41">
        <v>74127</v>
      </c>
      <c r="AD41" t="s">
        <v>1</v>
      </c>
      <c r="AE41">
        <v>36</v>
      </c>
      <c r="AF41">
        <v>11</v>
      </c>
      <c r="AH41" s="9">
        <v>44348</v>
      </c>
      <c r="AI41" t="s">
        <v>1959</v>
      </c>
      <c r="AK41" t="s">
        <v>1958</v>
      </c>
      <c r="AL41">
        <v>0</v>
      </c>
      <c r="AM41" s="5">
        <f t="shared" si="3"/>
        <v>0</v>
      </c>
      <c r="AN41" s="4">
        <f t="shared" si="4"/>
        <v>0</v>
      </c>
      <c r="AO41" s="3"/>
      <c r="AP41">
        <v>0</v>
      </c>
      <c r="AR41" t="s">
        <v>0</v>
      </c>
      <c r="AT41" s="2" t="s">
        <v>5</v>
      </c>
      <c r="AU41" s="1" t="e">
        <f t="shared" si="5"/>
        <v>#VALUE!</v>
      </c>
      <c r="AV41" s="1" t="e">
        <f t="shared" si="6"/>
        <v>#VALUE!</v>
      </c>
      <c r="AW41" s="1" t="e">
        <f t="shared" si="7"/>
        <v>#VALUE!</v>
      </c>
    </row>
    <row r="42" spans="1:49" x14ac:dyDescent="0.2">
      <c r="A42">
        <v>40</v>
      </c>
      <c r="B42" t="s">
        <v>1957</v>
      </c>
      <c r="F42" t="s">
        <v>1956</v>
      </c>
      <c r="G42" t="s">
        <v>3</v>
      </c>
      <c r="H42" t="s">
        <v>2</v>
      </c>
      <c r="I42" t="s">
        <v>1955</v>
      </c>
      <c r="N42">
        <v>3</v>
      </c>
      <c r="O42" t="s">
        <v>1954</v>
      </c>
      <c r="P42" t="s">
        <v>1953</v>
      </c>
      <c r="Q42" t="s">
        <v>54</v>
      </c>
      <c r="R42" s="7">
        <v>33573</v>
      </c>
      <c r="S42" s="8">
        <f t="shared" si="0"/>
        <v>1991</v>
      </c>
      <c r="T42" s="8">
        <v>1991</v>
      </c>
      <c r="U42" s="8">
        <f t="shared" si="1"/>
        <v>31</v>
      </c>
      <c r="V42" s="7">
        <v>1991</v>
      </c>
      <c r="W42" t="s">
        <v>50</v>
      </c>
      <c r="X42" s="2" t="s">
        <v>5</v>
      </c>
      <c r="Y42" s="6" t="e">
        <f t="shared" si="2"/>
        <v>#VALUE!</v>
      </c>
      <c r="AA42">
        <v>87566648</v>
      </c>
      <c r="AB42">
        <v>74127</v>
      </c>
      <c r="AD42" t="s">
        <v>1</v>
      </c>
      <c r="AE42">
        <v>36</v>
      </c>
      <c r="AF42">
        <v>9</v>
      </c>
      <c r="AH42" t="s">
        <v>1952</v>
      </c>
      <c r="AI42" t="s">
        <v>1951</v>
      </c>
      <c r="AK42" t="s">
        <v>1950</v>
      </c>
      <c r="AL42">
        <v>0</v>
      </c>
      <c r="AM42" s="5">
        <f t="shared" si="3"/>
        <v>0</v>
      </c>
      <c r="AN42" s="4">
        <f t="shared" si="4"/>
        <v>0</v>
      </c>
      <c r="AO42" s="3"/>
      <c r="AP42">
        <v>0</v>
      </c>
      <c r="AR42" t="s">
        <v>0</v>
      </c>
      <c r="AT42" s="2" t="s">
        <v>5</v>
      </c>
      <c r="AU42" s="1" t="e">
        <f t="shared" si="5"/>
        <v>#VALUE!</v>
      </c>
      <c r="AV42" s="1" t="e">
        <f t="shared" si="6"/>
        <v>#VALUE!</v>
      </c>
      <c r="AW42" s="1" t="e">
        <f t="shared" si="7"/>
        <v>#VALUE!</v>
      </c>
    </row>
    <row r="43" spans="1:49" x14ac:dyDescent="0.2">
      <c r="A43">
        <v>41</v>
      </c>
      <c r="B43" t="s">
        <v>1949</v>
      </c>
      <c r="C43" t="s">
        <v>1948</v>
      </c>
      <c r="F43" t="s">
        <v>1947</v>
      </c>
      <c r="G43" t="s">
        <v>3</v>
      </c>
      <c r="H43" t="s">
        <v>2</v>
      </c>
      <c r="I43" t="s">
        <v>1946</v>
      </c>
      <c r="J43">
        <v>60025555</v>
      </c>
      <c r="K43" t="s">
        <v>120</v>
      </c>
      <c r="L43" t="s">
        <v>27</v>
      </c>
      <c r="M43" t="s">
        <v>26</v>
      </c>
      <c r="N43">
        <v>4</v>
      </c>
      <c r="O43" t="s">
        <v>1945</v>
      </c>
      <c r="P43" t="s">
        <v>1944</v>
      </c>
      <c r="Q43" t="s">
        <v>1943</v>
      </c>
      <c r="R43" s="7">
        <v>33573</v>
      </c>
      <c r="S43" s="8">
        <f t="shared" si="0"/>
        <v>1991</v>
      </c>
      <c r="T43" s="8">
        <v>1991</v>
      </c>
      <c r="U43" s="8">
        <f t="shared" si="1"/>
        <v>31</v>
      </c>
      <c r="V43" s="7">
        <v>33573</v>
      </c>
      <c r="W43" t="s">
        <v>1942</v>
      </c>
      <c r="X43" s="2" t="s">
        <v>5</v>
      </c>
      <c r="Y43" s="6" t="e">
        <f t="shared" si="2"/>
        <v>#VALUE!</v>
      </c>
      <c r="AA43">
        <v>8961107</v>
      </c>
      <c r="AB43">
        <v>99971</v>
      </c>
      <c r="AC43">
        <v>15729605</v>
      </c>
      <c r="AD43" t="s">
        <v>1</v>
      </c>
      <c r="AE43">
        <v>4</v>
      </c>
      <c r="AF43">
        <v>6</v>
      </c>
      <c r="AH43" t="s">
        <v>1941</v>
      </c>
      <c r="AI43" t="s">
        <v>1940</v>
      </c>
      <c r="AJ43" t="s">
        <v>1939</v>
      </c>
      <c r="AK43" t="s">
        <v>1938</v>
      </c>
      <c r="AL43">
        <v>6</v>
      </c>
      <c r="AM43" s="5">
        <f t="shared" si="3"/>
        <v>0.19354838709677419</v>
      </c>
      <c r="AN43" s="4">
        <f t="shared" si="4"/>
        <v>2.9314409253581854E-4</v>
      </c>
      <c r="AO43" s="3"/>
      <c r="AP43">
        <v>0</v>
      </c>
      <c r="AR43" t="s">
        <v>0</v>
      </c>
      <c r="AT43" s="2" t="s">
        <v>5</v>
      </c>
      <c r="AU43" s="1" t="e">
        <f t="shared" si="5"/>
        <v>#VALUE!</v>
      </c>
      <c r="AV43" s="1" t="e">
        <f t="shared" si="6"/>
        <v>#VALUE!</v>
      </c>
      <c r="AW43" s="1" t="e">
        <f t="shared" si="7"/>
        <v>#VALUE!</v>
      </c>
    </row>
    <row r="44" spans="1:49" x14ac:dyDescent="0.2">
      <c r="A44">
        <v>42</v>
      </c>
      <c r="B44" t="s">
        <v>1937</v>
      </c>
      <c r="F44" t="s">
        <v>1936</v>
      </c>
      <c r="G44" t="s">
        <v>3</v>
      </c>
      <c r="H44" t="s">
        <v>2</v>
      </c>
      <c r="I44" t="s">
        <v>1935</v>
      </c>
      <c r="J44">
        <v>60103092</v>
      </c>
      <c r="K44" t="s">
        <v>1934</v>
      </c>
      <c r="L44" t="s">
        <v>1933</v>
      </c>
      <c r="M44" t="s">
        <v>10</v>
      </c>
      <c r="N44">
        <v>5</v>
      </c>
      <c r="O44" t="s">
        <v>1932</v>
      </c>
      <c r="P44" t="s">
        <v>1931</v>
      </c>
      <c r="Q44" t="s">
        <v>1930</v>
      </c>
      <c r="R44" s="7">
        <v>33573</v>
      </c>
      <c r="S44" s="8">
        <f t="shared" si="0"/>
        <v>1991</v>
      </c>
      <c r="T44" s="8">
        <v>1991</v>
      </c>
      <c r="U44" s="8">
        <f t="shared" si="1"/>
        <v>31</v>
      </c>
      <c r="V44" s="7">
        <v>33573</v>
      </c>
      <c r="W44" t="s">
        <v>55</v>
      </c>
      <c r="X44" s="2">
        <v>0.216</v>
      </c>
      <c r="Y44" s="6">
        <f t="shared" si="2"/>
        <v>5.765996636501962E-3</v>
      </c>
      <c r="AA44">
        <v>10544887</v>
      </c>
      <c r="AB44">
        <v>13200</v>
      </c>
      <c r="AD44" t="s">
        <v>1</v>
      </c>
      <c r="AE44">
        <v>6</v>
      </c>
      <c r="AF44">
        <v>2</v>
      </c>
      <c r="AH44" t="s">
        <v>1929</v>
      </c>
      <c r="AI44" t="s">
        <v>1928</v>
      </c>
      <c r="AK44" t="s">
        <v>1927</v>
      </c>
      <c r="AL44">
        <v>0</v>
      </c>
      <c r="AM44" s="5">
        <f t="shared" si="3"/>
        <v>0</v>
      </c>
      <c r="AN44" s="4">
        <f t="shared" si="4"/>
        <v>0</v>
      </c>
      <c r="AO44" s="3"/>
      <c r="AP44">
        <v>0</v>
      </c>
      <c r="AR44" t="s">
        <v>0</v>
      </c>
      <c r="AT44" s="2" t="s">
        <v>5</v>
      </c>
      <c r="AU44" s="1">
        <f t="shared" si="5"/>
        <v>0.40361976455513726</v>
      </c>
      <c r="AV44" s="1">
        <f t="shared" si="6"/>
        <v>0.28829983182509811</v>
      </c>
      <c r="AW44" s="1">
        <f t="shared" si="7"/>
        <v>0.17297989909505887</v>
      </c>
    </row>
    <row r="45" spans="1:49" x14ac:dyDescent="0.2">
      <c r="A45">
        <v>43</v>
      </c>
      <c r="B45" t="s">
        <v>1926</v>
      </c>
      <c r="F45" t="s">
        <v>1925</v>
      </c>
      <c r="G45" t="s">
        <v>3</v>
      </c>
      <c r="H45" t="s">
        <v>2</v>
      </c>
      <c r="I45" t="s">
        <v>1924</v>
      </c>
      <c r="N45">
        <v>1</v>
      </c>
      <c r="O45" t="s">
        <v>1923</v>
      </c>
      <c r="P45">
        <v>6508309082</v>
      </c>
      <c r="R45" s="7">
        <v>33573</v>
      </c>
      <c r="S45" s="8">
        <f t="shared" si="0"/>
        <v>1991</v>
      </c>
      <c r="T45" s="8">
        <v>1991</v>
      </c>
      <c r="U45" s="8">
        <f t="shared" si="1"/>
        <v>31</v>
      </c>
      <c r="V45" s="7">
        <v>1991</v>
      </c>
      <c r="W45" t="s">
        <v>50</v>
      </c>
      <c r="X45" s="2" t="s">
        <v>5</v>
      </c>
      <c r="Y45" s="6" t="e">
        <f t="shared" si="2"/>
        <v>#VALUE!</v>
      </c>
      <c r="AA45">
        <v>87566648</v>
      </c>
      <c r="AB45">
        <v>74127</v>
      </c>
      <c r="AD45" t="s">
        <v>1</v>
      </c>
      <c r="AE45">
        <v>36</v>
      </c>
      <c r="AF45">
        <v>12</v>
      </c>
      <c r="AH45" s="9">
        <v>44409</v>
      </c>
      <c r="AI45" t="s">
        <v>1922</v>
      </c>
      <c r="AK45" t="s">
        <v>1921</v>
      </c>
      <c r="AL45">
        <v>0</v>
      </c>
      <c r="AM45" s="5">
        <f t="shared" si="3"/>
        <v>0</v>
      </c>
      <c r="AN45" s="4">
        <f t="shared" si="4"/>
        <v>0</v>
      </c>
      <c r="AO45" s="3"/>
      <c r="AP45">
        <v>0</v>
      </c>
      <c r="AR45" t="s">
        <v>0</v>
      </c>
      <c r="AT45" s="2" t="s">
        <v>5</v>
      </c>
      <c r="AU45" s="1" t="e">
        <f t="shared" si="5"/>
        <v>#VALUE!</v>
      </c>
      <c r="AV45" s="1" t="e">
        <f t="shared" si="6"/>
        <v>#VALUE!</v>
      </c>
      <c r="AW45" s="1" t="e">
        <f t="shared" si="7"/>
        <v>#VALUE!</v>
      </c>
    </row>
    <row r="46" spans="1:49" x14ac:dyDescent="0.2">
      <c r="A46">
        <v>44</v>
      </c>
      <c r="B46" t="s">
        <v>1920</v>
      </c>
      <c r="F46" t="s">
        <v>1919</v>
      </c>
      <c r="G46" t="s">
        <v>3</v>
      </c>
      <c r="H46" t="s">
        <v>2</v>
      </c>
      <c r="I46" t="s">
        <v>1918</v>
      </c>
      <c r="N46">
        <v>2</v>
      </c>
      <c r="O46" t="s">
        <v>1917</v>
      </c>
      <c r="P46" t="s">
        <v>1916</v>
      </c>
      <c r="Q46" t="s">
        <v>51</v>
      </c>
      <c r="R46" s="7">
        <v>33573</v>
      </c>
      <c r="S46" s="8">
        <f t="shared" si="0"/>
        <v>1991</v>
      </c>
      <c r="T46" s="8">
        <v>1991</v>
      </c>
      <c r="U46" s="8">
        <f t="shared" si="1"/>
        <v>31</v>
      </c>
      <c r="V46" s="7">
        <v>1991</v>
      </c>
      <c r="W46" t="s">
        <v>50</v>
      </c>
      <c r="X46" s="2" t="s">
        <v>5</v>
      </c>
      <c r="Y46" s="6" t="e">
        <f t="shared" si="2"/>
        <v>#VALUE!</v>
      </c>
      <c r="AA46">
        <v>87566648</v>
      </c>
      <c r="AB46">
        <v>74127</v>
      </c>
      <c r="AD46" t="s">
        <v>1</v>
      </c>
      <c r="AE46">
        <v>36</v>
      </c>
      <c r="AF46">
        <v>12</v>
      </c>
      <c r="AH46" t="s">
        <v>1915</v>
      </c>
      <c r="AI46" t="s">
        <v>1914</v>
      </c>
      <c r="AK46" t="s">
        <v>1913</v>
      </c>
      <c r="AL46">
        <v>0</v>
      </c>
      <c r="AM46" s="5">
        <f t="shared" si="3"/>
        <v>0</v>
      </c>
      <c r="AN46" s="4">
        <f t="shared" si="4"/>
        <v>0</v>
      </c>
      <c r="AO46" s="3"/>
      <c r="AP46">
        <v>0</v>
      </c>
      <c r="AR46" t="s">
        <v>0</v>
      </c>
      <c r="AT46" s="2" t="s">
        <v>5</v>
      </c>
      <c r="AU46" s="1" t="e">
        <f t="shared" si="5"/>
        <v>#VALUE!</v>
      </c>
      <c r="AV46" s="1" t="e">
        <f t="shared" si="6"/>
        <v>#VALUE!</v>
      </c>
      <c r="AW46" s="1" t="e">
        <f t="shared" si="7"/>
        <v>#VALUE!</v>
      </c>
    </row>
    <row r="47" spans="1:49" x14ac:dyDescent="0.2">
      <c r="A47">
        <v>45</v>
      </c>
      <c r="B47" t="s">
        <v>1912</v>
      </c>
      <c r="F47" t="s">
        <v>1911</v>
      </c>
      <c r="G47" t="s">
        <v>3</v>
      </c>
      <c r="H47" t="s">
        <v>2</v>
      </c>
      <c r="I47" t="s">
        <v>1910</v>
      </c>
      <c r="N47">
        <v>2</v>
      </c>
      <c r="O47" t="s">
        <v>1909</v>
      </c>
      <c r="P47" t="s">
        <v>1908</v>
      </c>
      <c r="Q47" t="s">
        <v>51</v>
      </c>
      <c r="R47" s="7">
        <v>33573</v>
      </c>
      <c r="S47" s="8">
        <f t="shared" si="0"/>
        <v>1991</v>
      </c>
      <c r="T47" s="8">
        <v>1991</v>
      </c>
      <c r="U47" s="8">
        <f t="shared" si="1"/>
        <v>31</v>
      </c>
      <c r="V47" s="7">
        <v>1991</v>
      </c>
      <c r="W47" t="s">
        <v>50</v>
      </c>
      <c r="X47" s="2" t="s">
        <v>5</v>
      </c>
      <c r="Y47" s="6" t="e">
        <f t="shared" si="2"/>
        <v>#VALUE!</v>
      </c>
      <c r="AA47">
        <v>87566648</v>
      </c>
      <c r="AB47">
        <v>74127</v>
      </c>
      <c r="AD47" t="s">
        <v>1</v>
      </c>
      <c r="AE47">
        <v>36</v>
      </c>
      <c r="AF47">
        <v>12</v>
      </c>
      <c r="AH47" t="s">
        <v>1797</v>
      </c>
      <c r="AI47" t="s">
        <v>1907</v>
      </c>
      <c r="AK47" t="s">
        <v>1906</v>
      </c>
      <c r="AL47">
        <v>0</v>
      </c>
      <c r="AM47" s="5">
        <f t="shared" si="3"/>
        <v>0</v>
      </c>
      <c r="AN47" s="4">
        <f t="shared" si="4"/>
        <v>0</v>
      </c>
      <c r="AO47" s="3"/>
      <c r="AP47">
        <v>0</v>
      </c>
      <c r="AR47" t="s">
        <v>0</v>
      </c>
      <c r="AT47" s="2" t="s">
        <v>5</v>
      </c>
      <c r="AU47" s="1" t="e">
        <f t="shared" si="5"/>
        <v>#VALUE!</v>
      </c>
      <c r="AV47" s="1" t="e">
        <f t="shared" si="6"/>
        <v>#VALUE!</v>
      </c>
      <c r="AW47" s="1" t="e">
        <f t="shared" si="7"/>
        <v>#VALUE!</v>
      </c>
    </row>
    <row r="48" spans="1:49" x14ac:dyDescent="0.2">
      <c r="A48">
        <v>46</v>
      </c>
      <c r="B48" t="s">
        <v>1905</v>
      </c>
      <c r="F48" t="s">
        <v>1904</v>
      </c>
      <c r="G48" t="s">
        <v>3</v>
      </c>
      <c r="H48" t="s">
        <v>2</v>
      </c>
      <c r="I48" t="s">
        <v>1903</v>
      </c>
      <c r="N48">
        <v>1</v>
      </c>
      <c r="O48" t="s">
        <v>1902</v>
      </c>
      <c r="P48">
        <v>57225710620</v>
      </c>
      <c r="R48" s="7">
        <v>33573</v>
      </c>
      <c r="S48" s="8">
        <f t="shared" si="0"/>
        <v>1991</v>
      </c>
      <c r="T48" s="8">
        <v>1991</v>
      </c>
      <c r="U48" s="8">
        <f t="shared" si="1"/>
        <v>31</v>
      </c>
      <c r="V48" s="7">
        <v>1991</v>
      </c>
      <c r="W48" t="s">
        <v>50</v>
      </c>
      <c r="X48" s="2" t="s">
        <v>5</v>
      </c>
      <c r="Y48" s="6" t="e">
        <f t="shared" si="2"/>
        <v>#VALUE!</v>
      </c>
      <c r="AA48">
        <v>87566648</v>
      </c>
      <c r="AB48">
        <v>74127</v>
      </c>
      <c r="AD48" t="s">
        <v>1</v>
      </c>
      <c r="AE48">
        <v>36</v>
      </c>
      <c r="AF48">
        <v>10</v>
      </c>
      <c r="AH48" t="s">
        <v>1901</v>
      </c>
      <c r="AI48" t="s">
        <v>1900</v>
      </c>
      <c r="AK48" t="s">
        <v>1899</v>
      </c>
      <c r="AL48">
        <v>0</v>
      </c>
      <c r="AM48" s="5">
        <f t="shared" si="3"/>
        <v>0</v>
      </c>
      <c r="AN48" s="4">
        <f t="shared" si="4"/>
        <v>0</v>
      </c>
      <c r="AO48" s="3"/>
      <c r="AP48">
        <v>0</v>
      </c>
      <c r="AR48" t="s">
        <v>0</v>
      </c>
      <c r="AT48" s="2" t="s">
        <v>5</v>
      </c>
      <c r="AU48" s="1" t="e">
        <f t="shared" si="5"/>
        <v>#VALUE!</v>
      </c>
      <c r="AV48" s="1" t="e">
        <f t="shared" si="6"/>
        <v>#VALUE!</v>
      </c>
      <c r="AW48" s="1" t="e">
        <f t="shared" si="7"/>
        <v>#VALUE!</v>
      </c>
    </row>
    <row r="49" spans="1:49" x14ac:dyDescent="0.2">
      <c r="A49">
        <v>47</v>
      </c>
      <c r="B49" t="s">
        <v>1898</v>
      </c>
      <c r="C49" t="s">
        <v>1897</v>
      </c>
      <c r="F49" t="s">
        <v>1896</v>
      </c>
      <c r="G49" t="s">
        <v>3</v>
      </c>
      <c r="H49" t="s">
        <v>2</v>
      </c>
      <c r="I49" t="s">
        <v>1895</v>
      </c>
      <c r="J49" t="s">
        <v>1894</v>
      </c>
      <c r="K49" t="s">
        <v>1893</v>
      </c>
      <c r="L49" t="s">
        <v>1892</v>
      </c>
      <c r="M49" t="s">
        <v>12</v>
      </c>
      <c r="N49">
        <v>3</v>
      </c>
      <c r="O49" t="s">
        <v>1891</v>
      </c>
      <c r="P49" t="s">
        <v>1890</v>
      </c>
      <c r="Q49" t="s">
        <v>1889</v>
      </c>
      <c r="R49" s="7">
        <v>33573</v>
      </c>
      <c r="S49" s="8">
        <f t="shared" si="0"/>
        <v>1991</v>
      </c>
      <c r="T49" s="8">
        <v>1991</v>
      </c>
      <c r="U49" s="8">
        <f t="shared" si="1"/>
        <v>31</v>
      </c>
      <c r="V49" s="7">
        <v>33573</v>
      </c>
      <c r="W49" t="s">
        <v>232</v>
      </c>
      <c r="X49" s="2">
        <v>0.61499999999999999</v>
      </c>
      <c r="Y49" s="6">
        <f t="shared" si="2"/>
        <v>1.6417073756706976E-2</v>
      </c>
      <c r="AA49">
        <v>1959271</v>
      </c>
      <c r="AB49">
        <v>12141</v>
      </c>
      <c r="AC49">
        <v>15729559</v>
      </c>
      <c r="AD49" t="s">
        <v>1</v>
      </c>
      <c r="AE49">
        <v>12</v>
      </c>
      <c r="AF49">
        <v>12</v>
      </c>
      <c r="AH49" t="s">
        <v>1888</v>
      </c>
      <c r="AI49" t="s">
        <v>1887</v>
      </c>
      <c r="AJ49" t="s">
        <v>1886</v>
      </c>
      <c r="AK49" t="s">
        <v>1885</v>
      </c>
      <c r="AL49">
        <v>4</v>
      </c>
      <c r="AM49" s="5">
        <f t="shared" si="3"/>
        <v>0.12903225806451613</v>
      </c>
      <c r="AN49" s="4">
        <f t="shared" si="4"/>
        <v>1.9542939502387903E-4</v>
      </c>
      <c r="AO49" s="3"/>
      <c r="AP49">
        <v>0</v>
      </c>
      <c r="AR49" t="s">
        <v>0</v>
      </c>
      <c r="AT49" s="2" t="s">
        <v>5</v>
      </c>
      <c r="AU49" s="1">
        <f t="shared" si="5"/>
        <v>1.1550580448202044</v>
      </c>
      <c r="AV49" s="1">
        <f t="shared" si="6"/>
        <v>0.83062515758654276</v>
      </c>
      <c r="AW49" s="1">
        <f t="shared" si="7"/>
        <v>0.50619227035288084</v>
      </c>
    </row>
    <row r="50" spans="1:49" x14ac:dyDescent="0.2">
      <c r="A50">
        <v>48</v>
      </c>
      <c r="B50" t="s">
        <v>1884</v>
      </c>
      <c r="F50" t="s">
        <v>1883</v>
      </c>
      <c r="G50" t="s">
        <v>3</v>
      </c>
      <c r="H50" t="s">
        <v>2</v>
      </c>
      <c r="I50" t="s">
        <v>1882</v>
      </c>
      <c r="J50">
        <v>60017597</v>
      </c>
      <c r="K50" t="s">
        <v>1881</v>
      </c>
      <c r="L50" t="s">
        <v>148</v>
      </c>
      <c r="M50" t="s">
        <v>88</v>
      </c>
      <c r="N50">
        <v>2</v>
      </c>
      <c r="O50" t="s">
        <v>1880</v>
      </c>
      <c r="P50" t="s">
        <v>1879</v>
      </c>
      <c r="Q50" t="s">
        <v>1878</v>
      </c>
      <c r="R50" s="7">
        <v>33573</v>
      </c>
      <c r="S50" s="8">
        <f t="shared" si="0"/>
        <v>1991</v>
      </c>
      <c r="T50" s="8">
        <v>1991</v>
      </c>
      <c r="U50" s="8">
        <f t="shared" si="1"/>
        <v>31</v>
      </c>
      <c r="V50" s="7">
        <v>33573</v>
      </c>
      <c r="W50" t="s">
        <v>49</v>
      </c>
      <c r="X50" s="2">
        <v>0.30399999999999999</v>
      </c>
      <c r="Y50" s="6">
        <f t="shared" si="2"/>
        <v>8.115106377299057E-3</v>
      </c>
      <c r="AA50">
        <v>8952477</v>
      </c>
      <c r="AB50">
        <v>12250</v>
      </c>
      <c r="AD50" t="s">
        <v>1</v>
      </c>
      <c r="AE50">
        <v>4</v>
      </c>
      <c r="AF50">
        <v>13</v>
      </c>
      <c r="AH50" t="s">
        <v>150</v>
      </c>
      <c r="AI50" t="s">
        <v>1877</v>
      </c>
      <c r="AK50" t="s">
        <v>1876</v>
      </c>
      <c r="AL50">
        <v>0</v>
      </c>
      <c r="AM50" s="5">
        <f t="shared" si="3"/>
        <v>0</v>
      </c>
      <c r="AN50" s="4">
        <f t="shared" si="4"/>
        <v>0</v>
      </c>
      <c r="AO50" s="3"/>
      <c r="AP50">
        <v>0</v>
      </c>
      <c r="AR50" t="s">
        <v>0</v>
      </c>
      <c r="AT50" s="2" t="s">
        <v>5</v>
      </c>
      <c r="AU50" s="1">
        <f t="shared" si="5"/>
        <v>0.56805744641093392</v>
      </c>
      <c r="AV50" s="1">
        <f t="shared" si="6"/>
        <v>0.40575531886495286</v>
      </c>
      <c r="AW50" s="1">
        <f t="shared" si="7"/>
        <v>0.24345319131897172</v>
      </c>
    </row>
    <row r="51" spans="1:49" x14ac:dyDescent="0.2">
      <c r="A51">
        <v>49</v>
      </c>
      <c r="B51" t="s">
        <v>1875</v>
      </c>
      <c r="F51" t="s">
        <v>1874</v>
      </c>
      <c r="G51" t="s">
        <v>3</v>
      </c>
      <c r="H51" t="s">
        <v>2</v>
      </c>
      <c r="I51" t="s">
        <v>1873</v>
      </c>
      <c r="N51">
        <v>3</v>
      </c>
      <c r="O51" t="s">
        <v>1872</v>
      </c>
      <c r="P51" t="s">
        <v>1871</v>
      </c>
      <c r="Q51" t="s">
        <v>54</v>
      </c>
      <c r="R51" s="7">
        <v>33573</v>
      </c>
      <c r="S51" s="8">
        <f t="shared" si="0"/>
        <v>1991</v>
      </c>
      <c r="T51" s="8">
        <v>1991</v>
      </c>
      <c r="U51" s="8">
        <f t="shared" si="1"/>
        <v>31</v>
      </c>
      <c r="V51" s="7">
        <v>1991</v>
      </c>
      <c r="W51" t="s">
        <v>50</v>
      </c>
      <c r="X51" s="2" t="s">
        <v>5</v>
      </c>
      <c r="Y51" s="6" t="e">
        <f t="shared" si="2"/>
        <v>#VALUE!</v>
      </c>
      <c r="AA51">
        <v>87566648</v>
      </c>
      <c r="AB51">
        <v>74127</v>
      </c>
      <c r="AD51" t="s">
        <v>1</v>
      </c>
      <c r="AE51">
        <v>36</v>
      </c>
      <c r="AF51">
        <v>9</v>
      </c>
      <c r="AH51" t="s">
        <v>1870</v>
      </c>
      <c r="AI51" t="s">
        <v>1869</v>
      </c>
      <c r="AK51" t="s">
        <v>1868</v>
      </c>
      <c r="AL51">
        <v>0</v>
      </c>
      <c r="AM51" s="5">
        <f t="shared" si="3"/>
        <v>0</v>
      </c>
      <c r="AN51" s="4">
        <f t="shared" si="4"/>
        <v>0</v>
      </c>
      <c r="AO51" s="3"/>
      <c r="AP51">
        <v>0</v>
      </c>
      <c r="AR51" t="s">
        <v>0</v>
      </c>
      <c r="AT51" s="2" t="s">
        <v>5</v>
      </c>
      <c r="AU51" s="1" t="e">
        <f t="shared" si="5"/>
        <v>#VALUE!</v>
      </c>
      <c r="AV51" s="1" t="e">
        <f t="shared" si="6"/>
        <v>#VALUE!</v>
      </c>
      <c r="AW51" s="1" t="e">
        <f t="shared" si="7"/>
        <v>#VALUE!</v>
      </c>
    </row>
    <row r="52" spans="1:49" x14ac:dyDescent="0.2">
      <c r="A52">
        <v>50</v>
      </c>
      <c r="B52" t="s">
        <v>1867</v>
      </c>
      <c r="F52" t="s">
        <v>1866</v>
      </c>
      <c r="G52" t="s">
        <v>3</v>
      </c>
      <c r="H52" t="s">
        <v>2</v>
      </c>
      <c r="I52" t="s">
        <v>1865</v>
      </c>
      <c r="J52">
        <v>60020661</v>
      </c>
      <c r="K52" t="s">
        <v>145</v>
      </c>
      <c r="L52" t="s">
        <v>144</v>
      </c>
      <c r="M52" t="s">
        <v>10</v>
      </c>
      <c r="N52">
        <v>1</v>
      </c>
      <c r="O52" t="s">
        <v>1864</v>
      </c>
      <c r="P52">
        <v>6505872311</v>
      </c>
      <c r="Q52">
        <v>60020661</v>
      </c>
      <c r="R52" s="7">
        <v>33573</v>
      </c>
      <c r="S52" s="8">
        <f t="shared" si="0"/>
        <v>1991</v>
      </c>
      <c r="T52" s="8">
        <v>1991</v>
      </c>
      <c r="U52" s="8">
        <f t="shared" si="1"/>
        <v>31</v>
      </c>
      <c r="V52" s="7">
        <v>33573</v>
      </c>
      <c r="W52" t="s">
        <v>55</v>
      </c>
      <c r="X52" s="2">
        <v>0.216</v>
      </c>
      <c r="Y52" s="6">
        <f t="shared" si="2"/>
        <v>5.765996636501962E-3</v>
      </c>
      <c r="AA52">
        <v>10544887</v>
      </c>
      <c r="AB52">
        <v>13200</v>
      </c>
      <c r="AD52" t="s">
        <v>1</v>
      </c>
      <c r="AE52">
        <v>6</v>
      </c>
      <c r="AF52">
        <v>2</v>
      </c>
      <c r="AH52" t="s">
        <v>1863</v>
      </c>
      <c r="AI52" t="s">
        <v>1862</v>
      </c>
      <c r="AK52" t="s">
        <v>1861</v>
      </c>
      <c r="AL52">
        <v>3</v>
      </c>
      <c r="AM52" s="5">
        <f t="shared" si="3"/>
        <v>9.6774193548387094E-2</v>
      </c>
      <c r="AN52" s="4">
        <f t="shared" si="4"/>
        <v>1.4657204626790927E-4</v>
      </c>
      <c r="AO52" s="3"/>
      <c r="AP52">
        <v>0</v>
      </c>
      <c r="AR52" t="s">
        <v>0</v>
      </c>
      <c r="AT52" s="2" t="s">
        <v>5</v>
      </c>
      <c r="AU52" s="1">
        <f t="shared" si="5"/>
        <v>0.40801692594317457</v>
      </c>
      <c r="AV52" s="1">
        <f t="shared" si="6"/>
        <v>0.29562843413849355</v>
      </c>
      <c r="AW52" s="1">
        <f t="shared" si="7"/>
        <v>0.18323994233381252</v>
      </c>
    </row>
    <row r="53" spans="1:49" x14ac:dyDescent="0.2">
      <c r="A53">
        <v>51</v>
      </c>
      <c r="B53" t="s">
        <v>1860</v>
      </c>
      <c r="F53" t="s">
        <v>1859</v>
      </c>
      <c r="G53" t="s">
        <v>3</v>
      </c>
      <c r="H53" t="s">
        <v>2</v>
      </c>
      <c r="I53" t="s">
        <v>1858</v>
      </c>
      <c r="J53">
        <v>60014826</v>
      </c>
      <c r="K53" t="s">
        <v>1857</v>
      </c>
      <c r="L53" t="s">
        <v>1856</v>
      </c>
      <c r="M53" t="s">
        <v>6</v>
      </c>
      <c r="N53">
        <v>1</v>
      </c>
      <c r="O53" t="s">
        <v>1855</v>
      </c>
      <c r="P53">
        <v>55950232900</v>
      </c>
      <c r="Q53">
        <v>60014826</v>
      </c>
      <c r="R53" s="7">
        <v>33573</v>
      </c>
      <c r="S53" s="8">
        <f t="shared" si="0"/>
        <v>1991</v>
      </c>
      <c r="T53" s="8">
        <v>1991</v>
      </c>
      <c r="U53" s="8">
        <f t="shared" si="1"/>
        <v>31</v>
      </c>
      <c r="V53" s="7">
        <v>33573</v>
      </c>
      <c r="W53" t="s">
        <v>55</v>
      </c>
      <c r="X53" s="2">
        <v>0.216</v>
      </c>
      <c r="Y53" s="6">
        <f t="shared" si="2"/>
        <v>5.765996636501962E-3</v>
      </c>
      <c r="AA53">
        <v>10544887</v>
      </c>
      <c r="AB53">
        <v>13200</v>
      </c>
      <c r="AD53" t="s">
        <v>1</v>
      </c>
      <c r="AE53">
        <v>6</v>
      </c>
      <c r="AF53">
        <v>2</v>
      </c>
      <c r="AH53" t="s">
        <v>1854</v>
      </c>
      <c r="AI53" t="s">
        <v>1853</v>
      </c>
      <c r="AK53" t="s">
        <v>1852</v>
      </c>
      <c r="AL53">
        <v>2</v>
      </c>
      <c r="AM53" s="5">
        <f t="shared" si="3"/>
        <v>6.4516129032258063E-2</v>
      </c>
      <c r="AN53" s="4">
        <f t="shared" si="4"/>
        <v>9.7714697511939517E-5</v>
      </c>
      <c r="AO53" s="3"/>
      <c r="AP53">
        <v>0</v>
      </c>
      <c r="AR53" t="s">
        <v>0</v>
      </c>
      <c r="AT53" s="2" t="s">
        <v>5</v>
      </c>
      <c r="AU53" s="1">
        <f t="shared" si="5"/>
        <v>0.40655120548049545</v>
      </c>
      <c r="AV53" s="1">
        <f t="shared" si="6"/>
        <v>0.29318556670069507</v>
      </c>
      <c r="AW53" s="1">
        <f t="shared" si="7"/>
        <v>0.17981992792089463</v>
      </c>
    </row>
    <row r="54" spans="1:49" x14ac:dyDescent="0.2">
      <c r="A54">
        <v>52</v>
      </c>
      <c r="B54" t="s">
        <v>1851</v>
      </c>
      <c r="F54" t="s">
        <v>1850</v>
      </c>
      <c r="G54" t="s">
        <v>3</v>
      </c>
      <c r="H54" t="s">
        <v>2</v>
      </c>
      <c r="I54" t="s">
        <v>1849</v>
      </c>
      <c r="J54">
        <v>60031581</v>
      </c>
      <c r="K54" t="s">
        <v>133</v>
      </c>
      <c r="L54" t="s">
        <v>34</v>
      </c>
      <c r="M54" t="s">
        <v>6</v>
      </c>
      <c r="N54">
        <v>2</v>
      </c>
      <c r="O54" t="s">
        <v>1848</v>
      </c>
      <c r="P54" t="s">
        <v>1847</v>
      </c>
      <c r="Q54" t="s">
        <v>233</v>
      </c>
      <c r="R54" s="7">
        <v>33573</v>
      </c>
      <c r="S54" s="8">
        <f t="shared" si="0"/>
        <v>1991</v>
      </c>
      <c r="T54" s="8">
        <v>1991</v>
      </c>
      <c r="U54" s="8">
        <f t="shared" si="1"/>
        <v>31</v>
      </c>
      <c r="V54" s="7">
        <v>33573</v>
      </c>
      <c r="W54" t="s">
        <v>55</v>
      </c>
      <c r="X54" s="2">
        <v>0.216</v>
      </c>
      <c r="Y54" s="6">
        <f t="shared" si="2"/>
        <v>5.765996636501962E-3</v>
      </c>
      <c r="AA54">
        <v>10544887</v>
      </c>
      <c r="AB54">
        <v>13200</v>
      </c>
      <c r="AD54" t="s">
        <v>1</v>
      </c>
      <c r="AE54">
        <v>6</v>
      </c>
      <c r="AF54">
        <v>2</v>
      </c>
      <c r="AH54" t="s">
        <v>1846</v>
      </c>
      <c r="AI54" t="s">
        <v>1845</v>
      </c>
      <c r="AK54" t="s">
        <v>1844</v>
      </c>
      <c r="AL54">
        <v>8</v>
      </c>
      <c r="AM54" s="5">
        <f t="shared" si="3"/>
        <v>0.25806451612903225</v>
      </c>
      <c r="AN54" s="4">
        <f t="shared" si="4"/>
        <v>3.9085879004775807E-4</v>
      </c>
      <c r="AO54" s="3"/>
      <c r="AP54">
        <v>0</v>
      </c>
      <c r="AR54" t="s">
        <v>0</v>
      </c>
      <c r="AT54" s="2" t="s">
        <v>5</v>
      </c>
      <c r="AU54" s="1">
        <f t="shared" si="5"/>
        <v>0.41534552825657001</v>
      </c>
      <c r="AV54" s="1">
        <f t="shared" si="6"/>
        <v>0.307842771327486</v>
      </c>
      <c r="AW54" s="1">
        <f t="shared" si="7"/>
        <v>0.20034001439840193</v>
      </c>
    </row>
    <row r="55" spans="1:49" x14ac:dyDescent="0.2">
      <c r="A55">
        <v>53</v>
      </c>
      <c r="B55" t="s">
        <v>1843</v>
      </c>
      <c r="F55" t="s">
        <v>1842</v>
      </c>
      <c r="G55" t="s">
        <v>3</v>
      </c>
      <c r="H55" t="s">
        <v>2</v>
      </c>
      <c r="I55" t="s">
        <v>1841</v>
      </c>
      <c r="N55">
        <v>3</v>
      </c>
      <c r="O55" t="s">
        <v>1840</v>
      </c>
      <c r="P55" t="s">
        <v>1839</v>
      </c>
      <c r="Q55" t="s">
        <v>54</v>
      </c>
      <c r="R55" s="7">
        <v>33573</v>
      </c>
      <c r="S55" s="8">
        <f t="shared" si="0"/>
        <v>1991</v>
      </c>
      <c r="T55" s="8">
        <v>1991</v>
      </c>
      <c r="U55" s="8">
        <f t="shared" si="1"/>
        <v>31</v>
      </c>
      <c r="V55" s="7">
        <v>1991</v>
      </c>
      <c r="W55" t="s">
        <v>50</v>
      </c>
      <c r="X55" s="2" t="s">
        <v>5</v>
      </c>
      <c r="Y55" s="6" t="e">
        <f t="shared" si="2"/>
        <v>#VALUE!</v>
      </c>
      <c r="AA55">
        <v>87566648</v>
      </c>
      <c r="AB55">
        <v>74127</v>
      </c>
      <c r="AD55" t="s">
        <v>1</v>
      </c>
      <c r="AE55">
        <v>36</v>
      </c>
      <c r="AF55">
        <v>13</v>
      </c>
      <c r="AH55" s="9">
        <v>44506</v>
      </c>
      <c r="AI55" t="s">
        <v>1838</v>
      </c>
      <c r="AK55" t="s">
        <v>1837</v>
      </c>
      <c r="AL55">
        <v>0</v>
      </c>
      <c r="AM55" s="5">
        <f t="shared" si="3"/>
        <v>0</v>
      </c>
      <c r="AN55" s="4">
        <f t="shared" si="4"/>
        <v>0</v>
      </c>
      <c r="AO55" s="3"/>
      <c r="AP55">
        <v>0</v>
      </c>
      <c r="AR55" t="s">
        <v>0</v>
      </c>
      <c r="AT55" s="2" t="s">
        <v>5</v>
      </c>
      <c r="AU55" s="1" t="e">
        <f t="shared" si="5"/>
        <v>#VALUE!</v>
      </c>
      <c r="AV55" s="1" t="e">
        <f t="shared" si="6"/>
        <v>#VALUE!</v>
      </c>
      <c r="AW55" s="1" t="e">
        <f t="shared" si="7"/>
        <v>#VALUE!</v>
      </c>
    </row>
    <row r="56" spans="1:49" x14ac:dyDescent="0.2">
      <c r="A56">
        <v>54</v>
      </c>
      <c r="B56" t="s">
        <v>1836</v>
      </c>
      <c r="F56" t="s">
        <v>1835</v>
      </c>
      <c r="G56" t="s">
        <v>3</v>
      </c>
      <c r="H56" t="s">
        <v>2</v>
      </c>
      <c r="I56" t="s">
        <v>1834</v>
      </c>
      <c r="N56">
        <v>1</v>
      </c>
      <c r="O56" t="s">
        <v>1833</v>
      </c>
      <c r="P56">
        <v>7202673450</v>
      </c>
      <c r="R56" s="7">
        <v>33573</v>
      </c>
      <c r="S56" s="8">
        <f t="shared" si="0"/>
        <v>1991</v>
      </c>
      <c r="T56" s="8">
        <v>1991</v>
      </c>
      <c r="U56" s="8">
        <f t="shared" si="1"/>
        <v>31</v>
      </c>
      <c r="V56" s="7">
        <v>1991</v>
      </c>
      <c r="W56" t="s">
        <v>50</v>
      </c>
      <c r="X56" s="2" t="s">
        <v>5</v>
      </c>
      <c r="Y56" s="6" t="e">
        <f t="shared" si="2"/>
        <v>#VALUE!</v>
      </c>
      <c r="AA56">
        <v>87566648</v>
      </c>
      <c r="AB56">
        <v>74127</v>
      </c>
      <c r="AD56" t="s">
        <v>1</v>
      </c>
      <c r="AE56">
        <v>36</v>
      </c>
      <c r="AF56">
        <v>12</v>
      </c>
      <c r="AH56" t="s">
        <v>1832</v>
      </c>
      <c r="AI56" t="s">
        <v>1831</v>
      </c>
      <c r="AK56" t="s">
        <v>1830</v>
      </c>
      <c r="AL56">
        <v>1</v>
      </c>
      <c r="AM56" s="5">
        <f t="shared" si="3"/>
        <v>3.2258064516129031E-2</v>
      </c>
      <c r="AN56" s="4">
        <f t="shared" si="4"/>
        <v>4.8857348755969758E-5</v>
      </c>
      <c r="AO56" s="3"/>
      <c r="AP56">
        <v>0</v>
      </c>
      <c r="AR56" t="s">
        <v>0</v>
      </c>
      <c r="AT56" s="2" t="s">
        <v>5</v>
      </c>
      <c r="AU56" s="1" t="e">
        <f t="shared" si="5"/>
        <v>#VALUE!</v>
      </c>
      <c r="AV56" s="1" t="e">
        <f t="shared" si="6"/>
        <v>#VALUE!</v>
      </c>
      <c r="AW56" s="1" t="e">
        <f t="shared" si="7"/>
        <v>#VALUE!</v>
      </c>
    </row>
    <row r="57" spans="1:49" x14ac:dyDescent="0.2">
      <c r="A57">
        <v>55</v>
      </c>
      <c r="B57" t="s">
        <v>1829</v>
      </c>
      <c r="F57" t="s">
        <v>1828</v>
      </c>
      <c r="G57" t="s">
        <v>3</v>
      </c>
      <c r="H57" t="s">
        <v>2</v>
      </c>
      <c r="I57" t="s">
        <v>1827</v>
      </c>
      <c r="N57">
        <v>2</v>
      </c>
      <c r="O57" t="s">
        <v>1826</v>
      </c>
      <c r="P57" t="s">
        <v>1825</v>
      </c>
      <c r="Q57" t="s">
        <v>51</v>
      </c>
      <c r="R57" s="7">
        <v>33573</v>
      </c>
      <c r="S57" s="8">
        <f t="shared" si="0"/>
        <v>1991</v>
      </c>
      <c r="T57" s="8">
        <v>1991</v>
      </c>
      <c r="U57" s="8">
        <f t="shared" si="1"/>
        <v>31</v>
      </c>
      <c r="V57" s="7">
        <v>1991</v>
      </c>
      <c r="W57" t="s">
        <v>50</v>
      </c>
      <c r="X57" s="2" t="s">
        <v>5</v>
      </c>
      <c r="Y57" s="6" t="e">
        <f t="shared" si="2"/>
        <v>#VALUE!</v>
      </c>
      <c r="AA57">
        <v>87566648</v>
      </c>
      <c r="AB57">
        <v>74127</v>
      </c>
      <c r="AD57" t="s">
        <v>1</v>
      </c>
      <c r="AE57">
        <v>36</v>
      </c>
      <c r="AF57">
        <v>15</v>
      </c>
      <c r="AH57" t="s">
        <v>58</v>
      </c>
      <c r="AI57" t="s">
        <v>1824</v>
      </c>
      <c r="AK57" t="s">
        <v>1823</v>
      </c>
      <c r="AL57">
        <v>0</v>
      </c>
      <c r="AM57" s="5">
        <f t="shared" si="3"/>
        <v>0</v>
      </c>
      <c r="AN57" s="4">
        <f t="shared" si="4"/>
        <v>0</v>
      </c>
      <c r="AO57" s="3"/>
      <c r="AP57">
        <v>0</v>
      </c>
      <c r="AR57" t="s">
        <v>0</v>
      </c>
      <c r="AT57" s="2" t="s">
        <v>5</v>
      </c>
      <c r="AU57" s="1" t="e">
        <f t="shared" si="5"/>
        <v>#VALUE!</v>
      </c>
      <c r="AV57" s="1" t="e">
        <f t="shared" si="6"/>
        <v>#VALUE!</v>
      </c>
      <c r="AW57" s="1" t="e">
        <f t="shared" si="7"/>
        <v>#VALUE!</v>
      </c>
    </row>
    <row r="58" spans="1:49" x14ac:dyDescent="0.2">
      <c r="A58">
        <v>56</v>
      </c>
      <c r="B58" t="s">
        <v>1822</v>
      </c>
      <c r="F58" t="s">
        <v>1821</v>
      </c>
      <c r="G58" t="s">
        <v>3</v>
      </c>
      <c r="H58" t="s">
        <v>2</v>
      </c>
      <c r="I58" t="s">
        <v>1820</v>
      </c>
      <c r="N58">
        <v>1</v>
      </c>
      <c r="O58" t="s">
        <v>1819</v>
      </c>
      <c r="P58">
        <v>6602121674</v>
      </c>
      <c r="R58" s="7">
        <v>33573</v>
      </c>
      <c r="S58" s="8">
        <f t="shared" si="0"/>
        <v>1991</v>
      </c>
      <c r="T58" s="8">
        <v>1991</v>
      </c>
      <c r="U58" s="8">
        <f t="shared" si="1"/>
        <v>31</v>
      </c>
      <c r="V58" s="7">
        <v>1991</v>
      </c>
      <c r="W58" t="s">
        <v>50</v>
      </c>
      <c r="X58" s="2" t="s">
        <v>5</v>
      </c>
      <c r="Y58" s="6" t="e">
        <f t="shared" si="2"/>
        <v>#VALUE!</v>
      </c>
      <c r="AA58">
        <v>87566648</v>
      </c>
      <c r="AB58">
        <v>74127</v>
      </c>
      <c r="AD58" t="s">
        <v>1</v>
      </c>
      <c r="AE58">
        <v>36</v>
      </c>
      <c r="AF58">
        <v>11</v>
      </c>
      <c r="AH58" t="s">
        <v>215</v>
      </c>
      <c r="AI58" t="s">
        <v>1818</v>
      </c>
      <c r="AK58" t="s">
        <v>1817</v>
      </c>
      <c r="AL58">
        <v>1</v>
      </c>
      <c r="AM58" s="5">
        <f t="shared" si="3"/>
        <v>3.2258064516129031E-2</v>
      </c>
      <c r="AN58" s="4">
        <f t="shared" si="4"/>
        <v>4.8857348755969758E-5</v>
      </c>
      <c r="AO58" s="3"/>
      <c r="AP58">
        <v>0</v>
      </c>
      <c r="AR58" t="s">
        <v>0</v>
      </c>
      <c r="AT58" s="2" t="s">
        <v>5</v>
      </c>
      <c r="AU58" s="1" t="e">
        <f t="shared" si="5"/>
        <v>#VALUE!</v>
      </c>
      <c r="AV58" s="1" t="e">
        <f t="shared" si="6"/>
        <v>#VALUE!</v>
      </c>
      <c r="AW58" s="1" t="e">
        <f t="shared" si="7"/>
        <v>#VALUE!</v>
      </c>
    </row>
    <row r="59" spans="1:49" x14ac:dyDescent="0.2">
      <c r="A59">
        <v>57</v>
      </c>
      <c r="B59" t="s">
        <v>1816</v>
      </c>
      <c r="F59" t="s">
        <v>1815</v>
      </c>
      <c r="G59" t="s">
        <v>3</v>
      </c>
      <c r="H59" t="s">
        <v>2</v>
      </c>
      <c r="I59" t="s">
        <v>52</v>
      </c>
      <c r="N59">
        <v>2</v>
      </c>
      <c r="O59" t="s">
        <v>1814</v>
      </c>
      <c r="P59" t="s">
        <v>1813</v>
      </c>
      <c r="Q59" t="s">
        <v>51</v>
      </c>
      <c r="R59" s="7">
        <v>33573</v>
      </c>
      <c r="S59" s="8">
        <f t="shared" si="0"/>
        <v>1991</v>
      </c>
      <c r="T59" s="8">
        <v>1991</v>
      </c>
      <c r="U59" s="8">
        <f t="shared" si="1"/>
        <v>31</v>
      </c>
      <c r="V59" s="7">
        <v>1991</v>
      </c>
      <c r="W59" t="s">
        <v>50</v>
      </c>
      <c r="X59" s="2" t="s">
        <v>5</v>
      </c>
      <c r="Y59" s="6" t="e">
        <f t="shared" si="2"/>
        <v>#VALUE!</v>
      </c>
      <c r="AA59">
        <v>87566648</v>
      </c>
      <c r="AB59">
        <v>74127</v>
      </c>
      <c r="AD59" t="s">
        <v>1</v>
      </c>
      <c r="AE59">
        <v>36</v>
      </c>
      <c r="AF59">
        <v>15</v>
      </c>
      <c r="AH59" t="s">
        <v>1812</v>
      </c>
      <c r="AI59" t="s">
        <v>1811</v>
      </c>
      <c r="AK59" t="s">
        <v>1810</v>
      </c>
      <c r="AL59">
        <v>0</v>
      </c>
      <c r="AM59" s="5">
        <f t="shared" si="3"/>
        <v>0</v>
      </c>
      <c r="AN59" s="4">
        <f t="shared" si="4"/>
        <v>0</v>
      </c>
      <c r="AO59" s="3"/>
      <c r="AP59">
        <v>0</v>
      </c>
      <c r="AR59" t="s">
        <v>0</v>
      </c>
      <c r="AT59" s="2" t="s">
        <v>5</v>
      </c>
      <c r="AU59" s="1" t="e">
        <f t="shared" si="5"/>
        <v>#VALUE!</v>
      </c>
      <c r="AV59" s="1" t="e">
        <f t="shared" si="6"/>
        <v>#VALUE!</v>
      </c>
      <c r="AW59" s="1" t="e">
        <f t="shared" si="7"/>
        <v>#VALUE!</v>
      </c>
    </row>
    <row r="60" spans="1:49" x14ac:dyDescent="0.2">
      <c r="A60">
        <v>58</v>
      </c>
      <c r="B60" t="s">
        <v>1809</v>
      </c>
      <c r="F60" t="s">
        <v>1808</v>
      </c>
      <c r="G60" t="s">
        <v>3</v>
      </c>
      <c r="H60" t="s">
        <v>2</v>
      </c>
      <c r="I60" t="s">
        <v>1807</v>
      </c>
      <c r="N60">
        <v>1</v>
      </c>
      <c r="O60" t="s">
        <v>1806</v>
      </c>
      <c r="P60">
        <v>6602453039</v>
      </c>
      <c r="R60" s="7">
        <v>33573</v>
      </c>
      <c r="S60" s="8">
        <f t="shared" si="0"/>
        <v>1991</v>
      </c>
      <c r="T60" s="8">
        <v>1991</v>
      </c>
      <c r="U60" s="8">
        <f t="shared" si="1"/>
        <v>31</v>
      </c>
      <c r="V60" s="7">
        <v>1991</v>
      </c>
      <c r="W60" t="s">
        <v>50</v>
      </c>
      <c r="X60" s="2" t="s">
        <v>5</v>
      </c>
      <c r="Y60" s="6" t="e">
        <f t="shared" si="2"/>
        <v>#VALUE!</v>
      </c>
      <c r="AA60">
        <v>87566648</v>
      </c>
      <c r="AB60">
        <v>74127</v>
      </c>
      <c r="AD60" t="s">
        <v>1</v>
      </c>
      <c r="AE60">
        <v>36</v>
      </c>
      <c r="AF60">
        <v>12</v>
      </c>
      <c r="AH60" t="s">
        <v>1805</v>
      </c>
      <c r="AI60" t="s">
        <v>1804</v>
      </c>
      <c r="AK60" t="s">
        <v>1803</v>
      </c>
      <c r="AL60">
        <v>0</v>
      </c>
      <c r="AM60" s="5">
        <f t="shared" si="3"/>
        <v>0</v>
      </c>
      <c r="AN60" s="4">
        <f t="shared" si="4"/>
        <v>0</v>
      </c>
      <c r="AO60" s="3"/>
      <c r="AP60">
        <v>0</v>
      </c>
      <c r="AR60" t="s">
        <v>0</v>
      </c>
      <c r="AT60" s="2" t="s">
        <v>5</v>
      </c>
      <c r="AU60" s="1" t="e">
        <f t="shared" si="5"/>
        <v>#VALUE!</v>
      </c>
      <c r="AV60" s="1" t="e">
        <f t="shared" si="6"/>
        <v>#VALUE!</v>
      </c>
      <c r="AW60" s="1" t="e">
        <f t="shared" si="7"/>
        <v>#VALUE!</v>
      </c>
    </row>
    <row r="61" spans="1:49" x14ac:dyDescent="0.2">
      <c r="A61">
        <v>59</v>
      </c>
      <c r="B61" t="s">
        <v>1802</v>
      </c>
      <c r="F61" t="s">
        <v>1801</v>
      </c>
      <c r="G61" t="s">
        <v>3</v>
      </c>
      <c r="H61" t="s">
        <v>2</v>
      </c>
      <c r="I61" t="s">
        <v>1800</v>
      </c>
      <c r="N61">
        <v>2</v>
      </c>
      <c r="O61" t="s">
        <v>1799</v>
      </c>
      <c r="P61" t="s">
        <v>1798</v>
      </c>
      <c r="Q61" t="s">
        <v>51</v>
      </c>
      <c r="R61" s="7">
        <v>33573</v>
      </c>
      <c r="S61" s="8">
        <f t="shared" si="0"/>
        <v>1991</v>
      </c>
      <c r="T61" s="8">
        <v>1991</v>
      </c>
      <c r="U61" s="8">
        <f t="shared" si="1"/>
        <v>31</v>
      </c>
      <c r="V61" s="7">
        <v>1991</v>
      </c>
      <c r="W61" t="s">
        <v>50</v>
      </c>
      <c r="X61" s="2" t="s">
        <v>5</v>
      </c>
      <c r="Y61" s="6" t="e">
        <f t="shared" si="2"/>
        <v>#VALUE!</v>
      </c>
      <c r="AA61">
        <v>87566648</v>
      </c>
      <c r="AB61">
        <v>74127</v>
      </c>
      <c r="AD61" t="s">
        <v>1</v>
      </c>
      <c r="AE61">
        <v>36</v>
      </c>
      <c r="AF61">
        <v>13</v>
      </c>
      <c r="AH61" t="s">
        <v>1797</v>
      </c>
      <c r="AI61" t="s">
        <v>1796</v>
      </c>
      <c r="AK61" t="s">
        <v>1795</v>
      </c>
      <c r="AL61">
        <v>0</v>
      </c>
      <c r="AM61" s="5">
        <f t="shared" si="3"/>
        <v>0</v>
      </c>
      <c r="AN61" s="4">
        <f t="shared" si="4"/>
        <v>0</v>
      </c>
      <c r="AO61" s="3"/>
      <c r="AP61">
        <v>0</v>
      </c>
      <c r="AR61" t="s">
        <v>0</v>
      </c>
      <c r="AT61" s="2" t="s">
        <v>5</v>
      </c>
      <c r="AU61" s="1" t="e">
        <f t="shared" si="5"/>
        <v>#VALUE!</v>
      </c>
      <c r="AV61" s="1" t="e">
        <f t="shared" si="6"/>
        <v>#VALUE!</v>
      </c>
      <c r="AW61" s="1" t="e">
        <f t="shared" si="7"/>
        <v>#VALUE!</v>
      </c>
    </row>
    <row r="62" spans="1:49" x14ac:dyDescent="0.2">
      <c r="A62">
        <v>60</v>
      </c>
      <c r="B62" t="s">
        <v>1794</v>
      </c>
      <c r="F62" t="s">
        <v>1793</v>
      </c>
      <c r="G62" t="s">
        <v>3</v>
      </c>
      <c r="H62" t="s">
        <v>2</v>
      </c>
      <c r="I62" t="s">
        <v>1792</v>
      </c>
      <c r="N62">
        <v>2</v>
      </c>
      <c r="O62" t="s">
        <v>1791</v>
      </c>
      <c r="P62" t="s">
        <v>1790</v>
      </c>
      <c r="Q62" t="s">
        <v>51</v>
      </c>
      <c r="R62" s="7">
        <v>33573</v>
      </c>
      <c r="S62" s="8">
        <f t="shared" si="0"/>
        <v>1991</v>
      </c>
      <c r="T62" s="8">
        <v>1991</v>
      </c>
      <c r="U62" s="8">
        <f t="shared" si="1"/>
        <v>31</v>
      </c>
      <c r="V62" s="7">
        <v>1991</v>
      </c>
      <c r="W62" t="s">
        <v>50</v>
      </c>
      <c r="X62" s="2" t="s">
        <v>5</v>
      </c>
      <c r="Y62" s="6" t="e">
        <f t="shared" si="2"/>
        <v>#VALUE!</v>
      </c>
      <c r="AA62">
        <v>87566648</v>
      </c>
      <c r="AB62">
        <v>74127</v>
      </c>
      <c r="AD62" t="s">
        <v>1</v>
      </c>
      <c r="AE62">
        <v>36</v>
      </c>
      <c r="AF62">
        <v>10</v>
      </c>
      <c r="AH62" t="s">
        <v>1789</v>
      </c>
      <c r="AI62" t="s">
        <v>1788</v>
      </c>
      <c r="AK62" t="s">
        <v>1787</v>
      </c>
      <c r="AL62">
        <v>0</v>
      </c>
      <c r="AM62" s="5">
        <f t="shared" si="3"/>
        <v>0</v>
      </c>
      <c r="AN62" s="4">
        <f t="shared" si="4"/>
        <v>0</v>
      </c>
      <c r="AO62" s="3"/>
      <c r="AP62">
        <v>0</v>
      </c>
      <c r="AR62" t="s">
        <v>0</v>
      </c>
      <c r="AT62" s="2" t="s">
        <v>5</v>
      </c>
      <c r="AU62" s="1" t="e">
        <f t="shared" si="5"/>
        <v>#VALUE!</v>
      </c>
      <c r="AV62" s="1" t="e">
        <f t="shared" si="6"/>
        <v>#VALUE!</v>
      </c>
      <c r="AW62" s="1" t="e">
        <f t="shared" si="7"/>
        <v>#VALUE!</v>
      </c>
    </row>
    <row r="63" spans="1:49" x14ac:dyDescent="0.2">
      <c r="A63">
        <v>61</v>
      </c>
      <c r="B63" t="s">
        <v>1786</v>
      </c>
      <c r="F63" t="s">
        <v>1785</v>
      </c>
      <c r="G63" t="s">
        <v>3</v>
      </c>
      <c r="H63" t="s">
        <v>2</v>
      </c>
      <c r="I63" t="s">
        <v>1784</v>
      </c>
      <c r="N63">
        <v>2</v>
      </c>
      <c r="O63" t="s">
        <v>1783</v>
      </c>
      <c r="P63" t="s">
        <v>1782</v>
      </c>
      <c r="Q63" t="s">
        <v>51</v>
      </c>
      <c r="R63" s="7">
        <v>33573</v>
      </c>
      <c r="S63" s="8">
        <f t="shared" si="0"/>
        <v>1991</v>
      </c>
      <c r="T63" s="8">
        <v>1991</v>
      </c>
      <c r="U63" s="8">
        <f t="shared" si="1"/>
        <v>31</v>
      </c>
      <c r="V63" s="7">
        <v>1991</v>
      </c>
      <c r="W63" t="s">
        <v>50</v>
      </c>
      <c r="X63" s="2" t="s">
        <v>5</v>
      </c>
      <c r="Y63" s="6" t="e">
        <f t="shared" si="2"/>
        <v>#VALUE!</v>
      </c>
      <c r="AA63">
        <v>87566648</v>
      </c>
      <c r="AB63">
        <v>74127</v>
      </c>
      <c r="AD63" t="s">
        <v>1</v>
      </c>
      <c r="AE63">
        <v>36</v>
      </c>
      <c r="AF63">
        <v>10</v>
      </c>
      <c r="AH63" t="s">
        <v>1781</v>
      </c>
      <c r="AI63" t="s">
        <v>1780</v>
      </c>
      <c r="AK63" t="s">
        <v>1779</v>
      </c>
      <c r="AL63">
        <v>1</v>
      </c>
      <c r="AM63" s="5">
        <f t="shared" si="3"/>
        <v>3.2258064516129031E-2</v>
      </c>
      <c r="AN63" s="4">
        <f t="shared" si="4"/>
        <v>4.8857348755969758E-5</v>
      </c>
      <c r="AO63" s="3"/>
      <c r="AP63">
        <v>0</v>
      </c>
      <c r="AR63" t="s">
        <v>0</v>
      </c>
      <c r="AT63" s="2" t="s">
        <v>5</v>
      </c>
      <c r="AU63" s="1" t="e">
        <f t="shared" si="5"/>
        <v>#VALUE!</v>
      </c>
      <c r="AV63" s="1" t="e">
        <f t="shared" si="6"/>
        <v>#VALUE!</v>
      </c>
      <c r="AW63" s="1" t="e">
        <f t="shared" si="7"/>
        <v>#VALUE!</v>
      </c>
    </row>
    <row r="64" spans="1:49" x14ac:dyDescent="0.2">
      <c r="A64">
        <v>62</v>
      </c>
      <c r="B64" t="s">
        <v>1778</v>
      </c>
      <c r="F64" t="s">
        <v>1777</v>
      </c>
      <c r="G64" t="s">
        <v>3</v>
      </c>
      <c r="H64" t="s">
        <v>2</v>
      </c>
      <c r="I64" t="s">
        <v>1776</v>
      </c>
      <c r="N64">
        <v>6</v>
      </c>
      <c r="O64" t="s">
        <v>1775</v>
      </c>
      <c r="P64" t="s">
        <v>1774</v>
      </c>
      <c r="Q64" t="s">
        <v>136</v>
      </c>
      <c r="R64" s="7">
        <v>33573</v>
      </c>
      <c r="S64" s="8">
        <f t="shared" si="0"/>
        <v>1991</v>
      </c>
      <c r="T64" s="8">
        <v>1991</v>
      </c>
      <c r="U64" s="8">
        <f t="shared" si="1"/>
        <v>31</v>
      </c>
      <c r="V64" s="7">
        <v>1991</v>
      </c>
      <c r="W64" t="s">
        <v>50</v>
      </c>
      <c r="X64" s="2" t="s">
        <v>5</v>
      </c>
      <c r="Y64" s="6" t="e">
        <f t="shared" si="2"/>
        <v>#VALUE!</v>
      </c>
      <c r="AA64">
        <v>87566648</v>
      </c>
      <c r="AB64">
        <v>74127</v>
      </c>
      <c r="AD64" t="s">
        <v>1</v>
      </c>
      <c r="AE64">
        <v>36</v>
      </c>
      <c r="AF64">
        <v>16</v>
      </c>
      <c r="AH64" t="s">
        <v>91</v>
      </c>
      <c r="AI64" t="s">
        <v>1773</v>
      </c>
      <c r="AK64" t="s">
        <v>1772</v>
      </c>
      <c r="AL64">
        <v>0</v>
      </c>
      <c r="AM64" s="5">
        <f t="shared" si="3"/>
        <v>0</v>
      </c>
      <c r="AN64" s="4">
        <f t="shared" si="4"/>
        <v>0</v>
      </c>
      <c r="AO64" s="3"/>
      <c r="AP64">
        <v>0</v>
      </c>
      <c r="AR64" t="s">
        <v>0</v>
      </c>
      <c r="AT64" s="2" t="s">
        <v>5</v>
      </c>
      <c r="AU64" s="1" t="e">
        <f t="shared" si="5"/>
        <v>#VALUE!</v>
      </c>
      <c r="AV64" s="1" t="e">
        <f t="shared" si="6"/>
        <v>#VALUE!</v>
      </c>
      <c r="AW64" s="1" t="e">
        <f t="shared" si="7"/>
        <v>#VALUE!</v>
      </c>
    </row>
    <row r="65" spans="1:49" x14ac:dyDescent="0.2">
      <c r="A65">
        <v>63</v>
      </c>
      <c r="B65" t="s">
        <v>1771</v>
      </c>
      <c r="F65" t="s">
        <v>1770</v>
      </c>
      <c r="G65" t="s">
        <v>3</v>
      </c>
      <c r="H65" t="s">
        <v>2</v>
      </c>
      <c r="I65" t="s">
        <v>1769</v>
      </c>
      <c r="N65">
        <v>1</v>
      </c>
      <c r="O65" t="s">
        <v>1768</v>
      </c>
      <c r="P65">
        <v>6701385580</v>
      </c>
      <c r="R65" s="7">
        <v>33573</v>
      </c>
      <c r="S65" s="8">
        <f t="shared" si="0"/>
        <v>1991</v>
      </c>
      <c r="T65" s="8">
        <v>1991</v>
      </c>
      <c r="U65" s="8">
        <f t="shared" si="1"/>
        <v>31</v>
      </c>
      <c r="V65" s="7">
        <v>1991</v>
      </c>
      <c r="W65" t="s">
        <v>50</v>
      </c>
      <c r="X65" s="2" t="s">
        <v>5</v>
      </c>
      <c r="Y65" s="6" t="e">
        <f t="shared" si="2"/>
        <v>#VALUE!</v>
      </c>
      <c r="AA65">
        <v>87566648</v>
      </c>
      <c r="AB65">
        <v>74127</v>
      </c>
      <c r="AD65" t="s">
        <v>1</v>
      </c>
      <c r="AE65">
        <v>36</v>
      </c>
      <c r="AF65">
        <v>9</v>
      </c>
      <c r="AH65" t="s">
        <v>1767</v>
      </c>
      <c r="AI65" t="s">
        <v>1766</v>
      </c>
      <c r="AK65" t="s">
        <v>1765</v>
      </c>
      <c r="AL65">
        <v>0</v>
      </c>
      <c r="AM65" s="5">
        <f t="shared" si="3"/>
        <v>0</v>
      </c>
      <c r="AN65" s="4">
        <f t="shared" si="4"/>
        <v>0</v>
      </c>
      <c r="AO65" s="3"/>
      <c r="AP65">
        <v>0</v>
      </c>
      <c r="AR65" t="s">
        <v>0</v>
      </c>
      <c r="AT65" s="2" t="s">
        <v>5</v>
      </c>
      <c r="AU65" s="1" t="e">
        <f t="shared" si="5"/>
        <v>#VALUE!</v>
      </c>
      <c r="AV65" s="1" t="e">
        <f t="shared" si="6"/>
        <v>#VALUE!</v>
      </c>
      <c r="AW65" s="1" t="e">
        <f t="shared" si="7"/>
        <v>#VALUE!</v>
      </c>
    </row>
    <row r="66" spans="1:49" x14ac:dyDescent="0.2">
      <c r="A66">
        <v>64</v>
      </c>
      <c r="B66" t="s">
        <v>1764</v>
      </c>
      <c r="F66" t="s">
        <v>1763</v>
      </c>
      <c r="G66" t="s">
        <v>3</v>
      </c>
      <c r="H66" t="s">
        <v>2</v>
      </c>
      <c r="I66" t="s">
        <v>1762</v>
      </c>
      <c r="J66">
        <v>60021902</v>
      </c>
      <c r="K66" t="s">
        <v>159</v>
      </c>
      <c r="L66" t="s">
        <v>158</v>
      </c>
      <c r="M66" t="s">
        <v>157</v>
      </c>
      <c r="N66">
        <v>2</v>
      </c>
      <c r="O66" t="s">
        <v>1761</v>
      </c>
      <c r="P66" t="s">
        <v>1760</v>
      </c>
      <c r="Q66" t="s">
        <v>156</v>
      </c>
      <c r="R66" s="7">
        <v>33573</v>
      </c>
      <c r="S66" s="8">
        <f t="shared" ref="S66:S129" si="8">YEAR(R66)</f>
        <v>1991</v>
      </c>
      <c r="T66" s="8">
        <v>1991</v>
      </c>
      <c r="U66" s="8">
        <f t="shared" ref="U66:U129" si="9">2022-T66</f>
        <v>31</v>
      </c>
      <c r="V66" s="7">
        <v>33573</v>
      </c>
      <c r="W66" t="s">
        <v>49</v>
      </c>
      <c r="X66" s="2">
        <v>0.30399999999999999</v>
      </c>
      <c r="Y66" s="6">
        <f t="shared" ref="Y66:Y129" si="10">(X66-$Z$4)/($Z$3-$Z$4)</f>
        <v>8.115106377299057E-3</v>
      </c>
      <c r="AA66">
        <v>8952477</v>
      </c>
      <c r="AB66">
        <v>12250</v>
      </c>
      <c r="AD66" t="s">
        <v>1</v>
      </c>
      <c r="AE66">
        <v>4</v>
      </c>
      <c r="AF66">
        <v>13</v>
      </c>
      <c r="AH66" t="s">
        <v>1759</v>
      </c>
      <c r="AI66" t="s">
        <v>1758</v>
      </c>
      <c r="AK66" t="s">
        <v>1757</v>
      </c>
      <c r="AL66">
        <v>4</v>
      </c>
      <c r="AM66" s="5">
        <f t="shared" ref="AM66:AM129" si="11">AL66/U66</f>
        <v>0.12903225806451613</v>
      </c>
      <c r="AN66" s="4">
        <f t="shared" ref="AN66:AN129" si="12">(AM66-$AO$4)/($AO$3-$AO$4)</f>
        <v>1.9542939502387903E-4</v>
      </c>
      <c r="AO66" s="3"/>
      <c r="AP66">
        <v>0</v>
      </c>
      <c r="AR66" t="s">
        <v>0</v>
      </c>
      <c r="AT66" s="2" t="s">
        <v>5</v>
      </c>
      <c r="AU66" s="1">
        <f t="shared" ref="AU66:AU129" si="13">(Y66*0.7+AN66*0.3)*100</f>
        <v>0.57392032826165029</v>
      </c>
      <c r="AV66" s="1">
        <f t="shared" ref="AV66:AV129" si="14">(Y66*0.5+AN66*0.5)*100</f>
        <v>0.41552678861614678</v>
      </c>
      <c r="AW66" s="1">
        <f t="shared" ref="AW66:AW129" si="15">(Y66*0.3+AN66*0.7)*100</f>
        <v>0.25713324897064327</v>
      </c>
    </row>
    <row r="67" spans="1:49" x14ac:dyDescent="0.2">
      <c r="A67">
        <v>65</v>
      </c>
      <c r="B67" t="s">
        <v>1756</v>
      </c>
      <c r="F67" t="s">
        <v>1755</v>
      </c>
      <c r="G67" t="s">
        <v>3</v>
      </c>
      <c r="H67" t="s">
        <v>2</v>
      </c>
      <c r="I67" t="s">
        <v>1754</v>
      </c>
      <c r="N67">
        <v>2</v>
      </c>
      <c r="O67" t="s">
        <v>1753</v>
      </c>
      <c r="P67" t="s">
        <v>1752</v>
      </c>
      <c r="Q67" t="s">
        <v>51</v>
      </c>
      <c r="R67" s="7">
        <v>33573</v>
      </c>
      <c r="S67" s="8">
        <f t="shared" si="8"/>
        <v>1991</v>
      </c>
      <c r="T67" s="8">
        <v>1991</v>
      </c>
      <c r="U67" s="8">
        <f t="shared" si="9"/>
        <v>31</v>
      </c>
      <c r="V67" s="7">
        <v>1991</v>
      </c>
      <c r="W67" t="s">
        <v>50</v>
      </c>
      <c r="X67" s="2" t="s">
        <v>5</v>
      </c>
      <c r="Y67" s="6" t="e">
        <f t="shared" si="10"/>
        <v>#VALUE!</v>
      </c>
      <c r="AA67">
        <v>87566648</v>
      </c>
      <c r="AB67">
        <v>74127</v>
      </c>
      <c r="AD67" t="s">
        <v>1</v>
      </c>
      <c r="AE67">
        <v>36</v>
      </c>
      <c r="AF67">
        <v>9</v>
      </c>
      <c r="AH67" t="s">
        <v>1751</v>
      </c>
      <c r="AI67" t="s">
        <v>1750</v>
      </c>
      <c r="AK67" t="s">
        <v>1749</v>
      </c>
      <c r="AL67">
        <v>1</v>
      </c>
      <c r="AM67" s="5">
        <f t="shared" si="11"/>
        <v>3.2258064516129031E-2</v>
      </c>
      <c r="AN67" s="4">
        <f t="shared" si="12"/>
        <v>4.8857348755969758E-5</v>
      </c>
      <c r="AO67" s="3"/>
      <c r="AP67">
        <v>0</v>
      </c>
      <c r="AR67" t="s">
        <v>0</v>
      </c>
      <c r="AT67" s="2" t="s">
        <v>5</v>
      </c>
      <c r="AU67" s="1" t="e">
        <f t="shared" si="13"/>
        <v>#VALUE!</v>
      </c>
      <c r="AV67" s="1" t="e">
        <f t="shared" si="14"/>
        <v>#VALUE!</v>
      </c>
      <c r="AW67" s="1" t="e">
        <f t="shared" si="15"/>
        <v>#VALUE!</v>
      </c>
    </row>
    <row r="68" spans="1:49" x14ac:dyDescent="0.2">
      <c r="A68">
        <v>66</v>
      </c>
      <c r="B68" t="s">
        <v>1748</v>
      </c>
      <c r="C68" t="s">
        <v>1747</v>
      </c>
      <c r="F68" t="s">
        <v>1746</v>
      </c>
      <c r="G68" t="s">
        <v>3</v>
      </c>
      <c r="H68" t="s">
        <v>2</v>
      </c>
      <c r="I68" t="s">
        <v>1745</v>
      </c>
      <c r="J68">
        <v>60031720</v>
      </c>
      <c r="K68" t="s">
        <v>125</v>
      </c>
      <c r="L68" t="s">
        <v>124</v>
      </c>
      <c r="M68" t="s">
        <v>26</v>
      </c>
      <c r="N68">
        <v>3</v>
      </c>
      <c r="O68" t="s">
        <v>1744</v>
      </c>
      <c r="P68" t="s">
        <v>1743</v>
      </c>
      <c r="Q68" t="s">
        <v>1742</v>
      </c>
      <c r="R68" s="7">
        <v>33573</v>
      </c>
      <c r="S68" s="8">
        <f t="shared" si="8"/>
        <v>1991</v>
      </c>
      <c r="T68" s="8">
        <v>1991</v>
      </c>
      <c r="U68" s="8">
        <f t="shared" si="9"/>
        <v>31</v>
      </c>
      <c r="V68" s="7">
        <v>33573</v>
      </c>
      <c r="W68" t="s">
        <v>1741</v>
      </c>
      <c r="X68" s="2">
        <v>0.78300000000000003</v>
      </c>
      <c r="Y68" s="6">
        <f t="shared" si="10"/>
        <v>2.0901737807319614E-2</v>
      </c>
      <c r="AA68">
        <v>281042</v>
      </c>
      <c r="AB68">
        <v>21662</v>
      </c>
      <c r="AC68">
        <v>14321904</v>
      </c>
      <c r="AD68" t="s">
        <v>1</v>
      </c>
      <c r="AE68">
        <v>78</v>
      </c>
      <c r="AF68">
        <v>12</v>
      </c>
      <c r="AH68" t="s">
        <v>1740</v>
      </c>
      <c r="AL68">
        <v>11</v>
      </c>
      <c r="AM68" s="5">
        <f t="shared" si="11"/>
        <v>0.35483870967741937</v>
      </c>
      <c r="AN68" s="4">
        <f t="shared" si="12"/>
        <v>5.3743083631566731E-4</v>
      </c>
      <c r="AO68" s="3"/>
      <c r="AP68">
        <v>0</v>
      </c>
      <c r="AR68" t="s">
        <v>0</v>
      </c>
      <c r="AT68" s="2" t="s">
        <v>5</v>
      </c>
      <c r="AU68" s="1">
        <f t="shared" si="13"/>
        <v>1.4792445716018428</v>
      </c>
      <c r="AV68" s="1">
        <f t="shared" si="14"/>
        <v>1.0719584321817641</v>
      </c>
      <c r="AW68" s="1">
        <f t="shared" si="15"/>
        <v>0.66467229276168516</v>
      </c>
    </row>
    <row r="69" spans="1:49" x14ac:dyDescent="0.2">
      <c r="A69">
        <v>67</v>
      </c>
      <c r="B69" t="s">
        <v>1739</v>
      </c>
      <c r="E69">
        <v>1744115</v>
      </c>
      <c r="F69" t="s">
        <v>1738</v>
      </c>
      <c r="G69" t="s">
        <v>3</v>
      </c>
      <c r="H69" t="s">
        <v>2</v>
      </c>
      <c r="I69" t="s">
        <v>1737</v>
      </c>
      <c r="J69">
        <v>60119141</v>
      </c>
      <c r="K69" t="s">
        <v>193</v>
      </c>
      <c r="L69" t="s">
        <v>192</v>
      </c>
      <c r="M69" t="s">
        <v>6</v>
      </c>
      <c r="N69">
        <v>2</v>
      </c>
      <c r="O69" t="s">
        <v>1736</v>
      </c>
      <c r="P69" t="s">
        <v>1735</v>
      </c>
      <c r="Q69" t="s">
        <v>1734</v>
      </c>
      <c r="R69" s="7">
        <v>33573</v>
      </c>
      <c r="S69" s="8">
        <f t="shared" si="8"/>
        <v>1991</v>
      </c>
      <c r="T69" s="8">
        <v>1991</v>
      </c>
      <c r="U69" s="8">
        <f t="shared" si="9"/>
        <v>31</v>
      </c>
      <c r="V69" s="7">
        <v>1991</v>
      </c>
      <c r="W69" t="s">
        <v>229</v>
      </c>
      <c r="X69" s="2">
        <v>2.3610000000000002</v>
      </c>
      <c r="Y69" s="6">
        <f t="shared" si="10"/>
        <v>6.3025546568431179E-2</v>
      </c>
      <c r="AA69">
        <v>219258</v>
      </c>
      <c r="AB69">
        <v>17592</v>
      </c>
      <c r="AD69" t="s">
        <v>1</v>
      </c>
      <c r="AE69">
        <v>266</v>
      </c>
      <c r="AF69">
        <v>34</v>
      </c>
      <c r="AH69" t="s">
        <v>1733</v>
      </c>
      <c r="AI69" t="s">
        <v>1732</v>
      </c>
      <c r="AK69" t="s">
        <v>1731</v>
      </c>
      <c r="AL69">
        <v>3</v>
      </c>
      <c r="AM69" s="5">
        <f t="shared" si="11"/>
        <v>9.6774193548387094E-2</v>
      </c>
      <c r="AN69" s="4">
        <f t="shared" si="12"/>
        <v>1.4657204626790927E-4</v>
      </c>
      <c r="AO69" s="3"/>
      <c r="AP69">
        <v>0</v>
      </c>
      <c r="AR69" t="s">
        <v>0</v>
      </c>
      <c r="AT69" s="2">
        <v>5.157</v>
      </c>
      <c r="AU69" s="1">
        <f t="shared" si="13"/>
        <v>4.4161854211782199</v>
      </c>
      <c r="AV69" s="1">
        <f t="shared" si="14"/>
        <v>3.1586059307349541</v>
      </c>
      <c r="AW69" s="1">
        <f t="shared" si="15"/>
        <v>1.901026440291689</v>
      </c>
    </row>
    <row r="70" spans="1:49" x14ac:dyDescent="0.2">
      <c r="A70">
        <v>68</v>
      </c>
      <c r="B70" t="s">
        <v>1730</v>
      </c>
      <c r="F70" t="s">
        <v>1729</v>
      </c>
      <c r="G70" t="s">
        <v>3</v>
      </c>
      <c r="H70" t="s">
        <v>2</v>
      </c>
      <c r="I70" t="s">
        <v>1728</v>
      </c>
      <c r="N70">
        <v>1</v>
      </c>
      <c r="O70" t="s">
        <v>1727</v>
      </c>
      <c r="P70">
        <v>7005792907</v>
      </c>
      <c r="R70" s="7">
        <v>33573</v>
      </c>
      <c r="S70" s="8">
        <f t="shared" si="8"/>
        <v>1991</v>
      </c>
      <c r="T70" s="8">
        <v>1991</v>
      </c>
      <c r="U70" s="8">
        <f t="shared" si="9"/>
        <v>31</v>
      </c>
      <c r="V70" s="7">
        <v>33573</v>
      </c>
      <c r="W70" t="s">
        <v>96</v>
      </c>
      <c r="X70" s="2">
        <v>0.14099999999999999</v>
      </c>
      <c r="Y70" s="6">
        <f t="shared" si="10"/>
        <v>3.7639144710498915E-3</v>
      </c>
      <c r="AA70">
        <v>402508</v>
      </c>
      <c r="AB70">
        <v>20868</v>
      </c>
      <c r="AD70" t="s">
        <v>1</v>
      </c>
      <c r="AE70">
        <v>46</v>
      </c>
      <c r="AF70">
        <v>12</v>
      </c>
      <c r="AH70" s="9">
        <v>44348</v>
      </c>
      <c r="AI70" t="s">
        <v>1726</v>
      </c>
      <c r="AK70" t="s">
        <v>1725</v>
      </c>
      <c r="AL70">
        <v>0</v>
      </c>
      <c r="AM70" s="5">
        <f t="shared" si="11"/>
        <v>0</v>
      </c>
      <c r="AN70" s="4">
        <f t="shared" si="12"/>
        <v>0</v>
      </c>
      <c r="AO70" s="3"/>
      <c r="AP70">
        <v>0</v>
      </c>
      <c r="AR70" t="s">
        <v>0</v>
      </c>
      <c r="AT70" s="2" t="s">
        <v>5</v>
      </c>
      <c r="AU70" s="1">
        <f t="shared" si="13"/>
        <v>0.26347401297349238</v>
      </c>
      <c r="AV70" s="1">
        <f t="shared" si="14"/>
        <v>0.18819572355249459</v>
      </c>
      <c r="AW70" s="1">
        <f t="shared" si="15"/>
        <v>0.11291743413149673</v>
      </c>
    </row>
    <row r="71" spans="1:49" x14ac:dyDescent="0.2">
      <c r="A71">
        <v>69</v>
      </c>
      <c r="B71" t="s">
        <v>1724</v>
      </c>
      <c r="F71" t="s">
        <v>1723</v>
      </c>
      <c r="G71" t="s">
        <v>3</v>
      </c>
      <c r="H71" t="s">
        <v>2</v>
      </c>
      <c r="I71" t="s">
        <v>1722</v>
      </c>
      <c r="N71">
        <v>2</v>
      </c>
      <c r="O71" t="s">
        <v>1721</v>
      </c>
      <c r="P71" t="s">
        <v>1720</v>
      </c>
      <c r="Q71" t="s">
        <v>51</v>
      </c>
      <c r="R71" s="7">
        <v>33573</v>
      </c>
      <c r="S71" s="8">
        <f t="shared" si="8"/>
        <v>1991</v>
      </c>
      <c r="T71" s="8">
        <v>1991</v>
      </c>
      <c r="U71" s="8">
        <f t="shared" si="9"/>
        <v>31</v>
      </c>
      <c r="V71" s="7">
        <v>33573</v>
      </c>
      <c r="W71" t="s">
        <v>96</v>
      </c>
      <c r="X71" s="2">
        <v>0.14099999999999999</v>
      </c>
      <c r="Y71" s="6">
        <f t="shared" si="10"/>
        <v>3.7639144710498915E-3</v>
      </c>
      <c r="AA71">
        <v>402508</v>
      </c>
      <c r="AB71">
        <v>20868</v>
      </c>
      <c r="AD71" t="s">
        <v>1</v>
      </c>
      <c r="AE71">
        <v>46</v>
      </c>
      <c r="AF71">
        <v>12</v>
      </c>
      <c r="AH71" t="s">
        <v>1719</v>
      </c>
      <c r="AI71" t="s">
        <v>1718</v>
      </c>
      <c r="AK71" t="s">
        <v>1717</v>
      </c>
      <c r="AL71">
        <v>0</v>
      </c>
      <c r="AM71" s="5">
        <f t="shared" si="11"/>
        <v>0</v>
      </c>
      <c r="AN71" s="4">
        <f t="shared" si="12"/>
        <v>0</v>
      </c>
      <c r="AO71" s="3"/>
      <c r="AP71">
        <v>0</v>
      </c>
      <c r="AR71" t="s">
        <v>0</v>
      </c>
      <c r="AT71" s="2" t="s">
        <v>5</v>
      </c>
      <c r="AU71" s="1">
        <f t="shared" si="13"/>
        <v>0.26347401297349238</v>
      </c>
      <c r="AV71" s="1">
        <f t="shared" si="14"/>
        <v>0.18819572355249459</v>
      </c>
      <c r="AW71" s="1">
        <f t="shared" si="15"/>
        <v>0.11291743413149673</v>
      </c>
    </row>
    <row r="72" spans="1:49" x14ac:dyDescent="0.2">
      <c r="A72">
        <v>70</v>
      </c>
      <c r="B72" t="s">
        <v>1716</v>
      </c>
      <c r="F72" t="s">
        <v>1715</v>
      </c>
      <c r="G72" t="s">
        <v>3</v>
      </c>
      <c r="H72" t="s">
        <v>2</v>
      </c>
      <c r="I72" t="s">
        <v>1714</v>
      </c>
      <c r="N72">
        <v>1</v>
      </c>
      <c r="O72" t="s">
        <v>1713</v>
      </c>
      <c r="P72">
        <v>7102057042</v>
      </c>
      <c r="R72" s="7">
        <v>33573</v>
      </c>
      <c r="S72" s="8">
        <f t="shared" si="8"/>
        <v>1991</v>
      </c>
      <c r="T72" s="8">
        <v>1991</v>
      </c>
      <c r="U72" s="8">
        <f t="shared" si="9"/>
        <v>31</v>
      </c>
      <c r="V72" s="7">
        <v>33573</v>
      </c>
      <c r="W72" t="s">
        <v>96</v>
      </c>
      <c r="X72" s="2">
        <v>0.14099999999999999</v>
      </c>
      <c r="Y72" s="6">
        <f t="shared" si="10"/>
        <v>3.7639144710498915E-3</v>
      </c>
      <c r="AA72">
        <v>402508</v>
      </c>
      <c r="AB72">
        <v>20868</v>
      </c>
      <c r="AD72" t="s">
        <v>1</v>
      </c>
      <c r="AE72">
        <v>46</v>
      </c>
      <c r="AF72">
        <v>12</v>
      </c>
      <c r="AH72" t="s">
        <v>1712</v>
      </c>
      <c r="AI72" t="s">
        <v>1711</v>
      </c>
      <c r="AK72" t="s">
        <v>1710</v>
      </c>
      <c r="AL72">
        <v>0</v>
      </c>
      <c r="AM72" s="5">
        <f t="shared" si="11"/>
        <v>0</v>
      </c>
      <c r="AN72" s="4">
        <f t="shared" si="12"/>
        <v>0</v>
      </c>
      <c r="AO72" s="3"/>
      <c r="AP72">
        <v>0</v>
      </c>
      <c r="AR72" t="s">
        <v>0</v>
      </c>
      <c r="AT72" s="2" t="s">
        <v>5</v>
      </c>
      <c r="AU72" s="1">
        <f t="shared" si="13"/>
        <v>0.26347401297349238</v>
      </c>
      <c r="AV72" s="1">
        <f t="shared" si="14"/>
        <v>0.18819572355249459</v>
      </c>
      <c r="AW72" s="1">
        <f t="shared" si="15"/>
        <v>0.11291743413149673</v>
      </c>
    </row>
    <row r="73" spans="1:49" x14ac:dyDescent="0.2">
      <c r="A73">
        <v>71</v>
      </c>
      <c r="B73" t="s">
        <v>1709</v>
      </c>
      <c r="F73" t="s">
        <v>1708</v>
      </c>
      <c r="G73" t="s">
        <v>3</v>
      </c>
      <c r="H73" t="s">
        <v>2</v>
      </c>
      <c r="I73" t="s">
        <v>1707</v>
      </c>
      <c r="N73">
        <v>4</v>
      </c>
      <c r="O73" t="s">
        <v>1706</v>
      </c>
      <c r="P73" t="s">
        <v>1705</v>
      </c>
      <c r="Q73" t="s">
        <v>86</v>
      </c>
      <c r="R73" s="7">
        <v>33573</v>
      </c>
      <c r="S73" s="8">
        <f t="shared" si="8"/>
        <v>1991</v>
      </c>
      <c r="T73" s="8">
        <v>1991</v>
      </c>
      <c r="U73" s="8">
        <f t="shared" si="9"/>
        <v>31</v>
      </c>
      <c r="V73" s="7">
        <v>33573</v>
      </c>
      <c r="W73" t="s">
        <v>96</v>
      </c>
      <c r="X73" s="2">
        <v>0.14099999999999999</v>
      </c>
      <c r="Y73" s="6">
        <f t="shared" si="10"/>
        <v>3.7639144710498915E-3</v>
      </c>
      <c r="AA73">
        <v>402508</v>
      </c>
      <c r="AB73">
        <v>20868</v>
      </c>
      <c r="AD73" t="s">
        <v>1</v>
      </c>
      <c r="AE73">
        <v>46</v>
      </c>
      <c r="AF73">
        <v>12</v>
      </c>
      <c r="AH73" t="s">
        <v>1704</v>
      </c>
      <c r="AI73" t="s">
        <v>1703</v>
      </c>
      <c r="AK73" t="s">
        <v>1702</v>
      </c>
      <c r="AL73">
        <v>0</v>
      </c>
      <c r="AM73" s="5">
        <f t="shared" si="11"/>
        <v>0</v>
      </c>
      <c r="AN73" s="4">
        <f t="shared" si="12"/>
        <v>0</v>
      </c>
      <c r="AO73" s="3"/>
      <c r="AP73">
        <v>0</v>
      </c>
      <c r="AR73" t="s">
        <v>0</v>
      </c>
      <c r="AT73" s="2" t="s">
        <v>5</v>
      </c>
      <c r="AU73" s="1">
        <f t="shared" si="13"/>
        <v>0.26347401297349238</v>
      </c>
      <c r="AV73" s="1">
        <f t="shared" si="14"/>
        <v>0.18819572355249459</v>
      </c>
      <c r="AW73" s="1">
        <f t="shared" si="15"/>
        <v>0.11291743413149673</v>
      </c>
    </row>
    <row r="74" spans="1:49" x14ac:dyDescent="0.2">
      <c r="A74">
        <v>72</v>
      </c>
      <c r="B74" t="s">
        <v>1701</v>
      </c>
      <c r="F74" t="s">
        <v>1700</v>
      </c>
      <c r="G74" t="s">
        <v>3</v>
      </c>
      <c r="H74" t="s">
        <v>2</v>
      </c>
      <c r="I74" t="s">
        <v>236</v>
      </c>
      <c r="N74">
        <v>1</v>
      </c>
      <c r="O74" t="s">
        <v>235</v>
      </c>
      <c r="P74">
        <v>7004513461</v>
      </c>
      <c r="R74" s="7">
        <v>33573</v>
      </c>
      <c r="S74" s="8">
        <f t="shared" si="8"/>
        <v>1991</v>
      </c>
      <c r="T74" s="8">
        <v>1991</v>
      </c>
      <c r="U74" s="8">
        <f t="shared" si="9"/>
        <v>31</v>
      </c>
      <c r="V74" s="7">
        <v>33573</v>
      </c>
      <c r="W74" t="s">
        <v>96</v>
      </c>
      <c r="X74" s="2">
        <v>0.14099999999999999</v>
      </c>
      <c r="Y74" s="6">
        <f t="shared" si="10"/>
        <v>3.7639144710498915E-3</v>
      </c>
      <c r="AA74">
        <v>402508</v>
      </c>
      <c r="AB74">
        <v>20868</v>
      </c>
      <c r="AD74" t="s">
        <v>1</v>
      </c>
      <c r="AE74">
        <v>46</v>
      </c>
      <c r="AF74">
        <v>12</v>
      </c>
      <c r="AH74" t="s">
        <v>1699</v>
      </c>
      <c r="AI74" t="s">
        <v>1698</v>
      </c>
      <c r="AK74" t="s">
        <v>1697</v>
      </c>
      <c r="AL74">
        <v>1</v>
      </c>
      <c r="AM74" s="5">
        <f t="shared" si="11"/>
        <v>3.2258064516129031E-2</v>
      </c>
      <c r="AN74" s="4">
        <f t="shared" si="12"/>
        <v>4.8857348755969758E-5</v>
      </c>
      <c r="AO74" s="3"/>
      <c r="AP74">
        <v>0</v>
      </c>
      <c r="AR74" t="s">
        <v>0</v>
      </c>
      <c r="AT74" s="2" t="s">
        <v>5</v>
      </c>
      <c r="AU74" s="1">
        <f t="shared" si="13"/>
        <v>0.26493973343617144</v>
      </c>
      <c r="AV74" s="1">
        <f t="shared" si="14"/>
        <v>0.19063859099029307</v>
      </c>
      <c r="AW74" s="1">
        <f t="shared" si="15"/>
        <v>0.11633744854441462</v>
      </c>
    </row>
    <row r="75" spans="1:49" x14ac:dyDescent="0.2">
      <c r="A75">
        <v>73</v>
      </c>
      <c r="B75" t="s">
        <v>1696</v>
      </c>
      <c r="C75" t="s">
        <v>1695</v>
      </c>
      <c r="F75" t="s">
        <v>1694</v>
      </c>
      <c r="G75" t="s">
        <v>3</v>
      </c>
      <c r="H75" t="s">
        <v>2</v>
      </c>
      <c r="I75" t="s">
        <v>1693</v>
      </c>
      <c r="J75">
        <v>60020650</v>
      </c>
      <c r="K75" t="s">
        <v>1692</v>
      </c>
      <c r="L75" t="s">
        <v>1691</v>
      </c>
      <c r="M75" t="s">
        <v>10</v>
      </c>
      <c r="N75">
        <v>2</v>
      </c>
      <c r="O75" t="s">
        <v>1690</v>
      </c>
      <c r="P75" t="s">
        <v>1689</v>
      </c>
      <c r="Q75" t="s">
        <v>1688</v>
      </c>
      <c r="R75" s="7">
        <v>33573</v>
      </c>
      <c r="S75" s="8">
        <f t="shared" si="8"/>
        <v>1991</v>
      </c>
      <c r="T75" s="8">
        <v>1991</v>
      </c>
      <c r="U75" s="8">
        <f t="shared" si="9"/>
        <v>31</v>
      </c>
      <c r="V75" s="7">
        <v>1991</v>
      </c>
      <c r="W75" t="s">
        <v>1663</v>
      </c>
      <c r="X75" s="2">
        <v>0.48</v>
      </c>
      <c r="Y75" s="6">
        <f t="shared" si="10"/>
        <v>1.2813325858893249E-2</v>
      </c>
      <c r="AA75">
        <v>9570233</v>
      </c>
      <c r="AB75">
        <v>15526</v>
      </c>
      <c r="AD75" t="s">
        <v>1</v>
      </c>
      <c r="AE75">
        <v>2</v>
      </c>
      <c r="AF75">
        <v>9</v>
      </c>
      <c r="AG75">
        <v>2</v>
      </c>
      <c r="AH75" t="s">
        <v>1687</v>
      </c>
      <c r="AI75" t="s">
        <v>1686</v>
      </c>
      <c r="AK75" t="s">
        <v>1685</v>
      </c>
      <c r="AL75">
        <v>7</v>
      </c>
      <c r="AM75" s="5">
        <f t="shared" si="11"/>
        <v>0.22580645161290322</v>
      </c>
      <c r="AN75" s="4">
        <f t="shared" si="12"/>
        <v>3.420014412917883E-4</v>
      </c>
      <c r="AO75" s="3"/>
      <c r="AP75">
        <v>0</v>
      </c>
      <c r="AR75" t="s">
        <v>0</v>
      </c>
      <c r="AT75" s="2">
        <v>2.0459999999999998</v>
      </c>
      <c r="AU75" s="1">
        <f t="shared" si="13"/>
        <v>0.90719285336128097</v>
      </c>
      <c r="AV75" s="1">
        <f t="shared" si="14"/>
        <v>0.65776636500925179</v>
      </c>
      <c r="AW75" s="1">
        <f t="shared" si="15"/>
        <v>0.4083398766572226</v>
      </c>
    </row>
    <row r="76" spans="1:49" x14ac:dyDescent="0.2">
      <c r="A76">
        <v>74</v>
      </c>
      <c r="B76" t="s">
        <v>1684</v>
      </c>
      <c r="C76" t="s">
        <v>1683</v>
      </c>
      <c r="F76" t="s">
        <v>1682</v>
      </c>
      <c r="G76" t="s">
        <v>3</v>
      </c>
      <c r="H76" t="s">
        <v>2</v>
      </c>
      <c r="I76" t="s">
        <v>1681</v>
      </c>
      <c r="J76">
        <v>60031806</v>
      </c>
      <c r="K76" t="s">
        <v>1680</v>
      </c>
      <c r="L76" t="s">
        <v>1679</v>
      </c>
      <c r="M76" t="s">
        <v>39</v>
      </c>
      <c r="N76">
        <v>3</v>
      </c>
      <c r="O76" t="s">
        <v>1678</v>
      </c>
      <c r="P76" t="s">
        <v>1677</v>
      </c>
      <c r="Q76" t="s">
        <v>1676</v>
      </c>
      <c r="R76" s="7">
        <v>33573</v>
      </c>
      <c r="S76" s="8">
        <f t="shared" si="8"/>
        <v>1991</v>
      </c>
      <c r="T76" s="8">
        <v>1991</v>
      </c>
      <c r="U76" s="8">
        <f t="shared" si="9"/>
        <v>31</v>
      </c>
      <c r="V76" s="7">
        <v>1991</v>
      </c>
      <c r="W76" t="s">
        <v>1663</v>
      </c>
      <c r="X76" s="2">
        <v>0.48</v>
      </c>
      <c r="Y76" s="6">
        <f t="shared" si="10"/>
        <v>1.2813325858893249E-2</v>
      </c>
      <c r="AA76">
        <v>9570233</v>
      </c>
      <c r="AB76">
        <v>15526</v>
      </c>
      <c r="AD76" t="s">
        <v>1</v>
      </c>
      <c r="AE76">
        <v>2</v>
      </c>
      <c r="AF76">
        <v>9</v>
      </c>
      <c r="AG76">
        <v>3</v>
      </c>
      <c r="AH76" t="s">
        <v>1675</v>
      </c>
      <c r="AI76" t="s">
        <v>1674</v>
      </c>
      <c r="AK76" t="s">
        <v>1673</v>
      </c>
      <c r="AL76">
        <v>9</v>
      </c>
      <c r="AM76" s="5">
        <f t="shared" si="11"/>
        <v>0.29032258064516131</v>
      </c>
      <c r="AN76" s="4">
        <f t="shared" si="12"/>
        <v>4.3971613880372783E-4</v>
      </c>
      <c r="AO76" s="3"/>
      <c r="AP76">
        <v>0</v>
      </c>
      <c r="AR76" t="s">
        <v>0</v>
      </c>
      <c r="AT76" s="2">
        <v>2.0459999999999998</v>
      </c>
      <c r="AU76" s="1">
        <f t="shared" si="13"/>
        <v>0.91012429428663921</v>
      </c>
      <c r="AV76" s="1">
        <f t="shared" si="14"/>
        <v>0.66265209988484886</v>
      </c>
      <c r="AW76" s="1">
        <f t="shared" si="15"/>
        <v>0.41517990548305839</v>
      </c>
    </row>
    <row r="77" spans="1:49" x14ac:dyDescent="0.2">
      <c r="A77">
        <v>75</v>
      </c>
      <c r="B77" t="s">
        <v>1672</v>
      </c>
      <c r="C77" t="s">
        <v>1671</v>
      </c>
      <c r="F77" t="s">
        <v>1670</v>
      </c>
      <c r="G77" t="s">
        <v>3</v>
      </c>
      <c r="H77" t="s">
        <v>2</v>
      </c>
      <c r="I77" t="s">
        <v>1669</v>
      </c>
      <c r="J77">
        <v>60010785</v>
      </c>
      <c r="K77" t="s">
        <v>1668</v>
      </c>
      <c r="L77" t="s">
        <v>1667</v>
      </c>
      <c r="M77" t="s">
        <v>10</v>
      </c>
      <c r="N77">
        <v>2</v>
      </c>
      <c r="O77" t="s">
        <v>1666</v>
      </c>
      <c r="P77" t="s">
        <v>1665</v>
      </c>
      <c r="Q77" t="s">
        <v>1664</v>
      </c>
      <c r="R77" s="7">
        <v>33573</v>
      </c>
      <c r="S77" s="8">
        <f t="shared" si="8"/>
        <v>1991</v>
      </c>
      <c r="T77" s="8">
        <v>1991</v>
      </c>
      <c r="U77" s="8">
        <f t="shared" si="9"/>
        <v>31</v>
      </c>
      <c r="V77" s="7">
        <v>1991</v>
      </c>
      <c r="W77" t="s">
        <v>1663</v>
      </c>
      <c r="X77" s="2">
        <v>0.48</v>
      </c>
      <c r="Y77" s="6">
        <f t="shared" si="10"/>
        <v>1.2813325858893249E-2</v>
      </c>
      <c r="AA77">
        <v>9570233</v>
      </c>
      <c r="AB77">
        <v>15526</v>
      </c>
      <c r="AD77" t="s">
        <v>1</v>
      </c>
      <c r="AE77">
        <v>2</v>
      </c>
      <c r="AF77">
        <v>6</v>
      </c>
      <c r="AG77">
        <v>4</v>
      </c>
      <c r="AH77" t="s">
        <v>1662</v>
      </c>
      <c r="AI77" t="s">
        <v>1661</v>
      </c>
      <c r="AK77" t="s">
        <v>1660</v>
      </c>
      <c r="AL77">
        <v>40</v>
      </c>
      <c r="AM77" s="5">
        <f t="shared" si="11"/>
        <v>1.2903225806451613</v>
      </c>
      <c r="AN77" s="4">
        <f t="shared" si="12"/>
        <v>1.9542939502387902E-3</v>
      </c>
      <c r="AO77" s="3"/>
      <c r="AP77">
        <v>0</v>
      </c>
      <c r="AR77" t="s">
        <v>0</v>
      </c>
      <c r="AT77" s="2">
        <v>2.0459999999999998</v>
      </c>
      <c r="AU77" s="1">
        <f t="shared" si="13"/>
        <v>0.95556162862969107</v>
      </c>
      <c r="AV77" s="1">
        <f t="shared" si="14"/>
        <v>0.73838099045660188</v>
      </c>
      <c r="AW77" s="1">
        <f t="shared" si="15"/>
        <v>0.52120035228351269</v>
      </c>
    </row>
    <row r="78" spans="1:49" x14ac:dyDescent="0.2">
      <c r="A78">
        <v>76</v>
      </c>
      <c r="B78" t="s">
        <v>1659</v>
      </c>
      <c r="C78" t="s">
        <v>1658</v>
      </c>
      <c r="F78" t="s">
        <v>1657</v>
      </c>
      <c r="G78" t="s">
        <v>3</v>
      </c>
      <c r="H78" t="s">
        <v>2</v>
      </c>
      <c r="I78" t="s">
        <v>1656</v>
      </c>
      <c r="J78">
        <v>60030807</v>
      </c>
      <c r="K78" t="s">
        <v>1655</v>
      </c>
      <c r="L78" t="s">
        <v>1654</v>
      </c>
      <c r="M78" t="s">
        <v>4</v>
      </c>
      <c r="N78">
        <v>1</v>
      </c>
      <c r="O78" t="s">
        <v>1653</v>
      </c>
      <c r="P78">
        <v>55735155500</v>
      </c>
      <c r="Q78">
        <v>60030807</v>
      </c>
      <c r="R78" s="7">
        <v>33573</v>
      </c>
      <c r="S78" s="8">
        <f t="shared" si="8"/>
        <v>1991</v>
      </c>
      <c r="T78" s="8">
        <v>1991</v>
      </c>
      <c r="U78" s="8">
        <f t="shared" si="9"/>
        <v>31</v>
      </c>
      <c r="V78" s="7">
        <v>33573</v>
      </c>
      <c r="W78" t="s">
        <v>289</v>
      </c>
      <c r="X78" s="2">
        <v>1.64</v>
      </c>
      <c r="Y78" s="6">
        <f t="shared" si="10"/>
        <v>4.3778863351218597E-2</v>
      </c>
      <c r="AA78" t="s">
        <v>288</v>
      </c>
      <c r="AB78">
        <v>18446</v>
      </c>
      <c r="AC78">
        <v>14320878</v>
      </c>
      <c r="AD78" t="s">
        <v>1</v>
      </c>
      <c r="AE78">
        <v>266</v>
      </c>
      <c r="AF78">
        <v>3</v>
      </c>
      <c r="AH78" t="s">
        <v>1652</v>
      </c>
      <c r="AI78" t="s">
        <v>1651</v>
      </c>
      <c r="AJ78" t="s">
        <v>1650</v>
      </c>
      <c r="AK78" t="s">
        <v>1649</v>
      </c>
      <c r="AL78">
        <v>21</v>
      </c>
      <c r="AM78" s="5">
        <f t="shared" si="11"/>
        <v>0.67741935483870963</v>
      </c>
      <c r="AN78" s="4">
        <f t="shared" si="12"/>
        <v>1.0260043238753647E-3</v>
      </c>
      <c r="AO78" s="3"/>
      <c r="AP78">
        <v>0</v>
      </c>
      <c r="AR78" t="s">
        <v>0</v>
      </c>
      <c r="AT78" s="2">
        <v>5.2489999999999997</v>
      </c>
      <c r="AU78" s="1">
        <f t="shared" si="13"/>
        <v>3.0953005643015628</v>
      </c>
      <c r="AV78" s="1">
        <f t="shared" si="14"/>
        <v>2.2402433837546982</v>
      </c>
      <c r="AW78" s="1">
        <f t="shared" si="15"/>
        <v>1.3851862032078335</v>
      </c>
    </row>
    <row r="79" spans="1:49" x14ac:dyDescent="0.2">
      <c r="A79">
        <v>77</v>
      </c>
      <c r="B79" t="s">
        <v>1648</v>
      </c>
      <c r="C79" t="s">
        <v>1647</v>
      </c>
      <c r="E79">
        <v>1961918</v>
      </c>
      <c r="F79" t="s">
        <v>1646</v>
      </c>
      <c r="G79" t="s">
        <v>3</v>
      </c>
      <c r="H79" t="s">
        <v>2</v>
      </c>
      <c r="I79" t="s">
        <v>1645</v>
      </c>
      <c r="J79">
        <v>60024007</v>
      </c>
      <c r="K79" t="s">
        <v>1644</v>
      </c>
      <c r="L79" t="s">
        <v>1643</v>
      </c>
      <c r="M79" t="s">
        <v>4</v>
      </c>
      <c r="N79">
        <v>1</v>
      </c>
      <c r="O79" t="s">
        <v>1642</v>
      </c>
      <c r="P79">
        <v>56188046600</v>
      </c>
      <c r="Q79">
        <v>60024007</v>
      </c>
      <c r="R79" s="7">
        <v>33573</v>
      </c>
      <c r="S79" s="8">
        <f t="shared" si="8"/>
        <v>1991</v>
      </c>
      <c r="T79" s="8">
        <v>1991</v>
      </c>
      <c r="U79" s="8">
        <f t="shared" si="9"/>
        <v>31</v>
      </c>
      <c r="V79" s="7">
        <v>33573</v>
      </c>
      <c r="W79" t="s">
        <v>1641</v>
      </c>
      <c r="X79" s="2">
        <v>0.45900000000000002</v>
      </c>
      <c r="Y79" s="6">
        <f t="shared" si="10"/>
        <v>1.2252742852566671E-2</v>
      </c>
      <c r="AA79" t="s">
        <v>1640</v>
      </c>
      <c r="AB79">
        <v>14917</v>
      </c>
      <c r="AC79">
        <v>14322099</v>
      </c>
      <c r="AD79" t="s">
        <v>1</v>
      </c>
      <c r="AE79">
        <v>30</v>
      </c>
      <c r="AF79">
        <v>4</v>
      </c>
      <c r="AH79" t="s">
        <v>1639</v>
      </c>
      <c r="AI79" t="s">
        <v>1638</v>
      </c>
      <c r="AK79" t="s">
        <v>1637</v>
      </c>
      <c r="AL79">
        <v>2</v>
      </c>
      <c r="AM79" s="5">
        <f t="shared" si="11"/>
        <v>6.4516129032258063E-2</v>
      </c>
      <c r="AN79" s="4">
        <f t="shared" si="12"/>
        <v>9.7714697511939517E-5</v>
      </c>
      <c r="AO79" s="3"/>
      <c r="AP79">
        <v>0</v>
      </c>
      <c r="AR79" t="s">
        <v>0</v>
      </c>
      <c r="AT79" s="2" t="s">
        <v>5</v>
      </c>
      <c r="AU79" s="1">
        <f t="shared" si="13"/>
        <v>0.86062344060502494</v>
      </c>
      <c r="AV79" s="1">
        <f t="shared" si="14"/>
        <v>0.61752287750393053</v>
      </c>
      <c r="AW79" s="1">
        <f t="shared" si="15"/>
        <v>0.37442231440283585</v>
      </c>
    </row>
    <row r="80" spans="1:49" x14ac:dyDescent="0.2">
      <c r="A80">
        <v>78</v>
      </c>
      <c r="B80" t="s">
        <v>1636</v>
      </c>
      <c r="C80" t="s">
        <v>1635</v>
      </c>
      <c r="F80" t="s">
        <v>1634</v>
      </c>
      <c r="G80" t="s">
        <v>3</v>
      </c>
      <c r="H80" t="s">
        <v>2</v>
      </c>
      <c r="I80" t="s">
        <v>1633</v>
      </c>
      <c r="J80">
        <v>60081375</v>
      </c>
      <c r="K80" t="s">
        <v>1632</v>
      </c>
      <c r="L80" t="s">
        <v>79</v>
      </c>
      <c r="M80" t="s">
        <v>30</v>
      </c>
      <c r="N80">
        <v>1</v>
      </c>
      <c r="O80" t="s">
        <v>1631</v>
      </c>
      <c r="P80">
        <v>6701769267</v>
      </c>
      <c r="Q80">
        <v>60081375</v>
      </c>
      <c r="R80" s="7">
        <v>33573</v>
      </c>
      <c r="S80" s="8">
        <f t="shared" si="8"/>
        <v>1991</v>
      </c>
      <c r="T80" s="8">
        <v>1991</v>
      </c>
      <c r="U80" s="8">
        <f t="shared" si="9"/>
        <v>31</v>
      </c>
      <c r="V80" s="7">
        <v>1991</v>
      </c>
      <c r="W80" t="s">
        <v>1490</v>
      </c>
      <c r="X80" s="2">
        <v>0.60499999999999998</v>
      </c>
      <c r="Y80" s="6">
        <f t="shared" si="10"/>
        <v>1.6150129467980032E-2</v>
      </c>
      <c r="AA80">
        <v>346748</v>
      </c>
      <c r="AB80">
        <v>15563</v>
      </c>
      <c r="AD80" t="s">
        <v>1</v>
      </c>
      <c r="AE80">
        <v>62</v>
      </c>
      <c r="AF80">
        <v>5</v>
      </c>
      <c r="AH80" t="s">
        <v>1630</v>
      </c>
      <c r="AI80" t="s">
        <v>1629</v>
      </c>
      <c r="AK80" t="s">
        <v>1628</v>
      </c>
      <c r="AL80">
        <v>6</v>
      </c>
      <c r="AM80" s="5">
        <f t="shared" si="11"/>
        <v>0.19354838709677419</v>
      </c>
      <c r="AN80" s="4">
        <f t="shared" si="12"/>
        <v>2.9314409253581854E-4</v>
      </c>
      <c r="AO80" s="3"/>
      <c r="AP80">
        <v>0</v>
      </c>
      <c r="AR80" t="s">
        <v>0</v>
      </c>
      <c r="AT80" s="2">
        <v>1.5229999999999999</v>
      </c>
      <c r="AU80" s="1">
        <f t="shared" si="13"/>
        <v>1.1393033855346768</v>
      </c>
      <c r="AV80" s="1">
        <f t="shared" si="14"/>
        <v>0.82216367802579249</v>
      </c>
      <c r="AW80" s="1">
        <f t="shared" si="15"/>
        <v>0.50502397051690828</v>
      </c>
    </row>
    <row r="81" spans="1:49" x14ac:dyDescent="0.2">
      <c r="A81">
        <v>79</v>
      </c>
      <c r="B81" t="s">
        <v>1627</v>
      </c>
      <c r="C81" t="s">
        <v>1626</v>
      </c>
      <c r="F81" t="s">
        <v>1625</v>
      </c>
      <c r="G81" t="s">
        <v>3</v>
      </c>
      <c r="H81" t="s">
        <v>2</v>
      </c>
      <c r="I81" t="s">
        <v>1624</v>
      </c>
      <c r="J81">
        <v>60026358</v>
      </c>
      <c r="K81" t="s">
        <v>1623</v>
      </c>
      <c r="L81" t="s">
        <v>22</v>
      </c>
      <c r="M81" t="s">
        <v>6</v>
      </c>
      <c r="N81">
        <v>4</v>
      </c>
      <c r="O81" t="s">
        <v>1622</v>
      </c>
      <c r="P81" t="s">
        <v>1621</v>
      </c>
      <c r="Q81" t="s">
        <v>1620</v>
      </c>
      <c r="R81" s="7">
        <v>33573</v>
      </c>
      <c r="S81" s="8">
        <f t="shared" si="8"/>
        <v>1991</v>
      </c>
      <c r="T81" s="8">
        <v>1991</v>
      </c>
      <c r="U81" s="8">
        <f t="shared" si="9"/>
        <v>31</v>
      </c>
      <c r="V81" s="7">
        <v>1991</v>
      </c>
      <c r="W81" t="s">
        <v>1501</v>
      </c>
      <c r="X81" s="2">
        <v>1.3280000000000001</v>
      </c>
      <c r="Y81" s="6">
        <f t="shared" si="10"/>
        <v>3.5450201542937994E-2</v>
      </c>
      <c r="AA81">
        <v>7413335</v>
      </c>
      <c r="AB81">
        <v>29251</v>
      </c>
      <c r="AD81" t="s">
        <v>1</v>
      </c>
      <c r="AE81">
        <v>33</v>
      </c>
      <c r="AF81">
        <v>6</v>
      </c>
      <c r="AG81">
        <v>5</v>
      </c>
      <c r="AH81" t="s">
        <v>1619</v>
      </c>
      <c r="AI81" t="s">
        <v>1618</v>
      </c>
      <c r="AK81" t="s">
        <v>1617</v>
      </c>
      <c r="AL81">
        <v>68</v>
      </c>
      <c r="AM81" s="5">
        <f t="shared" si="11"/>
        <v>2.193548387096774</v>
      </c>
      <c r="AN81" s="4">
        <f t="shared" si="12"/>
        <v>3.3222997154059432E-3</v>
      </c>
      <c r="AO81" s="3"/>
      <c r="AP81">
        <v>0</v>
      </c>
      <c r="AR81" t="s">
        <v>0</v>
      </c>
      <c r="AT81" s="2">
        <v>2.4580000000000002</v>
      </c>
      <c r="AU81" s="1">
        <f t="shared" si="13"/>
        <v>2.5811830994678377</v>
      </c>
      <c r="AV81" s="1">
        <f t="shared" si="14"/>
        <v>1.9386250629171968</v>
      </c>
      <c r="AW81" s="1">
        <f t="shared" si="15"/>
        <v>1.2960670263665559</v>
      </c>
    </row>
    <row r="82" spans="1:49" x14ac:dyDescent="0.2">
      <c r="A82">
        <v>80</v>
      </c>
      <c r="B82" t="s">
        <v>1616</v>
      </c>
      <c r="C82" t="s">
        <v>1615</v>
      </c>
      <c r="F82" t="s">
        <v>1614</v>
      </c>
      <c r="G82" t="s">
        <v>3</v>
      </c>
      <c r="H82" t="s">
        <v>2</v>
      </c>
      <c r="I82" t="s">
        <v>1613</v>
      </c>
      <c r="J82">
        <v>60030162</v>
      </c>
      <c r="K82" t="s">
        <v>1547</v>
      </c>
      <c r="L82" t="s">
        <v>152</v>
      </c>
      <c r="M82" t="s">
        <v>6</v>
      </c>
      <c r="N82">
        <v>5</v>
      </c>
      <c r="O82" t="s">
        <v>1612</v>
      </c>
      <c r="P82" t="s">
        <v>1611</v>
      </c>
      <c r="Q82" t="s">
        <v>1610</v>
      </c>
      <c r="R82" s="7">
        <v>33573</v>
      </c>
      <c r="S82" s="8">
        <f t="shared" si="8"/>
        <v>1991</v>
      </c>
      <c r="T82" s="8">
        <v>1991</v>
      </c>
      <c r="U82" s="8">
        <f t="shared" si="9"/>
        <v>31</v>
      </c>
      <c r="V82" s="7">
        <v>1991</v>
      </c>
      <c r="W82" t="s">
        <v>1524</v>
      </c>
      <c r="X82" s="2">
        <v>1.1819999999999999</v>
      </c>
      <c r="Y82" s="6">
        <f t="shared" si="10"/>
        <v>3.1552814927524625E-2</v>
      </c>
      <c r="AA82">
        <v>36951</v>
      </c>
      <c r="AB82">
        <v>27030</v>
      </c>
      <c r="AD82" t="s">
        <v>1</v>
      </c>
      <c r="AE82">
        <v>58</v>
      </c>
      <c r="AF82">
        <v>5</v>
      </c>
      <c r="AH82" t="s">
        <v>1609</v>
      </c>
      <c r="AI82" t="s">
        <v>1608</v>
      </c>
      <c r="AK82" t="s">
        <v>1607</v>
      </c>
      <c r="AL82">
        <v>23</v>
      </c>
      <c r="AM82" s="5">
        <f t="shared" si="11"/>
        <v>0.74193548387096775</v>
      </c>
      <c r="AN82" s="4">
        <f t="shared" si="12"/>
        <v>1.1237190213873045E-3</v>
      </c>
      <c r="AO82" s="3"/>
      <c r="AP82">
        <v>0</v>
      </c>
      <c r="AR82" t="s">
        <v>0</v>
      </c>
      <c r="AT82" s="2">
        <v>3.7909999999999999</v>
      </c>
      <c r="AU82" s="1">
        <f t="shared" si="13"/>
        <v>2.2424086155683427</v>
      </c>
      <c r="AV82" s="1">
        <f t="shared" si="14"/>
        <v>1.6338266974455964</v>
      </c>
      <c r="AW82" s="1">
        <f t="shared" si="15"/>
        <v>1.0252447793228501</v>
      </c>
    </row>
    <row r="83" spans="1:49" x14ac:dyDescent="0.2">
      <c r="A83">
        <v>81</v>
      </c>
      <c r="B83" t="s">
        <v>1606</v>
      </c>
      <c r="C83" t="s">
        <v>1605</v>
      </c>
      <c r="F83" t="s">
        <v>1604</v>
      </c>
      <c r="G83" t="s">
        <v>3</v>
      </c>
      <c r="H83" t="s">
        <v>2</v>
      </c>
      <c r="I83" t="s">
        <v>1603</v>
      </c>
      <c r="J83">
        <v>60022195</v>
      </c>
      <c r="K83" t="s">
        <v>57</v>
      </c>
      <c r="L83" t="s">
        <v>56</v>
      </c>
      <c r="M83" t="s">
        <v>6</v>
      </c>
      <c r="N83">
        <v>3</v>
      </c>
      <c r="O83" t="s">
        <v>1602</v>
      </c>
      <c r="P83" t="s">
        <v>1601</v>
      </c>
      <c r="Q83" t="s">
        <v>174</v>
      </c>
      <c r="R83" s="7">
        <v>33573</v>
      </c>
      <c r="S83" s="8">
        <f t="shared" si="8"/>
        <v>1991</v>
      </c>
      <c r="T83" s="8">
        <v>1991</v>
      </c>
      <c r="U83" s="8">
        <f t="shared" si="9"/>
        <v>31</v>
      </c>
      <c r="V83" s="7">
        <v>1991</v>
      </c>
      <c r="W83" t="s">
        <v>1490</v>
      </c>
      <c r="X83" s="2">
        <v>0.60499999999999998</v>
      </c>
      <c r="Y83" s="6">
        <f t="shared" si="10"/>
        <v>1.6150129467980032E-2</v>
      </c>
      <c r="AA83">
        <v>346748</v>
      </c>
      <c r="AB83">
        <v>15563</v>
      </c>
      <c r="AD83" t="s">
        <v>1</v>
      </c>
      <c r="AE83">
        <v>62</v>
      </c>
      <c r="AF83">
        <v>4</v>
      </c>
      <c r="AH83" t="s">
        <v>1600</v>
      </c>
      <c r="AI83" t="s">
        <v>1599</v>
      </c>
      <c r="AK83" t="s">
        <v>1598</v>
      </c>
      <c r="AL83">
        <v>16</v>
      </c>
      <c r="AM83" s="5">
        <f t="shared" si="11"/>
        <v>0.5161290322580645</v>
      </c>
      <c r="AN83" s="4">
        <f t="shared" si="12"/>
        <v>7.8171758009551613E-4</v>
      </c>
      <c r="AO83" s="3"/>
      <c r="AP83">
        <v>0</v>
      </c>
      <c r="AR83" t="s">
        <v>0</v>
      </c>
      <c r="AT83" s="2">
        <v>1.5229999999999999</v>
      </c>
      <c r="AU83" s="1">
        <f t="shared" si="13"/>
        <v>1.1539605901614676</v>
      </c>
      <c r="AV83" s="1">
        <f t="shared" si="14"/>
        <v>0.84659235240377739</v>
      </c>
      <c r="AW83" s="1">
        <f t="shared" si="15"/>
        <v>0.5392241146460871</v>
      </c>
    </row>
    <row r="84" spans="1:49" x14ac:dyDescent="0.2">
      <c r="A84">
        <v>82</v>
      </c>
      <c r="B84" t="s">
        <v>1597</v>
      </c>
      <c r="C84" t="s">
        <v>1596</v>
      </c>
      <c r="F84" t="s">
        <v>1595</v>
      </c>
      <c r="G84" t="s">
        <v>3</v>
      </c>
      <c r="H84" t="s">
        <v>2</v>
      </c>
      <c r="I84" t="s">
        <v>1594</v>
      </c>
      <c r="J84">
        <v>60001989</v>
      </c>
      <c r="K84" t="s">
        <v>353</v>
      </c>
      <c r="L84" t="s">
        <v>108</v>
      </c>
      <c r="M84" t="s">
        <v>6</v>
      </c>
      <c r="N84">
        <v>3</v>
      </c>
      <c r="O84" t="s">
        <v>1593</v>
      </c>
      <c r="P84" t="s">
        <v>1592</v>
      </c>
      <c r="Q84" t="s">
        <v>1591</v>
      </c>
      <c r="R84" s="7">
        <v>33573</v>
      </c>
      <c r="S84" s="8">
        <f t="shared" si="8"/>
        <v>1991</v>
      </c>
      <c r="T84" s="8">
        <v>1991</v>
      </c>
      <c r="U84" s="8">
        <f t="shared" si="9"/>
        <v>31</v>
      </c>
      <c r="V84" s="7">
        <v>33573</v>
      </c>
      <c r="W84" t="s">
        <v>28</v>
      </c>
      <c r="X84" s="2">
        <v>1.1579999999999999</v>
      </c>
      <c r="Y84" s="6">
        <f t="shared" si="10"/>
        <v>3.0912148634579962E-2</v>
      </c>
      <c r="AA84">
        <v>1668595</v>
      </c>
      <c r="AB84">
        <v>14223</v>
      </c>
      <c r="AC84">
        <v>15735079</v>
      </c>
      <c r="AD84" t="s">
        <v>1</v>
      </c>
      <c r="AE84">
        <v>30</v>
      </c>
      <c r="AF84" s="9">
        <v>44257</v>
      </c>
      <c r="AH84" t="s">
        <v>1590</v>
      </c>
      <c r="AI84" t="s">
        <v>1589</v>
      </c>
      <c r="AJ84" t="s">
        <v>1588</v>
      </c>
      <c r="AK84" t="s">
        <v>1587</v>
      </c>
      <c r="AL84">
        <v>16</v>
      </c>
      <c r="AM84" s="5">
        <f t="shared" si="11"/>
        <v>0.5161290322580645</v>
      </c>
      <c r="AN84" s="4">
        <f t="shared" si="12"/>
        <v>7.8171758009551613E-4</v>
      </c>
      <c r="AO84" s="3"/>
      <c r="AP84">
        <v>0</v>
      </c>
      <c r="AR84" t="s">
        <v>0</v>
      </c>
      <c r="AT84" s="2">
        <v>3.573</v>
      </c>
      <c r="AU84" s="1">
        <f t="shared" si="13"/>
        <v>2.1873019318234626</v>
      </c>
      <c r="AV84" s="1">
        <f t="shared" si="14"/>
        <v>1.584693310733774</v>
      </c>
      <c r="AW84" s="1">
        <f t="shared" si="15"/>
        <v>0.98208468964408502</v>
      </c>
    </row>
    <row r="85" spans="1:49" x14ac:dyDescent="0.2">
      <c r="A85">
        <v>83</v>
      </c>
      <c r="B85" t="s">
        <v>1586</v>
      </c>
      <c r="C85" t="s">
        <v>1585</v>
      </c>
      <c r="F85" t="s">
        <v>1584</v>
      </c>
      <c r="G85" t="s">
        <v>3</v>
      </c>
      <c r="H85" t="s">
        <v>2</v>
      </c>
      <c r="I85" t="s">
        <v>1583</v>
      </c>
      <c r="J85">
        <v>60005248</v>
      </c>
      <c r="K85" t="s">
        <v>103</v>
      </c>
      <c r="L85" t="s">
        <v>102</v>
      </c>
      <c r="M85" t="s">
        <v>6</v>
      </c>
      <c r="N85">
        <v>5</v>
      </c>
      <c r="O85" t="s">
        <v>1582</v>
      </c>
      <c r="P85" t="s">
        <v>1581</v>
      </c>
      <c r="Q85" t="s">
        <v>1580</v>
      </c>
      <c r="R85" s="7">
        <v>33573</v>
      </c>
      <c r="S85" s="8">
        <f t="shared" si="8"/>
        <v>1991</v>
      </c>
      <c r="T85" s="8">
        <v>1991</v>
      </c>
      <c r="U85" s="8">
        <f t="shared" si="9"/>
        <v>31</v>
      </c>
      <c r="V85" s="7">
        <v>1991</v>
      </c>
      <c r="W85" t="s">
        <v>1514</v>
      </c>
      <c r="X85" s="2">
        <v>0.69899999999999995</v>
      </c>
      <c r="Y85" s="6">
        <f t="shared" si="10"/>
        <v>1.8659405782013295E-2</v>
      </c>
      <c r="AA85">
        <v>218979</v>
      </c>
      <c r="AB85">
        <v>28132</v>
      </c>
      <c r="AD85" t="s">
        <v>1</v>
      </c>
      <c r="AE85">
        <v>69</v>
      </c>
      <c r="AF85">
        <v>4</v>
      </c>
      <c r="AH85" t="s">
        <v>1579</v>
      </c>
      <c r="AI85" t="s">
        <v>1578</v>
      </c>
      <c r="AK85" t="s">
        <v>1577</v>
      </c>
      <c r="AL85">
        <v>15</v>
      </c>
      <c r="AM85" s="5">
        <f t="shared" si="11"/>
        <v>0.4838709677419355</v>
      </c>
      <c r="AN85" s="4">
        <f t="shared" si="12"/>
        <v>7.3286023133954637E-4</v>
      </c>
      <c r="AO85" s="3"/>
      <c r="AP85">
        <v>0</v>
      </c>
      <c r="AR85" t="s">
        <v>0</v>
      </c>
      <c r="AT85" s="2">
        <v>2.5459999999999998</v>
      </c>
      <c r="AU85" s="1">
        <f t="shared" si="13"/>
        <v>1.3281442116811168</v>
      </c>
      <c r="AV85" s="1">
        <f t="shared" si="14"/>
        <v>0.96961330066764206</v>
      </c>
      <c r="AW85" s="1">
        <f t="shared" si="15"/>
        <v>0.61108238965416706</v>
      </c>
    </row>
    <row r="86" spans="1:49" x14ac:dyDescent="0.2">
      <c r="A86">
        <v>84</v>
      </c>
      <c r="B86" t="s">
        <v>1576</v>
      </c>
      <c r="C86" t="s">
        <v>1575</v>
      </c>
      <c r="F86" t="s">
        <v>1574</v>
      </c>
      <c r="G86" t="s">
        <v>3</v>
      </c>
      <c r="H86" t="s">
        <v>2</v>
      </c>
      <c r="I86" t="s">
        <v>1573</v>
      </c>
      <c r="J86">
        <v>101496745</v>
      </c>
      <c r="K86" t="s">
        <v>1572</v>
      </c>
      <c r="L86" t="s">
        <v>1505</v>
      </c>
      <c r="M86" t="s">
        <v>20</v>
      </c>
      <c r="N86">
        <v>2</v>
      </c>
      <c r="O86" t="s">
        <v>1571</v>
      </c>
      <c r="P86" t="s">
        <v>1570</v>
      </c>
      <c r="Q86" t="s">
        <v>1569</v>
      </c>
      <c r="R86" s="7">
        <v>33573</v>
      </c>
      <c r="S86" s="8">
        <f t="shared" si="8"/>
        <v>1991</v>
      </c>
      <c r="T86" s="8">
        <v>1991</v>
      </c>
      <c r="U86" s="8">
        <f t="shared" si="9"/>
        <v>31</v>
      </c>
      <c r="V86" s="7">
        <v>1991</v>
      </c>
      <c r="W86" t="s">
        <v>1501</v>
      </c>
      <c r="X86" s="2">
        <v>1.3280000000000001</v>
      </c>
      <c r="Y86" s="6">
        <f t="shared" si="10"/>
        <v>3.5450201542937994E-2</v>
      </c>
      <c r="AA86">
        <v>7413335</v>
      </c>
      <c r="AB86">
        <v>29251</v>
      </c>
      <c r="AD86" t="s">
        <v>1</v>
      </c>
      <c r="AE86">
        <v>33</v>
      </c>
      <c r="AF86">
        <v>13</v>
      </c>
      <c r="AG86">
        <v>10</v>
      </c>
      <c r="AH86" t="s">
        <v>1568</v>
      </c>
      <c r="AI86" t="s">
        <v>1567</v>
      </c>
      <c r="AJ86" t="s">
        <v>1566</v>
      </c>
      <c r="AK86" t="s">
        <v>1565</v>
      </c>
      <c r="AL86">
        <v>27</v>
      </c>
      <c r="AM86" s="5">
        <f t="shared" si="11"/>
        <v>0.87096774193548387</v>
      </c>
      <c r="AN86" s="4">
        <f t="shared" si="12"/>
        <v>1.3191484164111836E-3</v>
      </c>
      <c r="AO86" s="3"/>
      <c r="AP86">
        <v>0</v>
      </c>
      <c r="AR86" t="s">
        <v>0</v>
      </c>
      <c r="AT86" s="2">
        <v>2.4580000000000002</v>
      </c>
      <c r="AU86" s="1">
        <f t="shared" si="13"/>
        <v>2.5210885604979949</v>
      </c>
      <c r="AV86" s="1">
        <f t="shared" si="14"/>
        <v>1.8384674979674589</v>
      </c>
      <c r="AW86" s="1">
        <f t="shared" si="15"/>
        <v>1.1558464354369227</v>
      </c>
    </row>
    <row r="87" spans="1:49" x14ac:dyDescent="0.2">
      <c r="A87">
        <v>85</v>
      </c>
      <c r="B87" t="s">
        <v>1564</v>
      </c>
      <c r="C87" t="s">
        <v>1563</v>
      </c>
      <c r="F87" t="s">
        <v>1562</v>
      </c>
      <c r="G87" t="s">
        <v>3</v>
      </c>
      <c r="H87" t="s">
        <v>2</v>
      </c>
      <c r="I87" t="s">
        <v>1561</v>
      </c>
      <c r="J87">
        <v>60024322</v>
      </c>
      <c r="K87" t="s">
        <v>1560</v>
      </c>
      <c r="L87" t="s">
        <v>1559</v>
      </c>
      <c r="M87" t="s">
        <v>26</v>
      </c>
      <c r="N87">
        <v>2</v>
      </c>
      <c r="O87" t="s">
        <v>1558</v>
      </c>
      <c r="P87" t="s">
        <v>1557</v>
      </c>
      <c r="Q87" t="s">
        <v>1556</v>
      </c>
      <c r="R87" s="7">
        <v>33573</v>
      </c>
      <c r="S87" s="8">
        <f t="shared" si="8"/>
        <v>1991</v>
      </c>
      <c r="T87" s="8">
        <v>1991</v>
      </c>
      <c r="U87" s="8">
        <f t="shared" si="9"/>
        <v>31</v>
      </c>
      <c r="V87" s="7">
        <v>33573</v>
      </c>
      <c r="W87" t="s">
        <v>1555</v>
      </c>
      <c r="X87" s="2">
        <v>0.42899999999999999</v>
      </c>
      <c r="Y87" s="6">
        <f t="shared" si="10"/>
        <v>1.1451909986385841E-2</v>
      </c>
      <c r="AA87">
        <v>2890771</v>
      </c>
      <c r="AB87">
        <v>22544</v>
      </c>
      <c r="AC87">
        <v>14395444</v>
      </c>
      <c r="AD87" t="s">
        <v>1</v>
      </c>
      <c r="AE87">
        <v>9</v>
      </c>
      <c r="AF87">
        <v>2</v>
      </c>
      <c r="AH87" t="s">
        <v>1554</v>
      </c>
      <c r="AI87" t="s">
        <v>1553</v>
      </c>
      <c r="AK87" t="s">
        <v>1552</v>
      </c>
      <c r="AL87">
        <v>8</v>
      </c>
      <c r="AM87" s="5">
        <f t="shared" si="11"/>
        <v>0.25806451612903225</v>
      </c>
      <c r="AN87" s="4">
        <f t="shared" si="12"/>
        <v>3.9085879004775807E-4</v>
      </c>
      <c r="AO87" s="3"/>
      <c r="AP87">
        <v>0</v>
      </c>
      <c r="AR87" t="s">
        <v>0</v>
      </c>
      <c r="AT87" s="2">
        <v>1.27</v>
      </c>
      <c r="AU87" s="1">
        <f t="shared" si="13"/>
        <v>0.81335946274844162</v>
      </c>
      <c r="AV87" s="1">
        <f t="shared" si="14"/>
        <v>0.59213843882167994</v>
      </c>
      <c r="AW87" s="1">
        <f t="shared" si="15"/>
        <v>0.37091741489491831</v>
      </c>
    </row>
    <row r="88" spans="1:49" x14ac:dyDescent="0.2">
      <c r="A88">
        <v>86</v>
      </c>
      <c r="B88" t="s">
        <v>1551</v>
      </c>
      <c r="C88" t="s">
        <v>1550</v>
      </c>
      <c r="F88" t="s">
        <v>1549</v>
      </c>
      <c r="G88" t="s">
        <v>3</v>
      </c>
      <c r="H88" t="s">
        <v>2</v>
      </c>
      <c r="I88" t="s">
        <v>1548</v>
      </c>
      <c r="J88">
        <v>60030162</v>
      </c>
      <c r="K88" t="s">
        <v>1547</v>
      </c>
      <c r="L88" t="s">
        <v>152</v>
      </c>
      <c r="M88" t="s">
        <v>6</v>
      </c>
      <c r="N88">
        <v>3</v>
      </c>
      <c r="O88" t="s">
        <v>1546</v>
      </c>
      <c r="P88" t="s">
        <v>1545</v>
      </c>
      <c r="Q88" t="s">
        <v>1544</v>
      </c>
      <c r="R88" s="7">
        <v>33573</v>
      </c>
      <c r="S88" s="8">
        <f t="shared" si="8"/>
        <v>1991</v>
      </c>
      <c r="T88" s="8">
        <v>1991</v>
      </c>
      <c r="U88" s="8">
        <f t="shared" si="9"/>
        <v>31</v>
      </c>
      <c r="V88" s="7">
        <v>1991</v>
      </c>
      <c r="W88" t="s">
        <v>1524</v>
      </c>
      <c r="X88" s="2">
        <v>1.1819999999999999</v>
      </c>
      <c r="Y88" s="6">
        <f t="shared" si="10"/>
        <v>3.1552814927524625E-2</v>
      </c>
      <c r="AA88">
        <v>36951</v>
      </c>
      <c r="AB88">
        <v>27030</v>
      </c>
      <c r="AD88" t="s">
        <v>1</v>
      </c>
      <c r="AE88">
        <v>58</v>
      </c>
      <c r="AF88">
        <v>1</v>
      </c>
      <c r="AH88" t="s">
        <v>1543</v>
      </c>
      <c r="AI88" t="s">
        <v>1542</v>
      </c>
      <c r="AK88" t="s">
        <v>1541</v>
      </c>
      <c r="AL88">
        <v>78</v>
      </c>
      <c r="AM88" s="5">
        <f t="shared" si="11"/>
        <v>2.5161290322580645</v>
      </c>
      <c r="AN88" s="4">
        <f t="shared" si="12"/>
        <v>3.810873202965641E-3</v>
      </c>
      <c r="AO88" s="3"/>
      <c r="AP88">
        <v>0</v>
      </c>
      <c r="AR88" t="s">
        <v>0</v>
      </c>
      <c r="AT88" s="2">
        <v>3.7909999999999999</v>
      </c>
      <c r="AU88" s="1">
        <f t="shared" si="13"/>
        <v>2.3230232410156928</v>
      </c>
      <c r="AV88" s="1">
        <f t="shared" si="14"/>
        <v>1.7681844065245134</v>
      </c>
      <c r="AW88" s="1">
        <f t="shared" si="15"/>
        <v>1.2133455720333335</v>
      </c>
    </row>
    <row r="89" spans="1:49" x14ac:dyDescent="0.2">
      <c r="A89">
        <v>87</v>
      </c>
      <c r="B89" t="s">
        <v>1540</v>
      </c>
      <c r="C89" t="s">
        <v>1539</v>
      </c>
      <c r="F89" t="s">
        <v>1538</v>
      </c>
      <c r="G89" t="s">
        <v>3</v>
      </c>
      <c r="H89" t="s">
        <v>2</v>
      </c>
      <c r="I89" t="s">
        <v>1537</v>
      </c>
      <c r="J89">
        <v>60025104</v>
      </c>
      <c r="K89" t="s">
        <v>211</v>
      </c>
      <c r="M89" t="s">
        <v>10</v>
      </c>
      <c r="N89">
        <v>7</v>
      </c>
      <c r="O89" t="s">
        <v>1536</v>
      </c>
      <c r="P89" t="s">
        <v>1535</v>
      </c>
      <c r="Q89" t="s">
        <v>1534</v>
      </c>
      <c r="R89" s="7">
        <v>33573</v>
      </c>
      <c r="S89" s="8">
        <f t="shared" si="8"/>
        <v>1991</v>
      </c>
      <c r="T89" s="8">
        <v>1991</v>
      </c>
      <c r="U89" s="8">
        <f t="shared" si="9"/>
        <v>31</v>
      </c>
      <c r="V89" s="7">
        <v>1991</v>
      </c>
      <c r="W89" t="s">
        <v>1501</v>
      </c>
      <c r="X89" s="2">
        <v>1.3280000000000001</v>
      </c>
      <c r="Y89" s="6">
        <f t="shared" si="10"/>
        <v>3.5450201542937994E-2</v>
      </c>
      <c r="AA89">
        <v>7413335</v>
      </c>
      <c r="AB89">
        <v>29251</v>
      </c>
      <c r="AD89" t="s">
        <v>1</v>
      </c>
      <c r="AE89">
        <v>33</v>
      </c>
      <c r="AF89">
        <v>8</v>
      </c>
      <c r="AG89">
        <v>5</v>
      </c>
      <c r="AH89" t="s">
        <v>1533</v>
      </c>
      <c r="AI89" t="s">
        <v>1532</v>
      </c>
      <c r="AK89" t="s">
        <v>1531</v>
      </c>
      <c r="AL89">
        <v>57</v>
      </c>
      <c r="AM89" s="5">
        <f t="shared" si="11"/>
        <v>1.8387096774193548</v>
      </c>
      <c r="AN89" s="4">
        <f t="shared" si="12"/>
        <v>2.7848688790902761E-3</v>
      </c>
      <c r="AO89" s="3"/>
      <c r="AP89">
        <v>0</v>
      </c>
      <c r="AR89" t="s">
        <v>0</v>
      </c>
      <c r="AT89" s="2">
        <v>2.4580000000000002</v>
      </c>
      <c r="AU89" s="1">
        <f t="shared" si="13"/>
        <v>2.5650601743783681</v>
      </c>
      <c r="AV89" s="1">
        <f t="shared" si="14"/>
        <v>1.9117535211014134</v>
      </c>
      <c r="AW89" s="1">
        <f t="shared" si="15"/>
        <v>1.2584468678244591</v>
      </c>
    </row>
    <row r="90" spans="1:49" x14ac:dyDescent="0.2">
      <c r="A90">
        <v>88</v>
      </c>
      <c r="B90" t="s">
        <v>1530</v>
      </c>
      <c r="C90" t="s">
        <v>1529</v>
      </c>
      <c r="F90" t="s">
        <v>1528</v>
      </c>
      <c r="G90" t="s">
        <v>3</v>
      </c>
      <c r="H90" t="s">
        <v>2</v>
      </c>
      <c r="I90" t="s">
        <v>1527</v>
      </c>
      <c r="J90">
        <v>60023053</v>
      </c>
      <c r="K90" t="s">
        <v>139</v>
      </c>
      <c r="L90" t="s">
        <v>138</v>
      </c>
      <c r="M90" t="s">
        <v>6</v>
      </c>
      <c r="N90">
        <v>3</v>
      </c>
      <c r="O90" t="s">
        <v>1526</v>
      </c>
      <c r="P90" t="s">
        <v>1525</v>
      </c>
      <c r="Q90" t="s">
        <v>137</v>
      </c>
      <c r="R90" s="7">
        <v>33573</v>
      </c>
      <c r="S90" s="8">
        <f t="shared" si="8"/>
        <v>1991</v>
      </c>
      <c r="T90" s="8">
        <v>1991</v>
      </c>
      <c r="U90" s="8">
        <f t="shared" si="9"/>
        <v>31</v>
      </c>
      <c r="V90" s="7">
        <v>1991</v>
      </c>
      <c r="W90" t="s">
        <v>1524</v>
      </c>
      <c r="X90" s="2">
        <v>1.1819999999999999</v>
      </c>
      <c r="Y90" s="6">
        <f t="shared" si="10"/>
        <v>3.1552814927524625E-2</v>
      </c>
      <c r="AA90">
        <v>36951</v>
      </c>
      <c r="AB90">
        <v>27030</v>
      </c>
      <c r="AD90" t="s">
        <v>1</v>
      </c>
      <c r="AE90">
        <v>59</v>
      </c>
      <c r="AF90">
        <v>25</v>
      </c>
      <c r="AH90" t="s">
        <v>1523</v>
      </c>
      <c r="AI90" t="s">
        <v>1522</v>
      </c>
      <c r="AK90" t="s">
        <v>1521</v>
      </c>
      <c r="AL90">
        <v>66</v>
      </c>
      <c r="AM90" s="5">
        <f t="shared" si="11"/>
        <v>2.129032258064516</v>
      </c>
      <c r="AN90" s="4">
        <f t="shared" si="12"/>
        <v>3.2245850178940039E-3</v>
      </c>
      <c r="AO90" s="3"/>
      <c r="AP90">
        <v>0</v>
      </c>
      <c r="AR90" t="s">
        <v>0</v>
      </c>
      <c r="AT90" s="2">
        <v>3.7909999999999999</v>
      </c>
      <c r="AU90" s="1">
        <f t="shared" si="13"/>
        <v>2.3054345954635438</v>
      </c>
      <c r="AV90" s="1">
        <f t="shared" si="14"/>
        <v>1.7388699972709314</v>
      </c>
      <c r="AW90" s="1">
        <f t="shared" si="15"/>
        <v>1.172305399078319</v>
      </c>
    </row>
    <row r="91" spans="1:49" x14ac:dyDescent="0.2">
      <c r="A91">
        <v>89</v>
      </c>
      <c r="B91" t="s">
        <v>1520</v>
      </c>
      <c r="C91" t="s">
        <v>1519</v>
      </c>
      <c r="F91" t="s">
        <v>1518</v>
      </c>
      <c r="G91" t="s">
        <v>3</v>
      </c>
      <c r="H91" t="s">
        <v>2</v>
      </c>
      <c r="I91" t="s">
        <v>1517</v>
      </c>
      <c r="J91">
        <v>60009982</v>
      </c>
      <c r="K91" t="s">
        <v>1516</v>
      </c>
      <c r="L91" t="s">
        <v>56</v>
      </c>
      <c r="M91" t="s">
        <v>6</v>
      </c>
      <c r="N91">
        <v>1</v>
      </c>
      <c r="O91" t="s">
        <v>1515</v>
      </c>
      <c r="P91">
        <v>35586046100</v>
      </c>
      <c r="Q91">
        <v>60009982</v>
      </c>
      <c r="R91" s="7">
        <v>33573</v>
      </c>
      <c r="S91" s="8">
        <f t="shared" si="8"/>
        <v>1991</v>
      </c>
      <c r="T91" s="8">
        <v>1991</v>
      </c>
      <c r="U91" s="8">
        <f t="shared" si="9"/>
        <v>31</v>
      </c>
      <c r="V91" s="7">
        <v>1991</v>
      </c>
      <c r="W91" t="s">
        <v>1514</v>
      </c>
      <c r="X91" s="2">
        <v>0.69899999999999995</v>
      </c>
      <c r="Y91" s="6">
        <f t="shared" si="10"/>
        <v>1.8659405782013295E-2</v>
      </c>
      <c r="AA91">
        <v>218979</v>
      </c>
      <c r="AB91">
        <v>28132</v>
      </c>
      <c r="AD91" t="s">
        <v>1</v>
      </c>
      <c r="AE91">
        <v>69</v>
      </c>
      <c r="AF91">
        <v>12</v>
      </c>
      <c r="AH91" t="s">
        <v>1513</v>
      </c>
      <c r="AI91" t="s">
        <v>1512</v>
      </c>
      <c r="AK91" t="s">
        <v>1511</v>
      </c>
      <c r="AL91">
        <v>70</v>
      </c>
      <c r="AM91" s="5">
        <f t="shared" si="11"/>
        <v>2.2580645161290325</v>
      </c>
      <c r="AN91" s="4">
        <f t="shared" si="12"/>
        <v>3.4200144129178833E-3</v>
      </c>
      <c r="AO91" s="3"/>
      <c r="AP91">
        <v>0</v>
      </c>
      <c r="AQ91" t="s">
        <v>45</v>
      </c>
      <c r="AR91">
        <v>853294</v>
      </c>
      <c r="AS91" t="s">
        <v>44</v>
      </c>
      <c r="AT91" s="2">
        <v>2.5459999999999998</v>
      </c>
      <c r="AU91" s="1">
        <f t="shared" si="13"/>
        <v>1.4087588371284669</v>
      </c>
      <c r="AV91" s="1">
        <f t="shared" si="14"/>
        <v>1.1039710097465589</v>
      </c>
      <c r="AW91" s="1">
        <f t="shared" si="15"/>
        <v>0.79918318236465069</v>
      </c>
    </row>
    <row r="92" spans="1:49" x14ac:dyDescent="0.2">
      <c r="A92">
        <v>90</v>
      </c>
      <c r="B92" t="s">
        <v>1510</v>
      </c>
      <c r="C92" t="s">
        <v>1509</v>
      </c>
      <c r="F92" t="s">
        <v>1508</v>
      </c>
      <c r="G92" t="s">
        <v>3</v>
      </c>
      <c r="H92" t="s">
        <v>2</v>
      </c>
      <c r="I92" t="s">
        <v>1507</v>
      </c>
      <c r="J92">
        <v>60003729</v>
      </c>
      <c r="K92" t="s">
        <v>1506</v>
      </c>
      <c r="L92" t="s">
        <v>1505</v>
      </c>
      <c r="M92" t="s">
        <v>20</v>
      </c>
      <c r="N92">
        <v>3</v>
      </c>
      <c r="O92" t="s">
        <v>1504</v>
      </c>
      <c r="P92" t="s">
        <v>1503</v>
      </c>
      <c r="Q92" t="s">
        <v>1502</v>
      </c>
      <c r="R92" s="7">
        <v>33573</v>
      </c>
      <c r="S92" s="8">
        <f t="shared" si="8"/>
        <v>1991</v>
      </c>
      <c r="T92" s="8">
        <v>1991</v>
      </c>
      <c r="U92" s="8">
        <f t="shared" si="9"/>
        <v>31</v>
      </c>
      <c r="V92" s="7">
        <v>1991</v>
      </c>
      <c r="W92" t="s">
        <v>1501</v>
      </c>
      <c r="X92" s="2">
        <v>1.3280000000000001</v>
      </c>
      <c r="Y92" s="6">
        <f t="shared" si="10"/>
        <v>3.5450201542937994E-2</v>
      </c>
      <c r="AA92">
        <v>7413335</v>
      </c>
      <c r="AB92">
        <v>29251</v>
      </c>
      <c r="AD92" t="s">
        <v>1</v>
      </c>
      <c r="AE92">
        <v>33</v>
      </c>
      <c r="AF92">
        <v>8</v>
      </c>
      <c r="AG92">
        <v>3</v>
      </c>
      <c r="AH92" t="s">
        <v>1500</v>
      </c>
      <c r="AI92" t="s">
        <v>1499</v>
      </c>
      <c r="AK92" t="s">
        <v>1498</v>
      </c>
      <c r="AL92">
        <v>49</v>
      </c>
      <c r="AM92" s="5">
        <f t="shared" si="11"/>
        <v>1.5806451612903225</v>
      </c>
      <c r="AN92" s="4">
        <f t="shared" si="12"/>
        <v>2.394010089042518E-3</v>
      </c>
      <c r="AO92" s="3"/>
      <c r="AP92">
        <v>0</v>
      </c>
      <c r="AR92" t="s">
        <v>0</v>
      </c>
      <c r="AT92" s="2">
        <v>2.4580000000000002</v>
      </c>
      <c r="AU92" s="1">
        <f t="shared" si="13"/>
        <v>2.5533344106769351</v>
      </c>
      <c r="AV92" s="1">
        <f t="shared" si="14"/>
        <v>1.8922105815990256</v>
      </c>
      <c r="AW92" s="1">
        <f t="shared" si="15"/>
        <v>1.231086752521116</v>
      </c>
    </row>
    <row r="93" spans="1:49" x14ac:dyDescent="0.2">
      <c r="A93">
        <v>91</v>
      </c>
      <c r="B93" t="s">
        <v>1497</v>
      </c>
      <c r="C93" t="s">
        <v>1496</v>
      </c>
      <c r="F93" t="s">
        <v>1495</v>
      </c>
      <c r="G93" t="s">
        <v>3</v>
      </c>
      <c r="H93" t="s">
        <v>2</v>
      </c>
      <c r="I93" t="s">
        <v>1494</v>
      </c>
      <c r="J93">
        <v>60027550</v>
      </c>
      <c r="K93" t="s">
        <v>81</v>
      </c>
      <c r="L93" t="s">
        <v>80</v>
      </c>
      <c r="M93" t="s">
        <v>6</v>
      </c>
      <c r="N93">
        <v>6</v>
      </c>
      <c r="O93" t="s">
        <v>1493</v>
      </c>
      <c r="P93" t="s">
        <v>1492</v>
      </c>
      <c r="Q93" t="s">
        <v>1491</v>
      </c>
      <c r="R93" s="7">
        <v>33573</v>
      </c>
      <c r="S93" s="8">
        <f t="shared" si="8"/>
        <v>1991</v>
      </c>
      <c r="T93" s="8">
        <v>1991</v>
      </c>
      <c r="U93" s="8">
        <f t="shared" si="9"/>
        <v>31</v>
      </c>
      <c r="V93" s="7">
        <v>1991</v>
      </c>
      <c r="W93" t="s">
        <v>1490</v>
      </c>
      <c r="X93" s="2">
        <v>0.60499999999999998</v>
      </c>
      <c r="Y93" s="6">
        <f t="shared" si="10"/>
        <v>1.6150129467980032E-2</v>
      </c>
      <c r="AA93">
        <v>346748</v>
      </c>
      <c r="AB93">
        <v>15563</v>
      </c>
      <c r="AD93" t="s">
        <v>1</v>
      </c>
      <c r="AE93">
        <v>62</v>
      </c>
      <c r="AF93">
        <v>12</v>
      </c>
      <c r="AH93" t="s">
        <v>1489</v>
      </c>
      <c r="AI93" t="s">
        <v>1488</v>
      </c>
      <c r="AK93" t="s">
        <v>1487</v>
      </c>
      <c r="AL93">
        <v>238</v>
      </c>
      <c r="AM93" s="5">
        <f t="shared" si="11"/>
        <v>7.67741935483871</v>
      </c>
      <c r="AN93" s="4">
        <f t="shared" si="12"/>
        <v>1.1628049003920803E-2</v>
      </c>
      <c r="AO93" s="3"/>
      <c r="AP93">
        <v>0</v>
      </c>
      <c r="AR93" t="s">
        <v>0</v>
      </c>
      <c r="AT93" s="2">
        <v>1.5229999999999999</v>
      </c>
      <c r="AU93" s="1">
        <f t="shared" si="13"/>
        <v>1.4793505328762262</v>
      </c>
      <c r="AV93" s="1">
        <f t="shared" si="14"/>
        <v>1.3889089235950418</v>
      </c>
      <c r="AW93" s="1">
        <f t="shared" si="15"/>
        <v>1.2984673143138572</v>
      </c>
    </row>
    <row r="94" spans="1:49" x14ac:dyDescent="0.2">
      <c r="A94">
        <v>92</v>
      </c>
      <c r="B94" t="s">
        <v>1486</v>
      </c>
      <c r="C94" t="s">
        <v>1485</v>
      </c>
      <c r="F94" t="s">
        <v>1484</v>
      </c>
      <c r="G94" t="s">
        <v>3</v>
      </c>
      <c r="H94" t="s">
        <v>2</v>
      </c>
      <c r="I94" t="s">
        <v>1483</v>
      </c>
      <c r="J94">
        <v>100634367</v>
      </c>
      <c r="K94" t="s">
        <v>1482</v>
      </c>
      <c r="L94" t="s">
        <v>171</v>
      </c>
      <c r="M94" t="s">
        <v>6</v>
      </c>
      <c r="N94">
        <v>2</v>
      </c>
      <c r="O94" t="s">
        <v>1481</v>
      </c>
      <c r="P94" t="s">
        <v>1480</v>
      </c>
      <c r="Q94" t="s">
        <v>1479</v>
      </c>
      <c r="R94" s="7">
        <v>33573</v>
      </c>
      <c r="S94" s="8">
        <f t="shared" si="8"/>
        <v>1991</v>
      </c>
      <c r="T94" s="8">
        <v>1991</v>
      </c>
      <c r="U94" s="8">
        <f t="shared" si="9"/>
        <v>31</v>
      </c>
      <c r="V94" s="7">
        <v>1991</v>
      </c>
      <c r="W94" t="s">
        <v>1478</v>
      </c>
      <c r="X94" s="2">
        <v>0.92600000000000005</v>
      </c>
      <c r="Y94" s="6">
        <f t="shared" si="10"/>
        <v>2.4719041136114894E-2</v>
      </c>
      <c r="AA94">
        <v>9574484</v>
      </c>
      <c r="AB94">
        <v>110040</v>
      </c>
      <c r="AD94" t="s">
        <v>1</v>
      </c>
      <c r="AE94">
        <v>2</v>
      </c>
      <c r="AF94">
        <v>4</v>
      </c>
      <c r="AG94">
        <v>1</v>
      </c>
      <c r="AH94" t="s">
        <v>1214</v>
      </c>
      <c r="AI94" t="s">
        <v>1477</v>
      </c>
      <c r="AK94" t="s">
        <v>1476</v>
      </c>
      <c r="AL94">
        <v>9</v>
      </c>
      <c r="AM94" s="5">
        <f t="shared" si="11"/>
        <v>0.29032258064516131</v>
      </c>
      <c r="AN94" s="4">
        <f t="shared" si="12"/>
        <v>4.3971613880372783E-4</v>
      </c>
      <c r="AO94" s="3"/>
      <c r="AP94">
        <v>0</v>
      </c>
      <c r="AR94" t="s">
        <v>0</v>
      </c>
      <c r="AT94" s="2">
        <v>3.8740000000000001</v>
      </c>
      <c r="AU94" s="1">
        <f t="shared" si="13"/>
        <v>1.7435243636921542</v>
      </c>
      <c r="AV94" s="1">
        <f t="shared" si="14"/>
        <v>1.2579378637459311</v>
      </c>
      <c r="AW94" s="1">
        <f t="shared" si="15"/>
        <v>0.7723513637997077</v>
      </c>
    </row>
    <row r="95" spans="1:49" x14ac:dyDescent="0.2">
      <c r="A95">
        <v>93</v>
      </c>
      <c r="B95" t="s">
        <v>1475</v>
      </c>
      <c r="C95" t="s">
        <v>1474</v>
      </c>
      <c r="F95" t="s">
        <v>1473</v>
      </c>
      <c r="G95" t="s">
        <v>3</v>
      </c>
      <c r="H95" t="s">
        <v>2</v>
      </c>
      <c r="I95" t="s">
        <v>1472</v>
      </c>
      <c r="J95" t="s">
        <v>1471</v>
      </c>
      <c r="K95" t="s">
        <v>1470</v>
      </c>
      <c r="L95" t="s">
        <v>1469</v>
      </c>
      <c r="M95" t="s">
        <v>1468</v>
      </c>
      <c r="N95">
        <v>4</v>
      </c>
      <c r="O95" t="s">
        <v>1467</v>
      </c>
      <c r="P95" t="s">
        <v>1466</v>
      </c>
      <c r="Q95" t="s">
        <v>1465</v>
      </c>
      <c r="R95" s="7">
        <v>33563</v>
      </c>
      <c r="S95" s="8">
        <f t="shared" si="8"/>
        <v>1991</v>
      </c>
      <c r="T95" s="8">
        <v>1991</v>
      </c>
      <c r="U95" s="8">
        <f t="shared" si="9"/>
        <v>31</v>
      </c>
      <c r="V95" s="7">
        <v>33563</v>
      </c>
      <c r="W95" t="s">
        <v>48</v>
      </c>
      <c r="X95" s="2">
        <v>0.375</v>
      </c>
      <c r="Y95" s="6">
        <f t="shared" si="10"/>
        <v>1.0010410827260351E-2</v>
      </c>
      <c r="AA95">
        <v>135194</v>
      </c>
      <c r="AB95">
        <v>24918</v>
      </c>
      <c r="AD95" t="s">
        <v>1</v>
      </c>
      <c r="AE95">
        <v>27</v>
      </c>
      <c r="AF95">
        <v>24</v>
      </c>
      <c r="AH95" t="s">
        <v>1464</v>
      </c>
      <c r="AI95" t="s">
        <v>1463</v>
      </c>
      <c r="AJ95" t="s">
        <v>1462</v>
      </c>
      <c r="AK95" t="s">
        <v>1461</v>
      </c>
      <c r="AL95">
        <v>30</v>
      </c>
      <c r="AM95" s="5">
        <f t="shared" si="11"/>
        <v>0.967741935483871</v>
      </c>
      <c r="AN95" s="4">
        <f t="shared" si="12"/>
        <v>1.4657204626790927E-3</v>
      </c>
      <c r="AO95" s="3"/>
      <c r="AP95">
        <v>0</v>
      </c>
      <c r="AR95" t="s">
        <v>0</v>
      </c>
      <c r="AT95" s="2">
        <v>1.3140000000000001</v>
      </c>
      <c r="AU95" s="1">
        <f t="shared" si="13"/>
        <v>0.74470037178859738</v>
      </c>
      <c r="AV95" s="1">
        <f t="shared" si="14"/>
        <v>0.5738065644969722</v>
      </c>
      <c r="AW95" s="1">
        <f t="shared" si="15"/>
        <v>0.40291275720534703</v>
      </c>
    </row>
    <row r="96" spans="1:49" x14ac:dyDescent="0.2">
      <c r="A96">
        <v>94</v>
      </c>
      <c r="B96" t="s">
        <v>1460</v>
      </c>
      <c r="C96" t="s">
        <v>1459</v>
      </c>
      <c r="F96" t="s">
        <v>1458</v>
      </c>
      <c r="G96" t="s">
        <v>3</v>
      </c>
      <c r="H96" t="s">
        <v>2</v>
      </c>
      <c r="I96" t="s">
        <v>1457</v>
      </c>
      <c r="J96">
        <v>123304550</v>
      </c>
      <c r="K96" t="s">
        <v>1456</v>
      </c>
      <c r="L96" t="s">
        <v>1455</v>
      </c>
      <c r="M96" t="s">
        <v>131</v>
      </c>
      <c r="N96">
        <v>3</v>
      </c>
      <c r="O96" t="s">
        <v>1454</v>
      </c>
      <c r="P96" t="s">
        <v>1453</v>
      </c>
      <c r="Q96" t="s">
        <v>1452</v>
      </c>
      <c r="R96" s="7">
        <v>33563</v>
      </c>
      <c r="S96" s="8">
        <f t="shared" si="8"/>
        <v>1991</v>
      </c>
      <c r="T96" s="8">
        <v>1991</v>
      </c>
      <c r="U96" s="8">
        <f t="shared" si="9"/>
        <v>31</v>
      </c>
      <c r="V96" s="7">
        <v>33563</v>
      </c>
      <c r="W96" t="s">
        <v>48</v>
      </c>
      <c r="X96" s="2">
        <v>0.375</v>
      </c>
      <c r="Y96" s="6">
        <f t="shared" si="10"/>
        <v>1.0010410827260351E-2</v>
      </c>
      <c r="AA96">
        <v>135194</v>
      </c>
      <c r="AB96">
        <v>24918</v>
      </c>
      <c r="AD96" t="s">
        <v>1</v>
      </c>
      <c r="AE96">
        <v>27</v>
      </c>
      <c r="AF96">
        <v>24</v>
      </c>
      <c r="AH96" t="s">
        <v>1451</v>
      </c>
      <c r="AI96" t="s">
        <v>1450</v>
      </c>
      <c r="AJ96" t="s">
        <v>1449</v>
      </c>
      <c r="AK96" t="s">
        <v>1448</v>
      </c>
      <c r="AL96">
        <v>6</v>
      </c>
      <c r="AM96" s="5">
        <f t="shared" si="11"/>
        <v>0.19354838709677419</v>
      </c>
      <c r="AN96" s="4">
        <f t="shared" si="12"/>
        <v>2.9314409253581854E-4</v>
      </c>
      <c r="AO96" s="3"/>
      <c r="AP96">
        <v>0</v>
      </c>
      <c r="AR96" t="s">
        <v>0</v>
      </c>
      <c r="AT96" s="2">
        <v>1.3140000000000001</v>
      </c>
      <c r="AU96" s="1">
        <f t="shared" si="13"/>
        <v>0.70952308068429915</v>
      </c>
      <c r="AV96" s="1">
        <f t="shared" si="14"/>
        <v>0.51517774598980848</v>
      </c>
      <c r="AW96" s="1">
        <f t="shared" si="15"/>
        <v>0.32083241129531781</v>
      </c>
    </row>
    <row r="97" spans="1:49" x14ac:dyDescent="0.2">
      <c r="A97">
        <v>95</v>
      </c>
      <c r="B97" t="s">
        <v>1447</v>
      </c>
      <c r="C97" t="s">
        <v>1446</v>
      </c>
      <c r="F97" t="s">
        <v>1445</v>
      </c>
      <c r="G97" t="s">
        <v>3</v>
      </c>
      <c r="H97" t="s">
        <v>2</v>
      </c>
      <c r="I97" t="s">
        <v>250</v>
      </c>
      <c r="J97">
        <v>60031828</v>
      </c>
      <c r="K97" t="s">
        <v>90</v>
      </c>
      <c r="L97" t="s">
        <v>89</v>
      </c>
      <c r="M97" t="s">
        <v>88</v>
      </c>
      <c r="N97">
        <v>2</v>
      </c>
      <c r="O97" t="s">
        <v>249</v>
      </c>
      <c r="P97" t="s">
        <v>248</v>
      </c>
      <c r="Q97" t="s">
        <v>149</v>
      </c>
      <c r="R97" s="7">
        <v>33563</v>
      </c>
      <c r="S97" s="8">
        <f t="shared" si="8"/>
        <v>1991</v>
      </c>
      <c r="T97" s="8">
        <v>1991</v>
      </c>
      <c r="U97" s="8">
        <f t="shared" si="9"/>
        <v>31</v>
      </c>
      <c r="V97" s="7">
        <v>33563</v>
      </c>
      <c r="W97" t="s">
        <v>48</v>
      </c>
      <c r="X97" s="2">
        <v>0.375</v>
      </c>
      <c r="Y97" s="6">
        <f t="shared" si="10"/>
        <v>1.0010410827260351E-2</v>
      </c>
      <c r="AA97">
        <v>135194</v>
      </c>
      <c r="AB97">
        <v>24918</v>
      </c>
      <c r="AD97" t="s">
        <v>1</v>
      </c>
      <c r="AE97">
        <v>27</v>
      </c>
      <c r="AF97">
        <v>24</v>
      </c>
      <c r="AH97" t="s">
        <v>1444</v>
      </c>
      <c r="AI97" t="s">
        <v>1443</v>
      </c>
      <c r="AJ97" t="s">
        <v>1442</v>
      </c>
      <c r="AK97" t="s">
        <v>1441</v>
      </c>
      <c r="AL97">
        <v>1</v>
      </c>
      <c r="AM97" s="5">
        <f t="shared" si="11"/>
        <v>3.2258064516129031E-2</v>
      </c>
      <c r="AN97" s="4">
        <f t="shared" si="12"/>
        <v>4.8857348755969758E-5</v>
      </c>
      <c r="AO97" s="3"/>
      <c r="AP97">
        <v>0</v>
      </c>
      <c r="AR97" t="s">
        <v>0</v>
      </c>
      <c r="AT97" s="2">
        <v>1.3140000000000001</v>
      </c>
      <c r="AU97" s="1">
        <f t="shared" si="13"/>
        <v>0.70219447837090365</v>
      </c>
      <c r="AV97" s="1">
        <f t="shared" si="14"/>
        <v>0.50296340880081603</v>
      </c>
      <c r="AW97" s="1">
        <f t="shared" si="15"/>
        <v>0.3037323392307284</v>
      </c>
    </row>
    <row r="98" spans="1:49" x14ac:dyDescent="0.2">
      <c r="A98">
        <v>96</v>
      </c>
      <c r="B98" t="s">
        <v>1440</v>
      </c>
      <c r="C98" t="s">
        <v>1439</v>
      </c>
      <c r="F98" t="s">
        <v>1438</v>
      </c>
      <c r="G98" t="s">
        <v>3</v>
      </c>
      <c r="H98" t="s">
        <v>2</v>
      </c>
      <c r="I98" t="s">
        <v>905</v>
      </c>
      <c r="J98">
        <v>60029284</v>
      </c>
      <c r="K98" t="s">
        <v>904</v>
      </c>
      <c r="L98" t="s">
        <v>903</v>
      </c>
      <c r="M98" t="s">
        <v>78</v>
      </c>
      <c r="N98">
        <v>2</v>
      </c>
      <c r="O98" t="s">
        <v>902</v>
      </c>
      <c r="P98" t="s">
        <v>901</v>
      </c>
      <c r="Q98" t="s">
        <v>900</v>
      </c>
      <c r="R98" s="7">
        <v>33549</v>
      </c>
      <c r="S98" s="8">
        <f t="shared" si="8"/>
        <v>1991</v>
      </c>
      <c r="T98" s="8">
        <v>1991</v>
      </c>
      <c r="U98" s="8">
        <f t="shared" si="9"/>
        <v>31</v>
      </c>
      <c r="V98" s="7">
        <v>33549</v>
      </c>
      <c r="W98" t="s">
        <v>48</v>
      </c>
      <c r="X98" s="2">
        <v>0.375</v>
      </c>
      <c r="Y98" s="6">
        <f t="shared" si="10"/>
        <v>1.0010410827260351E-2</v>
      </c>
      <c r="AA98">
        <v>135194</v>
      </c>
      <c r="AB98">
        <v>24918</v>
      </c>
      <c r="AD98" t="s">
        <v>1</v>
      </c>
      <c r="AE98">
        <v>27</v>
      </c>
      <c r="AF98">
        <v>24</v>
      </c>
      <c r="AH98" t="s">
        <v>1437</v>
      </c>
      <c r="AI98" t="s">
        <v>1436</v>
      </c>
      <c r="AJ98" t="s">
        <v>1435</v>
      </c>
      <c r="AK98" t="s">
        <v>1434</v>
      </c>
      <c r="AL98">
        <v>19</v>
      </c>
      <c r="AM98" s="5">
        <f t="shared" si="11"/>
        <v>0.61290322580645162</v>
      </c>
      <c r="AN98" s="4">
        <f t="shared" si="12"/>
        <v>9.2828962636342543E-4</v>
      </c>
      <c r="AO98" s="3"/>
      <c r="AP98">
        <v>0</v>
      </c>
      <c r="AR98" t="s">
        <v>0</v>
      </c>
      <c r="AT98" s="2">
        <v>1.3140000000000001</v>
      </c>
      <c r="AU98" s="1">
        <f t="shared" si="13"/>
        <v>0.72857744669912727</v>
      </c>
      <c r="AV98" s="1">
        <f t="shared" si="14"/>
        <v>0.54693502268118888</v>
      </c>
      <c r="AW98" s="1">
        <f t="shared" si="15"/>
        <v>0.36529259866325026</v>
      </c>
    </row>
    <row r="99" spans="1:49" x14ac:dyDescent="0.2">
      <c r="A99">
        <v>97</v>
      </c>
      <c r="B99" t="s">
        <v>1433</v>
      </c>
      <c r="C99" t="s">
        <v>1432</v>
      </c>
      <c r="D99" t="s">
        <v>1431</v>
      </c>
      <c r="F99" t="s">
        <v>1430</v>
      </c>
      <c r="G99" t="s">
        <v>3</v>
      </c>
      <c r="H99" t="s">
        <v>2</v>
      </c>
      <c r="I99" t="s">
        <v>33</v>
      </c>
      <c r="J99">
        <v>60030318</v>
      </c>
      <c r="K99" t="s">
        <v>32</v>
      </c>
      <c r="L99" t="s">
        <v>31</v>
      </c>
      <c r="M99" t="s">
        <v>30</v>
      </c>
      <c r="N99">
        <v>3</v>
      </c>
      <c r="O99" t="s">
        <v>1429</v>
      </c>
      <c r="P99" t="s">
        <v>1428</v>
      </c>
      <c r="Q99" t="s">
        <v>29</v>
      </c>
      <c r="R99" s="7">
        <v>33549</v>
      </c>
      <c r="S99" s="8">
        <f t="shared" si="8"/>
        <v>1991</v>
      </c>
      <c r="T99" s="8">
        <v>1991</v>
      </c>
      <c r="U99" s="8">
        <f t="shared" si="9"/>
        <v>31</v>
      </c>
      <c r="V99" s="7">
        <v>33549</v>
      </c>
      <c r="W99" t="s">
        <v>228</v>
      </c>
      <c r="X99" s="2">
        <v>1.59</v>
      </c>
      <c r="Y99" s="6">
        <f t="shared" si="10"/>
        <v>4.2444141907583888E-2</v>
      </c>
      <c r="AA99">
        <v>52728</v>
      </c>
      <c r="AB99">
        <v>16791</v>
      </c>
      <c r="AD99" t="s">
        <v>1</v>
      </c>
      <c r="AE99">
        <v>1060</v>
      </c>
      <c r="AF99">
        <v>3</v>
      </c>
      <c r="AH99" t="s">
        <v>1427</v>
      </c>
      <c r="AI99" t="s">
        <v>1426</v>
      </c>
      <c r="AJ99" t="s">
        <v>1425</v>
      </c>
      <c r="AK99" t="s">
        <v>1424</v>
      </c>
      <c r="AL99">
        <v>19</v>
      </c>
      <c r="AM99" s="5">
        <f t="shared" si="11"/>
        <v>0.61290322580645162</v>
      </c>
      <c r="AN99" s="4">
        <f t="shared" si="12"/>
        <v>9.2828962636342543E-4</v>
      </c>
      <c r="AO99" s="3"/>
      <c r="AP99">
        <v>0</v>
      </c>
      <c r="AR99" t="s">
        <v>0</v>
      </c>
      <c r="AT99" s="2" t="s">
        <v>5</v>
      </c>
      <c r="AU99" s="1">
        <f t="shared" si="13"/>
        <v>2.9989386223217749</v>
      </c>
      <c r="AV99" s="1">
        <f t="shared" si="14"/>
        <v>2.1686215766973658</v>
      </c>
      <c r="AW99" s="1">
        <f t="shared" si="15"/>
        <v>1.3383045310729562</v>
      </c>
    </row>
    <row r="100" spans="1:49" x14ac:dyDescent="0.2">
      <c r="A100">
        <v>98</v>
      </c>
      <c r="B100" t="s">
        <v>1423</v>
      </c>
      <c r="C100" t="s">
        <v>1422</v>
      </c>
      <c r="D100" t="s">
        <v>1421</v>
      </c>
      <c r="F100" t="s">
        <v>1420</v>
      </c>
      <c r="G100" t="s">
        <v>3</v>
      </c>
      <c r="H100" t="s">
        <v>2</v>
      </c>
      <c r="I100" t="s">
        <v>1419</v>
      </c>
      <c r="J100">
        <v>60072285</v>
      </c>
      <c r="K100" t="s">
        <v>208</v>
      </c>
      <c r="L100" t="s">
        <v>207</v>
      </c>
      <c r="M100" t="s">
        <v>4</v>
      </c>
      <c r="N100">
        <v>3</v>
      </c>
      <c r="O100" t="s">
        <v>1418</v>
      </c>
      <c r="P100" t="s">
        <v>1417</v>
      </c>
      <c r="Q100" t="s">
        <v>613</v>
      </c>
      <c r="R100" s="7">
        <v>33549</v>
      </c>
      <c r="S100" s="8">
        <f t="shared" si="8"/>
        <v>1991</v>
      </c>
      <c r="T100" s="8">
        <v>1991</v>
      </c>
      <c r="U100" s="8">
        <f t="shared" si="9"/>
        <v>31</v>
      </c>
      <c r="V100" s="7">
        <v>33549</v>
      </c>
      <c r="W100" t="s">
        <v>228</v>
      </c>
      <c r="X100" s="2">
        <v>1.59</v>
      </c>
      <c r="Y100" s="6">
        <f t="shared" si="10"/>
        <v>4.2444141907583888E-2</v>
      </c>
      <c r="AA100">
        <v>52728</v>
      </c>
      <c r="AB100">
        <v>16791</v>
      </c>
      <c r="AD100" t="s">
        <v>1</v>
      </c>
      <c r="AE100">
        <v>1060</v>
      </c>
      <c r="AF100">
        <v>3</v>
      </c>
      <c r="AH100" t="s">
        <v>1416</v>
      </c>
      <c r="AI100" t="s">
        <v>1415</v>
      </c>
      <c r="AJ100" t="s">
        <v>1414</v>
      </c>
      <c r="AK100" t="s">
        <v>1413</v>
      </c>
      <c r="AL100">
        <v>38</v>
      </c>
      <c r="AM100" s="5">
        <f t="shared" si="11"/>
        <v>1.2258064516129032</v>
      </c>
      <c r="AN100" s="4">
        <f t="shared" si="12"/>
        <v>1.8565792527268509E-3</v>
      </c>
      <c r="AO100" s="3"/>
      <c r="AP100">
        <v>0</v>
      </c>
      <c r="AQ100" t="s">
        <v>115</v>
      </c>
      <c r="AR100" t="s">
        <v>0</v>
      </c>
      <c r="AS100" t="s">
        <v>114</v>
      </c>
      <c r="AT100" s="2" t="s">
        <v>5</v>
      </c>
      <c r="AU100" s="1">
        <f t="shared" si="13"/>
        <v>3.0267873111126775</v>
      </c>
      <c r="AV100" s="1">
        <f t="shared" si="14"/>
        <v>2.2150360580155368</v>
      </c>
      <c r="AW100" s="1">
        <f t="shared" si="15"/>
        <v>1.4032848049183961</v>
      </c>
    </row>
    <row r="101" spans="1:49" x14ac:dyDescent="0.2">
      <c r="A101">
        <v>99</v>
      </c>
      <c r="B101" t="s">
        <v>1412</v>
      </c>
      <c r="E101">
        <v>1894623</v>
      </c>
      <c r="F101" t="s">
        <v>1411</v>
      </c>
      <c r="G101" t="s">
        <v>3</v>
      </c>
      <c r="H101" t="s">
        <v>2</v>
      </c>
      <c r="I101" t="s">
        <v>1410</v>
      </c>
      <c r="J101">
        <v>60023691</v>
      </c>
      <c r="K101" t="s">
        <v>107</v>
      </c>
      <c r="L101" t="s">
        <v>106</v>
      </c>
      <c r="M101" t="s">
        <v>6</v>
      </c>
      <c r="N101">
        <v>5</v>
      </c>
      <c r="O101" t="s">
        <v>1409</v>
      </c>
      <c r="P101" t="s">
        <v>1408</v>
      </c>
      <c r="Q101" t="s">
        <v>1407</v>
      </c>
      <c r="R101" s="7">
        <v>33549</v>
      </c>
      <c r="S101" s="8">
        <f t="shared" si="8"/>
        <v>1991</v>
      </c>
      <c r="T101" s="8">
        <v>1991</v>
      </c>
      <c r="U101" s="8">
        <f t="shared" si="9"/>
        <v>31</v>
      </c>
      <c r="V101" s="7">
        <v>1991</v>
      </c>
      <c r="W101" t="s">
        <v>229</v>
      </c>
      <c r="X101" s="2">
        <v>2.3610000000000002</v>
      </c>
      <c r="Y101" s="6">
        <f t="shared" si="10"/>
        <v>6.3025546568431179E-2</v>
      </c>
      <c r="AA101">
        <v>219258</v>
      </c>
      <c r="AB101">
        <v>17592</v>
      </c>
      <c r="AD101" t="s">
        <v>1</v>
      </c>
      <c r="AE101">
        <v>266</v>
      </c>
      <c r="AF101">
        <v>26</v>
      </c>
      <c r="AH101" t="s">
        <v>1406</v>
      </c>
      <c r="AI101" t="s">
        <v>1405</v>
      </c>
      <c r="AK101" t="s">
        <v>1404</v>
      </c>
      <c r="AL101">
        <v>75</v>
      </c>
      <c r="AM101" s="5">
        <f t="shared" si="11"/>
        <v>2.4193548387096775</v>
      </c>
      <c r="AN101" s="4">
        <f t="shared" si="12"/>
        <v>3.6643011566977321E-3</v>
      </c>
      <c r="AO101" s="3"/>
      <c r="AP101">
        <v>0</v>
      </c>
      <c r="AQ101" t="s">
        <v>1403</v>
      </c>
      <c r="AR101" t="s">
        <v>1402</v>
      </c>
      <c r="AS101" t="s">
        <v>1401</v>
      </c>
      <c r="AT101" s="2">
        <v>5.157</v>
      </c>
      <c r="AU101" s="1">
        <f t="shared" si="13"/>
        <v>4.5217172944911139</v>
      </c>
      <c r="AV101" s="1">
        <f t="shared" si="14"/>
        <v>3.3344923862564455</v>
      </c>
      <c r="AW101" s="1">
        <f t="shared" si="15"/>
        <v>2.1472674780217766</v>
      </c>
    </row>
    <row r="102" spans="1:49" x14ac:dyDescent="0.2">
      <c r="A102">
        <v>100</v>
      </c>
      <c r="B102" t="s">
        <v>1400</v>
      </c>
      <c r="C102" t="s">
        <v>1399</v>
      </c>
      <c r="F102" t="s">
        <v>1398</v>
      </c>
      <c r="G102" t="s">
        <v>3</v>
      </c>
      <c r="H102" t="s">
        <v>2</v>
      </c>
      <c r="I102" t="s">
        <v>1397</v>
      </c>
      <c r="J102" t="s">
        <v>1396</v>
      </c>
      <c r="K102" t="s">
        <v>1395</v>
      </c>
      <c r="L102" t="s">
        <v>1394</v>
      </c>
      <c r="M102" t="s">
        <v>95</v>
      </c>
      <c r="N102">
        <v>3</v>
      </c>
      <c r="O102" t="s">
        <v>1393</v>
      </c>
      <c r="P102" t="s">
        <v>1392</v>
      </c>
      <c r="Q102" t="s">
        <v>1391</v>
      </c>
      <c r="R102" s="7">
        <v>33546</v>
      </c>
      <c r="S102" s="8">
        <f t="shared" si="8"/>
        <v>1991</v>
      </c>
      <c r="T102" s="8">
        <v>1991</v>
      </c>
      <c r="U102" s="8">
        <f t="shared" si="9"/>
        <v>31</v>
      </c>
      <c r="V102" s="7">
        <v>33546</v>
      </c>
      <c r="W102" t="s">
        <v>48</v>
      </c>
      <c r="X102" s="2">
        <v>0.375</v>
      </c>
      <c r="Y102" s="6">
        <f t="shared" si="10"/>
        <v>1.0010410827260351E-2</v>
      </c>
      <c r="AA102">
        <v>135194</v>
      </c>
      <c r="AB102">
        <v>24918</v>
      </c>
      <c r="AD102" t="s">
        <v>1</v>
      </c>
      <c r="AE102">
        <v>27</v>
      </c>
      <c r="AF102">
        <v>8</v>
      </c>
      <c r="AH102" t="s">
        <v>1390</v>
      </c>
      <c r="AI102" t="s">
        <v>1389</v>
      </c>
      <c r="AJ102" t="s">
        <v>1388</v>
      </c>
      <c r="AK102" t="s">
        <v>1387</v>
      </c>
      <c r="AL102">
        <v>9</v>
      </c>
      <c r="AM102" s="5">
        <f t="shared" si="11"/>
        <v>0.29032258064516131</v>
      </c>
      <c r="AN102" s="4">
        <f t="shared" si="12"/>
        <v>4.3971613880372783E-4</v>
      </c>
      <c r="AO102" s="3"/>
      <c r="AP102">
        <v>0</v>
      </c>
      <c r="AR102" t="s">
        <v>0</v>
      </c>
      <c r="AT102" s="2">
        <v>1.3140000000000001</v>
      </c>
      <c r="AU102" s="1">
        <f t="shared" si="13"/>
        <v>0.7139202420723364</v>
      </c>
      <c r="AV102" s="1">
        <f t="shared" si="14"/>
        <v>0.52250634830320397</v>
      </c>
      <c r="AW102" s="1">
        <f t="shared" si="15"/>
        <v>0.33109245453407149</v>
      </c>
    </row>
    <row r="103" spans="1:49" x14ac:dyDescent="0.2">
      <c r="A103">
        <v>101</v>
      </c>
      <c r="B103" t="s">
        <v>1386</v>
      </c>
      <c r="C103" t="s">
        <v>1385</v>
      </c>
      <c r="F103" t="s">
        <v>1384</v>
      </c>
      <c r="G103" t="s">
        <v>3</v>
      </c>
      <c r="H103" t="s">
        <v>2</v>
      </c>
      <c r="I103" t="s">
        <v>1383</v>
      </c>
      <c r="J103">
        <v>60022195</v>
      </c>
      <c r="K103" t="s">
        <v>57</v>
      </c>
      <c r="L103" t="s">
        <v>56</v>
      </c>
      <c r="M103" t="s">
        <v>6</v>
      </c>
      <c r="N103">
        <v>6</v>
      </c>
      <c r="O103" t="s">
        <v>1382</v>
      </c>
      <c r="P103" t="s">
        <v>1381</v>
      </c>
      <c r="Q103" t="s">
        <v>160</v>
      </c>
      <c r="R103" s="7">
        <v>33546</v>
      </c>
      <c r="S103" s="8">
        <f t="shared" si="8"/>
        <v>1991</v>
      </c>
      <c r="T103" s="8">
        <v>1991</v>
      </c>
      <c r="U103" s="8">
        <f t="shared" si="9"/>
        <v>31</v>
      </c>
      <c r="V103" s="7">
        <v>33546</v>
      </c>
      <c r="W103" t="s">
        <v>48</v>
      </c>
      <c r="X103" s="2">
        <v>0.375</v>
      </c>
      <c r="Y103" s="6">
        <f t="shared" si="10"/>
        <v>1.0010410827260351E-2</v>
      </c>
      <c r="AA103">
        <v>135194</v>
      </c>
      <c r="AB103">
        <v>24918</v>
      </c>
      <c r="AD103" t="s">
        <v>1</v>
      </c>
      <c r="AE103">
        <v>27</v>
      </c>
      <c r="AF103">
        <v>8</v>
      </c>
      <c r="AH103" t="s">
        <v>1380</v>
      </c>
      <c r="AI103" t="s">
        <v>1379</v>
      </c>
      <c r="AJ103" t="s">
        <v>1378</v>
      </c>
      <c r="AK103" t="s">
        <v>1377</v>
      </c>
      <c r="AL103">
        <v>6</v>
      </c>
      <c r="AM103" s="5">
        <f t="shared" si="11"/>
        <v>0.19354838709677419</v>
      </c>
      <c r="AN103" s="4">
        <f t="shared" si="12"/>
        <v>2.9314409253581854E-4</v>
      </c>
      <c r="AO103" s="3"/>
      <c r="AP103">
        <v>0</v>
      </c>
      <c r="AR103" t="s">
        <v>0</v>
      </c>
      <c r="AT103" s="2">
        <v>1.3140000000000001</v>
      </c>
      <c r="AU103" s="1">
        <f t="shared" si="13"/>
        <v>0.70952308068429915</v>
      </c>
      <c r="AV103" s="1">
        <f t="shared" si="14"/>
        <v>0.51517774598980848</v>
      </c>
      <c r="AW103" s="1">
        <f t="shared" si="15"/>
        <v>0.32083241129531781</v>
      </c>
    </row>
    <row r="104" spans="1:49" x14ac:dyDescent="0.2">
      <c r="A104">
        <v>102</v>
      </c>
      <c r="B104" t="s">
        <v>1376</v>
      </c>
      <c r="C104" t="s">
        <v>1375</v>
      </c>
      <c r="F104" t="s">
        <v>1374</v>
      </c>
      <c r="G104" t="s">
        <v>3</v>
      </c>
      <c r="H104" t="s">
        <v>2</v>
      </c>
      <c r="I104" t="s">
        <v>1373</v>
      </c>
      <c r="J104" t="s">
        <v>1372</v>
      </c>
      <c r="K104" t="s">
        <v>1371</v>
      </c>
      <c r="L104" t="s">
        <v>1370</v>
      </c>
      <c r="M104" t="s">
        <v>1369</v>
      </c>
      <c r="N104">
        <v>6</v>
      </c>
      <c r="O104" t="s">
        <v>1368</v>
      </c>
      <c r="P104" t="s">
        <v>1367</v>
      </c>
      <c r="Q104" t="s">
        <v>1366</v>
      </c>
      <c r="R104" s="7">
        <v>33543</v>
      </c>
      <c r="S104" s="8">
        <f t="shared" si="8"/>
        <v>1991</v>
      </c>
      <c r="T104" s="8">
        <v>1991</v>
      </c>
      <c r="U104" s="8">
        <f t="shared" si="9"/>
        <v>31</v>
      </c>
      <c r="V104" s="7">
        <v>33543</v>
      </c>
      <c r="W104" t="s">
        <v>209</v>
      </c>
      <c r="X104" s="2">
        <v>2.0579999999999998</v>
      </c>
      <c r="Y104" s="6">
        <f t="shared" si="10"/>
        <v>5.4937134620004803E-2</v>
      </c>
      <c r="AA104">
        <v>358711</v>
      </c>
      <c r="AB104">
        <v>28218</v>
      </c>
      <c r="AC104">
        <v>13652966</v>
      </c>
      <c r="AD104" t="s">
        <v>1</v>
      </c>
      <c r="AE104">
        <v>253</v>
      </c>
      <c r="AF104">
        <v>2</v>
      </c>
      <c r="AH104" t="s">
        <v>1365</v>
      </c>
      <c r="AI104" t="s">
        <v>1364</v>
      </c>
      <c r="AK104" t="s">
        <v>1363</v>
      </c>
      <c r="AL104">
        <v>34</v>
      </c>
      <c r="AM104" s="5">
        <f t="shared" si="11"/>
        <v>1.096774193548387</v>
      </c>
      <c r="AN104" s="4">
        <f t="shared" si="12"/>
        <v>1.6611498577029716E-3</v>
      </c>
      <c r="AO104" s="3"/>
      <c r="AP104">
        <v>0</v>
      </c>
      <c r="AR104" t="s">
        <v>0</v>
      </c>
      <c r="AT104" s="2" t="s">
        <v>5</v>
      </c>
      <c r="AU104" s="1">
        <f t="shared" si="13"/>
        <v>3.8954339191314249</v>
      </c>
      <c r="AV104" s="1">
        <f t="shared" si="14"/>
        <v>2.8299142238853889</v>
      </c>
      <c r="AW104" s="1">
        <f t="shared" si="15"/>
        <v>1.7643945286393521</v>
      </c>
    </row>
    <row r="105" spans="1:49" x14ac:dyDescent="0.2">
      <c r="A105">
        <v>103</v>
      </c>
      <c r="B105" t="s">
        <v>1362</v>
      </c>
      <c r="C105" t="s">
        <v>1361</v>
      </c>
      <c r="F105" t="s">
        <v>1360</v>
      </c>
      <c r="G105" t="s">
        <v>3</v>
      </c>
      <c r="H105" t="s">
        <v>2</v>
      </c>
      <c r="I105" t="s">
        <v>218</v>
      </c>
      <c r="N105">
        <v>1</v>
      </c>
      <c r="O105" t="s">
        <v>1359</v>
      </c>
      <c r="P105">
        <v>6701453221</v>
      </c>
      <c r="R105" s="7">
        <v>33543</v>
      </c>
      <c r="S105" s="8">
        <f t="shared" si="8"/>
        <v>1991</v>
      </c>
      <c r="T105" s="8">
        <v>1991</v>
      </c>
      <c r="U105" s="8">
        <f t="shared" si="9"/>
        <v>31</v>
      </c>
      <c r="V105" s="7">
        <v>33543</v>
      </c>
      <c r="W105" t="s">
        <v>217</v>
      </c>
      <c r="X105" s="2">
        <v>0.14899999999999999</v>
      </c>
      <c r="Y105" s="6">
        <f t="shared" si="10"/>
        <v>3.977469902031446E-3</v>
      </c>
      <c r="AA105">
        <v>5431972</v>
      </c>
      <c r="AB105">
        <v>15425</v>
      </c>
      <c r="AC105">
        <v>15738906</v>
      </c>
      <c r="AD105" t="s">
        <v>1</v>
      </c>
      <c r="AE105">
        <v>34</v>
      </c>
      <c r="AF105">
        <v>11</v>
      </c>
      <c r="AH105" t="s">
        <v>1358</v>
      </c>
      <c r="AL105">
        <v>0</v>
      </c>
      <c r="AM105" s="5">
        <f t="shared" si="11"/>
        <v>0</v>
      </c>
      <c r="AN105" s="4">
        <f t="shared" si="12"/>
        <v>0</v>
      </c>
      <c r="AO105" s="3"/>
      <c r="AP105">
        <v>0</v>
      </c>
      <c r="AR105" t="s">
        <v>0</v>
      </c>
      <c r="AT105" s="2" t="s">
        <v>5</v>
      </c>
      <c r="AU105" s="1">
        <f t="shared" si="13"/>
        <v>0.2784228931422012</v>
      </c>
      <c r="AV105" s="1">
        <f t="shared" si="14"/>
        <v>0.19887349510157229</v>
      </c>
      <c r="AW105" s="1">
        <f t="shared" si="15"/>
        <v>0.11932409706094337</v>
      </c>
    </row>
    <row r="106" spans="1:49" x14ac:dyDescent="0.2">
      <c r="A106">
        <v>104</v>
      </c>
      <c r="B106" t="s">
        <v>1357</v>
      </c>
      <c r="F106" t="s">
        <v>1356</v>
      </c>
      <c r="G106" t="s">
        <v>3</v>
      </c>
      <c r="H106" t="s">
        <v>2</v>
      </c>
      <c r="I106" t="s">
        <v>206</v>
      </c>
      <c r="J106">
        <v>60083761</v>
      </c>
      <c r="K106" t="s">
        <v>205</v>
      </c>
      <c r="L106" t="s">
        <v>31</v>
      </c>
      <c r="M106" t="s">
        <v>30</v>
      </c>
      <c r="N106">
        <v>1</v>
      </c>
      <c r="O106" t="s">
        <v>204</v>
      </c>
      <c r="P106">
        <v>6507675623</v>
      </c>
      <c r="Q106">
        <v>60083761</v>
      </c>
      <c r="R106" s="7">
        <v>33543</v>
      </c>
      <c r="S106" s="8">
        <f t="shared" si="8"/>
        <v>1991</v>
      </c>
      <c r="T106" s="8">
        <v>1991</v>
      </c>
      <c r="U106" s="8">
        <f t="shared" si="9"/>
        <v>31</v>
      </c>
      <c r="V106" s="7">
        <v>33543</v>
      </c>
      <c r="W106" t="s">
        <v>1319</v>
      </c>
      <c r="X106" s="2" t="s">
        <v>5</v>
      </c>
      <c r="Y106" s="6" t="e">
        <f t="shared" si="10"/>
        <v>#VALUE!</v>
      </c>
      <c r="AA106">
        <v>11203862</v>
      </c>
      <c r="AB106">
        <v>55306</v>
      </c>
      <c r="AD106" t="s">
        <v>1</v>
      </c>
      <c r="AE106">
        <v>2</v>
      </c>
      <c r="AF106">
        <v>6</v>
      </c>
      <c r="AH106" t="s">
        <v>1355</v>
      </c>
      <c r="AI106" t="s">
        <v>1354</v>
      </c>
      <c r="AK106" t="s">
        <v>203</v>
      </c>
      <c r="AL106">
        <v>0</v>
      </c>
      <c r="AM106" s="5">
        <f t="shared" si="11"/>
        <v>0</v>
      </c>
      <c r="AN106" s="4">
        <f t="shared" si="12"/>
        <v>0</v>
      </c>
      <c r="AO106" s="3"/>
      <c r="AP106">
        <v>0</v>
      </c>
      <c r="AR106" t="s">
        <v>0</v>
      </c>
      <c r="AT106" s="2" t="s">
        <v>5</v>
      </c>
      <c r="AU106" s="1" t="e">
        <f t="shared" si="13"/>
        <v>#VALUE!</v>
      </c>
      <c r="AV106" s="1" t="e">
        <f t="shared" si="14"/>
        <v>#VALUE!</v>
      </c>
      <c r="AW106" s="1" t="e">
        <f t="shared" si="15"/>
        <v>#VALUE!</v>
      </c>
    </row>
    <row r="107" spans="1:49" x14ac:dyDescent="0.2">
      <c r="A107">
        <v>105</v>
      </c>
      <c r="B107" t="s">
        <v>1353</v>
      </c>
      <c r="F107" t="s">
        <v>1352</v>
      </c>
      <c r="G107" t="s">
        <v>3</v>
      </c>
      <c r="H107" t="s">
        <v>2</v>
      </c>
      <c r="I107" t="s">
        <v>1351</v>
      </c>
      <c r="N107">
        <v>3</v>
      </c>
      <c r="O107" t="s">
        <v>1350</v>
      </c>
      <c r="P107" t="s">
        <v>1349</v>
      </c>
      <c r="Q107" t="s">
        <v>54</v>
      </c>
      <c r="R107" s="7">
        <v>33543</v>
      </c>
      <c r="S107" s="8">
        <f t="shared" si="8"/>
        <v>1991</v>
      </c>
      <c r="T107" s="8">
        <v>1991</v>
      </c>
      <c r="U107" s="8">
        <f t="shared" si="9"/>
        <v>31</v>
      </c>
      <c r="V107" s="7">
        <v>33543</v>
      </c>
      <c r="W107" t="s">
        <v>96</v>
      </c>
      <c r="X107" s="2">
        <v>0.14099999999999999</v>
      </c>
      <c r="Y107" s="6">
        <f t="shared" si="10"/>
        <v>3.7639144710498915E-3</v>
      </c>
      <c r="AA107">
        <v>402508</v>
      </c>
      <c r="AB107">
        <v>20868</v>
      </c>
      <c r="AD107" t="s">
        <v>1</v>
      </c>
      <c r="AE107">
        <v>46</v>
      </c>
      <c r="AF107">
        <v>11</v>
      </c>
      <c r="AH107" t="s">
        <v>1348</v>
      </c>
      <c r="AI107" t="s">
        <v>1347</v>
      </c>
      <c r="AK107" t="s">
        <v>1346</v>
      </c>
      <c r="AL107">
        <v>0</v>
      </c>
      <c r="AM107" s="5">
        <f t="shared" si="11"/>
        <v>0</v>
      </c>
      <c r="AN107" s="4">
        <f t="shared" si="12"/>
        <v>0</v>
      </c>
      <c r="AO107" s="3"/>
      <c r="AP107">
        <v>0</v>
      </c>
      <c r="AR107" t="s">
        <v>0</v>
      </c>
      <c r="AT107" s="2" t="s">
        <v>5</v>
      </c>
      <c r="AU107" s="1">
        <f t="shared" si="13"/>
        <v>0.26347401297349238</v>
      </c>
      <c r="AV107" s="1">
        <f t="shared" si="14"/>
        <v>0.18819572355249459</v>
      </c>
      <c r="AW107" s="1">
        <f t="shared" si="15"/>
        <v>0.11291743413149673</v>
      </c>
    </row>
    <row r="108" spans="1:49" x14ac:dyDescent="0.2">
      <c r="A108">
        <v>106</v>
      </c>
      <c r="B108" t="s">
        <v>1345</v>
      </c>
      <c r="C108" t="s">
        <v>1344</v>
      </c>
      <c r="F108" t="s">
        <v>1343</v>
      </c>
      <c r="G108" t="s">
        <v>3</v>
      </c>
      <c r="H108" t="s">
        <v>2</v>
      </c>
      <c r="I108" t="s">
        <v>1342</v>
      </c>
      <c r="J108">
        <v>107049274</v>
      </c>
      <c r="K108" t="s">
        <v>1341</v>
      </c>
      <c r="L108" t="s">
        <v>1340</v>
      </c>
      <c r="M108" t="s">
        <v>477</v>
      </c>
      <c r="N108">
        <v>1</v>
      </c>
      <c r="O108" t="s">
        <v>1339</v>
      </c>
      <c r="P108">
        <v>26541666200</v>
      </c>
      <c r="Q108">
        <v>107049274</v>
      </c>
      <c r="R108" s="7">
        <v>33543</v>
      </c>
      <c r="S108" s="8">
        <f t="shared" si="8"/>
        <v>1991</v>
      </c>
      <c r="T108" s="8">
        <v>1991</v>
      </c>
      <c r="U108" s="8">
        <f t="shared" si="9"/>
        <v>31</v>
      </c>
      <c r="V108" s="7">
        <v>33543</v>
      </c>
      <c r="W108" t="s">
        <v>234</v>
      </c>
      <c r="X108" s="2">
        <v>0.33800000000000002</v>
      </c>
      <c r="Y108" s="6">
        <f t="shared" si="10"/>
        <v>9.0227169589706634E-3</v>
      </c>
      <c r="AA108">
        <v>34347</v>
      </c>
      <c r="AB108">
        <v>17722</v>
      </c>
      <c r="AC108">
        <v>19589395</v>
      </c>
      <c r="AD108" t="s">
        <v>1</v>
      </c>
      <c r="AE108">
        <v>46</v>
      </c>
      <c r="AF108" s="9">
        <v>44541</v>
      </c>
      <c r="AH108" t="s">
        <v>1338</v>
      </c>
      <c r="AI108" t="s">
        <v>1337</v>
      </c>
      <c r="AJ108" t="s">
        <v>1336</v>
      </c>
      <c r="AK108" t="s">
        <v>1335</v>
      </c>
      <c r="AL108">
        <v>1</v>
      </c>
      <c r="AM108" s="5">
        <f t="shared" si="11"/>
        <v>3.2258064516129031E-2</v>
      </c>
      <c r="AN108" s="4">
        <f t="shared" si="12"/>
        <v>4.8857348755969758E-5</v>
      </c>
      <c r="AO108" s="3"/>
      <c r="AP108">
        <v>0</v>
      </c>
      <c r="AR108" t="s">
        <v>0</v>
      </c>
      <c r="AT108" s="2" t="s">
        <v>5</v>
      </c>
      <c r="AU108" s="1">
        <f t="shared" si="13"/>
        <v>0.63305590759062547</v>
      </c>
      <c r="AV108" s="1">
        <f t="shared" si="14"/>
        <v>0.45357871538633165</v>
      </c>
      <c r="AW108" s="1">
        <f t="shared" si="15"/>
        <v>0.27410152318203779</v>
      </c>
    </row>
    <row r="109" spans="1:49" x14ac:dyDescent="0.2">
      <c r="A109">
        <v>107</v>
      </c>
      <c r="B109" t="s">
        <v>1334</v>
      </c>
      <c r="F109" t="s">
        <v>1333</v>
      </c>
      <c r="G109" t="s">
        <v>3</v>
      </c>
      <c r="H109" t="s">
        <v>2</v>
      </c>
      <c r="I109" t="s">
        <v>310</v>
      </c>
      <c r="N109">
        <v>1</v>
      </c>
      <c r="O109" t="s">
        <v>309</v>
      </c>
      <c r="P109">
        <v>6602209365</v>
      </c>
      <c r="R109" s="7">
        <v>33543</v>
      </c>
      <c r="S109" s="8">
        <f t="shared" si="8"/>
        <v>1991</v>
      </c>
      <c r="T109" s="8">
        <v>1991</v>
      </c>
      <c r="U109" s="8">
        <f t="shared" si="9"/>
        <v>31</v>
      </c>
      <c r="V109" s="7">
        <v>33543</v>
      </c>
      <c r="W109" t="s">
        <v>96</v>
      </c>
      <c r="X109" s="2">
        <v>0.14099999999999999</v>
      </c>
      <c r="Y109" s="6">
        <f t="shared" si="10"/>
        <v>3.7639144710498915E-3</v>
      </c>
      <c r="AA109">
        <v>402508</v>
      </c>
      <c r="AB109">
        <v>20868</v>
      </c>
      <c r="AD109" t="s">
        <v>1</v>
      </c>
      <c r="AE109">
        <v>46</v>
      </c>
      <c r="AF109">
        <v>11</v>
      </c>
      <c r="AH109" t="s">
        <v>245</v>
      </c>
      <c r="AI109" t="s">
        <v>1332</v>
      </c>
      <c r="AK109" t="s">
        <v>1331</v>
      </c>
      <c r="AL109">
        <v>0</v>
      </c>
      <c r="AM109" s="5">
        <f t="shared" si="11"/>
        <v>0</v>
      </c>
      <c r="AN109" s="4">
        <f t="shared" si="12"/>
        <v>0</v>
      </c>
      <c r="AO109" s="3"/>
      <c r="AP109">
        <v>0</v>
      </c>
      <c r="AR109" t="s">
        <v>0</v>
      </c>
      <c r="AT109" s="2" t="s">
        <v>5</v>
      </c>
      <c r="AU109" s="1">
        <f t="shared" si="13"/>
        <v>0.26347401297349238</v>
      </c>
      <c r="AV109" s="1">
        <f t="shared" si="14"/>
        <v>0.18819572355249459</v>
      </c>
      <c r="AW109" s="1">
        <f t="shared" si="15"/>
        <v>0.11291743413149673</v>
      </c>
    </row>
    <row r="110" spans="1:49" x14ac:dyDescent="0.2">
      <c r="A110">
        <v>108</v>
      </c>
      <c r="B110" t="s">
        <v>1330</v>
      </c>
      <c r="F110" t="s">
        <v>1329</v>
      </c>
      <c r="G110" t="s">
        <v>3</v>
      </c>
      <c r="H110" t="s">
        <v>2</v>
      </c>
      <c r="I110" t="s">
        <v>1328</v>
      </c>
      <c r="J110">
        <v>100318148</v>
      </c>
      <c r="K110" t="s">
        <v>1327</v>
      </c>
      <c r="L110" t="s">
        <v>1326</v>
      </c>
      <c r="M110" t="s">
        <v>6</v>
      </c>
      <c r="N110">
        <v>2</v>
      </c>
      <c r="O110" t="s">
        <v>1325</v>
      </c>
      <c r="P110" t="s">
        <v>1324</v>
      </c>
      <c r="Q110" t="s">
        <v>1323</v>
      </c>
      <c r="R110" s="7">
        <v>33543</v>
      </c>
      <c r="S110" s="8">
        <f t="shared" si="8"/>
        <v>1991</v>
      </c>
      <c r="T110" s="8">
        <v>1991</v>
      </c>
      <c r="U110" s="8">
        <f t="shared" si="9"/>
        <v>31</v>
      </c>
      <c r="V110" s="7">
        <v>33543</v>
      </c>
      <c r="W110" t="s">
        <v>244</v>
      </c>
      <c r="X110" s="2" t="s">
        <v>5</v>
      </c>
      <c r="Y110" s="6" t="e">
        <f t="shared" si="10"/>
        <v>#VALUE!</v>
      </c>
      <c r="AA110">
        <v>7441657</v>
      </c>
      <c r="AB110">
        <v>19326</v>
      </c>
      <c r="AD110" t="s">
        <v>1</v>
      </c>
      <c r="AE110">
        <v>11</v>
      </c>
      <c r="AF110">
        <v>12</v>
      </c>
      <c r="AI110" t="s">
        <v>1322</v>
      </c>
      <c r="AK110" t="s">
        <v>1321</v>
      </c>
      <c r="AL110">
        <v>1</v>
      </c>
      <c r="AM110" s="5">
        <f t="shared" si="11"/>
        <v>3.2258064516129031E-2</v>
      </c>
      <c r="AN110" s="4">
        <f t="shared" si="12"/>
        <v>4.8857348755969758E-5</v>
      </c>
      <c r="AO110" s="3"/>
      <c r="AP110">
        <v>0</v>
      </c>
      <c r="AR110" t="s">
        <v>0</v>
      </c>
      <c r="AT110" s="2" t="s">
        <v>5</v>
      </c>
      <c r="AU110" s="1" t="e">
        <f t="shared" si="13"/>
        <v>#VALUE!</v>
      </c>
      <c r="AV110" s="1" t="e">
        <f t="shared" si="14"/>
        <v>#VALUE!</v>
      </c>
      <c r="AW110" s="1" t="e">
        <f t="shared" si="15"/>
        <v>#VALUE!</v>
      </c>
    </row>
    <row r="111" spans="1:49" x14ac:dyDescent="0.2">
      <c r="A111">
        <v>109</v>
      </c>
      <c r="B111" t="s">
        <v>1320</v>
      </c>
      <c r="F111" t="s">
        <v>202</v>
      </c>
      <c r="G111" t="s">
        <v>3</v>
      </c>
      <c r="H111" t="s">
        <v>2</v>
      </c>
      <c r="I111" t="s">
        <v>201</v>
      </c>
      <c r="J111">
        <v>60007798</v>
      </c>
      <c r="K111" t="s">
        <v>200</v>
      </c>
      <c r="L111" t="s">
        <v>199</v>
      </c>
      <c r="M111" t="s">
        <v>4</v>
      </c>
      <c r="N111">
        <v>1</v>
      </c>
      <c r="O111" t="s">
        <v>198</v>
      </c>
      <c r="P111">
        <v>6602441089</v>
      </c>
      <c r="Q111">
        <v>60007798</v>
      </c>
      <c r="R111" s="7">
        <v>33543</v>
      </c>
      <c r="S111" s="8">
        <f t="shared" si="8"/>
        <v>1991</v>
      </c>
      <c r="T111" s="8">
        <v>1991</v>
      </c>
      <c r="U111" s="8">
        <f t="shared" si="9"/>
        <v>31</v>
      </c>
      <c r="V111" s="7">
        <v>33543</v>
      </c>
      <c r="W111" t="s">
        <v>1319</v>
      </c>
      <c r="X111" s="2" t="s">
        <v>5</v>
      </c>
      <c r="Y111" s="6" t="e">
        <f t="shared" si="10"/>
        <v>#VALUE!</v>
      </c>
      <c r="AA111">
        <v>11203862</v>
      </c>
      <c r="AB111">
        <v>55306</v>
      </c>
      <c r="AD111" t="s">
        <v>1</v>
      </c>
      <c r="AE111">
        <v>2</v>
      </c>
      <c r="AF111">
        <v>6</v>
      </c>
      <c r="AH111" t="s">
        <v>1318</v>
      </c>
      <c r="AI111" t="s">
        <v>1317</v>
      </c>
      <c r="AK111" t="s">
        <v>1316</v>
      </c>
      <c r="AL111">
        <v>29</v>
      </c>
      <c r="AM111" s="5">
        <f t="shared" si="11"/>
        <v>0.93548387096774188</v>
      </c>
      <c r="AN111" s="4">
        <f t="shared" si="12"/>
        <v>1.4168631139231229E-3</v>
      </c>
      <c r="AO111" s="3"/>
      <c r="AP111">
        <v>0</v>
      </c>
      <c r="AR111" t="s">
        <v>0</v>
      </c>
      <c r="AT111" s="2" t="s">
        <v>5</v>
      </c>
      <c r="AU111" s="1" t="e">
        <f t="shared" si="13"/>
        <v>#VALUE!</v>
      </c>
      <c r="AV111" s="1" t="e">
        <f t="shared" si="14"/>
        <v>#VALUE!</v>
      </c>
      <c r="AW111" s="1" t="e">
        <f t="shared" si="15"/>
        <v>#VALUE!</v>
      </c>
    </row>
    <row r="112" spans="1:49" x14ac:dyDescent="0.2">
      <c r="A112">
        <v>110</v>
      </c>
      <c r="B112" t="s">
        <v>1315</v>
      </c>
      <c r="C112" t="s">
        <v>1314</v>
      </c>
      <c r="F112" t="s">
        <v>1313</v>
      </c>
      <c r="G112" t="s">
        <v>3</v>
      </c>
      <c r="H112" t="s">
        <v>2</v>
      </c>
      <c r="I112" t="s">
        <v>1312</v>
      </c>
      <c r="J112">
        <v>60005603</v>
      </c>
      <c r="K112" t="s">
        <v>1311</v>
      </c>
      <c r="L112" t="s">
        <v>148</v>
      </c>
      <c r="M112" t="s">
        <v>88</v>
      </c>
      <c r="N112">
        <v>4</v>
      </c>
      <c r="O112" t="s">
        <v>1310</v>
      </c>
      <c r="P112" t="s">
        <v>1309</v>
      </c>
      <c r="Q112" t="s">
        <v>1308</v>
      </c>
      <c r="R112" s="7">
        <v>33543</v>
      </c>
      <c r="S112" s="8">
        <f t="shared" si="8"/>
        <v>1991</v>
      </c>
      <c r="T112" s="8">
        <v>1991</v>
      </c>
      <c r="U112" s="8">
        <f t="shared" si="9"/>
        <v>31</v>
      </c>
      <c r="V112" s="7">
        <v>33543</v>
      </c>
      <c r="W112" t="s">
        <v>53</v>
      </c>
      <c r="X112" s="2">
        <v>2.141</v>
      </c>
      <c r="Y112" s="6">
        <f t="shared" si="10"/>
        <v>5.7152772216438434E-2</v>
      </c>
      <c r="AA112">
        <v>1962892</v>
      </c>
      <c r="AB112">
        <v>17360</v>
      </c>
      <c r="AD112" t="s">
        <v>1</v>
      </c>
      <c r="AE112">
        <v>29</v>
      </c>
      <c r="AF112">
        <v>6</v>
      </c>
      <c r="AH112" t="s">
        <v>1307</v>
      </c>
      <c r="AI112" t="s">
        <v>1306</v>
      </c>
      <c r="AK112" t="s">
        <v>1305</v>
      </c>
      <c r="AL112">
        <v>20</v>
      </c>
      <c r="AM112" s="5">
        <f t="shared" si="11"/>
        <v>0.64516129032258063</v>
      </c>
      <c r="AN112" s="4">
        <f t="shared" si="12"/>
        <v>9.7714697511939509E-4</v>
      </c>
      <c r="AO112" s="3"/>
      <c r="AP112">
        <v>0</v>
      </c>
      <c r="AR112" t="s">
        <v>0</v>
      </c>
      <c r="AT112" s="2" t="s">
        <v>5</v>
      </c>
      <c r="AU112" s="1">
        <f t="shared" si="13"/>
        <v>4.030008464404272</v>
      </c>
      <c r="AV112" s="1">
        <f t="shared" si="14"/>
        <v>2.9064959595778914</v>
      </c>
      <c r="AW112" s="1">
        <f t="shared" si="15"/>
        <v>1.7829834547515104</v>
      </c>
    </row>
    <row r="113" spans="1:49" x14ac:dyDescent="0.2">
      <c r="A113">
        <v>111</v>
      </c>
      <c r="B113" t="s">
        <v>1304</v>
      </c>
      <c r="C113" t="s">
        <v>1303</v>
      </c>
      <c r="F113" t="s">
        <v>1302</v>
      </c>
      <c r="G113" t="s">
        <v>3</v>
      </c>
      <c r="H113" t="s">
        <v>2</v>
      </c>
      <c r="I113" t="s">
        <v>183</v>
      </c>
      <c r="J113">
        <v>60009037</v>
      </c>
      <c r="K113" t="s">
        <v>35</v>
      </c>
      <c r="L113" t="s">
        <v>34</v>
      </c>
      <c r="M113" t="s">
        <v>6</v>
      </c>
      <c r="N113">
        <v>4</v>
      </c>
      <c r="O113" t="s">
        <v>1301</v>
      </c>
      <c r="P113" t="s">
        <v>1300</v>
      </c>
      <c r="Q113" t="s">
        <v>163</v>
      </c>
      <c r="R113" s="7">
        <v>33543</v>
      </c>
      <c r="S113" s="8">
        <f t="shared" si="8"/>
        <v>1991</v>
      </c>
      <c r="T113" s="8">
        <v>1991</v>
      </c>
      <c r="U113" s="8">
        <f t="shared" si="9"/>
        <v>31</v>
      </c>
      <c r="V113" s="7">
        <v>33543</v>
      </c>
      <c r="W113" t="s">
        <v>53</v>
      </c>
      <c r="X113" s="2">
        <v>2.141</v>
      </c>
      <c r="Y113" s="6">
        <f t="shared" si="10"/>
        <v>5.7152772216438434E-2</v>
      </c>
      <c r="AA113">
        <v>1962892</v>
      </c>
      <c r="AB113">
        <v>17360</v>
      </c>
      <c r="AD113" t="s">
        <v>1</v>
      </c>
      <c r="AE113">
        <v>29</v>
      </c>
      <c r="AF113">
        <v>6</v>
      </c>
      <c r="AH113" t="s">
        <v>1299</v>
      </c>
      <c r="AI113" t="s">
        <v>1298</v>
      </c>
      <c r="AK113" t="s">
        <v>1297</v>
      </c>
      <c r="AL113">
        <v>54</v>
      </c>
      <c r="AM113" s="5">
        <f t="shared" si="11"/>
        <v>1.7419354838709677</v>
      </c>
      <c r="AN113" s="4">
        <f t="shared" si="12"/>
        <v>2.6382968328223671E-3</v>
      </c>
      <c r="AO113" s="3"/>
      <c r="AP113">
        <v>0</v>
      </c>
      <c r="AR113" t="s">
        <v>0</v>
      </c>
      <c r="AT113" s="2" t="s">
        <v>5</v>
      </c>
      <c r="AU113" s="1">
        <f t="shared" si="13"/>
        <v>4.0798429601353607</v>
      </c>
      <c r="AV113" s="1">
        <f t="shared" si="14"/>
        <v>2.9895534524630398</v>
      </c>
      <c r="AW113" s="1">
        <f t="shared" si="15"/>
        <v>1.8992639447907185</v>
      </c>
    </row>
    <row r="114" spans="1:49" x14ac:dyDescent="0.2">
      <c r="A114">
        <v>112</v>
      </c>
      <c r="B114" t="s">
        <v>1296</v>
      </c>
      <c r="C114" t="s">
        <v>1295</v>
      </c>
      <c r="F114" t="s">
        <v>1294</v>
      </c>
      <c r="G114" t="s">
        <v>3</v>
      </c>
      <c r="H114" t="s">
        <v>2</v>
      </c>
      <c r="I114" t="s">
        <v>1293</v>
      </c>
      <c r="J114">
        <v>60008435</v>
      </c>
      <c r="K114" t="s">
        <v>123</v>
      </c>
      <c r="L114" t="s">
        <v>122</v>
      </c>
      <c r="M114" t="s">
        <v>26</v>
      </c>
      <c r="N114">
        <v>2</v>
      </c>
      <c r="O114" t="s">
        <v>1292</v>
      </c>
      <c r="P114" t="s">
        <v>1291</v>
      </c>
      <c r="Q114" t="s">
        <v>1290</v>
      </c>
      <c r="R114" s="7">
        <v>33543</v>
      </c>
      <c r="S114" s="8">
        <f t="shared" si="8"/>
        <v>1991</v>
      </c>
      <c r="T114" s="8">
        <v>1991</v>
      </c>
      <c r="U114" s="8">
        <f t="shared" si="9"/>
        <v>31</v>
      </c>
      <c r="V114" s="7">
        <v>33543</v>
      </c>
      <c r="W114" t="s">
        <v>53</v>
      </c>
      <c r="X114" s="2">
        <v>2.141</v>
      </c>
      <c r="Y114" s="6">
        <f t="shared" si="10"/>
        <v>5.7152772216438434E-2</v>
      </c>
      <c r="AA114">
        <v>1962892</v>
      </c>
      <c r="AB114">
        <v>17360</v>
      </c>
      <c r="AD114" t="s">
        <v>1</v>
      </c>
      <c r="AE114">
        <v>29</v>
      </c>
      <c r="AF114">
        <v>6</v>
      </c>
      <c r="AH114" t="s">
        <v>1289</v>
      </c>
      <c r="AI114" t="s">
        <v>1288</v>
      </c>
      <c r="AK114" t="s">
        <v>1287</v>
      </c>
      <c r="AL114">
        <v>79</v>
      </c>
      <c r="AM114" s="5">
        <f t="shared" si="11"/>
        <v>2.5483870967741935</v>
      </c>
      <c r="AN114" s="4">
        <f t="shared" si="12"/>
        <v>3.8597305517216107E-3</v>
      </c>
      <c r="AO114" s="3"/>
      <c r="AP114">
        <v>0</v>
      </c>
      <c r="AR114" t="s">
        <v>0</v>
      </c>
      <c r="AT114" s="2" t="s">
        <v>5</v>
      </c>
      <c r="AU114" s="1">
        <f t="shared" si="13"/>
        <v>4.1164859717023381</v>
      </c>
      <c r="AV114" s="1">
        <f t="shared" si="14"/>
        <v>3.0506251384080021</v>
      </c>
      <c r="AW114" s="1">
        <f t="shared" si="15"/>
        <v>1.9847643051136659</v>
      </c>
    </row>
    <row r="115" spans="1:49" x14ac:dyDescent="0.2">
      <c r="A115">
        <v>113</v>
      </c>
      <c r="B115" t="s">
        <v>1286</v>
      </c>
      <c r="C115" t="s">
        <v>1285</v>
      </c>
      <c r="F115" t="s">
        <v>1284</v>
      </c>
      <c r="G115" t="s">
        <v>3</v>
      </c>
      <c r="H115" t="s">
        <v>2</v>
      </c>
      <c r="I115" t="s">
        <v>1283</v>
      </c>
      <c r="J115">
        <v>60007798</v>
      </c>
      <c r="K115" t="s">
        <v>200</v>
      </c>
      <c r="L115" t="s">
        <v>199</v>
      </c>
      <c r="M115" t="s">
        <v>4</v>
      </c>
      <c r="N115">
        <v>2</v>
      </c>
      <c r="O115" t="s">
        <v>1282</v>
      </c>
      <c r="P115" t="s">
        <v>1281</v>
      </c>
      <c r="Q115" t="s">
        <v>1280</v>
      </c>
      <c r="R115" s="7">
        <v>33543</v>
      </c>
      <c r="S115" s="8">
        <f t="shared" si="8"/>
        <v>1991</v>
      </c>
      <c r="T115" s="8">
        <v>1991</v>
      </c>
      <c r="U115" s="8">
        <f t="shared" si="9"/>
        <v>31</v>
      </c>
      <c r="V115" s="7">
        <v>33543</v>
      </c>
      <c r="W115" t="s">
        <v>53</v>
      </c>
      <c r="X115" s="2">
        <v>2.141</v>
      </c>
      <c r="Y115" s="6">
        <f t="shared" si="10"/>
        <v>5.7152772216438434E-2</v>
      </c>
      <c r="AA115">
        <v>1962892</v>
      </c>
      <c r="AB115">
        <v>17360</v>
      </c>
      <c r="AD115" t="s">
        <v>1</v>
      </c>
      <c r="AE115">
        <v>29</v>
      </c>
      <c r="AF115">
        <v>6</v>
      </c>
      <c r="AH115" t="s">
        <v>1279</v>
      </c>
      <c r="AI115" t="s">
        <v>1278</v>
      </c>
      <c r="AK115" t="s">
        <v>1277</v>
      </c>
      <c r="AL115">
        <v>88</v>
      </c>
      <c r="AM115" s="5">
        <f t="shared" si="11"/>
        <v>2.838709677419355</v>
      </c>
      <c r="AN115" s="4">
        <f t="shared" si="12"/>
        <v>4.2994466905253385E-3</v>
      </c>
      <c r="AO115" s="3"/>
      <c r="AP115">
        <v>0</v>
      </c>
      <c r="AR115" t="s">
        <v>0</v>
      </c>
      <c r="AT115" s="2" t="s">
        <v>5</v>
      </c>
      <c r="AU115" s="1">
        <f t="shared" si="13"/>
        <v>4.1296774558664504</v>
      </c>
      <c r="AV115" s="1">
        <f t="shared" si="14"/>
        <v>3.0726109453481887</v>
      </c>
      <c r="AW115" s="1">
        <f t="shared" si="15"/>
        <v>2.0155444348299265</v>
      </c>
    </row>
    <row r="116" spans="1:49" x14ac:dyDescent="0.2">
      <c r="A116">
        <v>114</v>
      </c>
      <c r="B116" t="s">
        <v>1276</v>
      </c>
      <c r="F116" t="s">
        <v>1275</v>
      </c>
      <c r="G116" t="s">
        <v>3</v>
      </c>
      <c r="H116" t="s">
        <v>2</v>
      </c>
      <c r="I116" t="s">
        <v>1274</v>
      </c>
      <c r="N116">
        <v>1</v>
      </c>
      <c r="O116" t="s">
        <v>1273</v>
      </c>
      <c r="P116">
        <v>6507944491</v>
      </c>
      <c r="R116" s="7">
        <v>33543</v>
      </c>
      <c r="S116" s="8">
        <f t="shared" si="8"/>
        <v>1991</v>
      </c>
      <c r="T116" s="8">
        <v>1991</v>
      </c>
      <c r="U116" s="8">
        <f t="shared" si="9"/>
        <v>31</v>
      </c>
      <c r="V116" s="7">
        <v>33543</v>
      </c>
      <c r="W116" t="s">
        <v>1272</v>
      </c>
      <c r="X116" s="2" t="s">
        <v>5</v>
      </c>
      <c r="Y116" s="6" t="e">
        <f t="shared" si="10"/>
        <v>#VALUE!</v>
      </c>
      <c r="AA116">
        <v>9248625</v>
      </c>
      <c r="AB116">
        <v>12897</v>
      </c>
      <c r="AD116" t="s">
        <v>1</v>
      </c>
      <c r="AE116">
        <v>8</v>
      </c>
      <c r="AF116" s="9">
        <v>44352</v>
      </c>
      <c r="AH116" t="s">
        <v>1271</v>
      </c>
      <c r="AI116" t="s">
        <v>1270</v>
      </c>
      <c r="AK116" t="s">
        <v>1269</v>
      </c>
      <c r="AL116">
        <v>0</v>
      </c>
      <c r="AM116" s="5">
        <f t="shared" si="11"/>
        <v>0</v>
      </c>
      <c r="AN116" s="4">
        <f t="shared" si="12"/>
        <v>0</v>
      </c>
      <c r="AO116" s="3"/>
      <c r="AP116">
        <v>0</v>
      </c>
      <c r="AR116" t="s">
        <v>0</v>
      </c>
      <c r="AT116" s="2" t="s">
        <v>5</v>
      </c>
      <c r="AU116" s="1" t="e">
        <f t="shared" si="13"/>
        <v>#VALUE!</v>
      </c>
      <c r="AV116" s="1" t="e">
        <f t="shared" si="14"/>
        <v>#VALUE!</v>
      </c>
      <c r="AW116" s="1" t="e">
        <f t="shared" si="15"/>
        <v>#VALUE!</v>
      </c>
    </row>
    <row r="117" spans="1:49" x14ac:dyDescent="0.2">
      <c r="A117">
        <v>115</v>
      </c>
      <c r="B117" t="s">
        <v>1268</v>
      </c>
      <c r="C117" t="s">
        <v>1267</v>
      </c>
      <c r="F117" t="s">
        <v>1266</v>
      </c>
      <c r="G117" t="s">
        <v>3</v>
      </c>
      <c r="H117" t="s">
        <v>2</v>
      </c>
      <c r="I117" t="s">
        <v>1265</v>
      </c>
      <c r="J117" t="s">
        <v>1264</v>
      </c>
      <c r="K117" t="s">
        <v>1263</v>
      </c>
      <c r="L117" t="s">
        <v>1262</v>
      </c>
      <c r="M117" t="s">
        <v>43</v>
      </c>
      <c r="N117">
        <v>2</v>
      </c>
      <c r="O117" t="s">
        <v>1261</v>
      </c>
      <c r="P117" t="s">
        <v>1260</v>
      </c>
      <c r="Q117" t="s">
        <v>1259</v>
      </c>
      <c r="R117" s="7">
        <v>33543</v>
      </c>
      <c r="S117" s="8">
        <f t="shared" si="8"/>
        <v>1991</v>
      </c>
      <c r="T117" s="8">
        <v>1991</v>
      </c>
      <c r="U117" s="8">
        <f t="shared" si="9"/>
        <v>31</v>
      </c>
      <c r="V117" s="7">
        <v>33543</v>
      </c>
      <c r="W117" t="s">
        <v>289</v>
      </c>
      <c r="X117" s="2">
        <v>1.64</v>
      </c>
      <c r="Y117" s="6">
        <f t="shared" si="10"/>
        <v>4.3778863351218597E-2</v>
      </c>
      <c r="AA117" t="s">
        <v>288</v>
      </c>
      <c r="AB117">
        <v>18446</v>
      </c>
      <c r="AC117">
        <v>14320878</v>
      </c>
      <c r="AD117" t="s">
        <v>1</v>
      </c>
      <c r="AE117">
        <v>266</v>
      </c>
      <c r="AF117">
        <v>2</v>
      </c>
      <c r="AH117" t="s">
        <v>1258</v>
      </c>
      <c r="AI117" t="s">
        <v>1257</v>
      </c>
      <c r="AJ117" t="s">
        <v>1256</v>
      </c>
      <c r="AK117" t="s">
        <v>1255</v>
      </c>
      <c r="AL117">
        <v>37</v>
      </c>
      <c r="AM117" s="5">
        <f t="shared" si="11"/>
        <v>1.1935483870967742</v>
      </c>
      <c r="AN117" s="4">
        <f t="shared" si="12"/>
        <v>1.8077219039708812E-3</v>
      </c>
      <c r="AO117" s="3"/>
      <c r="AP117">
        <v>0</v>
      </c>
      <c r="AR117" t="s">
        <v>0</v>
      </c>
      <c r="AT117" s="2">
        <v>5.2489999999999997</v>
      </c>
      <c r="AU117" s="1">
        <f t="shared" si="13"/>
        <v>3.1187520917044282</v>
      </c>
      <c r="AV117" s="1">
        <f t="shared" si="14"/>
        <v>2.2793292627594739</v>
      </c>
      <c r="AW117" s="1">
        <f t="shared" si="15"/>
        <v>1.4399064338145195</v>
      </c>
    </row>
    <row r="118" spans="1:49" x14ac:dyDescent="0.2">
      <c r="A118">
        <v>116</v>
      </c>
      <c r="B118" t="s">
        <v>1254</v>
      </c>
      <c r="C118" t="s">
        <v>1253</v>
      </c>
      <c r="E118">
        <v>1684918</v>
      </c>
      <c r="F118" t="s">
        <v>1252</v>
      </c>
      <c r="G118" t="s">
        <v>3</v>
      </c>
      <c r="H118" t="s">
        <v>2</v>
      </c>
      <c r="I118" t="s">
        <v>1251</v>
      </c>
      <c r="J118">
        <v>60012689</v>
      </c>
      <c r="K118" t="s">
        <v>1250</v>
      </c>
      <c r="L118" t="s">
        <v>1249</v>
      </c>
      <c r="M118" t="s">
        <v>4</v>
      </c>
      <c r="N118">
        <v>2</v>
      </c>
      <c r="O118" t="s">
        <v>1248</v>
      </c>
      <c r="P118" t="s">
        <v>1247</v>
      </c>
      <c r="Q118" t="s">
        <v>1246</v>
      </c>
      <c r="R118" s="7">
        <v>33543</v>
      </c>
      <c r="S118" s="8">
        <f t="shared" si="8"/>
        <v>1991</v>
      </c>
      <c r="T118" s="8">
        <v>1991</v>
      </c>
      <c r="U118" s="8">
        <f t="shared" si="9"/>
        <v>31</v>
      </c>
      <c r="V118" s="7">
        <v>33543</v>
      </c>
      <c r="W118" t="s">
        <v>289</v>
      </c>
      <c r="X118" s="2">
        <v>1.64</v>
      </c>
      <c r="Y118" s="6">
        <f t="shared" si="10"/>
        <v>4.3778863351218597E-2</v>
      </c>
      <c r="AA118" t="s">
        <v>288</v>
      </c>
      <c r="AB118">
        <v>18446</v>
      </c>
      <c r="AC118">
        <v>14320878</v>
      </c>
      <c r="AD118" t="s">
        <v>1</v>
      </c>
      <c r="AE118">
        <v>266</v>
      </c>
      <c r="AF118">
        <v>2</v>
      </c>
      <c r="AH118" t="s">
        <v>1245</v>
      </c>
      <c r="AI118" t="s">
        <v>1244</v>
      </c>
      <c r="AJ118" t="s">
        <v>1243</v>
      </c>
      <c r="AK118" t="s">
        <v>1242</v>
      </c>
      <c r="AL118">
        <v>85</v>
      </c>
      <c r="AM118" s="5">
        <f t="shared" si="11"/>
        <v>2.7419354838709675</v>
      </c>
      <c r="AN118" s="4">
        <f t="shared" si="12"/>
        <v>4.1528746442574286E-3</v>
      </c>
      <c r="AO118" s="3"/>
      <c r="AP118">
        <v>0</v>
      </c>
      <c r="AR118" t="s">
        <v>0</v>
      </c>
      <c r="AT118" s="2">
        <v>5.2489999999999997</v>
      </c>
      <c r="AU118" s="1">
        <f t="shared" si="13"/>
        <v>3.1891066739130247</v>
      </c>
      <c r="AV118" s="1">
        <f t="shared" si="14"/>
        <v>2.3965868997738013</v>
      </c>
      <c r="AW118" s="1">
        <f t="shared" si="15"/>
        <v>1.6040671256345778</v>
      </c>
    </row>
    <row r="119" spans="1:49" x14ac:dyDescent="0.2">
      <c r="A119">
        <v>117</v>
      </c>
      <c r="B119" t="s">
        <v>1241</v>
      </c>
      <c r="C119" t="s">
        <v>1240</v>
      </c>
      <c r="E119">
        <v>1722056</v>
      </c>
      <c r="F119" t="s">
        <v>1239</v>
      </c>
      <c r="G119" t="s">
        <v>3</v>
      </c>
      <c r="H119" t="s">
        <v>2</v>
      </c>
      <c r="I119" t="s">
        <v>1238</v>
      </c>
      <c r="J119" t="s">
        <v>1232</v>
      </c>
      <c r="K119" t="s">
        <v>1237</v>
      </c>
      <c r="L119" t="s">
        <v>1236</v>
      </c>
      <c r="M119" t="s">
        <v>1235</v>
      </c>
      <c r="N119">
        <v>2</v>
      </c>
      <c r="O119" t="s">
        <v>1234</v>
      </c>
      <c r="P119" t="s">
        <v>1233</v>
      </c>
      <c r="Q119" t="s">
        <v>1232</v>
      </c>
      <c r="R119" s="7">
        <v>33543</v>
      </c>
      <c r="S119" s="8">
        <f t="shared" si="8"/>
        <v>1991</v>
      </c>
      <c r="T119" s="8">
        <v>1991</v>
      </c>
      <c r="U119" s="8">
        <f t="shared" si="9"/>
        <v>31</v>
      </c>
      <c r="V119" s="7">
        <v>33543</v>
      </c>
      <c r="W119" t="s">
        <v>1231</v>
      </c>
      <c r="X119" s="2" t="s">
        <v>5</v>
      </c>
      <c r="Y119" s="6" t="e">
        <f t="shared" si="10"/>
        <v>#VALUE!</v>
      </c>
      <c r="AA119">
        <v>3005623</v>
      </c>
      <c r="AB119">
        <v>20555</v>
      </c>
      <c r="AC119">
        <v>14340879</v>
      </c>
      <c r="AD119" t="s">
        <v>1</v>
      </c>
      <c r="AE119">
        <v>19</v>
      </c>
      <c r="AF119">
        <v>6</v>
      </c>
      <c r="AH119" t="s">
        <v>1230</v>
      </c>
      <c r="AI119" t="s">
        <v>1229</v>
      </c>
      <c r="AJ119" t="s">
        <v>1228</v>
      </c>
      <c r="AK119" t="s">
        <v>1227</v>
      </c>
      <c r="AL119">
        <v>9</v>
      </c>
      <c r="AM119" s="5">
        <f t="shared" si="11"/>
        <v>0.29032258064516131</v>
      </c>
      <c r="AN119" s="4">
        <f t="shared" si="12"/>
        <v>4.3971613880372783E-4</v>
      </c>
      <c r="AO119" s="3"/>
      <c r="AP119">
        <v>0</v>
      </c>
      <c r="AR119" t="s">
        <v>0</v>
      </c>
      <c r="AT119" s="2" t="s">
        <v>5</v>
      </c>
      <c r="AU119" s="1" t="e">
        <f t="shared" si="13"/>
        <v>#VALUE!</v>
      </c>
      <c r="AV119" s="1" t="e">
        <f t="shared" si="14"/>
        <v>#VALUE!</v>
      </c>
      <c r="AW119" s="1" t="e">
        <f t="shared" si="15"/>
        <v>#VALUE!</v>
      </c>
    </row>
    <row r="120" spans="1:49" x14ac:dyDescent="0.2">
      <c r="A120">
        <v>118</v>
      </c>
      <c r="B120" t="s">
        <v>1226</v>
      </c>
      <c r="C120" t="s">
        <v>1225</v>
      </c>
      <c r="F120" t="s">
        <v>1224</v>
      </c>
      <c r="G120" t="s">
        <v>3</v>
      </c>
      <c r="H120" t="s">
        <v>2</v>
      </c>
      <c r="I120" t="s">
        <v>1223</v>
      </c>
      <c r="J120" t="s">
        <v>1222</v>
      </c>
      <c r="K120" t="s">
        <v>1221</v>
      </c>
      <c r="L120" t="s">
        <v>1220</v>
      </c>
      <c r="M120" t="s">
        <v>1219</v>
      </c>
      <c r="N120">
        <v>2</v>
      </c>
      <c r="O120" t="s">
        <v>1218</v>
      </c>
      <c r="P120" t="s">
        <v>1217</v>
      </c>
      <c r="Q120" t="s">
        <v>1216</v>
      </c>
      <c r="R120" s="7">
        <v>33543</v>
      </c>
      <c r="S120" s="8">
        <f t="shared" si="8"/>
        <v>1991</v>
      </c>
      <c r="T120" s="8">
        <v>1991</v>
      </c>
      <c r="U120" s="8">
        <f t="shared" si="9"/>
        <v>31</v>
      </c>
      <c r="V120" s="7">
        <v>33543</v>
      </c>
      <c r="W120" t="s">
        <v>1215</v>
      </c>
      <c r="X120" s="2">
        <v>0.47099999999999997</v>
      </c>
      <c r="Y120" s="6">
        <f t="shared" si="10"/>
        <v>1.2573075999039E-2</v>
      </c>
      <c r="AA120">
        <v>1655752</v>
      </c>
      <c r="AB120">
        <v>14307</v>
      </c>
      <c r="AC120">
        <v>15735192</v>
      </c>
      <c r="AD120" t="s">
        <v>1</v>
      </c>
      <c r="AE120">
        <v>20</v>
      </c>
      <c r="AF120">
        <v>3</v>
      </c>
      <c r="AH120" t="s">
        <v>1214</v>
      </c>
      <c r="AI120" t="s">
        <v>1213</v>
      </c>
      <c r="AK120" t="s">
        <v>1212</v>
      </c>
      <c r="AL120">
        <v>10</v>
      </c>
      <c r="AM120" s="5">
        <f t="shared" si="11"/>
        <v>0.32258064516129031</v>
      </c>
      <c r="AN120" s="4">
        <f t="shared" si="12"/>
        <v>4.8857348755969754E-4</v>
      </c>
      <c r="AO120" s="3"/>
      <c r="AP120">
        <v>0</v>
      </c>
      <c r="AR120" t="s">
        <v>0</v>
      </c>
      <c r="AT120" s="2">
        <v>1.431</v>
      </c>
      <c r="AU120" s="1">
        <f t="shared" si="13"/>
        <v>0.89477252455952094</v>
      </c>
      <c r="AV120" s="1">
        <f t="shared" si="14"/>
        <v>0.65308247432993494</v>
      </c>
      <c r="AW120" s="1">
        <f t="shared" si="15"/>
        <v>0.41139242410034887</v>
      </c>
    </row>
    <row r="121" spans="1:49" x14ac:dyDescent="0.2">
      <c r="A121">
        <v>119</v>
      </c>
      <c r="B121" t="s">
        <v>1211</v>
      </c>
      <c r="C121" t="s">
        <v>1210</v>
      </c>
      <c r="D121" t="s">
        <v>1209</v>
      </c>
      <c r="E121">
        <v>1743523</v>
      </c>
      <c r="F121" t="s">
        <v>1208</v>
      </c>
      <c r="G121" t="s">
        <v>3</v>
      </c>
      <c r="H121" t="s">
        <v>2</v>
      </c>
      <c r="I121" t="s">
        <v>1207</v>
      </c>
      <c r="J121" t="s">
        <v>1206</v>
      </c>
      <c r="K121" t="s">
        <v>1205</v>
      </c>
      <c r="L121" t="s">
        <v>1204</v>
      </c>
      <c r="M121" t="s">
        <v>194</v>
      </c>
      <c r="N121">
        <v>6</v>
      </c>
      <c r="O121" t="s">
        <v>1203</v>
      </c>
      <c r="P121" t="s">
        <v>1202</v>
      </c>
      <c r="Q121" t="s">
        <v>1201</v>
      </c>
      <c r="R121" s="7">
        <v>33541</v>
      </c>
      <c r="S121" s="8">
        <f t="shared" si="8"/>
        <v>1991</v>
      </c>
      <c r="T121" s="8">
        <v>1991</v>
      </c>
      <c r="U121" s="8">
        <f t="shared" si="9"/>
        <v>31</v>
      </c>
      <c r="V121" s="7">
        <v>33541</v>
      </c>
      <c r="W121" t="s">
        <v>1200</v>
      </c>
      <c r="X121" s="2">
        <v>0.91600000000000004</v>
      </c>
      <c r="Y121" s="6">
        <f t="shared" si="10"/>
        <v>2.4452096847387951E-2</v>
      </c>
      <c r="AA121">
        <v>3781119</v>
      </c>
      <c r="AB121">
        <v>15636</v>
      </c>
      <c r="AD121" t="s">
        <v>1</v>
      </c>
      <c r="AE121">
        <v>107</v>
      </c>
      <c r="AF121">
        <v>1</v>
      </c>
      <c r="AH121" t="s">
        <v>1199</v>
      </c>
      <c r="AI121" t="s">
        <v>1198</v>
      </c>
      <c r="AJ121" t="s">
        <v>1197</v>
      </c>
      <c r="AK121" t="s">
        <v>1196</v>
      </c>
      <c r="AL121">
        <v>40</v>
      </c>
      <c r="AM121" s="5">
        <f t="shared" si="11"/>
        <v>1.2903225806451613</v>
      </c>
      <c r="AN121" s="4">
        <f t="shared" si="12"/>
        <v>1.9542939502387902E-3</v>
      </c>
      <c r="AO121" s="3"/>
      <c r="AP121">
        <v>0</v>
      </c>
      <c r="AQ121" t="s">
        <v>61</v>
      </c>
      <c r="AR121" t="s">
        <v>1195</v>
      </c>
      <c r="AS121" t="s">
        <v>60</v>
      </c>
      <c r="AT121" s="2">
        <v>3.6880000000000002</v>
      </c>
      <c r="AU121" s="1">
        <f t="shared" si="13"/>
        <v>1.7702755978243199</v>
      </c>
      <c r="AV121" s="1">
        <f t="shared" si="14"/>
        <v>1.320319539881337</v>
      </c>
      <c r="AW121" s="1">
        <f t="shared" si="15"/>
        <v>0.87036348193835389</v>
      </c>
    </row>
    <row r="122" spans="1:49" x14ac:dyDescent="0.2">
      <c r="A122">
        <v>120</v>
      </c>
      <c r="B122" t="s">
        <v>1194</v>
      </c>
      <c r="C122" t="s">
        <v>1193</v>
      </c>
      <c r="F122" t="s">
        <v>1192</v>
      </c>
      <c r="G122" t="s">
        <v>3</v>
      </c>
      <c r="H122" t="s">
        <v>2</v>
      </c>
      <c r="I122" t="s">
        <v>1191</v>
      </c>
      <c r="J122">
        <v>60010421</v>
      </c>
      <c r="K122" t="s">
        <v>187</v>
      </c>
      <c r="L122" t="s">
        <v>93</v>
      </c>
      <c r="M122" t="s">
        <v>83</v>
      </c>
      <c r="N122">
        <v>2</v>
      </c>
      <c r="O122" t="s">
        <v>1190</v>
      </c>
      <c r="P122" t="s">
        <v>1189</v>
      </c>
      <c r="Q122" t="s">
        <v>1188</v>
      </c>
      <c r="R122" s="7">
        <v>33535</v>
      </c>
      <c r="S122" s="8">
        <f t="shared" si="8"/>
        <v>1991</v>
      </c>
      <c r="T122" s="8">
        <v>1991</v>
      </c>
      <c r="U122" s="8">
        <f t="shared" si="9"/>
        <v>31</v>
      </c>
      <c r="V122" s="7">
        <v>33535</v>
      </c>
      <c r="W122" t="s">
        <v>48</v>
      </c>
      <c r="X122" s="2">
        <v>0.375</v>
      </c>
      <c r="Y122" s="6">
        <f t="shared" si="10"/>
        <v>1.0010410827260351E-2</v>
      </c>
      <c r="AA122">
        <v>135194</v>
      </c>
      <c r="AB122">
        <v>24918</v>
      </c>
      <c r="AD122" t="s">
        <v>1</v>
      </c>
      <c r="AE122">
        <v>27</v>
      </c>
      <c r="AF122">
        <v>23</v>
      </c>
      <c r="AH122" t="s">
        <v>1187</v>
      </c>
      <c r="AI122" t="s">
        <v>1186</v>
      </c>
      <c r="AJ122" t="s">
        <v>1185</v>
      </c>
      <c r="AK122" t="s">
        <v>1184</v>
      </c>
      <c r="AL122">
        <v>0</v>
      </c>
      <c r="AM122" s="5">
        <f t="shared" si="11"/>
        <v>0</v>
      </c>
      <c r="AN122" s="4">
        <f t="shared" si="12"/>
        <v>0</v>
      </c>
      <c r="AO122" s="3"/>
      <c r="AP122">
        <v>0</v>
      </c>
      <c r="AR122" t="s">
        <v>0</v>
      </c>
      <c r="AT122" s="2">
        <v>1.3140000000000001</v>
      </c>
      <c r="AU122" s="1">
        <f t="shared" si="13"/>
        <v>0.70072875790822453</v>
      </c>
      <c r="AV122" s="1">
        <f t="shared" si="14"/>
        <v>0.5005205413630176</v>
      </c>
      <c r="AW122" s="1">
        <f t="shared" si="15"/>
        <v>0.30031232481781051</v>
      </c>
    </row>
    <row r="123" spans="1:49" x14ac:dyDescent="0.2">
      <c r="A123">
        <v>121</v>
      </c>
      <c r="B123" t="s">
        <v>1183</v>
      </c>
      <c r="C123" t="s">
        <v>1182</v>
      </c>
      <c r="F123" t="s">
        <v>1181</v>
      </c>
      <c r="G123" t="s">
        <v>3</v>
      </c>
      <c r="H123" t="s">
        <v>2</v>
      </c>
      <c r="I123" t="s">
        <v>1180</v>
      </c>
      <c r="J123" t="s">
        <v>1179</v>
      </c>
      <c r="K123" t="s">
        <v>1178</v>
      </c>
      <c r="L123" t="s">
        <v>1177</v>
      </c>
      <c r="M123" t="s">
        <v>24</v>
      </c>
      <c r="N123">
        <v>2</v>
      </c>
      <c r="O123" t="s">
        <v>1176</v>
      </c>
      <c r="P123" t="s">
        <v>1175</v>
      </c>
      <c r="Q123" t="s">
        <v>1174</v>
      </c>
      <c r="R123" s="7">
        <v>33535</v>
      </c>
      <c r="S123" s="8">
        <f t="shared" si="8"/>
        <v>1991</v>
      </c>
      <c r="T123" s="8">
        <v>1991</v>
      </c>
      <c r="U123" s="8">
        <f t="shared" si="9"/>
        <v>31</v>
      </c>
      <c r="V123" s="7">
        <v>33535</v>
      </c>
      <c r="W123" t="s">
        <v>48</v>
      </c>
      <c r="X123" s="2">
        <v>0.375</v>
      </c>
      <c r="Y123" s="6">
        <f t="shared" si="10"/>
        <v>1.0010410827260351E-2</v>
      </c>
      <c r="AA123">
        <v>135194</v>
      </c>
      <c r="AB123">
        <v>24918</v>
      </c>
      <c r="AD123" t="s">
        <v>1</v>
      </c>
      <c r="AE123">
        <v>27</v>
      </c>
      <c r="AF123">
        <v>23</v>
      </c>
      <c r="AH123" t="s">
        <v>1173</v>
      </c>
      <c r="AI123" t="s">
        <v>1172</v>
      </c>
      <c r="AJ123" t="s">
        <v>213</v>
      </c>
      <c r="AK123" t="s">
        <v>1171</v>
      </c>
      <c r="AL123">
        <v>14</v>
      </c>
      <c r="AM123" s="5">
        <f t="shared" si="11"/>
        <v>0.45161290322580644</v>
      </c>
      <c r="AN123" s="4">
        <f t="shared" si="12"/>
        <v>6.840028825835766E-4</v>
      </c>
      <c r="AO123" s="3"/>
      <c r="AP123">
        <v>0</v>
      </c>
      <c r="AR123" t="s">
        <v>0</v>
      </c>
      <c r="AT123" s="2">
        <v>1.3140000000000001</v>
      </c>
      <c r="AU123" s="1">
        <f t="shared" si="13"/>
        <v>0.72124884438573189</v>
      </c>
      <c r="AV123" s="1">
        <f t="shared" si="14"/>
        <v>0.53472068549219642</v>
      </c>
      <c r="AW123" s="1">
        <f t="shared" si="15"/>
        <v>0.3481925265986609</v>
      </c>
    </row>
    <row r="124" spans="1:49" x14ac:dyDescent="0.2">
      <c r="A124">
        <v>122</v>
      </c>
      <c r="B124" t="s">
        <v>1170</v>
      </c>
      <c r="C124" t="s">
        <v>1169</v>
      </c>
      <c r="F124" t="s">
        <v>1168</v>
      </c>
      <c r="G124" t="s">
        <v>3</v>
      </c>
      <c r="H124" t="s">
        <v>2</v>
      </c>
      <c r="I124" t="s">
        <v>1167</v>
      </c>
      <c r="J124">
        <v>60020547</v>
      </c>
      <c r="K124" t="s">
        <v>38</v>
      </c>
      <c r="L124" t="s">
        <v>37</v>
      </c>
      <c r="M124" t="s">
        <v>6</v>
      </c>
      <c r="N124">
        <v>2</v>
      </c>
      <c r="O124" t="s">
        <v>1166</v>
      </c>
      <c r="P124" t="s">
        <v>1165</v>
      </c>
      <c r="Q124" t="s">
        <v>36</v>
      </c>
      <c r="R124" s="7">
        <v>33535</v>
      </c>
      <c r="S124" s="8">
        <f t="shared" si="8"/>
        <v>1991</v>
      </c>
      <c r="T124" s="8">
        <v>1991</v>
      </c>
      <c r="U124" s="8">
        <f t="shared" si="9"/>
        <v>31</v>
      </c>
      <c r="V124" s="7">
        <v>33535</v>
      </c>
      <c r="W124" t="s">
        <v>48</v>
      </c>
      <c r="X124" s="2">
        <v>0.375</v>
      </c>
      <c r="Y124" s="6">
        <f t="shared" si="10"/>
        <v>1.0010410827260351E-2</v>
      </c>
      <c r="AA124">
        <v>135194</v>
      </c>
      <c r="AB124">
        <v>24918</v>
      </c>
      <c r="AD124" t="s">
        <v>1</v>
      </c>
      <c r="AE124">
        <v>27</v>
      </c>
      <c r="AF124">
        <v>23</v>
      </c>
      <c r="AH124">
        <v>2117</v>
      </c>
      <c r="AI124" t="s">
        <v>1164</v>
      </c>
      <c r="AJ124" t="s">
        <v>1163</v>
      </c>
      <c r="AK124" t="s">
        <v>1162</v>
      </c>
      <c r="AL124">
        <v>12</v>
      </c>
      <c r="AM124" s="5">
        <f t="shared" si="11"/>
        <v>0.38709677419354838</v>
      </c>
      <c r="AN124" s="4">
        <f t="shared" si="12"/>
        <v>5.8628818507163707E-4</v>
      </c>
      <c r="AO124" s="3"/>
      <c r="AP124">
        <v>0</v>
      </c>
      <c r="AR124" t="s">
        <v>0</v>
      </c>
      <c r="AT124" s="2">
        <v>1.3140000000000001</v>
      </c>
      <c r="AU124" s="1">
        <f t="shared" si="13"/>
        <v>0.71831740346037365</v>
      </c>
      <c r="AV124" s="1">
        <f t="shared" si="14"/>
        <v>0.52983495061659946</v>
      </c>
      <c r="AW124" s="1">
        <f t="shared" si="15"/>
        <v>0.34135249777282511</v>
      </c>
    </row>
    <row r="125" spans="1:49" x14ac:dyDescent="0.2">
      <c r="A125">
        <v>123</v>
      </c>
      <c r="B125" t="s">
        <v>1161</v>
      </c>
      <c r="C125" t="s">
        <v>1160</v>
      </c>
      <c r="F125" t="s">
        <v>1159</v>
      </c>
      <c r="G125" t="s">
        <v>3</v>
      </c>
      <c r="H125" t="s">
        <v>2</v>
      </c>
      <c r="I125" t="s">
        <v>1158</v>
      </c>
      <c r="J125">
        <v>60028186</v>
      </c>
      <c r="K125" t="s">
        <v>179</v>
      </c>
      <c r="L125" t="s">
        <v>178</v>
      </c>
      <c r="M125" t="s">
        <v>99</v>
      </c>
      <c r="N125">
        <v>3</v>
      </c>
      <c r="O125" t="s">
        <v>1157</v>
      </c>
      <c r="P125" t="s">
        <v>1156</v>
      </c>
      <c r="Q125" t="s">
        <v>177</v>
      </c>
      <c r="R125" s="7">
        <v>33535</v>
      </c>
      <c r="S125" s="8">
        <f t="shared" si="8"/>
        <v>1991</v>
      </c>
      <c r="T125" s="8">
        <v>1991</v>
      </c>
      <c r="U125" s="8">
        <f t="shared" si="9"/>
        <v>31</v>
      </c>
      <c r="V125" s="7">
        <v>33535</v>
      </c>
      <c r="W125" t="s">
        <v>48</v>
      </c>
      <c r="X125" s="2">
        <v>0.375</v>
      </c>
      <c r="Y125" s="6">
        <f t="shared" si="10"/>
        <v>1.0010410827260351E-2</v>
      </c>
      <c r="AA125">
        <v>135194</v>
      </c>
      <c r="AB125">
        <v>24918</v>
      </c>
      <c r="AD125" t="s">
        <v>1</v>
      </c>
      <c r="AE125">
        <v>27</v>
      </c>
      <c r="AF125">
        <v>22</v>
      </c>
      <c r="AH125" t="s">
        <v>1155</v>
      </c>
      <c r="AI125" t="s">
        <v>1154</v>
      </c>
      <c r="AJ125" t="s">
        <v>1153</v>
      </c>
      <c r="AK125" t="s">
        <v>1152</v>
      </c>
      <c r="AL125">
        <v>8</v>
      </c>
      <c r="AM125" s="5">
        <f t="shared" si="11"/>
        <v>0.25806451612903225</v>
      </c>
      <c r="AN125" s="4">
        <f t="shared" si="12"/>
        <v>3.9085879004775807E-4</v>
      </c>
      <c r="AO125" s="3"/>
      <c r="AP125">
        <v>0</v>
      </c>
      <c r="AR125" t="s">
        <v>0</v>
      </c>
      <c r="AT125" s="2">
        <v>1.3140000000000001</v>
      </c>
      <c r="AU125" s="1">
        <f t="shared" si="13"/>
        <v>0.71245452160965728</v>
      </c>
      <c r="AV125" s="1">
        <f t="shared" si="14"/>
        <v>0.52006348086540544</v>
      </c>
      <c r="AW125" s="1">
        <f t="shared" si="15"/>
        <v>0.3276724401211536</v>
      </c>
    </row>
    <row r="126" spans="1:49" x14ac:dyDescent="0.2">
      <c r="A126">
        <v>124</v>
      </c>
      <c r="B126" t="s">
        <v>1151</v>
      </c>
      <c r="C126" t="s">
        <v>1150</v>
      </c>
      <c r="E126">
        <v>1905022</v>
      </c>
      <c r="F126" t="s">
        <v>1149</v>
      </c>
      <c r="G126" t="s">
        <v>3</v>
      </c>
      <c r="H126" t="s">
        <v>2</v>
      </c>
      <c r="I126" t="s">
        <v>1148</v>
      </c>
      <c r="J126">
        <v>60005455</v>
      </c>
      <c r="K126" t="s">
        <v>16</v>
      </c>
      <c r="L126" t="s">
        <v>15</v>
      </c>
      <c r="M126" t="s">
        <v>6</v>
      </c>
      <c r="N126">
        <v>2</v>
      </c>
      <c r="O126" t="s">
        <v>1147</v>
      </c>
      <c r="P126" t="s">
        <v>1146</v>
      </c>
      <c r="Q126" t="s">
        <v>14</v>
      </c>
      <c r="R126" s="7">
        <v>33535</v>
      </c>
      <c r="S126" s="8">
        <f t="shared" si="8"/>
        <v>1991</v>
      </c>
      <c r="T126" s="8">
        <v>1991</v>
      </c>
      <c r="U126" s="8">
        <f t="shared" si="9"/>
        <v>31</v>
      </c>
      <c r="V126" s="7">
        <v>1991</v>
      </c>
      <c r="W126" t="s">
        <v>104</v>
      </c>
      <c r="X126" s="2">
        <v>5.0110000000000001</v>
      </c>
      <c r="Y126" s="6">
        <f t="shared" si="10"/>
        <v>0.13376578308107098</v>
      </c>
      <c r="AA126">
        <v>278424</v>
      </c>
      <c r="AB126">
        <v>21121</v>
      </c>
      <c r="AD126" t="s">
        <v>1</v>
      </c>
      <c r="AE126">
        <v>88</v>
      </c>
      <c r="AF126">
        <v>12</v>
      </c>
      <c r="AH126" t="s">
        <v>1145</v>
      </c>
      <c r="AI126" t="s">
        <v>1144</v>
      </c>
      <c r="AJ126" t="s">
        <v>1143</v>
      </c>
      <c r="AK126" t="s">
        <v>1142</v>
      </c>
      <c r="AL126">
        <v>59</v>
      </c>
      <c r="AM126" s="5">
        <f t="shared" si="11"/>
        <v>1.903225806451613</v>
      </c>
      <c r="AN126" s="4">
        <f t="shared" si="12"/>
        <v>2.8825835766022158E-3</v>
      </c>
      <c r="AO126" s="3"/>
      <c r="AP126">
        <v>1</v>
      </c>
      <c r="AR126" t="s">
        <v>0</v>
      </c>
      <c r="AT126" s="2" t="s">
        <v>5</v>
      </c>
      <c r="AU126" s="1">
        <f t="shared" si="13"/>
        <v>9.4500823229730351</v>
      </c>
      <c r="AV126" s="1">
        <f t="shared" si="14"/>
        <v>6.832418332883659</v>
      </c>
      <c r="AW126" s="1">
        <f t="shared" si="15"/>
        <v>4.2147543427942846</v>
      </c>
    </row>
    <row r="127" spans="1:49" x14ac:dyDescent="0.2">
      <c r="A127">
        <v>125</v>
      </c>
      <c r="B127" t="s">
        <v>1141</v>
      </c>
      <c r="C127" t="s">
        <v>1140</v>
      </c>
      <c r="F127" t="s">
        <v>1139</v>
      </c>
      <c r="G127" t="s">
        <v>3</v>
      </c>
      <c r="H127" t="s">
        <v>2</v>
      </c>
      <c r="I127" t="s">
        <v>1138</v>
      </c>
      <c r="J127" t="s">
        <v>1137</v>
      </c>
      <c r="K127" t="s">
        <v>1136</v>
      </c>
      <c r="L127" t="s">
        <v>1135</v>
      </c>
      <c r="M127" t="s">
        <v>167</v>
      </c>
      <c r="N127">
        <v>3</v>
      </c>
      <c r="O127" t="s">
        <v>1134</v>
      </c>
      <c r="P127" t="s">
        <v>1133</v>
      </c>
      <c r="Q127" t="s">
        <v>1132</v>
      </c>
      <c r="R127" s="7">
        <v>33535</v>
      </c>
      <c r="S127" s="8">
        <f t="shared" si="8"/>
        <v>1991</v>
      </c>
      <c r="T127" s="8">
        <v>1991</v>
      </c>
      <c r="U127" s="8">
        <f t="shared" si="9"/>
        <v>31</v>
      </c>
      <c r="V127" s="7">
        <v>33535</v>
      </c>
      <c r="W127" t="s">
        <v>48</v>
      </c>
      <c r="X127" s="2">
        <v>0.375</v>
      </c>
      <c r="Y127" s="6">
        <f t="shared" si="10"/>
        <v>1.0010410827260351E-2</v>
      </c>
      <c r="AA127">
        <v>135194</v>
      </c>
      <c r="AB127">
        <v>24918</v>
      </c>
      <c r="AD127" t="s">
        <v>1</v>
      </c>
      <c r="AE127">
        <v>27</v>
      </c>
      <c r="AF127">
        <v>23</v>
      </c>
      <c r="AH127" t="s">
        <v>1131</v>
      </c>
      <c r="AI127" t="s">
        <v>1130</v>
      </c>
      <c r="AJ127" t="s">
        <v>1129</v>
      </c>
      <c r="AK127" t="s">
        <v>1128</v>
      </c>
      <c r="AL127">
        <v>13</v>
      </c>
      <c r="AM127" s="5">
        <f t="shared" si="11"/>
        <v>0.41935483870967744</v>
      </c>
      <c r="AN127" s="4">
        <f t="shared" si="12"/>
        <v>6.3514553382760684E-4</v>
      </c>
      <c r="AO127" s="3"/>
      <c r="AP127">
        <v>0</v>
      </c>
      <c r="AR127" t="s">
        <v>0</v>
      </c>
      <c r="AT127" s="2">
        <v>1.3140000000000001</v>
      </c>
      <c r="AU127" s="1">
        <f t="shared" si="13"/>
        <v>0.71978312392305277</v>
      </c>
      <c r="AV127" s="1">
        <f t="shared" si="14"/>
        <v>0.53227781805439789</v>
      </c>
      <c r="AW127" s="1">
        <f t="shared" si="15"/>
        <v>0.34477251218574301</v>
      </c>
    </row>
    <row r="128" spans="1:49" x14ac:dyDescent="0.2">
      <c r="A128">
        <v>126</v>
      </c>
      <c r="B128" t="s">
        <v>1127</v>
      </c>
      <c r="C128" t="s">
        <v>1126</v>
      </c>
      <c r="E128">
        <v>1924399</v>
      </c>
      <c r="F128" t="s">
        <v>1125</v>
      </c>
      <c r="G128" t="s">
        <v>3</v>
      </c>
      <c r="H128" t="s">
        <v>2</v>
      </c>
      <c r="I128" t="s">
        <v>1124</v>
      </c>
      <c r="J128" t="s">
        <v>1123</v>
      </c>
      <c r="K128" t="s">
        <v>1122</v>
      </c>
      <c r="L128" t="s">
        <v>1121</v>
      </c>
      <c r="M128" t="s">
        <v>12</v>
      </c>
      <c r="N128">
        <v>4</v>
      </c>
      <c r="O128" t="s">
        <v>1120</v>
      </c>
      <c r="P128" t="s">
        <v>1119</v>
      </c>
      <c r="Q128" t="s">
        <v>1118</v>
      </c>
      <c r="R128" s="7">
        <v>33526</v>
      </c>
      <c r="S128" s="8">
        <f t="shared" si="8"/>
        <v>1991</v>
      </c>
      <c r="T128" s="8">
        <v>1991</v>
      </c>
      <c r="U128" s="8">
        <f t="shared" si="9"/>
        <v>31</v>
      </c>
      <c r="V128" s="7">
        <v>33526</v>
      </c>
      <c r="W128" t="s">
        <v>104</v>
      </c>
      <c r="X128" s="2">
        <v>5.0110000000000001</v>
      </c>
      <c r="Y128" s="6">
        <f t="shared" si="10"/>
        <v>0.13376578308107098</v>
      </c>
      <c r="AA128">
        <v>278424</v>
      </c>
      <c r="AB128">
        <v>21121</v>
      </c>
      <c r="AD128" t="s">
        <v>1</v>
      </c>
      <c r="AE128">
        <v>88</v>
      </c>
      <c r="AF128">
        <v>20</v>
      </c>
      <c r="AH128" t="s">
        <v>1117</v>
      </c>
      <c r="AI128" t="s">
        <v>1116</v>
      </c>
      <c r="AJ128" t="s">
        <v>1115</v>
      </c>
      <c r="AK128" t="s">
        <v>1114</v>
      </c>
      <c r="AL128">
        <v>58</v>
      </c>
      <c r="AM128" s="5">
        <f t="shared" si="11"/>
        <v>1.8709677419354838</v>
      </c>
      <c r="AN128" s="4">
        <f t="shared" si="12"/>
        <v>2.8337262278462457E-3</v>
      </c>
      <c r="AO128" s="3"/>
      <c r="AP128">
        <v>1</v>
      </c>
      <c r="AQ128" t="s">
        <v>61</v>
      </c>
      <c r="AR128" t="s">
        <v>1113</v>
      </c>
      <c r="AS128" t="s">
        <v>60</v>
      </c>
      <c r="AT128" s="2" t="s">
        <v>5</v>
      </c>
      <c r="AU128" s="1">
        <f t="shared" si="13"/>
        <v>9.4486166025103557</v>
      </c>
      <c r="AV128" s="1">
        <f t="shared" si="14"/>
        <v>6.8299754654458615</v>
      </c>
      <c r="AW128" s="1">
        <f t="shared" si="15"/>
        <v>4.2113343283813665</v>
      </c>
    </row>
    <row r="129" spans="1:49" x14ac:dyDescent="0.2">
      <c r="A129">
        <v>127</v>
      </c>
      <c r="B129" t="s">
        <v>1112</v>
      </c>
      <c r="C129" t="s">
        <v>1111</v>
      </c>
      <c r="F129" t="s">
        <v>1110</v>
      </c>
      <c r="G129" t="s">
        <v>3</v>
      </c>
      <c r="H129" t="s">
        <v>2</v>
      </c>
      <c r="I129" t="s">
        <v>1109</v>
      </c>
      <c r="N129">
        <v>3</v>
      </c>
      <c r="O129" t="s">
        <v>1108</v>
      </c>
      <c r="P129" t="s">
        <v>1107</v>
      </c>
      <c r="Q129" t="s">
        <v>54</v>
      </c>
      <c r="R129" s="7">
        <v>33512</v>
      </c>
      <c r="S129" s="8">
        <f t="shared" si="8"/>
        <v>1991</v>
      </c>
      <c r="T129" s="8">
        <v>1991</v>
      </c>
      <c r="U129" s="8">
        <f t="shared" si="9"/>
        <v>31</v>
      </c>
      <c r="V129" s="7">
        <v>33512</v>
      </c>
      <c r="W129" t="s">
        <v>219</v>
      </c>
      <c r="X129" s="2">
        <v>0.318</v>
      </c>
      <c r="Y129" s="6">
        <f t="shared" si="10"/>
        <v>8.4888283815167786E-3</v>
      </c>
      <c r="AA129">
        <v>338443</v>
      </c>
      <c r="AB129">
        <v>27160</v>
      </c>
      <c r="AC129">
        <v>15739120</v>
      </c>
      <c r="AD129" t="s">
        <v>1</v>
      </c>
      <c r="AE129">
        <v>34</v>
      </c>
      <c r="AF129" s="9">
        <v>44540</v>
      </c>
      <c r="AH129" t="s">
        <v>1106</v>
      </c>
      <c r="AI129" t="s">
        <v>1105</v>
      </c>
      <c r="AK129" t="s">
        <v>1104</v>
      </c>
      <c r="AL129">
        <v>0</v>
      </c>
      <c r="AM129" s="5">
        <f t="shared" si="11"/>
        <v>0</v>
      </c>
      <c r="AN129" s="4">
        <f t="shared" si="12"/>
        <v>0</v>
      </c>
      <c r="AO129" s="3"/>
      <c r="AP129">
        <v>0</v>
      </c>
      <c r="AR129" t="s">
        <v>0</v>
      </c>
      <c r="AT129" s="2">
        <v>0.77</v>
      </c>
      <c r="AU129" s="1">
        <f t="shared" si="13"/>
        <v>0.59421798670617454</v>
      </c>
      <c r="AV129" s="1">
        <f t="shared" si="14"/>
        <v>0.42444141907583893</v>
      </c>
      <c r="AW129" s="1">
        <f t="shared" si="15"/>
        <v>0.25466485144550338</v>
      </c>
    </row>
    <row r="130" spans="1:49" x14ac:dyDescent="0.2">
      <c r="A130">
        <v>128</v>
      </c>
      <c r="B130" t="s">
        <v>1103</v>
      </c>
      <c r="C130" t="s">
        <v>1102</v>
      </c>
      <c r="F130" t="s">
        <v>1101</v>
      </c>
      <c r="G130" t="s">
        <v>3</v>
      </c>
      <c r="H130" t="s">
        <v>2</v>
      </c>
      <c r="I130" t="s">
        <v>1100</v>
      </c>
      <c r="J130">
        <v>60009037</v>
      </c>
      <c r="K130" t="s">
        <v>35</v>
      </c>
      <c r="L130" t="s">
        <v>34</v>
      </c>
      <c r="M130" t="s">
        <v>6</v>
      </c>
      <c r="N130">
        <v>2</v>
      </c>
      <c r="O130" t="s">
        <v>1099</v>
      </c>
      <c r="P130" t="s">
        <v>1098</v>
      </c>
      <c r="Q130" t="s">
        <v>101</v>
      </c>
      <c r="R130" s="7">
        <v>33512</v>
      </c>
      <c r="S130" s="8">
        <f t="shared" ref="S130:S193" si="16">YEAR(R130)</f>
        <v>1991</v>
      </c>
      <c r="T130" s="8">
        <v>1991</v>
      </c>
      <c r="U130" s="8">
        <f t="shared" ref="U130:U193" si="17">2022-T130</f>
        <v>31</v>
      </c>
      <c r="V130" s="7">
        <v>33512</v>
      </c>
      <c r="W130" t="s">
        <v>25</v>
      </c>
      <c r="X130" s="2">
        <v>0.88100000000000001</v>
      </c>
      <c r="Y130" s="6">
        <f t="shared" ref="Y130:Y193" si="18">(X130-$Z$4)/($Z$3-$Z$4)</f>
        <v>2.3517791836843653E-2</v>
      </c>
      <c r="AA130">
        <v>10459243</v>
      </c>
      <c r="AB130">
        <v>17248</v>
      </c>
      <c r="AD130" t="s">
        <v>1</v>
      </c>
      <c r="AE130">
        <v>33</v>
      </c>
      <c r="AF130">
        <v>5</v>
      </c>
      <c r="AH130" t="s">
        <v>1097</v>
      </c>
      <c r="AI130" t="s">
        <v>1096</v>
      </c>
      <c r="AK130" t="s">
        <v>1095</v>
      </c>
      <c r="AL130">
        <v>0</v>
      </c>
      <c r="AM130" s="5">
        <f t="shared" ref="AM130:AM193" si="19">AL130/U130</f>
        <v>0</v>
      </c>
      <c r="AN130" s="4">
        <f t="shared" ref="AN130:AN193" si="20">(AM130-$AO$4)/($AO$3-$AO$4)</f>
        <v>0</v>
      </c>
      <c r="AO130" s="3"/>
      <c r="AP130">
        <v>0</v>
      </c>
      <c r="AR130" t="s">
        <v>0</v>
      </c>
      <c r="AT130" s="2" t="s">
        <v>5</v>
      </c>
      <c r="AU130" s="1">
        <f t="shared" ref="AU130:AU193" si="21">(Y130*0.7+AN130*0.3)*100</f>
        <v>1.6462454285790555</v>
      </c>
      <c r="AV130" s="1">
        <f t="shared" ref="AV130:AV193" si="22">(Y130*0.5+AN130*0.5)*100</f>
        <v>1.1758895918421826</v>
      </c>
      <c r="AW130" s="1">
        <f t="shared" ref="AW130:AW193" si="23">(Y130*0.3+AN130*0.7)*100</f>
        <v>0.70553375510530958</v>
      </c>
    </row>
    <row r="131" spans="1:49" x14ac:dyDescent="0.2">
      <c r="A131">
        <v>129</v>
      </c>
      <c r="B131" t="s">
        <v>1094</v>
      </c>
      <c r="F131" t="s">
        <v>1093</v>
      </c>
      <c r="G131" t="s">
        <v>3</v>
      </c>
      <c r="H131" t="s">
        <v>2</v>
      </c>
      <c r="I131" t="s">
        <v>1092</v>
      </c>
      <c r="N131">
        <v>1</v>
      </c>
      <c r="O131" t="s">
        <v>1091</v>
      </c>
      <c r="P131">
        <v>6603044380</v>
      </c>
      <c r="R131" s="7">
        <v>33512</v>
      </c>
      <c r="S131" s="8">
        <f t="shared" si="16"/>
        <v>1991</v>
      </c>
      <c r="T131" s="8">
        <v>1991</v>
      </c>
      <c r="U131" s="8">
        <f t="shared" si="17"/>
        <v>31</v>
      </c>
      <c r="V131" s="7">
        <v>33512</v>
      </c>
      <c r="W131" t="s">
        <v>96</v>
      </c>
      <c r="X131" s="2">
        <v>0.14099999999999999</v>
      </c>
      <c r="Y131" s="6">
        <f t="shared" si="18"/>
        <v>3.7639144710498915E-3</v>
      </c>
      <c r="AA131">
        <v>402508</v>
      </c>
      <c r="AB131">
        <v>20868</v>
      </c>
      <c r="AD131" t="s">
        <v>1</v>
      </c>
      <c r="AE131">
        <v>46</v>
      </c>
      <c r="AF131">
        <v>10</v>
      </c>
      <c r="AH131" t="s">
        <v>1090</v>
      </c>
      <c r="AI131" t="s">
        <v>1089</v>
      </c>
      <c r="AK131" t="s">
        <v>1088</v>
      </c>
      <c r="AL131">
        <v>0</v>
      </c>
      <c r="AM131" s="5">
        <f t="shared" si="19"/>
        <v>0</v>
      </c>
      <c r="AN131" s="4">
        <f t="shared" si="20"/>
        <v>0</v>
      </c>
      <c r="AO131" s="3"/>
      <c r="AP131">
        <v>0</v>
      </c>
      <c r="AR131" t="s">
        <v>0</v>
      </c>
      <c r="AT131" s="2" t="s">
        <v>5</v>
      </c>
      <c r="AU131" s="1">
        <f t="shared" si="21"/>
        <v>0.26347401297349238</v>
      </c>
      <c r="AV131" s="1">
        <f t="shared" si="22"/>
        <v>0.18819572355249459</v>
      </c>
      <c r="AW131" s="1">
        <f t="shared" si="23"/>
        <v>0.11291743413149673</v>
      </c>
    </row>
    <row r="132" spans="1:49" x14ac:dyDescent="0.2">
      <c r="A132">
        <v>130</v>
      </c>
      <c r="B132" t="s">
        <v>1087</v>
      </c>
      <c r="C132" t="s">
        <v>1086</v>
      </c>
      <c r="F132" t="s">
        <v>1085</v>
      </c>
      <c r="G132" t="s">
        <v>3</v>
      </c>
      <c r="H132" t="s">
        <v>2</v>
      </c>
      <c r="I132" t="s">
        <v>1084</v>
      </c>
      <c r="J132">
        <v>60018829</v>
      </c>
      <c r="K132" t="s">
        <v>169</v>
      </c>
      <c r="L132" t="s">
        <v>168</v>
      </c>
      <c r="M132" t="s">
        <v>10</v>
      </c>
      <c r="N132">
        <v>1</v>
      </c>
      <c r="O132" t="s">
        <v>1083</v>
      </c>
      <c r="P132">
        <v>7102654903</v>
      </c>
      <c r="Q132">
        <v>60018829</v>
      </c>
      <c r="R132" s="7">
        <v>33512</v>
      </c>
      <c r="S132" s="8">
        <f t="shared" si="16"/>
        <v>1991</v>
      </c>
      <c r="T132" s="8">
        <v>1991</v>
      </c>
      <c r="U132" s="8">
        <f t="shared" si="17"/>
        <v>31</v>
      </c>
      <c r="V132" s="7">
        <v>33512</v>
      </c>
      <c r="W132" t="s">
        <v>25</v>
      </c>
      <c r="X132" s="2">
        <v>0.88100000000000001</v>
      </c>
      <c r="Y132" s="6">
        <f t="shared" si="18"/>
        <v>2.3517791836843653E-2</v>
      </c>
      <c r="AA132">
        <v>10459243</v>
      </c>
      <c r="AB132">
        <v>17248</v>
      </c>
      <c r="AD132" t="s">
        <v>1</v>
      </c>
      <c r="AE132">
        <v>33</v>
      </c>
      <c r="AF132">
        <v>5</v>
      </c>
      <c r="AH132" t="s">
        <v>1082</v>
      </c>
      <c r="AI132" t="s">
        <v>1081</v>
      </c>
      <c r="AK132" t="s">
        <v>1080</v>
      </c>
      <c r="AL132">
        <v>3</v>
      </c>
      <c r="AM132" s="5">
        <f t="shared" si="19"/>
        <v>9.6774193548387094E-2</v>
      </c>
      <c r="AN132" s="4">
        <f t="shared" si="20"/>
        <v>1.4657204626790927E-4</v>
      </c>
      <c r="AO132" s="3"/>
      <c r="AP132">
        <v>0</v>
      </c>
      <c r="AR132" t="s">
        <v>0</v>
      </c>
      <c r="AT132" s="2" t="s">
        <v>5</v>
      </c>
      <c r="AU132" s="1">
        <f t="shared" si="21"/>
        <v>1.6506425899670929</v>
      </c>
      <c r="AV132" s="1">
        <f t="shared" si="22"/>
        <v>1.1832181941555782</v>
      </c>
      <c r="AW132" s="1">
        <f t="shared" si="23"/>
        <v>0.7157937983440632</v>
      </c>
    </row>
    <row r="133" spans="1:49" x14ac:dyDescent="0.2">
      <c r="A133">
        <v>131</v>
      </c>
      <c r="B133" t="s">
        <v>1079</v>
      </c>
      <c r="C133" t="s">
        <v>1078</v>
      </c>
      <c r="F133" t="s">
        <v>1077</v>
      </c>
      <c r="G133" t="s">
        <v>3</v>
      </c>
      <c r="H133" t="s">
        <v>2</v>
      </c>
      <c r="I133" t="s">
        <v>1076</v>
      </c>
      <c r="J133">
        <v>60027090</v>
      </c>
      <c r="K133" t="s">
        <v>181</v>
      </c>
      <c r="L133" t="s">
        <v>180</v>
      </c>
      <c r="M133" t="s">
        <v>6</v>
      </c>
      <c r="N133">
        <v>1</v>
      </c>
      <c r="O133" t="s">
        <v>1075</v>
      </c>
      <c r="P133">
        <v>7006091503</v>
      </c>
      <c r="Q133">
        <v>60027090</v>
      </c>
      <c r="R133" s="7">
        <v>33512</v>
      </c>
      <c r="S133" s="8">
        <f t="shared" si="16"/>
        <v>1991</v>
      </c>
      <c r="T133" s="8">
        <v>1991</v>
      </c>
      <c r="U133" s="8">
        <f t="shared" si="17"/>
        <v>31</v>
      </c>
      <c r="V133" s="7">
        <v>33512</v>
      </c>
      <c r="W133" t="s">
        <v>25</v>
      </c>
      <c r="X133" s="2">
        <v>0.88100000000000001</v>
      </c>
      <c r="Y133" s="6">
        <f t="shared" si="18"/>
        <v>2.3517791836843653E-2</v>
      </c>
      <c r="AA133">
        <v>10459243</v>
      </c>
      <c r="AB133">
        <v>17248</v>
      </c>
      <c r="AD133" t="s">
        <v>1</v>
      </c>
      <c r="AE133">
        <v>33</v>
      </c>
      <c r="AF133">
        <v>5</v>
      </c>
      <c r="AH133" t="s">
        <v>1074</v>
      </c>
      <c r="AI133" t="s">
        <v>1073</v>
      </c>
      <c r="AK133" t="s">
        <v>1072</v>
      </c>
      <c r="AL133">
        <v>18</v>
      </c>
      <c r="AM133" s="5">
        <f t="shared" si="19"/>
        <v>0.58064516129032262</v>
      </c>
      <c r="AN133" s="4">
        <f t="shared" si="20"/>
        <v>8.7943227760745566E-4</v>
      </c>
      <c r="AO133" s="3"/>
      <c r="AP133">
        <v>0</v>
      </c>
      <c r="AR133" t="s">
        <v>0</v>
      </c>
      <c r="AT133" s="2" t="s">
        <v>5</v>
      </c>
      <c r="AU133" s="1">
        <f t="shared" si="21"/>
        <v>1.6726283969072793</v>
      </c>
      <c r="AV133" s="1">
        <f t="shared" si="22"/>
        <v>1.2198612057225555</v>
      </c>
      <c r="AW133" s="1">
        <f t="shared" si="23"/>
        <v>0.76709401453783144</v>
      </c>
    </row>
    <row r="134" spans="1:49" x14ac:dyDescent="0.2">
      <c r="A134">
        <v>132</v>
      </c>
      <c r="B134" t="s">
        <v>1071</v>
      </c>
      <c r="C134" t="s">
        <v>1070</v>
      </c>
      <c r="F134" t="s">
        <v>1069</v>
      </c>
      <c r="G134" t="s">
        <v>3</v>
      </c>
      <c r="H134" t="s">
        <v>2</v>
      </c>
      <c r="I134" t="s">
        <v>1068</v>
      </c>
      <c r="J134">
        <v>60015481</v>
      </c>
      <c r="K134" t="s">
        <v>1067</v>
      </c>
      <c r="L134" t="s">
        <v>1066</v>
      </c>
      <c r="M134" t="s">
        <v>6</v>
      </c>
      <c r="N134">
        <v>1</v>
      </c>
      <c r="O134" t="s">
        <v>1065</v>
      </c>
      <c r="P134">
        <v>7005122046</v>
      </c>
      <c r="Q134">
        <v>60015481</v>
      </c>
      <c r="R134" s="7">
        <v>33512</v>
      </c>
      <c r="S134" s="8">
        <f t="shared" si="16"/>
        <v>1991</v>
      </c>
      <c r="T134" s="8">
        <v>1991</v>
      </c>
      <c r="U134" s="8">
        <f t="shared" si="17"/>
        <v>31</v>
      </c>
      <c r="V134" s="7">
        <v>33512</v>
      </c>
      <c r="W134" t="s">
        <v>25</v>
      </c>
      <c r="X134" s="2">
        <v>0.88100000000000001</v>
      </c>
      <c r="Y134" s="6">
        <f t="shared" si="18"/>
        <v>2.3517791836843653E-2</v>
      </c>
      <c r="AA134">
        <v>10459243</v>
      </c>
      <c r="AB134">
        <v>17248</v>
      </c>
      <c r="AD134" t="s">
        <v>1</v>
      </c>
      <c r="AE134">
        <v>33</v>
      </c>
      <c r="AF134">
        <v>5</v>
      </c>
      <c r="AH134" s="9">
        <v>44507</v>
      </c>
      <c r="AI134" t="s">
        <v>1064</v>
      </c>
      <c r="AK134" t="s">
        <v>1063</v>
      </c>
      <c r="AL134">
        <v>66</v>
      </c>
      <c r="AM134" s="5">
        <f t="shared" si="19"/>
        <v>2.129032258064516</v>
      </c>
      <c r="AN134" s="4">
        <f t="shared" si="20"/>
        <v>3.2245850178940039E-3</v>
      </c>
      <c r="AO134" s="3"/>
      <c r="AP134">
        <v>0</v>
      </c>
      <c r="AR134" t="s">
        <v>0</v>
      </c>
      <c r="AT134" s="2" t="s">
        <v>5</v>
      </c>
      <c r="AU134" s="1">
        <f t="shared" si="21"/>
        <v>1.7429829791158757</v>
      </c>
      <c r="AV134" s="1">
        <f t="shared" si="22"/>
        <v>1.337118842736883</v>
      </c>
      <c r="AW134" s="1">
        <f t="shared" si="23"/>
        <v>0.93125470635788987</v>
      </c>
    </row>
    <row r="135" spans="1:49" x14ac:dyDescent="0.2">
      <c r="A135">
        <v>133</v>
      </c>
      <c r="B135" t="s">
        <v>1062</v>
      </c>
      <c r="C135" t="s">
        <v>1061</v>
      </c>
      <c r="F135" t="s">
        <v>1060</v>
      </c>
      <c r="G135" t="s">
        <v>3</v>
      </c>
      <c r="H135" t="s">
        <v>2</v>
      </c>
      <c r="I135" t="s">
        <v>1059</v>
      </c>
      <c r="J135">
        <v>60025063</v>
      </c>
      <c r="K135" t="s">
        <v>1058</v>
      </c>
      <c r="L135" t="s">
        <v>1057</v>
      </c>
      <c r="M135" t="s">
        <v>131</v>
      </c>
      <c r="N135">
        <v>7</v>
      </c>
      <c r="O135" t="s">
        <v>1056</v>
      </c>
      <c r="P135" t="s">
        <v>1055</v>
      </c>
      <c r="Q135" t="s">
        <v>1054</v>
      </c>
      <c r="R135" s="7">
        <v>33512</v>
      </c>
      <c r="S135" s="8">
        <f t="shared" si="16"/>
        <v>1991</v>
      </c>
      <c r="T135" s="8">
        <v>1991</v>
      </c>
      <c r="U135" s="8">
        <f t="shared" si="17"/>
        <v>31</v>
      </c>
      <c r="V135" s="7">
        <v>33512</v>
      </c>
      <c r="W135" t="s">
        <v>25</v>
      </c>
      <c r="X135" s="2">
        <v>0.88100000000000001</v>
      </c>
      <c r="Y135" s="6">
        <f t="shared" si="18"/>
        <v>2.3517791836843653E-2</v>
      </c>
      <c r="AA135">
        <v>10459243</v>
      </c>
      <c r="AB135">
        <v>17248</v>
      </c>
      <c r="AD135" t="s">
        <v>1</v>
      </c>
      <c r="AE135">
        <v>33</v>
      </c>
      <c r="AF135">
        <v>5</v>
      </c>
      <c r="AH135" t="s">
        <v>1053</v>
      </c>
      <c r="AI135" t="s">
        <v>1052</v>
      </c>
      <c r="AK135" t="s">
        <v>1051</v>
      </c>
      <c r="AL135">
        <v>3</v>
      </c>
      <c r="AM135" s="5">
        <f t="shared" si="19"/>
        <v>9.6774193548387094E-2</v>
      </c>
      <c r="AN135" s="4">
        <f t="shared" si="20"/>
        <v>1.4657204626790927E-4</v>
      </c>
      <c r="AO135" s="3"/>
      <c r="AP135">
        <v>0</v>
      </c>
      <c r="AR135" t="s">
        <v>0</v>
      </c>
      <c r="AT135" s="2" t="s">
        <v>5</v>
      </c>
      <c r="AU135" s="1">
        <f t="shared" si="21"/>
        <v>1.6506425899670929</v>
      </c>
      <c r="AV135" s="1">
        <f t="shared" si="22"/>
        <v>1.1832181941555782</v>
      </c>
      <c r="AW135" s="1">
        <f t="shared" si="23"/>
        <v>0.7157937983440632</v>
      </c>
    </row>
    <row r="136" spans="1:49" x14ac:dyDescent="0.2">
      <c r="A136">
        <v>134</v>
      </c>
      <c r="B136" t="s">
        <v>1050</v>
      </c>
      <c r="F136" t="s">
        <v>1049</v>
      </c>
      <c r="G136" t="s">
        <v>3</v>
      </c>
      <c r="H136" t="s">
        <v>2</v>
      </c>
      <c r="I136" t="s">
        <v>1048</v>
      </c>
      <c r="N136">
        <v>2</v>
      </c>
      <c r="O136" t="s">
        <v>1047</v>
      </c>
      <c r="P136" t="s">
        <v>1046</v>
      </c>
      <c r="Q136" t="s">
        <v>51</v>
      </c>
      <c r="R136" s="7">
        <v>33512</v>
      </c>
      <c r="S136" s="8">
        <f t="shared" si="16"/>
        <v>1991</v>
      </c>
      <c r="T136" s="8">
        <v>1991</v>
      </c>
      <c r="U136" s="8">
        <f t="shared" si="17"/>
        <v>31</v>
      </c>
      <c r="V136" s="7">
        <v>33512</v>
      </c>
      <c r="W136" t="s">
        <v>96</v>
      </c>
      <c r="X136" s="2">
        <v>0.14099999999999999</v>
      </c>
      <c r="Y136" s="6">
        <f t="shared" si="18"/>
        <v>3.7639144710498915E-3</v>
      </c>
      <c r="AA136">
        <v>402508</v>
      </c>
      <c r="AB136">
        <v>20868</v>
      </c>
      <c r="AD136" t="s">
        <v>1</v>
      </c>
      <c r="AE136">
        <v>46</v>
      </c>
      <c r="AF136">
        <v>10</v>
      </c>
      <c r="AH136" t="s">
        <v>257</v>
      </c>
      <c r="AI136" t="s">
        <v>1045</v>
      </c>
      <c r="AK136" t="s">
        <v>1044</v>
      </c>
      <c r="AL136">
        <v>0</v>
      </c>
      <c r="AM136" s="5">
        <f t="shared" si="19"/>
        <v>0</v>
      </c>
      <c r="AN136" s="4">
        <f t="shared" si="20"/>
        <v>0</v>
      </c>
      <c r="AO136" s="3"/>
      <c r="AP136">
        <v>0</v>
      </c>
      <c r="AR136" t="s">
        <v>0</v>
      </c>
      <c r="AT136" s="2" t="s">
        <v>5</v>
      </c>
      <c r="AU136" s="1">
        <f t="shared" si="21"/>
        <v>0.26347401297349238</v>
      </c>
      <c r="AV136" s="1">
        <f t="shared" si="22"/>
        <v>0.18819572355249459</v>
      </c>
      <c r="AW136" s="1">
        <f t="shared" si="23"/>
        <v>0.11291743413149673</v>
      </c>
    </row>
    <row r="137" spans="1:49" x14ac:dyDescent="0.2">
      <c r="A137">
        <v>135</v>
      </c>
      <c r="B137" t="s">
        <v>1043</v>
      </c>
      <c r="C137" t="s">
        <v>1042</v>
      </c>
      <c r="F137" t="s">
        <v>1041</v>
      </c>
      <c r="G137" t="s">
        <v>3</v>
      </c>
      <c r="H137" t="s">
        <v>2</v>
      </c>
      <c r="I137" t="s">
        <v>1040</v>
      </c>
      <c r="J137">
        <v>60021666</v>
      </c>
      <c r="K137" t="s">
        <v>247</v>
      </c>
      <c r="L137" t="s">
        <v>173</v>
      </c>
      <c r="M137" t="s">
        <v>83</v>
      </c>
      <c r="N137">
        <v>1</v>
      </c>
      <c r="O137" t="s">
        <v>1039</v>
      </c>
      <c r="P137">
        <v>7403324500</v>
      </c>
      <c r="Q137">
        <v>60021666</v>
      </c>
      <c r="R137" s="7">
        <v>33512</v>
      </c>
      <c r="S137" s="8">
        <f t="shared" si="16"/>
        <v>1991</v>
      </c>
      <c r="T137" s="8">
        <v>1991</v>
      </c>
      <c r="U137" s="8">
        <f t="shared" si="17"/>
        <v>31</v>
      </c>
      <c r="V137" s="7">
        <v>33512</v>
      </c>
      <c r="W137" t="s">
        <v>232</v>
      </c>
      <c r="X137" s="2">
        <v>0.61499999999999999</v>
      </c>
      <c r="Y137" s="6">
        <f t="shared" si="18"/>
        <v>1.6417073756706976E-2</v>
      </c>
      <c r="AA137">
        <v>1959271</v>
      </c>
      <c r="AB137">
        <v>12141</v>
      </c>
      <c r="AC137">
        <v>15729559</v>
      </c>
      <c r="AD137" t="s">
        <v>1</v>
      </c>
      <c r="AE137">
        <v>12</v>
      </c>
      <c r="AF137">
        <v>10</v>
      </c>
      <c r="AH137" t="s">
        <v>1038</v>
      </c>
      <c r="AI137" t="s">
        <v>1037</v>
      </c>
      <c r="AK137" t="s">
        <v>1036</v>
      </c>
      <c r="AL137">
        <v>0</v>
      </c>
      <c r="AM137" s="5">
        <f t="shared" si="19"/>
        <v>0</v>
      </c>
      <c r="AN137" s="4">
        <f t="shared" si="20"/>
        <v>0</v>
      </c>
      <c r="AO137" s="3"/>
      <c r="AP137">
        <v>0</v>
      </c>
      <c r="AR137" t="s">
        <v>0</v>
      </c>
      <c r="AT137" s="2" t="s">
        <v>5</v>
      </c>
      <c r="AU137" s="1">
        <f t="shared" si="21"/>
        <v>1.1491951629694881</v>
      </c>
      <c r="AV137" s="1">
        <f t="shared" si="22"/>
        <v>0.82085368783534873</v>
      </c>
      <c r="AW137" s="1">
        <f t="shared" si="23"/>
        <v>0.49251221270120926</v>
      </c>
    </row>
    <row r="138" spans="1:49" x14ac:dyDescent="0.2">
      <c r="A138">
        <v>136</v>
      </c>
      <c r="B138" t="s">
        <v>1035</v>
      </c>
      <c r="F138" t="s">
        <v>1034</v>
      </c>
      <c r="G138" t="s">
        <v>3</v>
      </c>
      <c r="H138" t="s">
        <v>2</v>
      </c>
      <c r="I138" t="s">
        <v>1033</v>
      </c>
      <c r="N138">
        <v>1</v>
      </c>
      <c r="O138" t="s">
        <v>1032</v>
      </c>
      <c r="P138">
        <v>12800445100</v>
      </c>
      <c r="R138" s="7">
        <v>33512</v>
      </c>
      <c r="S138" s="8">
        <f t="shared" si="16"/>
        <v>1991</v>
      </c>
      <c r="T138" s="8">
        <v>1991</v>
      </c>
      <c r="U138" s="8">
        <f t="shared" si="17"/>
        <v>31</v>
      </c>
      <c r="V138" s="7">
        <v>33512</v>
      </c>
      <c r="W138" t="s">
        <v>1031</v>
      </c>
      <c r="X138" s="2" t="s">
        <v>5</v>
      </c>
      <c r="Y138" s="6" t="e">
        <f t="shared" si="18"/>
        <v>#VALUE!</v>
      </c>
      <c r="AA138">
        <v>3735346</v>
      </c>
      <c r="AB138">
        <v>25730</v>
      </c>
      <c r="AD138" t="s">
        <v>1</v>
      </c>
      <c r="AE138">
        <v>147</v>
      </c>
      <c r="AF138">
        <v>10</v>
      </c>
      <c r="AH138" t="s">
        <v>1030</v>
      </c>
      <c r="AI138" t="s">
        <v>1029</v>
      </c>
      <c r="AK138" t="s">
        <v>1028</v>
      </c>
      <c r="AL138">
        <v>0</v>
      </c>
      <c r="AM138" s="5">
        <f t="shared" si="19"/>
        <v>0</v>
      </c>
      <c r="AN138" s="4">
        <f t="shared" si="20"/>
        <v>0</v>
      </c>
      <c r="AO138" s="3"/>
      <c r="AP138">
        <v>0</v>
      </c>
      <c r="AR138" t="s">
        <v>0</v>
      </c>
      <c r="AT138" s="2" t="s">
        <v>5</v>
      </c>
      <c r="AU138" s="1" t="e">
        <f t="shared" si="21"/>
        <v>#VALUE!</v>
      </c>
      <c r="AV138" s="1" t="e">
        <f t="shared" si="22"/>
        <v>#VALUE!</v>
      </c>
      <c r="AW138" s="1" t="e">
        <f t="shared" si="23"/>
        <v>#VALUE!</v>
      </c>
    </row>
    <row r="139" spans="1:49" x14ac:dyDescent="0.2">
      <c r="A139">
        <v>137</v>
      </c>
      <c r="B139" t="s">
        <v>1027</v>
      </c>
      <c r="C139" t="s">
        <v>1026</v>
      </c>
      <c r="F139" t="s">
        <v>1025</v>
      </c>
      <c r="G139" t="s">
        <v>3</v>
      </c>
      <c r="H139" t="s">
        <v>2</v>
      </c>
      <c r="I139" t="s">
        <v>1024</v>
      </c>
      <c r="J139">
        <v>60025272</v>
      </c>
      <c r="K139" t="s">
        <v>162</v>
      </c>
      <c r="L139" t="s">
        <v>27</v>
      </c>
      <c r="M139" t="s">
        <v>26</v>
      </c>
      <c r="N139">
        <v>2</v>
      </c>
      <c r="O139" t="s">
        <v>1023</v>
      </c>
      <c r="P139" t="s">
        <v>1022</v>
      </c>
      <c r="Q139" t="s">
        <v>1021</v>
      </c>
      <c r="R139" s="7">
        <v>33512</v>
      </c>
      <c r="S139" s="8">
        <f t="shared" si="16"/>
        <v>1991</v>
      </c>
      <c r="T139" s="8">
        <v>1991</v>
      </c>
      <c r="U139" s="8">
        <f t="shared" si="17"/>
        <v>31</v>
      </c>
      <c r="V139" s="7">
        <v>33512</v>
      </c>
      <c r="W139" t="s">
        <v>214</v>
      </c>
      <c r="X139" s="2">
        <v>0.93</v>
      </c>
      <c r="Y139" s="6">
        <f t="shared" si="18"/>
        <v>2.4825818851605671E-2</v>
      </c>
      <c r="AA139">
        <v>253162</v>
      </c>
      <c r="AB139">
        <v>12165</v>
      </c>
      <c r="AC139">
        <v>14321793</v>
      </c>
      <c r="AD139" t="s">
        <v>1</v>
      </c>
      <c r="AE139">
        <v>110</v>
      </c>
      <c r="AF139">
        <v>3</v>
      </c>
      <c r="AH139" t="s">
        <v>1020</v>
      </c>
      <c r="AI139" t="s">
        <v>1019</v>
      </c>
      <c r="AK139" t="s">
        <v>1018</v>
      </c>
      <c r="AL139">
        <v>57</v>
      </c>
      <c r="AM139" s="5">
        <f t="shared" si="19"/>
        <v>1.8387096774193548</v>
      </c>
      <c r="AN139" s="4">
        <f t="shared" si="20"/>
        <v>2.7848688790902761E-3</v>
      </c>
      <c r="AO139" s="3"/>
      <c r="AP139">
        <v>0</v>
      </c>
      <c r="AR139" t="s">
        <v>0</v>
      </c>
      <c r="AT139" s="2">
        <v>2.573</v>
      </c>
      <c r="AU139" s="1">
        <f t="shared" si="21"/>
        <v>1.8213533859851052</v>
      </c>
      <c r="AV139" s="1">
        <f t="shared" si="22"/>
        <v>1.3805343865347974</v>
      </c>
      <c r="AW139" s="1">
        <f t="shared" si="23"/>
        <v>0.93971538708448943</v>
      </c>
    </row>
    <row r="140" spans="1:49" x14ac:dyDescent="0.2">
      <c r="A140">
        <v>138</v>
      </c>
      <c r="B140" t="s">
        <v>1017</v>
      </c>
      <c r="C140" t="s">
        <v>1016</v>
      </c>
      <c r="D140" t="s">
        <v>1015</v>
      </c>
      <c r="F140" t="s">
        <v>1014</v>
      </c>
      <c r="G140" t="s">
        <v>3</v>
      </c>
      <c r="H140" t="s">
        <v>2</v>
      </c>
      <c r="I140" t="s">
        <v>170</v>
      </c>
      <c r="J140">
        <v>60008023</v>
      </c>
      <c r="K140" t="s">
        <v>47</v>
      </c>
      <c r="L140" t="s">
        <v>46</v>
      </c>
      <c r="M140" t="s">
        <v>6</v>
      </c>
      <c r="N140">
        <v>3</v>
      </c>
      <c r="O140" t="s">
        <v>1013</v>
      </c>
      <c r="P140" t="s">
        <v>1012</v>
      </c>
      <c r="Q140" t="s">
        <v>1011</v>
      </c>
      <c r="R140" s="7">
        <v>33508</v>
      </c>
      <c r="S140" s="8">
        <f t="shared" si="16"/>
        <v>1991</v>
      </c>
      <c r="T140" s="8">
        <v>1991</v>
      </c>
      <c r="U140" s="8">
        <f t="shared" si="17"/>
        <v>31</v>
      </c>
      <c r="V140" s="7">
        <v>33508</v>
      </c>
      <c r="W140" t="s">
        <v>228</v>
      </c>
      <c r="X140" s="2">
        <v>1.59</v>
      </c>
      <c r="Y140" s="6">
        <f t="shared" si="18"/>
        <v>4.2444141907583888E-2</v>
      </c>
      <c r="AA140">
        <v>52728</v>
      </c>
      <c r="AB140">
        <v>16791</v>
      </c>
      <c r="AD140" t="s">
        <v>1</v>
      </c>
      <c r="AE140">
        <v>1060</v>
      </c>
      <c r="AF140">
        <v>1</v>
      </c>
      <c r="AH140" t="s">
        <v>1010</v>
      </c>
      <c r="AI140" t="s">
        <v>1009</v>
      </c>
      <c r="AJ140" t="s">
        <v>1008</v>
      </c>
      <c r="AK140" t="s">
        <v>1007</v>
      </c>
      <c r="AL140">
        <v>47</v>
      </c>
      <c r="AM140" s="5">
        <f t="shared" si="19"/>
        <v>1.5161290322580645</v>
      </c>
      <c r="AN140" s="4">
        <f t="shared" si="20"/>
        <v>2.2962953915305786E-3</v>
      </c>
      <c r="AO140" s="3"/>
      <c r="AP140">
        <v>0</v>
      </c>
      <c r="AQ140" t="s">
        <v>1006</v>
      </c>
      <c r="AR140" t="s">
        <v>1005</v>
      </c>
      <c r="AS140" t="s">
        <v>1004</v>
      </c>
      <c r="AT140" s="2" t="s">
        <v>5</v>
      </c>
      <c r="AU140" s="1">
        <f t="shared" si="21"/>
        <v>3.0399787952767894</v>
      </c>
      <c r="AV140" s="1">
        <f t="shared" si="22"/>
        <v>2.237021864955723</v>
      </c>
      <c r="AW140" s="1">
        <f t="shared" si="23"/>
        <v>1.434064934634657</v>
      </c>
    </row>
    <row r="141" spans="1:49" x14ac:dyDescent="0.2">
      <c r="A141">
        <v>139</v>
      </c>
      <c r="B141" t="s">
        <v>1003</v>
      </c>
      <c r="C141" t="s">
        <v>1002</v>
      </c>
      <c r="D141" t="s">
        <v>1001</v>
      </c>
      <c r="F141" t="s">
        <v>1000</v>
      </c>
      <c r="G141" t="s">
        <v>3</v>
      </c>
      <c r="H141" t="s">
        <v>2</v>
      </c>
      <c r="I141" t="s">
        <v>999</v>
      </c>
      <c r="J141" t="s">
        <v>998</v>
      </c>
      <c r="K141" t="s">
        <v>997</v>
      </c>
      <c r="L141" t="s">
        <v>996</v>
      </c>
      <c r="M141" t="s">
        <v>995</v>
      </c>
      <c r="N141">
        <v>3</v>
      </c>
      <c r="O141" t="s">
        <v>994</v>
      </c>
      <c r="P141" t="s">
        <v>993</v>
      </c>
      <c r="Q141" t="s">
        <v>992</v>
      </c>
      <c r="R141" s="7">
        <v>33508</v>
      </c>
      <c r="S141" s="8">
        <f t="shared" si="16"/>
        <v>1991</v>
      </c>
      <c r="T141" s="8">
        <v>1991</v>
      </c>
      <c r="U141" s="8">
        <f t="shared" si="17"/>
        <v>31</v>
      </c>
      <c r="V141" s="7">
        <v>33508</v>
      </c>
      <c r="W141" t="s">
        <v>228</v>
      </c>
      <c r="X141" s="2">
        <v>1.59</v>
      </c>
      <c r="Y141" s="6">
        <f t="shared" si="18"/>
        <v>4.2444141907583888E-2</v>
      </c>
      <c r="AA141">
        <v>52728</v>
      </c>
      <c r="AB141">
        <v>16791</v>
      </c>
      <c r="AD141" t="s">
        <v>1</v>
      </c>
      <c r="AE141">
        <v>1060</v>
      </c>
      <c r="AF141">
        <v>1</v>
      </c>
      <c r="AH141" t="s">
        <v>991</v>
      </c>
      <c r="AI141" t="s">
        <v>990</v>
      </c>
      <c r="AJ141" t="s">
        <v>989</v>
      </c>
      <c r="AK141" t="s">
        <v>988</v>
      </c>
      <c r="AL141">
        <v>2</v>
      </c>
      <c r="AM141" s="5">
        <f t="shared" si="19"/>
        <v>6.4516129032258063E-2</v>
      </c>
      <c r="AN141" s="4">
        <f t="shared" si="20"/>
        <v>9.7714697511939517E-5</v>
      </c>
      <c r="AO141" s="3"/>
      <c r="AP141">
        <v>0</v>
      </c>
      <c r="AQ141" t="s">
        <v>987</v>
      </c>
      <c r="AR141" t="s">
        <v>0</v>
      </c>
      <c r="AS141" t="s">
        <v>986</v>
      </c>
      <c r="AT141" s="2" t="s">
        <v>5</v>
      </c>
      <c r="AU141" s="1">
        <f t="shared" si="21"/>
        <v>2.97402137445623</v>
      </c>
      <c r="AV141" s="1">
        <f t="shared" si="22"/>
        <v>2.1270928302547913</v>
      </c>
      <c r="AW141" s="1">
        <f t="shared" si="23"/>
        <v>1.2801642860533524</v>
      </c>
    </row>
    <row r="142" spans="1:49" x14ac:dyDescent="0.2">
      <c r="A142">
        <v>140</v>
      </c>
      <c r="B142" t="s">
        <v>985</v>
      </c>
      <c r="C142" t="s">
        <v>984</v>
      </c>
      <c r="D142" t="s">
        <v>983</v>
      </c>
      <c r="F142" t="s">
        <v>982</v>
      </c>
      <c r="G142" t="s">
        <v>3</v>
      </c>
      <c r="H142" t="s">
        <v>2</v>
      </c>
      <c r="I142" t="s">
        <v>981</v>
      </c>
      <c r="J142">
        <v>60029170</v>
      </c>
      <c r="K142" t="s">
        <v>980</v>
      </c>
      <c r="L142" t="s">
        <v>979</v>
      </c>
      <c r="M142" t="s">
        <v>13</v>
      </c>
      <c r="N142">
        <v>3</v>
      </c>
      <c r="O142" t="s">
        <v>978</v>
      </c>
      <c r="P142" t="s">
        <v>977</v>
      </c>
      <c r="Q142" t="s">
        <v>976</v>
      </c>
      <c r="R142" s="7">
        <v>33508</v>
      </c>
      <c r="S142" s="8">
        <f t="shared" si="16"/>
        <v>1991</v>
      </c>
      <c r="T142" s="8">
        <v>1991</v>
      </c>
      <c r="U142" s="8">
        <f t="shared" si="17"/>
        <v>31</v>
      </c>
      <c r="V142" s="7">
        <v>33508</v>
      </c>
      <c r="W142" t="s">
        <v>228</v>
      </c>
      <c r="X142" s="2">
        <v>1.59</v>
      </c>
      <c r="Y142" s="6">
        <f t="shared" si="18"/>
        <v>4.2444141907583888E-2</v>
      </c>
      <c r="AA142">
        <v>52728</v>
      </c>
      <c r="AB142">
        <v>16791</v>
      </c>
      <c r="AD142" t="s">
        <v>1</v>
      </c>
      <c r="AE142">
        <v>1060</v>
      </c>
      <c r="AF142">
        <v>1</v>
      </c>
      <c r="AH142" t="s">
        <v>975</v>
      </c>
      <c r="AI142" t="s">
        <v>974</v>
      </c>
      <c r="AJ142" t="s">
        <v>973</v>
      </c>
      <c r="AK142" t="s">
        <v>972</v>
      </c>
      <c r="AL142">
        <v>46</v>
      </c>
      <c r="AM142" s="5">
        <f t="shared" si="19"/>
        <v>1.4838709677419355</v>
      </c>
      <c r="AN142" s="4">
        <f t="shared" si="20"/>
        <v>2.247438042774609E-3</v>
      </c>
      <c r="AO142" s="3"/>
      <c r="AP142">
        <v>0</v>
      </c>
      <c r="AR142" t="s">
        <v>0</v>
      </c>
      <c r="AT142" s="2" t="s">
        <v>5</v>
      </c>
      <c r="AU142" s="1">
        <f t="shared" si="21"/>
        <v>3.0385130748141105</v>
      </c>
      <c r="AV142" s="1">
        <f t="shared" si="22"/>
        <v>2.2345789975179247</v>
      </c>
      <c r="AW142" s="1">
        <f t="shared" si="23"/>
        <v>1.4306449202217391</v>
      </c>
    </row>
    <row r="143" spans="1:49" x14ac:dyDescent="0.2">
      <c r="A143">
        <v>141</v>
      </c>
      <c r="B143" t="s">
        <v>971</v>
      </c>
      <c r="C143" t="s">
        <v>970</v>
      </c>
      <c r="D143" t="s">
        <v>969</v>
      </c>
      <c r="F143" t="s">
        <v>968</v>
      </c>
      <c r="G143" t="s">
        <v>3</v>
      </c>
      <c r="H143" t="s">
        <v>2</v>
      </c>
      <c r="I143" t="s">
        <v>430</v>
      </c>
      <c r="J143" t="s">
        <v>967</v>
      </c>
      <c r="K143" t="s">
        <v>966</v>
      </c>
      <c r="L143" t="s">
        <v>965</v>
      </c>
      <c r="M143" t="s">
        <v>964</v>
      </c>
      <c r="N143">
        <v>6</v>
      </c>
      <c r="O143" t="s">
        <v>963</v>
      </c>
      <c r="P143" t="s">
        <v>962</v>
      </c>
      <c r="Q143" t="s">
        <v>961</v>
      </c>
      <c r="R143" s="7">
        <v>33508</v>
      </c>
      <c r="S143" s="8">
        <f t="shared" si="16"/>
        <v>1991</v>
      </c>
      <c r="T143" s="8">
        <v>1991</v>
      </c>
      <c r="U143" s="8">
        <f t="shared" si="17"/>
        <v>31</v>
      </c>
      <c r="V143" s="7">
        <v>33508</v>
      </c>
      <c r="W143" t="s">
        <v>228</v>
      </c>
      <c r="X143" s="2">
        <v>1.59</v>
      </c>
      <c r="Y143" s="6">
        <f t="shared" si="18"/>
        <v>4.2444141907583888E-2</v>
      </c>
      <c r="AA143">
        <v>52728</v>
      </c>
      <c r="AB143">
        <v>16791</v>
      </c>
      <c r="AD143" t="s">
        <v>1</v>
      </c>
      <c r="AE143">
        <v>1060</v>
      </c>
      <c r="AF143">
        <v>1</v>
      </c>
      <c r="AH143" t="s">
        <v>18</v>
      </c>
      <c r="AI143" t="s">
        <v>960</v>
      </c>
      <c r="AJ143" t="s">
        <v>959</v>
      </c>
      <c r="AK143" t="s">
        <v>958</v>
      </c>
      <c r="AL143">
        <v>33</v>
      </c>
      <c r="AM143" s="5">
        <f t="shared" si="19"/>
        <v>1.064516129032258</v>
      </c>
      <c r="AN143" s="4">
        <f t="shared" si="20"/>
        <v>1.6122925089470019E-3</v>
      </c>
      <c r="AO143" s="3"/>
      <c r="AP143">
        <v>0</v>
      </c>
      <c r="AQ143" t="s">
        <v>69</v>
      </c>
      <c r="AR143" t="s">
        <v>0</v>
      </c>
      <c r="AS143" t="s">
        <v>68</v>
      </c>
      <c r="AT143" s="2" t="s">
        <v>5</v>
      </c>
      <c r="AU143" s="1">
        <f t="shared" si="21"/>
        <v>3.0194587087992821</v>
      </c>
      <c r="AV143" s="1">
        <f t="shared" si="22"/>
        <v>2.2028217208265444</v>
      </c>
      <c r="AW143" s="1">
        <f t="shared" si="23"/>
        <v>1.3861847328538066</v>
      </c>
    </row>
    <row r="144" spans="1:49" x14ac:dyDescent="0.2">
      <c r="A144">
        <v>142</v>
      </c>
      <c r="B144" t="s">
        <v>957</v>
      </c>
      <c r="E144">
        <v>1935697</v>
      </c>
      <c r="F144" t="s">
        <v>956</v>
      </c>
      <c r="G144" t="s">
        <v>3</v>
      </c>
      <c r="H144" t="s">
        <v>2</v>
      </c>
      <c r="I144" t="s">
        <v>955</v>
      </c>
      <c r="J144">
        <v>60024631</v>
      </c>
      <c r="K144" t="s">
        <v>954</v>
      </c>
      <c r="L144" t="s">
        <v>953</v>
      </c>
      <c r="M144" t="s">
        <v>99</v>
      </c>
      <c r="N144">
        <v>2</v>
      </c>
      <c r="O144" t="s">
        <v>952</v>
      </c>
      <c r="P144" t="s">
        <v>951</v>
      </c>
      <c r="Q144" t="s">
        <v>950</v>
      </c>
      <c r="R144" s="7">
        <v>33497</v>
      </c>
      <c r="S144" s="8">
        <f t="shared" si="16"/>
        <v>1991</v>
      </c>
      <c r="T144" s="8">
        <v>1991</v>
      </c>
      <c r="U144" s="8">
        <f t="shared" si="17"/>
        <v>31</v>
      </c>
      <c r="V144" s="7">
        <v>1991</v>
      </c>
      <c r="W144" t="s">
        <v>949</v>
      </c>
      <c r="X144" s="2">
        <v>0.15</v>
      </c>
      <c r="Y144" s="6">
        <f t="shared" si="18"/>
        <v>4.0041643309041402E-3</v>
      </c>
      <c r="AA144">
        <v>9501991</v>
      </c>
      <c r="AB144">
        <v>14531</v>
      </c>
      <c r="AD144" t="s">
        <v>1</v>
      </c>
      <c r="AE144">
        <v>112</v>
      </c>
      <c r="AF144">
        <v>4</v>
      </c>
      <c r="AH144" t="s">
        <v>948</v>
      </c>
      <c r="AJ144" t="s">
        <v>947</v>
      </c>
      <c r="AL144">
        <v>26</v>
      </c>
      <c r="AM144" s="5">
        <f t="shared" si="19"/>
        <v>0.83870967741935487</v>
      </c>
      <c r="AN144" s="4">
        <f t="shared" si="20"/>
        <v>1.2702910676552137E-3</v>
      </c>
      <c r="AO144" s="3"/>
      <c r="AP144">
        <v>0</v>
      </c>
      <c r="AR144" t="s">
        <v>0</v>
      </c>
      <c r="AT144" s="2">
        <v>6.8680000000000003</v>
      </c>
      <c r="AU144" s="1">
        <f t="shared" si="21"/>
        <v>0.31840023519294619</v>
      </c>
      <c r="AV144" s="1">
        <f t="shared" si="22"/>
        <v>0.26372276992796767</v>
      </c>
      <c r="AW144" s="1">
        <f t="shared" si="23"/>
        <v>0.20904530466298918</v>
      </c>
    </row>
    <row r="145" spans="1:49" x14ac:dyDescent="0.2">
      <c r="A145">
        <v>143</v>
      </c>
      <c r="B145" t="s">
        <v>946</v>
      </c>
      <c r="C145" t="s">
        <v>945</v>
      </c>
      <c r="F145" t="s">
        <v>944</v>
      </c>
      <c r="G145" t="s">
        <v>3</v>
      </c>
      <c r="H145" t="s">
        <v>2</v>
      </c>
      <c r="I145" t="s">
        <v>225</v>
      </c>
      <c r="J145" t="s">
        <v>943</v>
      </c>
      <c r="K145" t="s">
        <v>942</v>
      </c>
      <c r="L145" t="s">
        <v>941</v>
      </c>
      <c r="M145" t="s">
        <v>940</v>
      </c>
      <c r="N145">
        <v>16</v>
      </c>
      <c r="O145" t="s">
        <v>939</v>
      </c>
      <c r="P145" t="s">
        <v>938</v>
      </c>
      <c r="Q145" t="s">
        <v>937</v>
      </c>
      <c r="R145" s="7">
        <v>33495</v>
      </c>
      <c r="S145" s="8">
        <f t="shared" si="16"/>
        <v>1991</v>
      </c>
      <c r="T145" s="8">
        <v>1991</v>
      </c>
      <c r="U145" s="8">
        <f t="shared" si="17"/>
        <v>31</v>
      </c>
      <c r="V145" s="7">
        <v>33495</v>
      </c>
      <c r="W145" t="s">
        <v>841</v>
      </c>
      <c r="X145" s="2" t="s">
        <v>5</v>
      </c>
      <c r="Y145" s="6" t="e">
        <f t="shared" si="18"/>
        <v>#VALUE!</v>
      </c>
      <c r="AA145">
        <v>2955075</v>
      </c>
      <c r="AB145">
        <v>27551</v>
      </c>
      <c r="AC145">
        <v>12864854</v>
      </c>
      <c r="AD145" t="s">
        <v>1</v>
      </c>
      <c r="AE145">
        <v>16</v>
      </c>
      <c r="AF145">
        <v>3</v>
      </c>
      <c r="AH145" t="s">
        <v>936</v>
      </c>
      <c r="AI145" t="s">
        <v>935</v>
      </c>
      <c r="AK145" t="s">
        <v>934</v>
      </c>
      <c r="AL145">
        <v>43</v>
      </c>
      <c r="AM145" s="5">
        <f t="shared" si="19"/>
        <v>1.3870967741935485</v>
      </c>
      <c r="AN145" s="4">
        <f t="shared" si="20"/>
        <v>2.1008659965066996E-3</v>
      </c>
      <c r="AO145" s="3"/>
      <c r="AP145">
        <v>0</v>
      </c>
      <c r="AR145" t="s">
        <v>0</v>
      </c>
      <c r="AT145" s="2">
        <v>1.9470000000000001</v>
      </c>
      <c r="AU145" s="1" t="e">
        <f t="shared" si="21"/>
        <v>#VALUE!</v>
      </c>
      <c r="AV145" s="1" t="e">
        <f t="shared" si="22"/>
        <v>#VALUE!</v>
      </c>
      <c r="AW145" s="1" t="e">
        <f t="shared" si="23"/>
        <v>#VALUE!</v>
      </c>
    </row>
    <row r="146" spans="1:49" x14ac:dyDescent="0.2">
      <c r="A146">
        <v>144</v>
      </c>
      <c r="B146" t="s">
        <v>933</v>
      </c>
      <c r="C146" t="s">
        <v>932</v>
      </c>
      <c r="D146" t="s">
        <v>931</v>
      </c>
      <c r="F146" t="s">
        <v>930</v>
      </c>
      <c r="G146" t="s">
        <v>3</v>
      </c>
      <c r="H146" t="s">
        <v>2</v>
      </c>
      <c r="I146" t="s">
        <v>929</v>
      </c>
      <c r="J146">
        <v>60008134</v>
      </c>
      <c r="K146" t="s">
        <v>72</v>
      </c>
      <c r="L146" t="s">
        <v>71</v>
      </c>
      <c r="M146" t="s">
        <v>20</v>
      </c>
      <c r="N146">
        <v>5</v>
      </c>
      <c r="O146" t="s">
        <v>928</v>
      </c>
      <c r="P146" t="s">
        <v>927</v>
      </c>
      <c r="Q146" t="s">
        <v>926</v>
      </c>
      <c r="R146" s="7">
        <v>33494</v>
      </c>
      <c r="S146" s="8">
        <f t="shared" si="16"/>
        <v>1991</v>
      </c>
      <c r="T146" s="8">
        <v>1991</v>
      </c>
      <c r="U146" s="8">
        <f t="shared" si="17"/>
        <v>31</v>
      </c>
      <c r="V146" s="7">
        <v>33494</v>
      </c>
      <c r="W146" t="s">
        <v>228</v>
      </c>
      <c r="X146" s="2">
        <v>1.59</v>
      </c>
      <c r="Y146" s="6">
        <f t="shared" si="18"/>
        <v>4.2444141907583888E-2</v>
      </c>
      <c r="AA146">
        <v>52728</v>
      </c>
      <c r="AB146">
        <v>16791</v>
      </c>
      <c r="AD146" t="s">
        <v>1</v>
      </c>
      <c r="AE146">
        <v>1059</v>
      </c>
      <c r="AF146">
        <v>3</v>
      </c>
      <c r="AH146" t="s">
        <v>925</v>
      </c>
      <c r="AI146" t="s">
        <v>924</v>
      </c>
      <c r="AJ146" t="s">
        <v>923</v>
      </c>
      <c r="AK146" t="s">
        <v>922</v>
      </c>
      <c r="AL146">
        <v>26</v>
      </c>
      <c r="AM146" s="5">
        <f t="shared" si="19"/>
        <v>0.83870967741935487</v>
      </c>
      <c r="AN146" s="4">
        <f t="shared" si="20"/>
        <v>1.2702910676552137E-3</v>
      </c>
      <c r="AO146" s="3"/>
      <c r="AP146">
        <v>0</v>
      </c>
      <c r="AR146" t="s">
        <v>0</v>
      </c>
      <c r="AT146" s="2" t="s">
        <v>5</v>
      </c>
      <c r="AU146" s="1">
        <f t="shared" si="21"/>
        <v>3.0091986655605285</v>
      </c>
      <c r="AV146" s="1">
        <f t="shared" si="22"/>
        <v>2.1857216487619553</v>
      </c>
      <c r="AW146" s="1">
        <f t="shared" si="23"/>
        <v>1.3622446319633814</v>
      </c>
    </row>
    <row r="147" spans="1:49" x14ac:dyDescent="0.2">
      <c r="A147">
        <v>145</v>
      </c>
      <c r="B147" t="s">
        <v>921</v>
      </c>
      <c r="C147" t="s">
        <v>920</v>
      </c>
      <c r="D147" t="s">
        <v>919</v>
      </c>
      <c r="F147" t="s">
        <v>918</v>
      </c>
      <c r="G147" t="s">
        <v>3</v>
      </c>
      <c r="H147" t="s">
        <v>2</v>
      </c>
      <c r="I147" t="s">
        <v>917</v>
      </c>
      <c r="J147" t="s">
        <v>913</v>
      </c>
      <c r="K147" t="s">
        <v>916</v>
      </c>
      <c r="L147" t="s">
        <v>161</v>
      </c>
      <c r="M147" t="s">
        <v>59</v>
      </c>
      <c r="N147">
        <v>2</v>
      </c>
      <c r="O147" t="s">
        <v>915</v>
      </c>
      <c r="P147" t="s">
        <v>914</v>
      </c>
      <c r="Q147" t="s">
        <v>913</v>
      </c>
      <c r="R147" s="7">
        <v>33494</v>
      </c>
      <c r="S147" s="8">
        <f t="shared" si="16"/>
        <v>1991</v>
      </c>
      <c r="T147" s="8">
        <v>1991</v>
      </c>
      <c r="U147" s="8">
        <f t="shared" si="17"/>
        <v>31</v>
      </c>
      <c r="V147" s="7">
        <v>33494</v>
      </c>
      <c r="W147" t="s">
        <v>228</v>
      </c>
      <c r="X147" s="2">
        <v>1.59</v>
      </c>
      <c r="Y147" s="6">
        <f t="shared" si="18"/>
        <v>4.2444141907583888E-2</v>
      </c>
      <c r="AA147">
        <v>52728</v>
      </c>
      <c r="AB147">
        <v>16791</v>
      </c>
      <c r="AD147" t="s">
        <v>1</v>
      </c>
      <c r="AE147">
        <v>1059</v>
      </c>
      <c r="AF147">
        <v>3</v>
      </c>
      <c r="AH147" t="s">
        <v>912</v>
      </c>
      <c r="AI147" t="s">
        <v>911</v>
      </c>
      <c r="AJ147" t="s">
        <v>910</v>
      </c>
      <c r="AK147" t="s">
        <v>909</v>
      </c>
      <c r="AL147">
        <v>7</v>
      </c>
      <c r="AM147" s="5">
        <f t="shared" si="19"/>
        <v>0.22580645161290322</v>
      </c>
      <c r="AN147" s="4">
        <f t="shared" si="20"/>
        <v>3.420014412917883E-4</v>
      </c>
      <c r="AO147" s="3"/>
      <c r="AP147">
        <v>0</v>
      </c>
      <c r="AR147" t="s">
        <v>0</v>
      </c>
      <c r="AT147" s="2" t="s">
        <v>5</v>
      </c>
      <c r="AU147" s="1">
        <f t="shared" si="21"/>
        <v>2.9813499767696259</v>
      </c>
      <c r="AV147" s="1">
        <f t="shared" si="22"/>
        <v>2.1393071674437838</v>
      </c>
      <c r="AW147" s="1">
        <f t="shared" si="23"/>
        <v>1.2972643581179417</v>
      </c>
    </row>
    <row r="148" spans="1:49" x14ac:dyDescent="0.2">
      <c r="A148">
        <v>146</v>
      </c>
      <c r="B148" t="s">
        <v>908</v>
      </c>
      <c r="C148" t="s">
        <v>907</v>
      </c>
      <c r="F148" t="s">
        <v>906</v>
      </c>
      <c r="G148" t="s">
        <v>3</v>
      </c>
      <c r="H148" t="s">
        <v>2</v>
      </c>
      <c r="I148" t="s">
        <v>905</v>
      </c>
      <c r="J148">
        <v>60029284</v>
      </c>
      <c r="K148" t="s">
        <v>904</v>
      </c>
      <c r="L148" t="s">
        <v>903</v>
      </c>
      <c r="M148" t="s">
        <v>78</v>
      </c>
      <c r="N148">
        <v>2</v>
      </c>
      <c r="O148" t="s">
        <v>902</v>
      </c>
      <c r="P148" t="s">
        <v>901</v>
      </c>
      <c r="Q148" t="s">
        <v>900</v>
      </c>
      <c r="R148" s="7">
        <v>33493</v>
      </c>
      <c r="S148" s="8">
        <f t="shared" si="16"/>
        <v>1991</v>
      </c>
      <c r="T148" s="8">
        <v>1991</v>
      </c>
      <c r="U148" s="8">
        <f t="shared" si="17"/>
        <v>31</v>
      </c>
      <c r="V148" s="7">
        <v>33493</v>
      </c>
      <c r="W148" t="s">
        <v>48</v>
      </c>
      <c r="X148" s="2">
        <v>0.375</v>
      </c>
      <c r="Y148" s="6">
        <f t="shared" si="18"/>
        <v>1.0010410827260351E-2</v>
      </c>
      <c r="AA148">
        <v>135194</v>
      </c>
      <c r="AB148">
        <v>24918</v>
      </c>
      <c r="AD148" t="s">
        <v>1</v>
      </c>
      <c r="AE148">
        <v>27</v>
      </c>
      <c r="AF148">
        <v>20</v>
      </c>
      <c r="AH148" t="s">
        <v>899</v>
      </c>
      <c r="AI148" t="s">
        <v>898</v>
      </c>
      <c r="AJ148" t="s">
        <v>664</v>
      </c>
      <c r="AK148" t="s">
        <v>897</v>
      </c>
      <c r="AL148">
        <v>10</v>
      </c>
      <c r="AM148" s="5">
        <f t="shared" si="19"/>
        <v>0.32258064516129031</v>
      </c>
      <c r="AN148" s="4">
        <f t="shared" si="20"/>
        <v>4.8857348755969754E-4</v>
      </c>
      <c r="AO148" s="3"/>
      <c r="AP148">
        <v>0</v>
      </c>
      <c r="AR148" t="s">
        <v>0</v>
      </c>
      <c r="AT148" s="2">
        <v>1.3140000000000001</v>
      </c>
      <c r="AU148" s="1">
        <f t="shared" si="21"/>
        <v>0.71538596253501552</v>
      </c>
      <c r="AV148" s="1">
        <f t="shared" si="22"/>
        <v>0.52494921574100251</v>
      </c>
      <c r="AW148" s="1">
        <f t="shared" si="23"/>
        <v>0.33451246894698933</v>
      </c>
    </row>
    <row r="149" spans="1:49" x14ac:dyDescent="0.2">
      <c r="A149">
        <v>147</v>
      </c>
      <c r="B149" t="s">
        <v>896</v>
      </c>
      <c r="C149" t="s">
        <v>895</v>
      </c>
      <c r="F149" t="s">
        <v>894</v>
      </c>
      <c r="G149" t="s">
        <v>3</v>
      </c>
      <c r="H149" t="s">
        <v>2</v>
      </c>
      <c r="I149" t="s">
        <v>893</v>
      </c>
      <c r="J149">
        <v>60009658</v>
      </c>
      <c r="K149" t="s">
        <v>142</v>
      </c>
      <c r="L149" t="s">
        <v>141</v>
      </c>
      <c r="M149" t="s">
        <v>10</v>
      </c>
      <c r="N149">
        <v>3</v>
      </c>
      <c r="O149" t="s">
        <v>892</v>
      </c>
      <c r="P149" t="s">
        <v>891</v>
      </c>
      <c r="Q149" t="s">
        <v>890</v>
      </c>
      <c r="R149" s="7">
        <v>33493</v>
      </c>
      <c r="S149" s="8">
        <f t="shared" si="16"/>
        <v>1991</v>
      </c>
      <c r="T149" s="8">
        <v>1991</v>
      </c>
      <c r="U149" s="8">
        <f t="shared" si="17"/>
        <v>31</v>
      </c>
      <c r="V149" s="7">
        <v>33493</v>
      </c>
      <c r="W149" t="s">
        <v>48</v>
      </c>
      <c r="X149" s="2">
        <v>0.375</v>
      </c>
      <c r="Y149" s="6">
        <f t="shared" si="18"/>
        <v>1.0010410827260351E-2</v>
      </c>
      <c r="AA149">
        <v>135194</v>
      </c>
      <c r="AB149">
        <v>24918</v>
      </c>
      <c r="AD149" t="s">
        <v>1</v>
      </c>
      <c r="AE149">
        <v>27</v>
      </c>
      <c r="AF149">
        <v>20</v>
      </c>
      <c r="AH149" t="s">
        <v>889</v>
      </c>
      <c r="AI149" t="s">
        <v>888</v>
      </c>
      <c r="AJ149" t="s">
        <v>887</v>
      </c>
      <c r="AK149" t="s">
        <v>886</v>
      </c>
      <c r="AL149">
        <v>25</v>
      </c>
      <c r="AM149" s="5">
        <f t="shared" si="19"/>
        <v>0.80645161290322576</v>
      </c>
      <c r="AN149" s="4">
        <f t="shared" si="20"/>
        <v>1.2214337188992438E-3</v>
      </c>
      <c r="AO149" s="3"/>
      <c r="AP149">
        <v>0</v>
      </c>
      <c r="AR149" t="s">
        <v>0</v>
      </c>
      <c r="AT149" s="2">
        <v>1.3140000000000001</v>
      </c>
      <c r="AU149" s="1">
        <f t="shared" si="21"/>
        <v>0.73737176947520189</v>
      </c>
      <c r="AV149" s="1">
        <f t="shared" si="22"/>
        <v>0.56159222730797975</v>
      </c>
      <c r="AW149" s="1">
        <f t="shared" si="23"/>
        <v>0.38581268514075756</v>
      </c>
    </row>
    <row r="150" spans="1:49" x14ac:dyDescent="0.2">
      <c r="A150">
        <v>148</v>
      </c>
      <c r="B150" t="s">
        <v>885</v>
      </c>
      <c r="C150" t="s">
        <v>884</v>
      </c>
      <c r="F150" t="s">
        <v>883</v>
      </c>
      <c r="G150" t="s">
        <v>3</v>
      </c>
      <c r="H150" t="s">
        <v>2</v>
      </c>
      <c r="I150" t="s">
        <v>140</v>
      </c>
      <c r="J150" t="s">
        <v>882</v>
      </c>
      <c r="K150" t="s">
        <v>881</v>
      </c>
      <c r="L150" t="s">
        <v>880</v>
      </c>
      <c r="M150" t="s">
        <v>189</v>
      </c>
      <c r="N150">
        <v>3</v>
      </c>
      <c r="O150" t="s">
        <v>879</v>
      </c>
      <c r="P150" t="s">
        <v>878</v>
      </c>
      <c r="Q150" t="s">
        <v>877</v>
      </c>
      <c r="R150" s="7">
        <v>33493</v>
      </c>
      <c r="S150" s="8">
        <f t="shared" si="16"/>
        <v>1991</v>
      </c>
      <c r="T150" s="8">
        <v>1991</v>
      </c>
      <c r="U150" s="8">
        <f t="shared" si="17"/>
        <v>31</v>
      </c>
      <c r="V150" s="7">
        <v>33493</v>
      </c>
      <c r="W150" t="s">
        <v>48</v>
      </c>
      <c r="X150" s="2">
        <v>0.375</v>
      </c>
      <c r="Y150" s="6">
        <f t="shared" si="18"/>
        <v>1.0010410827260351E-2</v>
      </c>
      <c r="AA150">
        <v>135194</v>
      </c>
      <c r="AB150">
        <v>24918</v>
      </c>
      <c r="AD150" t="s">
        <v>1</v>
      </c>
      <c r="AE150">
        <v>27</v>
      </c>
      <c r="AF150">
        <v>2</v>
      </c>
      <c r="AH150" t="s">
        <v>876</v>
      </c>
      <c r="AI150" t="s">
        <v>875</v>
      </c>
      <c r="AJ150" t="s">
        <v>212</v>
      </c>
      <c r="AK150" t="s">
        <v>874</v>
      </c>
      <c r="AL150">
        <v>10</v>
      </c>
      <c r="AM150" s="5">
        <f t="shared" si="19"/>
        <v>0.32258064516129031</v>
      </c>
      <c r="AN150" s="4">
        <f t="shared" si="20"/>
        <v>4.8857348755969754E-4</v>
      </c>
      <c r="AO150" s="3"/>
      <c r="AP150">
        <v>0</v>
      </c>
      <c r="AR150" t="s">
        <v>0</v>
      </c>
      <c r="AT150" s="2">
        <v>1.3140000000000001</v>
      </c>
      <c r="AU150" s="1">
        <f t="shared" si="21"/>
        <v>0.71538596253501552</v>
      </c>
      <c r="AV150" s="1">
        <f t="shared" si="22"/>
        <v>0.52494921574100251</v>
      </c>
      <c r="AW150" s="1">
        <f t="shared" si="23"/>
        <v>0.33451246894698933</v>
      </c>
    </row>
    <row r="151" spans="1:49" x14ac:dyDescent="0.2">
      <c r="A151">
        <v>149</v>
      </c>
      <c r="B151" t="s">
        <v>873</v>
      </c>
      <c r="C151" t="s">
        <v>872</v>
      </c>
      <c r="F151" t="s">
        <v>871</v>
      </c>
      <c r="G151" t="s">
        <v>3</v>
      </c>
      <c r="H151" t="s">
        <v>2</v>
      </c>
      <c r="I151" t="s">
        <v>870</v>
      </c>
      <c r="J151">
        <v>60008435</v>
      </c>
      <c r="K151" t="s">
        <v>123</v>
      </c>
      <c r="L151" t="s">
        <v>122</v>
      </c>
      <c r="M151" t="s">
        <v>26</v>
      </c>
      <c r="N151">
        <v>5</v>
      </c>
      <c r="O151" t="s">
        <v>869</v>
      </c>
      <c r="P151" t="s">
        <v>868</v>
      </c>
      <c r="Q151" t="s">
        <v>867</v>
      </c>
      <c r="R151" s="7">
        <v>33493</v>
      </c>
      <c r="S151" s="8">
        <f t="shared" si="16"/>
        <v>1991</v>
      </c>
      <c r="T151" s="8">
        <v>1991</v>
      </c>
      <c r="U151" s="8">
        <f t="shared" si="17"/>
        <v>31</v>
      </c>
      <c r="V151" s="7">
        <v>33493</v>
      </c>
      <c r="W151" t="s">
        <v>48</v>
      </c>
      <c r="X151" s="2">
        <v>0.375</v>
      </c>
      <c r="Y151" s="6">
        <f t="shared" si="18"/>
        <v>1.0010410827260351E-2</v>
      </c>
      <c r="AA151">
        <v>135194</v>
      </c>
      <c r="AB151">
        <v>24918</v>
      </c>
      <c r="AD151" t="s">
        <v>1</v>
      </c>
      <c r="AE151">
        <v>27</v>
      </c>
      <c r="AF151">
        <v>2</v>
      </c>
      <c r="AH151" t="s">
        <v>866</v>
      </c>
      <c r="AI151" t="s">
        <v>865</v>
      </c>
      <c r="AJ151" t="s">
        <v>222</v>
      </c>
      <c r="AK151" t="s">
        <v>864</v>
      </c>
      <c r="AL151">
        <v>21</v>
      </c>
      <c r="AM151" s="5">
        <f t="shared" si="19"/>
        <v>0.67741935483870963</v>
      </c>
      <c r="AN151" s="4">
        <f t="shared" si="20"/>
        <v>1.0260043238753647E-3</v>
      </c>
      <c r="AO151" s="3"/>
      <c r="AP151">
        <v>0</v>
      </c>
      <c r="AR151" t="s">
        <v>0</v>
      </c>
      <c r="AT151" s="2">
        <v>1.3140000000000001</v>
      </c>
      <c r="AU151" s="1">
        <f t="shared" si="21"/>
        <v>0.73150888762448552</v>
      </c>
      <c r="AV151" s="1">
        <f t="shared" si="22"/>
        <v>0.55182075755678583</v>
      </c>
      <c r="AW151" s="1">
        <f t="shared" si="23"/>
        <v>0.37213262748908604</v>
      </c>
    </row>
    <row r="152" spans="1:49" x14ac:dyDescent="0.2">
      <c r="A152">
        <v>150</v>
      </c>
      <c r="B152" t="s">
        <v>863</v>
      </c>
      <c r="C152" t="s">
        <v>862</v>
      </c>
      <c r="F152" t="s">
        <v>861</v>
      </c>
      <c r="G152" t="s">
        <v>3</v>
      </c>
      <c r="H152" t="s">
        <v>2</v>
      </c>
      <c r="I152" t="s">
        <v>860</v>
      </c>
      <c r="J152" t="s">
        <v>859</v>
      </c>
      <c r="K152" t="s">
        <v>858</v>
      </c>
      <c r="L152" t="s">
        <v>857</v>
      </c>
      <c r="M152" t="s">
        <v>856</v>
      </c>
      <c r="N152">
        <v>3</v>
      </c>
      <c r="O152" t="s">
        <v>855</v>
      </c>
      <c r="P152" t="s">
        <v>854</v>
      </c>
      <c r="Q152" t="s">
        <v>853</v>
      </c>
      <c r="R152" s="7">
        <v>33491</v>
      </c>
      <c r="S152" s="8">
        <f t="shared" si="16"/>
        <v>1991</v>
      </c>
      <c r="T152" s="8">
        <v>1991</v>
      </c>
      <c r="U152" s="8">
        <f t="shared" si="17"/>
        <v>31</v>
      </c>
      <c r="V152" s="7">
        <v>33491</v>
      </c>
      <c r="W152" t="s">
        <v>259</v>
      </c>
      <c r="X152" s="2">
        <v>2.3759999999999999</v>
      </c>
      <c r="Y152" s="6">
        <f t="shared" si="18"/>
        <v>6.3425963001521576E-2</v>
      </c>
      <c r="AA152" t="s">
        <v>258</v>
      </c>
      <c r="AB152">
        <v>26765</v>
      </c>
      <c r="AC152">
        <v>15384357</v>
      </c>
      <c r="AD152" t="s">
        <v>1</v>
      </c>
      <c r="AE152">
        <v>378</v>
      </c>
      <c r="AF152">
        <v>2</v>
      </c>
      <c r="AH152" t="s">
        <v>852</v>
      </c>
      <c r="AI152" t="s">
        <v>851</v>
      </c>
      <c r="AJ152" t="s">
        <v>850</v>
      </c>
      <c r="AK152" t="s">
        <v>849</v>
      </c>
      <c r="AL152">
        <v>31</v>
      </c>
      <c r="AM152" s="5">
        <f t="shared" si="19"/>
        <v>1</v>
      </c>
      <c r="AN152" s="4">
        <f t="shared" si="20"/>
        <v>1.5145778114350624E-3</v>
      </c>
      <c r="AO152" s="3"/>
      <c r="AP152">
        <v>0</v>
      </c>
      <c r="AR152" t="s">
        <v>0</v>
      </c>
      <c r="AT152" s="2">
        <v>5.8739999999999997</v>
      </c>
      <c r="AU152" s="1">
        <f t="shared" si="21"/>
        <v>4.4852547444495618</v>
      </c>
      <c r="AV152" s="1">
        <f t="shared" si="22"/>
        <v>3.2470270406478319</v>
      </c>
      <c r="AW152" s="1">
        <f t="shared" si="23"/>
        <v>2.0087993368461019</v>
      </c>
    </row>
    <row r="153" spans="1:49" x14ac:dyDescent="0.2">
      <c r="A153">
        <v>151</v>
      </c>
      <c r="B153" t="s">
        <v>848</v>
      </c>
      <c r="C153" t="s">
        <v>847</v>
      </c>
      <c r="F153" t="s">
        <v>846</v>
      </c>
      <c r="G153" t="s">
        <v>3</v>
      </c>
      <c r="H153" t="s">
        <v>2</v>
      </c>
      <c r="I153" t="s">
        <v>845</v>
      </c>
      <c r="J153">
        <v>60007061</v>
      </c>
      <c r="K153" t="s">
        <v>844</v>
      </c>
      <c r="L153" t="s">
        <v>843</v>
      </c>
      <c r="M153" t="s">
        <v>30</v>
      </c>
      <c r="N153">
        <v>1</v>
      </c>
      <c r="O153" t="s">
        <v>842</v>
      </c>
      <c r="P153">
        <v>56236475400</v>
      </c>
      <c r="Q153">
        <v>60007061</v>
      </c>
      <c r="R153" s="7">
        <v>33482</v>
      </c>
      <c r="S153" s="8">
        <f t="shared" si="16"/>
        <v>1991</v>
      </c>
      <c r="T153" s="8">
        <v>1991</v>
      </c>
      <c r="U153" s="8">
        <f t="shared" si="17"/>
        <v>31</v>
      </c>
      <c r="V153" s="7">
        <v>33482</v>
      </c>
      <c r="W153" t="s">
        <v>841</v>
      </c>
      <c r="X153" s="2" t="s">
        <v>5</v>
      </c>
      <c r="Y153" s="6" t="e">
        <f t="shared" si="18"/>
        <v>#VALUE!</v>
      </c>
      <c r="AA153">
        <v>2955075</v>
      </c>
      <c r="AB153">
        <v>27551</v>
      </c>
      <c r="AC153">
        <v>12864854</v>
      </c>
      <c r="AD153" t="s">
        <v>1</v>
      </c>
      <c r="AE153">
        <v>16</v>
      </c>
      <c r="AF153">
        <v>1</v>
      </c>
      <c r="AH153" t="s">
        <v>840</v>
      </c>
      <c r="AI153" t="s">
        <v>839</v>
      </c>
      <c r="AK153" t="s">
        <v>838</v>
      </c>
      <c r="AL153">
        <v>0</v>
      </c>
      <c r="AM153" s="5">
        <f t="shared" si="19"/>
        <v>0</v>
      </c>
      <c r="AN153" s="4">
        <f t="shared" si="20"/>
        <v>0</v>
      </c>
      <c r="AO153" s="3"/>
      <c r="AP153">
        <v>0</v>
      </c>
      <c r="AR153" t="s">
        <v>0</v>
      </c>
      <c r="AT153" s="2">
        <v>1.9470000000000001</v>
      </c>
      <c r="AU153" s="1" t="e">
        <f t="shared" si="21"/>
        <v>#VALUE!</v>
      </c>
      <c r="AV153" s="1" t="e">
        <f t="shared" si="22"/>
        <v>#VALUE!</v>
      </c>
      <c r="AW153" s="1" t="e">
        <f t="shared" si="23"/>
        <v>#VALUE!</v>
      </c>
    </row>
    <row r="154" spans="1:49" x14ac:dyDescent="0.2">
      <c r="A154">
        <v>152</v>
      </c>
      <c r="B154" t="s">
        <v>837</v>
      </c>
      <c r="C154" t="s">
        <v>836</v>
      </c>
      <c r="F154" t="s">
        <v>835</v>
      </c>
      <c r="G154" t="s">
        <v>3</v>
      </c>
      <c r="H154" t="s">
        <v>2</v>
      </c>
      <c r="I154" t="s">
        <v>442</v>
      </c>
      <c r="J154" t="s">
        <v>834</v>
      </c>
      <c r="K154" t="s">
        <v>833</v>
      </c>
      <c r="L154" t="s">
        <v>832</v>
      </c>
      <c r="M154" t="s">
        <v>831</v>
      </c>
      <c r="N154">
        <v>2</v>
      </c>
      <c r="O154" t="s">
        <v>830</v>
      </c>
      <c r="P154" t="s">
        <v>829</v>
      </c>
      <c r="Q154" t="s">
        <v>828</v>
      </c>
      <c r="R154" s="7">
        <v>33482</v>
      </c>
      <c r="S154" s="8">
        <f t="shared" si="16"/>
        <v>1991</v>
      </c>
      <c r="T154" s="8">
        <v>1991</v>
      </c>
      <c r="U154" s="8">
        <f t="shared" si="17"/>
        <v>31</v>
      </c>
      <c r="V154" s="7">
        <v>33482</v>
      </c>
      <c r="W154" t="s">
        <v>28</v>
      </c>
      <c r="X154" s="2">
        <v>1.1579999999999999</v>
      </c>
      <c r="Y154" s="6">
        <f t="shared" si="18"/>
        <v>3.0912148634579962E-2</v>
      </c>
      <c r="AA154">
        <v>1668595</v>
      </c>
      <c r="AB154">
        <v>14223</v>
      </c>
      <c r="AC154">
        <v>15735079</v>
      </c>
      <c r="AD154" t="s">
        <v>1</v>
      </c>
      <c r="AE154">
        <v>29</v>
      </c>
      <c r="AF154">
        <v>3</v>
      </c>
      <c r="AH154" t="s">
        <v>827</v>
      </c>
      <c r="AI154" t="s">
        <v>826</v>
      </c>
      <c r="AJ154" t="s">
        <v>825</v>
      </c>
      <c r="AK154" t="s">
        <v>824</v>
      </c>
      <c r="AL154">
        <v>14</v>
      </c>
      <c r="AM154" s="5">
        <f t="shared" si="19"/>
        <v>0.45161290322580644</v>
      </c>
      <c r="AN154" s="4">
        <f t="shared" si="20"/>
        <v>6.840028825835766E-4</v>
      </c>
      <c r="AO154" s="3"/>
      <c r="AP154">
        <v>0</v>
      </c>
      <c r="AR154" t="s">
        <v>0</v>
      </c>
      <c r="AT154" s="2">
        <v>3.573</v>
      </c>
      <c r="AU154" s="1">
        <f t="shared" si="21"/>
        <v>2.1843704908981043</v>
      </c>
      <c r="AV154" s="1">
        <f t="shared" si="22"/>
        <v>1.5798075758581769</v>
      </c>
      <c r="AW154" s="1">
        <f t="shared" si="23"/>
        <v>0.97524466081824923</v>
      </c>
    </row>
    <row r="155" spans="1:49" x14ac:dyDescent="0.2">
      <c r="A155">
        <v>153</v>
      </c>
      <c r="B155" t="s">
        <v>823</v>
      </c>
      <c r="C155" t="s">
        <v>822</v>
      </c>
      <c r="F155" t="s">
        <v>821</v>
      </c>
      <c r="G155" t="s">
        <v>3</v>
      </c>
      <c r="H155" t="s">
        <v>2</v>
      </c>
      <c r="I155" t="s">
        <v>820</v>
      </c>
      <c r="J155" t="s">
        <v>694</v>
      </c>
      <c r="K155" t="s">
        <v>693</v>
      </c>
      <c r="L155" t="s">
        <v>692</v>
      </c>
      <c r="M155" t="s">
        <v>691</v>
      </c>
      <c r="N155">
        <v>3</v>
      </c>
      <c r="O155" t="s">
        <v>819</v>
      </c>
      <c r="P155" t="s">
        <v>818</v>
      </c>
      <c r="Q155" t="s">
        <v>817</v>
      </c>
      <c r="R155" s="7">
        <v>33482</v>
      </c>
      <c r="S155" s="8">
        <f t="shared" si="16"/>
        <v>1991</v>
      </c>
      <c r="T155" s="8">
        <v>1991</v>
      </c>
      <c r="U155" s="8">
        <f t="shared" si="17"/>
        <v>31</v>
      </c>
      <c r="V155" s="7">
        <v>33482</v>
      </c>
      <c r="W155" t="s">
        <v>687</v>
      </c>
      <c r="X155" s="2">
        <v>0.8</v>
      </c>
      <c r="Y155" s="6">
        <f t="shared" si="18"/>
        <v>2.1355543098155415E-2</v>
      </c>
      <c r="AA155">
        <v>3407594</v>
      </c>
      <c r="AB155">
        <v>23456</v>
      </c>
      <c r="AC155">
        <v>14321351</v>
      </c>
      <c r="AD155" t="s">
        <v>1</v>
      </c>
      <c r="AE155">
        <v>169</v>
      </c>
      <c r="AF155">
        <v>3</v>
      </c>
      <c r="AH155" t="s">
        <v>816</v>
      </c>
      <c r="AI155" t="s">
        <v>815</v>
      </c>
      <c r="AJ155" t="s">
        <v>814</v>
      </c>
      <c r="AK155" t="s">
        <v>813</v>
      </c>
      <c r="AL155">
        <v>72</v>
      </c>
      <c r="AM155" s="5">
        <f t="shared" si="19"/>
        <v>2.3225806451612905</v>
      </c>
      <c r="AN155" s="4">
        <f t="shared" si="20"/>
        <v>3.5177291104298227E-3</v>
      </c>
      <c r="AO155" s="3"/>
      <c r="AP155">
        <v>0</v>
      </c>
      <c r="AR155" t="s">
        <v>0</v>
      </c>
      <c r="AT155" s="2" t="s">
        <v>5</v>
      </c>
      <c r="AU155" s="1">
        <f t="shared" si="21"/>
        <v>1.6004198901837736</v>
      </c>
      <c r="AV155" s="1">
        <f t="shared" si="22"/>
        <v>1.243663610429262</v>
      </c>
      <c r="AW155" s="1">
        <f t="shared" si="23"/>
        <v>0.88690733067475003</v>
      </c>
    </row>
    <row r="156" spans="1:49" x14ac:dyDescent="0.2">
      <c r="A156">
        <v>154</v>
      </c>
      <c r="B156" t="s">
        <v>812</v>
      </c>
      <c r="F156" t="s">
        <v>811</v>
      </c>
      <c r="G156" t="s">
        <v>3</v>
      </c>
      <c r="H156" t="s">
        <v>2</v>
      </c>
      <c r="I156" t="s">
        <v>810</v>
      </c>
      <c r="J156">
        <v>60023147</v>
      </c>
      <c r="K156" t="s">
        <v>809</v>
      </c>
      <c r="L156" t="s">
        <v>808</v>
      </c>
      <c r="M156" t="s">
        <v>26</v>
      </c>
      <c r="N156">
        <v>4</v>
      </c>
      <c r="O156" t="s">
        <v>807</v>
      </c>
      <c r="P156" t="s">
        <v>806</v>
      </c>
      <c r="Q156" t="s">
        <v>805</v>
      </c>
      <c r="R156" s="7">
        <v>33482</v>
      </c>
      <c r="S156" s="8">
        <f t="shared" si="16"/>
        <v>1991</v>
      </c>
      <c r="T156" s="8">
        <v>1991</v>
      </c>
      <c r="U156" s="8">
        <f t="shared" si="17"/>
        <v>31</v>
      </c>
      <c r="V156" s="7">
        <v>33482</v>
      </c>
      <c r="W156" t="s">
        <v>197</v>
      </c>
      <c r="X156" s="2">
        <v>1.9750000000000001</v>
      </c>
      <c r="Y156" s="6">
        <f t="shared" si="18"/>
        <v>5.2721497023571186E-2</v>
      </c>
      <c r="AA156">
        <v>320781</v>
      </c>
      <c r="AB156">
        <v>19019</v>
      </c>
      <c r="AD156" t="s">
        <v>1</v>
      </c>
      <c r="AE156">
        <v>32</v>
      </c>
      <c r="AF156">
        <v>6</v>
      </c>
      <c r="AH156" t="s">
        <v>804</v>
      </c>
      <c r="AI156" t="s">
        <v>803</v>
      </c>
      <c r="AJ156" t="s">
        <v>802</v>
      </c>
      <c r="AK156" t="s">
        <v>801</v>
      </c>
      <c r="AL156">
        <v>11</v>
      </c>
      <c r="AM156" s="5">
        <f t="shared" si="19"/>
        <v>0.35483870967741937</v>
      </c>
      <c r="AN156" s="4">
        <f t="shared" si="20"/>
        <v>5.3743083631566731E-4</v>
      </c>
      <c r="AO156" s="3"/>
      <c r="AP156">
        <v>0</v>
      </c>
      <c r="AR156" t="s">
        <v>0</v>
      </c>
      <c r="AT156" s="2">
        <v>4.9269999999999996</v>
      </c>
      <c r="AU156" s="1">
        <f t="shared" si="21"/>
        <v>3.7066277167394532</v>
      </c>
      <c r="AV156" s="1">
        <f t="shared" si="22"/>
        <v>2.6629463929943427</v>
      </c>
      <c r="AW156" s="1">
        <f t="shared" si="23"/>
        <v>1.6192650692492323</v>
      </c>
    </row>
    <row r="157" spans="1:49" x14ac:dyDescent="0.2">
      <c r="A157">
        <v>155</v>
      </c>
      <c r="B157" t="s">
        <v>800</v>
      </c>
      <c r="F157" t="s">
        <v>799</v>
      </c>
      <c r="G157" t="s">
        <v>3</v>
      </c>
      <c r="H157" t="s">
        <v>2</v>
      </c>
      <c r="I157" t="s">
        <v>798</v>
      </c>
      <c r="N157">
        <v>2</v>
      </c>
      <c r="O157" t="s">
        <v>797</v>
      </c>
      <c r="P157" t="s">
        <v>796</v>
      </c>
      <c r="Q157" t="s">
        <v>51</v>
      </c>
      <c r="R157" s="7">
        <v>33482</v>
      </c>
      <c r="S157" s="8">
        <f t="shared" si="16"/>
        <v>1991</v>
      </c>
      <c r="T157" s="8">
        <v>1991</v>
      </c>
      <c r="U157" s="8">
        <f t="shared" si="17"/>
        <v>31</v>
      </c>
      <c r="V157" s="7">
        <v>33482</v>
      </c>
      <c r="W157" t="s">
        <v>96</v>
      </c>
      <c r="X157" s="2">
        <v>0.14099999999999999</v>
      </c>
      <c r="Y157" s="6">
        <f t="shared" si="18"/>
        <v>3.7639144710498915E-3</v>
      </c>
      <c r="AA157">
        <v>402508</v>
      </c>
      <c r="AB157">
        <v>20868</v>
      </c>
      <c r="AD157" t="s">
        <v>1</v>
      </c>
      <c r="AE157">
        <v>46</v>
      </c>
      <c r="AF157">
        <v>9</v>
      </c>
      <c r="AH157" t="s">
        <v>795</v>
      </c>
      <c r="AI157" t="s">
        <v>794</v>
      </c>
      <c r="AK157" t="s">
        <v>793</v>
      </c>
      <c r="AL157">
        <v>0</v>
      </c>
      <c r="AM157" s="5">
        <f t="shared" si="19"/>
        <v>0</v>
      </c>
      <c r="AN157" s="4">
        <f t="shared" si="20"/>
        <v>0</v>
      </c>
      <c r="AO157" s="3"/>
      <c r="AP157">
        <v>0</v>
      </c>
      <c r="AR157" t="s">
        <v>0</v>
      </c>
      <c r="AT157" s="2" t="s">
        <v>5</v>
      </c>
      <c r="AU157" s="1">
        <f t="shared" si="21"/>
        <v>0.26347401297349238</v>
      </c>
      <c r="AV157" s="1">
        <f t="shared" si="22"/>
        <v>0.18819572355249459</v>
      </c>
      <c r="AW157" s="1">
        <f t="shared" si="23"/>
        <v>0.11291743413149673</v>
      </c>
    </row>
    <row r="158" spans="1:49" x14ac:dyDescent="0.2">
      <c r="A158">
        <v>156</v>
      </c>
      <c r="B158" t="s">
        <v>792</v>
      </c>
      <c r="F158" t="s">
        <v>791</v>
      </c>
      <c r="G158" t="s">
        <v>3</v>
      </c>
      <c r="H158" t="s">
        <v>2</v>
      </c>
      <c r="I158" t="s">
        <v>790</v>
      </c>
      <c r="N158">
        <v>3</v>
      </c>
      <c r="O158" t="s">
        <v>789</v>
      </c>
      <c r="P158" t="s">
        <v>788</v>
      </c>
      <c r="Q158" t="s">
        <v>54</v>
      </c>
      <c r="R158" s="7">
        <v>33482</v>
      </c>
      <c r="S158" s="8">
        <f t="shared" si="16"/>
        <v>1991</v>
      </c>
      <c r="T158" s="8">
        <v>1991</v>
      </c>
      <c r="U158" s="8">
        <f t="shared" si="17"/>
        <v>31</v>
      </c>
      <c r="V158" s="7">
        <v>33482</v>
      </c>
      <c r="W158" t="s">
        <v>96</v>
      </c>
      <c r="X158" s="2">
        <v>0.14099999999999999</v>
      </c>
      <c r="Y158" s="6">
        <f t="shared" si="18"/>
        <v>3.7639144710498915E-3</v>
      </c>
      <c r="AA158">
        <v>402508</v>
      </c>
      <c r="AB158">
        <v>20868</v>
      </c>
      <c r="AD158" t="s">
        <v>1</v>
      </c>
      <c r="AE158">
        <v>46</v>
      </c>
      <c r="AF158">
        <v>9</v>
      </c>
      <c r="AH158" t="s">
        <v>121</v>
      </c>
      <c r="AI158" t="s">
        <v>787</v>
      </c>
      <c r="AK158" t="s">
        <v>786</v>
      </c>
      <c r="AL158">
        <v>0</v>
      </c>
      <c r="AM158" s="5">
        <f t="shared" si="19"/>
        <v>0</v>
      </c>
      <c r="AN158" s="4">
        <f t="shared" si="20"/>
        <v>0</v>
      </c>
      <c r="AO158" s="3"/>
      <c r="AP158">
        <v>0</v>
      </c>
      <c r="AR158" t="s">
        <v>0</v>
      </c>
      <c r="AT158" s="2" t="s">
        <v>5</v>
      </c>
      <c r="AU158" s="1">
        <f t="shared" si="21"/>
        <v>0.26347401297349238</v>
      </c>
      <c r="AV158" s="1">
        <f t="shared" si="22"/>
        <v>0.18819572355249459</v>
      </c>
      <c r="AW158" s="1">
        <f t="shared" si="23"/>
        <v>0.11291743413149673</v>
      </c>
    </row>
    <row r="159" spans="1:49" x14ac:dyDescent="0.2">
      <c r="A159">
        <v>157</v>
      </c>
      <c r="B159" t="s">
        <v>785</v>
      </c>
      <c r="F159" t="s">
        <v>784</v>
      </c>
      <c r="G159" t="s">
        <v>3</v>
      </c>
      <c r="H159" t="s">
        <v>2</v>
      </c>
      <c r="I159" t="s">
        <v>783</v>
      </c>
      <c r="N159">
        <v>3</v>
      </c>
      <c r="O159" t="s">
        <v>782</v>
      </c>
      <c r="P159" t="s">
        <v>781</v>
      </c>
      <c r="Q159" t="s">
        <v>54</v>
      </c>
      <c r="R159" s="7">
        <v>33482</v>
      </c>
      <c r="S159" s="8">
        <f t="shared" si="16"/>
        <v>1991</v>
      </c>
      <c r="T159" s="8">
        <v>1991</v>
      </c>
      <c r="U159" s="8">
        <f t="shared" si="17"/>
        <v>31</v>
      </c>
      <c r="V159" s="7">
        <v>33482</v>
      </c>
      <c r="W159" t="s">
        <v>96</v>
      </c>
      <c r="X159" s="2">
        <v>0.14099999999999999</v>
      </c>
      <c r="Y159" s="6">
        <f t="shared" si="18"/>
        <v>3.7639144710498915E-3</v>
      </c>
      <c r="AA159">
        <v>402508</v>
      </c>
      <c r="AB159">
        <v>20868</v>
      </c>
      <c r="AD159" t="s">
        <v>1</v>
      </c>
      <c r="AE159">
        <v>46</v>
      </c>
      <c r="AF159">
        <v>9</v>
      </c>
      <c r="AH159" t="s">
        <v>780</v>
      </c>
      <c r="AI159" t="s">
        <v>779</v>
      </c>
      <c r="AK159" t="s">
        <v>778</v>
      </c>
      <c r="AL159">
        <v>0</v>
      </c>
      <c r="AM159" s="5">
        <f t="shared" si="19"/>
        <v>0</v>
      </c>
      <c r="AN159" s="4">
        <f t="shared" si="20"/>
        <v>0</v>
      </c>
      <c r="AO159" s="3"/>
      <c r="AP159">
        <v>0</v>
      </c>
      <c r="AR159" t="s">
        <v>0</v>
      </c>
      <c r="AT159" s="2" t="s">
        <v>5</v>
      </c>
      <c r="AU159" s="1">
        <f t="shared" si="21"/>
        <v>0.26347401297349238</v>
      </c>
      <c r="AV159" s="1">
        <f t="shared" si="22"/>
        <v>0.18819572355249459</v>
      </c>
      <c r="AW159" s="1">
        <f t="shared" si="23"/>
        <v>0.11291743413149673</v>
      </c>
    </row>
    <row r="160" spans="1:49" x14ac:dyDescent="0.2">
      <c r="A160">
        <v>158</v>
      </c>
      <c r="B160" t="s">
        <v>777</v>
      </c>
      <c r="F160" t="s">
        <v>776</v>
      </c>
      <c r="G160" t="s">
        <v>3</v>
      </c>
      <c r="H160" t="s">
        <v>2</v>
      </c>
      <c r="I160" t="s">
        <v>775</v>
      </c>
      <c r="N160">
        <v>1</v>
      </c>
      <c r="O160" t="s">
        <v>774</v>
      </c>
      <c r="P160">
        <v>6507485147</v>
      </c>
      <c r="R160" s="7">
        <v>33482</v>
      </c>
      <c r="S160" s="8">
        <f t="shared" si="16"/>
        <v>1991</v>
      </c>
      <c r="T160" s="8">
        <v>1991</v>
      </c>
      <c r="U160" s="8">
        <f t="shared" si="17"/>
        <v>31</v>
      </c>
      <c r="V160" s="7">
        <v>33482</v>
      </c>
      <c r="W160" t="s">
        <v>96</v>
      </c>
      <c r="X160" s="2">
        <v>0.14099999999999999</v>
      </c>
      <c r="Y160" s="6">
        <f t="shared" si="18"/>
        <v>3.7639144710498915E-3</v>
      </c>
      <c r="AA160">
        <v>402508</v>
      </c>
      <c r="AB160">
        <v>20868</v>
      </c>
      <c r="AD160" t="s">
        <v>1</v>
      </c>
      <c r="AE160">
        <v>46</v>
      </c>
      <c r="AF160">
        <v>9</v>
      </c>
      <c r="AH160" t="s">
        <v>773</v>
      </c>
      <c r="AI160" t="s">
        <v>772</v>
      </c>
      <c r="AK160" t="s">
        <v>771</v>
      </c>
      <c r="AL160">
        <v>0</v>
      </c>
      <c r="AM160" s="5">
        <f t="shared" si="19"/>
        <v>0</v>
      </c>
      <c r="AN160" s="4">
        <f t="shared" si="20"/>
        <v>0</v>
      </c>
      <c r="AO160" s="3"/>
      <c r="AP160">
        <v>0</v>
      </c>
      <c r="AR160" t="s">
        <v>0</v>
      </c>
      <c r="AT160" s="2" t="s">
        <v>5</v>
      </c>
      <c r="AU160" s="1">
        <f t="shared" si="21"/>
        <v>0.26347401297349238</v>
      </c>
      <c r="AV160" s="1">
        <f t="shared" si="22"/>
        <v>0.18819572355249459</v>
      </c>
      <c r="AW160" s="1">
        <f t="shared" si="23"/>
        <v>0.11291743413149673</v>
      </c>
    </row>
    <row r="161" spans="1:49" x14ac:dyDescent="0.2">
      <c r="A161">
        <v>159</v>
      </c>
      <c r="B161" t="s">
        <v>770</v>
      </c>
      <c r="F161" t="s">
        <v>769</v>
      </c>
      <c r="G161" t="s">
        <v>3</v>
      </c>
      <c r="H161" t="s">
        <v>2</v>
      </c>
      <c r="I161" t="s">
        <v>768</v>
      </c>
      <c r="N161">
        <v>1</v>
      </c>
      <c r="O161" t="s">
        <v>767</v>
      </c>
      <c r="P161">
        <v>6701715041</v>
      </c>
      <c r="R161" s="7">
        <v>33482</v>
      </c>
      <c r="S161" s="8">
        <f t="shared" si="16"/>
        <v>1991</v>
      </c>
      <c r="T161" s="8">
        <v>1991</v>
      </c>
      <c r="U161" s="8">
        <f t="shared" si="17"/>
        <v>31</v>
      </c>
      <c r="V161" s="7">
        <v>33482</v>
      </c>
      <c r="W161" t="s">
        <v>96</v>
      </c>
      <c r="X161" s="2">
        <v>0.14099999999999999</v>
      </c>
      <c r="Y161" s="6">
        <f t="shared" si="18"/>
        <v>3.7639144710498915E-3</v>
      </c>
      <c r="AA161">
        <v>402508</v>
      </c>
      <c r="AB161">
        <v>20868</v>
      </c>
      <c r="AD161" t="s">
        <v>1</v>
      </c>
      <c r="AE161">
        <v>46</v>
      </c>
      <c r="AF161">
        <v>9</v>
      </c>
      <c r="AH161" t="s">
        <v>112</v>
      </c>
      <c r="AI161" t="s">
        <v>766</v>
      </c>
      <c r="AK161" t="s">
        <v>765</v>
      </c>
      <c r="AL161">
        <v>0</v>
      </c>
      <c r="AM161" s="5">
        <f t="shared" si="19"/>
        <v>0</v>
      </c>
      <c r="AN161" s="4">
        <f t="shared" si="20"/>
        <v>0</v>
      </c>
      <c r="AO161" s="3"/>
      <c r="AP161">
        <v>0</v>
      </c>
      <c r="AR161" t="s">
        <v>0</v>
      </c>
      <c r="AT161" s="2" t="s">
        <v>5</v>
      </c>
      <c r="AU161" s="1">
        <f t="shared" si="21"/>
        <v>0.26347401297349238</v>
      </c>
      <c r="AV161" s="1">
        <f t="shared" si="22"/>
        <v>0.18819572355249459</v>
      </c>
      <c r="AW161" s="1">
        <f t="shared" si="23"/>
        <v>0.11291743413149673</v>
      </c>
    </row>
    <row r="162" spans="1:49" x14ac:dyDescent="0.2">
      <c r="A162">
        <v>160</v>
      </c>
      <c r="B162" t="s">
        <v>764</v>
      </c>
      <c r="F162" t="s">
        <v>763</v>
      </c>
      <c r="G162" t="s">
        <v>3</v>
      </c>
      <c r="H162" t="s">
        <v>2</v>
      </c>
      <c r="I162" t="s">
        <v>762</v>
      </c>
      <c r="N162">
        <v>1</v>
      </c>
      <c r="O162" t="s">
        <v>761</v>
      </c>
      <c r="P162">
        <v>6701411909</v>
      </c>
      <c r="R162" s="7">
        <v>33482</v>
      </c>
      <c r="S162" s="8">
        <f t="shared" si="16"/>
        <v>1991</v>
      </c>
      <c r="T162" s="8">
        <v>1991</v>
      </c>
      <c r="U162" s="8">
        <f t="shared" si="17"/>
        <v>31</v>
      </c>
      <c r="V162" s="7">
        <v>33482</v>
      </c>
      <c r="W162" t="s">
        <v>96</v>
      </c>
      <c r="X162" s="2">
        <v>0.14099999999999999</v>
      </c>
      <c r="Y162" s="6">
        <f t="shared" si="18"/>
        <v>3.7639144710498915E-3</v>
      </c>
      <c r="AA162">
        <v>402508</v>
      </c>
      <c r="AB162">
        <v>20868</v>
      </c>
      <c r="AD162" t="s">
        <v>1</v>
      </c>
      <c r="AE162">
        <v>46</v>
      </c>
      <c r="AF162">
        <v>9</v>
      </c>
      <c r="AH162" t="s">
        <v>760</v>
      </c>
      <c r="AI162" t="s">
        <v>759</v>
      </c>
      <c r="AK162" t="s">
        <v>758</v>
      </c>
      <c r="AL162">
        <v>0</v>
      </c>
      <c r="AM162" s="5">
        <f t="shared" si="19"/>
        <v>0</v>
      </c>
      <c r="AN162" s="4">
        <f t="shared" si="20"/>
        <v>0</v>
      </c>
      <c r="AO162" s="3"/>
      <c r="AP162">
        <v>0</v>
      </c>
      <c r="AR162" t="s">
        <v>0</v>
      </c>
      <c r="AT162" s="2" t="s">
        <v>5</v>
      </c>
      <c r="AU162" s="1">
        <f t="shared" si="21"/>
        <v>0.26347401297349238</v>
      </c>
      <c r="AV162" s="1">
        <f t="shared" si="22"/>
        <v>0.18819572355249459</v>
      </c>
      <c r="AW162" s="1">
        <f t="shared" si="23"/>
        <v>0.11291743413149673</v>
      </c>
    </row>
    <row r="163" spans="1:49" x14ac:dyDescent="0.2">
      <c r="A163">
        <v>161</v>
      </c>
      <c r="B163" t="s">
        <v>757</v>
      </c>
      <c r="F163" t="s">
        <v>756</v>
      </c>
      <c r="G163" t="s">
        <v>3</v>
      </c>
      <c r="H163" t="s">
        <v>2</v>
      </c>
      <c r="I163" t="s">
        <v>755</v>
      </c>
      <c r="N163">
        <v>2</v>
      </c>
      <c r="O163" t="s">
        <v>754</v>
      </c>
      <c r="P163" t="s">
        <v>753</v>
      </c>
      <c r="Q163" t="s">
        <v>51</v>
      </c>
      <c r="R163" s="7">
        <v>33482</v>
      </c>
      <c r="S163" s="8">
        <f t="shared" si="16"/>
        <v>1991</v>
      </c>
      <c r="T163" s="8">
        <v>1991</v>
      </c>
      <c r="U163" s="8">
        <f t="shared" si="17"/>
        <v>31</v>
      </c>
      <c r="V163" s="7">
        <v>33482</v>
      </c>
      <c r="W163" t="s">
        <v>96</v>
      </c>
      <c r="X163" s="2">
        <v>0.14099999999999999</v>
      </c>
      <c r="Y163" s="6">
        <f t="shared" si="18"/>
        <v>3.7639144710498915E-3</v>
      </c>
      <c r="AA163">
        <v>402508</v>
      </c>
      <c r="AB163">
        <v>20868</v>
      </c>
      <c r="AD163" t="s">
        <v>1</v>
      </c>
      <c r="AE163">
        <v>46</v>
      </c>
      <c r="AF163">
        <v>9</v>
      </c>
      <c r="AH163" t="s">
        <v>216</v>
      </c>
      <c r="AI163" t="s">
        <v>752</v>
      </c>
      <c r="AK163" t="s">
        <v>751</v>
      </c>
      <c r="AL163">
        <v>0</v>
      </c>
      <c r="AM163" s="5">
        <f t="shared" si="19"/>
        <v>0</v>
      </c>
      <c r="AN163" s="4">
        <f t="shared" si="20"/>
        <v>0</v>
      </c>
      <c r="AO163" s="3"/>
      <c r="AP163">
        <v>0</v>
      </c>
      <c r="AR163" t="s">
        <v>0</v>
      </c>
      <c r="AT163" s="2" t="s">
        <v>5</v>
      </c>
      <c r="AU163" s="1">
        <f t="shared" si="21"/>
        <v>0.26347401297349238</v>
      </c>
      <c r="AV163" s="1">
        <f t="shared" si="22"/>
        <v>0.18819572355249459</v>
      </c>
      <c r="AW163" s="1">
        <f t="shared" si="23"/>
        <v>0.11291743413149673</v>
      </c>
    </row>
    <row r="164" spans="1:49" x14ac:dyDescent="0.2">
      <c r="A164">
        <v>162</v>
      </c>
      <c r="B164" t="s">
        <v>750</v>
      </c>
      <c r="F164" t="s">
        <v>749</v>
      </c>
      <c r="G164" t="s">
        <v>3</v>
      </c>
      <c r="H164" t="s">
        <v>2</v>
      </c>
      <c r="I164" t="s">
        <v>748</v>
      </c>
      <c r="J164">
        <v>100748116</v>
      </c>
      <c r="K164" t="s">
        <v>747</v>
      </c>
      <c r="L164" t="s">
        <v>746</v>
      </c>
      <c r="M164" t="s">
        <v>4</v>
      </c>
      <c r="N164">
        <v>2</v>
      </c>
      <c r="O164" t="s">
        <v>745</v>
      </c>
      <c r="P164" t="s">
        <v>744</v>
      </c>
      <c r="Q164" t="s">
        <v>743</v>
      </c>
      <c r="R164" s="7">
        <v>33482</v>
      </c>
      <c r="S164" s="8">
        <f t="shared" si="16"/>
        <v>1991</v>
      </c>
      <c r="T164" s="8">
        <v>1991</v>
      </c>
      <c r="U164" s="8">
        <f t="shared" si="17"/>
        <v>31</v>
      </c>
      <c r="V164" s="7">
        <v>33482</v>
      </c>
      <c r="W164" t="s">
        <v>230</v>
      </c>
      <c r="X164" s="2">
        <v>0.54700000000000004</v>
      </c>
      <c r="Y164" s="6">
        <f t="shared" si="18"/>
        <v>1.4601852593363766E-2</v>
      </c>
      <c r="AA164">
        <v>11096</v>
      </c>
      <c r="AB164">
        <v>31211</v>
      </c>
      <c r="AD164" t="s">
        <v>1</v>
      </c>
      <c r="AE164">
        <v>45</v>
      </c>
      <c r="AF164">
        <v>5</v>
      </c>
      <c r="AH164" t="s">
        <v>742</v>
      </c>
      <c r="AI164" t="s">
        <v>741</v>
      </c>
      <c r="AK164" t="s">
        <v>740</v>
      </c>
      <c r="AL164">
        <v>0</v>
      </c>
      <c r="AM164" s="5">
        <f t="shared" si="19"/>
        <v>0</v>
      </c>
      <c r="AN164" s="4">
        <f t="shared" si="20"/>
        <v>0</v>
      </c>
      <c r="AO164" s="3"/>
      <c r="AP164">
        <v>0</v>
      </c>
      <c r="AR164" t="s">
        <v>0</v>
      </c>
      <c r="AT164" s="2" t="s">
        <v>5</v>
      </c>
      <c r="AU164" s="1">
        <f t="shared" si="21"/>
        <v>1.0221296815354637</v>
      </c>
      <c r="AV164" s="1">
        <f t="shared" si="22"/>
        <v>0.73009262966818833</v>
      </c>
      <c r="AW164" s="1">
        <f t="shared" si="23"/>
        <v>0.43805557780091298</v>
      </c>
    </row>
    <row r="165" spans="1:49" x14ac:dyDescent="0.2">
      <c r="A165">
        <v>163</v>
      </c>
      <c r="B165" t="s">
        <v>739</v>
      </c>
      <c r="F165" t="s">
        <v>738</v>
      </c>
      <c r="G165" t="s">
        <v>3</v>
      </c>
      <c r="H165" t="s">
        <v>2</v>
      </c>
      <c r="I165" t="s">
        <v>9</v>
      </c>
      <c r="J165">
        <v>60002286</v>
      </c>
      <c r="K165" t="s">
        <v>143</v>
      </c>
      <c r="L165" t="s">
        <v>70</v>
      </c>
      <c r="M165" t="s">
        <v>23</v>
      </c>
      <c r="N165">
        <v>1</v>
      </c>
      <c r="O165" t="s">
        <v>182</v>
      </c>
      <c r="P165">
        <v>15034907500</v>
      </c>
      <c r="Q165">
        <v>60002286</v>
      </c>
      <c r="R165" s="7">
        <v>33482</v>
      </c>
      <c r="S165" s="8">
        <f t="shared" si="16"/>
        <v>1991</v>
      </c>
      <c r="T165" s="8">
        <v>1991</v>
      </c>
      <c r="U165" s="8">
        <f t="shared" si="17"/>
        <v>31</v>
      </c>
      <c r="V165" s="7">
        <v>33482</v>
      </c>
      <c r="W165" t="s">
        <v>49</v>
      </c>
      <c r="X165" s="2">
        <v>0.30399999999999999</v>
      </c>
      <c r="Y165" s="6">
        <f t="shared" si="18"/>
        <v>8.115106377299057E-3</v>
      </c>
      <c r="AA165">
        <v>8952477</v>
      </c>
      <c r="AB165">
        <v>12250</v>
      </c>
      <c r="AD165" t="s">
        <v>1</v>
      </c>
      <c r="AE165">
        <v>4</v>
      </c>
      <c r="AF165">
        <v>10</v>
      </c>
      <c r="AH165" t="s">
        <v>737</v>
      </c>
      <c r="AI165" t="s">
        <v>736</v>
      </c>
      <c r="AK165" t="s">
        <v>735</v>
      </c>
      <c r="AL165">
        <v>0</v>
      </c>
      <c r="AM165" s="5">
        <f t="shared" si="19"/>
        <v>0</v>
      </c>
      <c r="AN165" s="4">
        <f t="shared" si="20"/>
        <v>0</v>
      </c>
      <c r="AO165" s="3"/>
      <c r="AP165">
        <v>0</v>
      </c>
      <c r="AR165" t="s">
        <v>0</v>
      </c>
      <c r="AT165" s="2" t="s">
        <v>5</v>
      </c>
      <c r="AU165" s="1">
        <f t="shared" si="21"/>
        <v>0.56805744641093392</v>
      </c>
      <c r="AV165" s="1">
        <f t="shared" si="22"/>
        <v>0.40575531886495286</v>
      </c>
      <c r="AW165" s="1">
        <f t="shared" si="23"/>
        <v>0.24345319131897172</v>
      </c>
    </row>
    <row r="166" spans="1:49" x14ac:dyDescent="0.2">
      <c r="A166">
        <v>164</v>
      </c>
      <c r="B166" t="s">
        <v>734</v>
      </c>
      <c r="C166" t="s">
        <v>733</v>
      </c>
      <c r="F166" t="s">
        <v>732</v>
      </c>
      <c r="G166" t="s">
        <v>3</v>
      </c>
      <c r="H166" t="s">
        <v>2</v>
      </c>
      <c r="I166" t="s">
        <v>731</v>
      </c>
      <c r="J166">
        <v>60005465</v>
      </c>
      <c r="K166" t="s">
        <v>94</v>
      </c>
      <c r="L166" t="s">
        <v>93</v>
      </c>
      <c r="M166" t="s">
        <v>83</v>
      </c>
      <c r="N166">
        <v>4</v>
      </c>
      <c r="O166" t="s">
        <v>730</v>
      </c>
      <c r="P166" t="s">
        <v>729</v>
      </c>
      <c r="Q166" t="s">
        <v>728</v>
      </c>
      <c r="R166" s="7">
        <v>33482</v>
      </c>
      <c r="S166" s="8">
        <f t="shared" si="16"/>
        <v>1991</v>
      </c>
      <c r="T166" s="8">
        <v>1991</v>
      </c>
      <c r="U166" s="8">
        <f t="shared" si="17"/>
        <v>31</v>
      </c>
      <c r="V166" s="7">
        <v>33482</v>
      </c>
      <c r="W166" t="s">
        <v>232</v>
      </c>
      <c r="X166" s="2">
        <v>0.61499999999999999</v>
      </c>
      <c r="Y166" s="6">
        <f t="shared" si="18"/>
        <v>1.6417073756706976E-2</v>
      </c>
      <c r="AA166">
        <v>1959271</v>
      </c>
      <c r="AB166">
        <v>12141</v>
      </c>
      <c r="AC166">
        <v>15729559</v>
      </c>
      <c r="AD166" t="s">
        <v>1</v>
      </c>
      <c r="AE166">
        <v>12</v>
      </c>
      <c r="AF166">
        <v>9</v>
      </c>
      <c r="AH166" t="s">
        <v>727</v>
      </c>
      <c r="AI166" t="s">
        <v>726</v>
      </c>
      <c r="AJ166" t="s">
        <v>725</v>
      </c>
      <c r="AK166" t="s">
        <v>724</v>
      </c>
      <c r="AL166">
        <v>3</v>
      </c>
      <c r="AM166" s="5">
        <f t="shared" si="19"/>
        <v>9.6774193548387094E-2</v>
      </c>
      <c r="AN166" s="4">
        <f t="shared" si="20"/>
        <v>1.4657204626790927E-4</v>
      </c>
      <c r="AO166" s="3"/>
      <c r="AP166">
        <v>0</v>
      </c>
      <c r="AR166" t="s">
        <v>0</v>
      </c>
      <c r="AT166" s="2" t="s">
        <v>5</v>
      </c>
      <c r="AU166" s="1">
        <f t="shared" si="21"/>
        <v>1.1535923243575255</v>
      </c>
      <c r="AV166" s="1">
        <f t="shared" si="22"/>
        <v>0.82818229014874434</v>
      </c>
      <c r="AW166" s="1">
        <f t="shared" si="23"/>
        <v>0.50277225593996289</v>
      </c>
    </row>
    <row r="167" spans="1:49" x14ac:dyDescent="0.2">
      <c r="A167">
        <v>165</v>
      </c>
      <c r="B167" t="s">
        <v>723</v>
      </c>
      <c r="F167" t="s">
        <v>722</v>
      </c>
      <c r="G167" t="s">
        <v>3</v>
      </c>
      <c r="H167" t="s">
        <v>2</v>
      </c>
      <c r="I167" t="s">
        <v>721</v>
      </c>
      <c r="N167">
        <v>4</v>
      </c>
      <c r="O167" t="s">
        <v>720</v>
      </c>
      <c r="P167" t="s">
        <v>719</v>
      </c>
      <c r="Q167" t="s">
        <v>86</v>
      </c>
      <c r="R167" s="7">
        <v>33482</v>
      </c>
      <c r="S167" s="8">
        <f t="shared" si="16"/>
        <v>1991</v>
      </c>
      <c r="T167" s="8">
        <v>1991</v>
      </c>
      <c r="U167" s="8">
        <f t="shared" si="17"/>
        <v>31</v>
      </c>
      <c r="V167" s="7">
        <v>33482</v>
      </c>
      <c r="W167" t="s">
        <v>237</v>
      </c>
      <c r="X167" s="2" t="s">
        <v>5</v>
      </c>
      <c r="Y167" s="6" t="e">
        <f t="shared" si="18"/>
        <v>#VALUE!</v>
      </c>
      <c r="AA167">
        <v>959669</v>
      </c>
      <c r="AB167">
        <v>94658</v>
      </c>
      <c r="AD167" t="s">
        <v>1</v>
      </c>
      <c r="AE167">
        <v>21</v>
      </c>
      <c r="AF167">
        <v>2</v>
      </c>
      <c r="AH167" t="s">
        <v>718</v>
      </c>
      <c r="AI167" t="s">
        <v>717</v>
      </c>
      <c r="AK167" t="s">
        <v>716</v>
      </c>
      <c r="AL167">
        <v>0</v>
      </c>
      <c r="AM167" s="5">
        <f t="shared" si="19"/>
        <v>0</v>
      </c>
      <c r="AN167" s="4">
        <f t="shared" si="20"/>
        <v>0</v>
      </c>
      <c r="AO167" s="3"/>
      <c r="AP167">
        <v>0</v>
      </c>
      <c r="AR167" t="s">
        <v>0</v>
      </c>
      <c r="AT167" s="2" t="s">
        <v>5</v>
      </c>
      <c r="AU167" s="1" t="e">
        <f t="shared" si="21"/>
        <v>#VALUE!</v>
      </c>
      <c r="AV167" s="1" t="e">
        <f t="shared" si="22"/>
        <v>#VALUE!</v>
      </c>
      <c r="AW167" s="1" t="e">
        <f t="shared" si="23"/>
        <v>#VALUE!</v>
      </c>
    </row>
    <row r="168" spans="1:49" x14ac:dyDescent="0.2">
      <c r="A168">
        <v>166</v>
      </c>
      <c r="B168" t="s">
        <v>715</v>
      </c>
      <c r="F168" t="s">
        <v>714</v>
      </c>
      <c r="G168" t="s">
        <v>3</v>
      </c>
      <c r="H168" t="s">
        <v>2</v>
      </c>
      <c r="I168" t="s">
        <v>713</v>
      </c>
      <c r="N168">
        <v>5</v>
      </c>
      <c r="O168" t="s">
        <v>712</v>
      </c>
      <c r="P168" t="s">
        <v>711</v>
      </c>
      <c r="Q168" t="s">
        <v>710</v>
      </c>
      <c r="R168" s="7">
        <v>33482</v>
      </c>
      <c r="S168" s="8">
        <f t="shared" si="16"/>
        <v>1991</v>
      </c>
      <c r="T168" s="8">
        <v>1991</v>
      </c>
      <c r="U168" s="8">
        <f t="shared" si="17"/>
        <v>31</v>
      </c>
      <c r="V168" s="7">
        <v>33482</v>
      </c>
      <c r="W168" t="s">
        <v>237</v>
      </c>
      <c r="X168" s="2" t="s">
        <v>5</v>
      </c>
      <c r="Y168" s="6" t="e">
        <f t="shared" si="18"/>
        <v>#VALUE!</v>
      </c>
      <c r="AA168">
        <v>959669</v>
      </c>
      <c r="AB168">
        <v>94658</v>
      </c>
      <c r="AD168" t="s">
        <v>1</v>
      </c>
      <c r="AE168">
        <v>21</v>
      </c>
      <c r="AF168">
        <v>2</v>
      </c>
      <c r="AH168" t="s">
        <v>709</v>
      </c>
      <c r="AI168" t="s">
        <v>708</v>
      </c>
      <c r="AK168" t="s">
        <v>707</v>
      </c>
      <c r="AL168">
        <v>2</v>
      </c>
      <c r="AM168" s="5">
        <f t="shared" si="19"/>
        <v>6.4516129032258063E-2</v>
      </c>
      <c r="AN168" s="4">
        <f t="shared" si="20"/>
        <v>9.7714697511939517E-5</v>
      </c>
      <c r="AO168" s="3"/>
      <c r="AP168">
        <v>0</v>
      </c>
      <c r="AR168" t="s">
        <v>0</v>
      </c>
      <c r="AT168" s="2" t="s">
        <v>5</v>
      </c>
      <c r="AU168" s="1" t="e">
        <f t="shared" si="21"/>
        <v>#VALUE!</v>
      </c>
      <c r="AV168" s="1" t="e">
        <f t="shared" si="22"/>
        <v>#VALUE!</v>
      </c>
      <c r="AW168" s="1" t="e">
        <f t="shared" si="23"/>
        <v>#VALUE!</v>
      </c>
    </row>
    <row r="169" spans="1:49" x14ac:dyDescent="0.2">
      <c r="A169">
        <v>167</v>
      </c>
      <c r="B169" t="s">
        <v>706</v>
      </c>
      <c r="F169" t="s">
        <v>705</v>
      </c>
      <c r="G169" t="s">
        <v>3</v>
      </c>
      <c r="H169" t="s">
        <v>2</v>
      </c>
      <c r="I169" t="s">
        <v>704</v>
      </c>
      <c r="N169">
        <v>2</v>
      </c>
      <c r="O169" t="s">
        <v>703</v>
      </c>
      <c r="P169" t="s">
        <v>702</v>
      </c>
      <c r="Q169" t="s">
        <v>51</v>
      </c>
      <c r="R169" s="7">
        <v>33482</v>
      </c>
      <c r="S169" s="8">
        <f t="shared" si="16"/>
        <v>1991</v>
      </c>
      <c r="T169" s="8">
        <v>1991</v>
      </c>
      <c r="U169" s="8">
        <f t="shared" si="17"/>
        <v>31</v>
      </c>
      <c r="V169" s="7">
        <v>33482</v>
      </c>
      <c r="W169" t="s">
        <v>237</v>
      </c>
      <c r="X169" s="2" t="s">
        <v>5</v>
      </c>
      <c r="Y169" s="6" t="e">
        <f t="shared" si="18"/>
        <v>#VALUE!</v>
      </c>
      <c r="AA169">
        <v>959669</v>
      </c>
      <c r="AB169">
        <v>94658</v>
      </c>
      <c r="AD169" t="s">
        <v>1</v>
      </c>
      <c r="AE169">
        <v>21</v>
      </c>
      <c r="AF169">
        <v>2</v>
      </c>
      <c r="AH169" t="s">
        <v>701</v>
      </c>
      <c r="AI169" t="s">
        <v>700</v>
      </c>
      <c r="AK169" t="s">
        <v>699</v>
      </c>
      <c r="AL169">
        <v>1</v>
      </c>
      <c r="AM169" s="5">
        <f t="shared" si="19"/>
        <v>3.2258064516129031E-2</v>
      </c>
      <c r="AN169" s="4">
        <f t="shared" si="20"/>
        <v>4.8857348755969758E-5</v>
      </c>
      <c r="AO169" s="3"/>
      <c r="AP169">
        <v>0</v>
      </c>
      <c r="AR169" t="s">
        <v>0</v>
      </c>
      <c r="AT169" s="2" t="s">
        <v>5</v>
      </c>
      <c r="AU169" s="1" t="e">
        <f t="shared" si="21"/>
        <v>#VALUE!</v>
      </c>
      <c r="AV169" s="1" t="e">
        <f t="shared" si="22"/>
        <v>#VALUE!</v>
      </c>
      <c r="AW169" s="1" t="e">
        <f t="shared" si="23"/>
        <v>#VALUE!</v>
      </c>
    </row>
    <row r="170" spans="1:49" x14ac:dyDescent="0.2">
      <c r="A170">
        <v>168</v>
      </c>
      <c r="B170" t="s">
        <v>698</v>
      </c>
      <c r="C170" t="s">
        <v>697</v>
      </c>
      <c r="F170" t="s">
        <v>696</v>
      </c>
      <c r="G170" t="s">
        <v>3</v>
      </c>
      <c r="H170" t="s">
        <v>2</v>
      </c>
      <c r="I170" t="s">
        <v>695</v>
      </c>
      <c r="J170" t="s">
        <v>694</v>
      </c>
      <c r="K170" t="s">
        <v>693</v>
      </c>
      <c r="L170" t="s">
        <v>692</v>
      </c>
      <c r="M170" t="s">
        <v>691</v>
      </c>
      <c r="N170">
        <v>3</v>
      </c>
      <c r="O170" t="s">
        <v>690</v>
      </c>
      <c r="P170" t="s">
        <v>689</v>
      </c>
      <c r="Q170" t="s">
        <v>688</v>
      </c>
      <c r="R170" s="7">
        <v>33482</v>
      </c>
      <c r="S170" s="8">
        <f t="shared" si="16"/>
        <v>1991</v>
      </c>
      <c r="T170" s="8">
        <v>1991</v>
      </c>
      <c r="U170" s="8">
        <f t="shared" si="17"/>
        <v>31</v>
      </c>
      <c r="V170" s="7">
        <v>33482</v>
      </c>
      <c r="W170" t="s">
        <v>687</v>
      </c>
      <c r="X170" s="2">
        <v>0.8</v>
      </c>
      <c r="Y170" s="6">
        <f t="shared" si="18"/>
        <v>2.1355543098155415E-2</v>
      </c>
      <c r="AA170">
        <v>3407594</v>
      </c>
      <c r="AB170">
        <v>23456</v>
      </c>
      <c r="AC170">
        <v>14321351</v>
      </c>
      <c r="AD170" t="s">
        <v>1</v>
      </c>
      <c r="AE170">
        <v>169</v>
      </c>
      <c r="AF170">
        <v>3</v>
      </c>
      <c r="AH170" t="s">
        <v>686</v>
      </c>
      <c r="AI170" t="s">
        <v>685</v>
      </c>
      <c r="AJ170" t="s">
        <v>684</v>
      </c>
      <c r="AK170" t="s">
        <v>683</v>
      </c>
      <c r="AL170">
        <v>83</v>
      </c>
      <c r="AM170" s="5">
        <f t="shared" si="19"/>
        <v>2.6774193548387095</v>
      </c>
      <c r="AN170" s="4">
        <f t="shared" si="20"/>
        <v>4.0551599467454893E-3</v>
      </c>
      <c r="AO170" s="3"/>
      <c r="AP170">
        <v>0</v>
      </c>
      <c r="AR170" t="s">
        <v>0</v>
      </c>
      <c r="AT170" s="2" t="s">
        <v>5</v>
      </c>
      <c r="AU170" s="1">
        <f t="shared" si="21"/>
        <v>1.6165428152732437</v>
      </c>
      <c r="AV170" s="1">
        <f t="shared" si="22"/>
        <v>1.2705351522450452</v>
      </c>
      <c r="AW170" s="1">
        <f t="shared" si="23"/>
        <v>0.92452748921684669</v>
      </c>
    </row>
    <row r="171" spans="1:49" x14ac:dyDescent="0.2">
      <c r="A171">
        <v>169</v>
      </c>
      <c r="B171" t="s">
        <v>682</v>
      </c>
      <c r="C171" t="s">
        <v>681</v>
      </c>
      <c r="F171" t="s">
        <v>680</v>
      </c>
      <c r="G171" t="s">
        <v>3</v>
      </c>
      <c r="H171" t="s">
        <v>2</v>
      </c>
      <c r="I171" t="s">
        <v>679</v>
      </c>
      <c r="J171">
        <v>60032882</v>
      </c>
      <c r="K171" t="s">
        <v>147</v>
      </c>
      <c r="L171" t="s">
        <v>146</v>
      </c>
      <c r="M171" t="s">
        <v>23</v>
      </c>
      <c r="N171">
        <v>3</v>
      </c>
      <c r="O171" t="s">
        <v>678</v>
      </c>
      <c r="P171" t="s">
        <v>677</v>
      </c>
      <c r="Q171" t="s">
        <v>676</v>
      </c>
      <c r="R171" s="7">
        <v>33479</v>
      </c>
      <c r="S171" s="8">
        <f t="shared" si="16"/>
        <v>1991</v>
      </c>
      <c r="T171" s="8">
        <v>1991</v>
      </c>
      <c r="U171" s="8">
        <f t="shared" si="17"/>
        <v>31</v>
      </c>
      <c r="V171" s="7">
        <v>33479</v>
      </c>
      <c r="W171" t="s">
        <v>48</v>
      </c>
      <c r="X171" s="2">
        <v>0.375</v>
      </c>
      <c r="Y171" s="6">
        <f t="shared" si="18"/>
        <v>1.0010410827260351E-2</v>
      </c>
      <c r="AA171">
        <v>135194</v>
      </c>
      <c r="AB171">
        <v>24918</v>
      </c>
      <c r="AD171" t="s">
        <v>1</v>
      </c>
      <c r="AE171">
        <v>27</v>
      </c>
      <c r="AF171">
        <v>19</v>
      </c>
      <c r="AH171" t="s">
        <v>675</v>
      </c>
      <c r="AI171" t="s">
        <v>674</v>
      </c>
      <c r="AJ171" t="s">
        <v>673</v>
      </c>
      <c r="AK171" t="s">
        <v>672</v>
      </c>
      <c r="AL171">
        <v>5</v>
      </c>
      <c r="AM171" s="5">
        <f t="shared" si="19"/>
        <v>0.16129032258064516</v>
      </c>
      <c r="AN171" s="4">
        <f t="shared" si="20"/>
        <v>2.4428674377984877E-4</v>
      </c>
      <c r="AO171" s="3"/>
      <c r="AP171">
        <v>0</v>
      </c>
      <c r="AR171" t="s">
        <v>0</v>
      </c>
      <c r="AT171" s="2">
        <v>1.3140000000000001</v>
      </c>
      <c r="AU171" s="1">
        <f t="shared" si="21"/>
        <v>0.70805736022162002</v>
      </c>
      <c r="AV171" s="1">
        <f t="shared" si="22"/>
        <v>0.51273487855200994</v>
      </c>
      <c r="AW171" s="1">
        <f t="shared" si="23"/>
        <v>0.31741239688239992</v>
      </c>
    </row>
    <row r="172" spans="1:49" x14ac:dyDescent="0.2">
      <c r="A172">
        <v>170</v>
      </c>
      <c r="B172" t="s">
        <v>671</v>
      </c>
      <c r="C172" t="s">
        <v>670</v>
      </c>
      <c r="F172" t="s">
        <v>669</v>
      </c>
      <c r="G172" t="s">
        <v>3</v>
      </c>
      <c r="H172" t="s">
        <v>2</v>
      </c>
      <c r="I172" t="s">
        <v>109</v>
      </c>
      <c r="J172">
        <v>60031828</v>
      </c>
      <c r="K172" t="s">
        <v>90</v>
      </c>
      <c r="L172" t="s">
        <v>89</v>
      </c>
      <c r="M172" t="s">
        <v>88</v>
      </c>
      <c r="N172">
        <v>4</v>
      </c>
      <c r="O172" t="s">
        <v>668</v>
      </c>
      <c r="P172" t="s">
        <v>667</v>
      </c>
      <c r="Q172" t="s">
        <v>87</v>
      </c>
      <c r="R172" s="7">
        <v>33479</v>
      </c>
      <c r="S172" s="8">
        <f t="shared" si="16"/>
        <v>1991</v>
      </c>
      <c r="T172" s="8">
        <v>1991</v>
      </c>
      <c r="U172" s="8">
        <f t="shared" si="17"/>
        <v>31</v>
      </c>
      <c r="V172" s="7">
        <v>33479</v>
      </c>
      <c r="W172" t="s">
        <v>48</v>
      </c>
      <c r="X172" s="2">
        <v>0.375</v>
      </c>
      <c r="Y172" s="6">
        <f t="shared" si="18"/>
        <v>1.0010410827260351E-2</v>
      </c>
      <c r="AA172">
        <v>135194</v>
      </c>
      <c r="AB172">
        <v>24918</v>
      </c>
      <c r="AD172" t="s">
        <v>1</v>
      </c>
      <c r="AE172">
        <v>27</v>
      </c>
      <c r="AF172">
        <v>19</v>
      </c>
      <c r="AH172" t="s">
        <v>666</v>
      </c>
      <c r="AI172" t="s">
        <v>665</v>
      </c>
      <c r="AJ172" t="s">
        <v>664</v>
      </c>
      <c r="AK172" t="s">
        <v>663</v>
      </c>
      <c r="AL172">
        <v>17</v>
      </c>
      <c r="AM172" s="5">
        <f t="shared" si="19"/>
        <v>0.54838709677419351</v>
      </c>
      <c r="AN172" s="4">
        <f t="shared" si="20"/>
        <v>8.3057492885148579E-4</v>
      </c>
      <c r="AO172" s="3"/>
      <c r="AP172">
        <v>0</v>
      </c>
      <c r="AR172" t="s">
        <v>0</v>
      </c>
      <c r="AT172" s="2">
        <v>1.3140000000000001</v>
      </c>
      <c r="AU172" s="1">
        <f t="shared" si="21"/>
        <v>0.72564600577376914</v>
      </c>
      <c r="AV172" s="1">
        <f t="shared" si="22"/>
        <v>0.54204928780559181</v>
      </c>
      <c r="AW172" s="1">
        <f t="shared" si="23"/>
        <v>0.35845256983741453</v>
      </c>
    </row>
    <row r="173" spans="1:49" x14ac:dyDescent="0.2">
      <c r="A173">
        <v>171</v>
      </c>
      <c r="B173" t="s">
        <v>662</v>
      </c>
      <c r="C173" t="s">
        <v>661</v>
      </c>
      <c r="F173" t="s">
        <v>660</v>
      </c>
      <c r="G173" t="s">
        <v>3</v>
      </c>
      <c r="H173" t="s">
        <v>2</v>
      </c>
      <c r="I173" t="s">
        <v>119</v>
      </c>
      <c r="J173">
        <v>60103653</v>
      </c>
      <c r="K173" t="s">
        <v>118</v>
      </c>
      <c r="L173" t="s">
        <v>117</v>
      </c>
      <c r="M173" t="s">
        <v>17</v>
      </c>
      <c r="N173">
        <v>3</v>
      </c>
      <c r="O173" t="s">
        <v>659</v>
      </c>
      <c r="P173" t="s">
        <v>658</v>
      </c>
      <c r="Q173" t="s">
        <v>116</v>
      </c>
      <c r="R173" s="7">
        <v>33479</v>
      </c>
      <c r="S173" s="8">
        <f t="shared" si="16"/>
        <v>1991</v>
      </c>
      <c r="T173" s="8">
        <v>1991</v>
      </c>
      <c r="U173" s="8">
        <f t="shared" si="17"/>
        <v>31</v>
      </c>
      <c r="V173" s="7">
        <v>33479</v>
      </c>
      <c r="W173" t="s">
        <v>48</v>
      </c>
      <c r="X173" s="2">
        <v>0.375</v>
      </c>
      <c r="Y173" s="6">
        <f t="shared" si="18"/>
        <v>1.0010410827260351E-2</v>
      </c>
      <c r="AA173">
        <v>135194</v>
      </c>
      <c r="AB173">
        <v>24918</v>
      </c>
      <c r="AD173" t="s">
        <v>1</v>
      </c>
      <c r="AE173">
        <v>27</v>
      </c>
      <c r="AF173">
        <v>19</v>
      </c>
      <c r="AH173" t="s">
        <v>657</v>
      </c>
      <c r="AI173" t="s">
        <v>656</v>
      </c>
      <c r="AJ173" t="s">
        <v>212</v>
      </c>
      <c r="AK173" t="s">
        <v>655</v>
      </c>
      <c r="AL173">
        <v>8</v>
      </c>
      <c r="AM173" s="5">
        <f t="shared" si="19"/>
        <v>0.25806451612903225</v>
      </c>
      <c r="AN173" s="4">
        <f t="shared" si="20"/>
        <v>3.9085879004775807E-4</v>
      </c>
      <c r="AO173" s="3"/>
      <c r="AP173">
        <v>0</v>
      </c>
      <c r="AR173" t="s">
        <v>0</v>
      </c>
      <c r="AT173" s="2">
        <v>1.3140000000000001</v>
      </c>
      <c r="AU173" s="1">
        <f t="shared" si="21"/>
        <v>0.71245452160965728</v>
      </c>
      <c r="AV173" s="1">
        <f t="shared" si="22"/>
        <v>0.52006348086540544</v>
      </c>
      <c r="AW173" s="1">
        <f t="shared" si="23"/>
        <v>0.3276724401211536</v>
      </c>
    </row>
    <row r="174" spans="1:49" x14ac:dyDescent="0.2">
      <c r="A174">
        <v>172</v>
      </c>
      <c r="B174" t="s">
        <v>654</v>
      </c>
      <c r="C174" t="s">
        <v>653</v>
      </c>
      <c r="F174" t="s">
        <v>652</v>
      </c>
      <c r="G174" t="s">
        <v>3</v>
      </c>
      <c r="H174" t="s">
        <v>2</v>
      </c>
      <c r="I174" t="s">
        <v>651</v>
      </c>
      <c r="J174">
        <v>60013983</v>
      </c>
      <c r="K174" t="s">
        <v>650</v>
      </c>
      <c r="L174" t="s">
        <v>223</v>
      </c>
      <c r="M174" t="s">
        <v>113</v>
      </c>
      <c r="N174">
        <v>3</v>
      </c>
      <c r="O174" t="s">
        <v>649</v>
      </c>
      <c r="P174" t="s">
        <v>648</v>
      </c>
      <c r="Q174" t="s">
        <v>647</v>
      </c>
      <c r="R174" s="7">
        <v>33479</v>
      </c>
      <c r="S174" s="8">
        <f t="shared" si="16"/>
        <v>1991</v>
      </c>
      <c r="T174" s="8">
        <v>1991</v>
      </c>
      <c r="U174" s="8">
        <f t="shared" si="17"/>
        <v>31</v>
      </c>
      <c r="V174" s="7">
        <v>33479</v>
      </c>
      <c r="W174" t="s">
        <v>48</v>
      </c>
      <c r="X174" s="2">
        <v>0.375</v>
      </c>
      <c r="Y174" s="6">
        <f t="shared" si="18"/>
        <v>1.0010410827260351E-2</v>
      </c>
      <c r="AA174">
        <v>135194</v>
      </c>
      <c r="AB174">
        <v>24918</v>
      </c>
      <c r="AD174" t="s">
        <v>1</v>
      </c>
      <c r="AE174">
        <v>27</v>
      </c>
      <c r="AF174">
        <v>19</v>
      </c>
      <c r="AH174" t="s">
        <v>646</v>
      </c>
      <c r="AI174" t="s">
        <v>645</v>
      </c>
      <c r="AJ174" t="s">
        <v>260</v>
      </c>
      <c r="AK174" t="s">
        <v>644</v>
      </c>
      <c r="AL174">
        <v>2</v>
      </c>
      <c r="AM174" s="5">
        <f t="shared" si="19"/>
        <v>6.4516129032258063E-2</v>
      </c>
      <c r="AN174" s="4">
        <f t="shared" si="20"/>
        <v>9.7714697511939517E-5</v>
      </c>
      <c r="AO174" s="3"/>
      <c r="AP174">
        <v>0</v>
      </c>
      <c r="AR174" t="s">
        <v>0</v>
      </c>
      <c r="AT174" s="2">
        <v>1.3140000000000001</v>
      </c>
      <c r="AU174" s="1">
        <f t="shared" si="21"/>
        <v>0.70366019883358277</v>
      </c>
      <c r="AV174" s="1">
        <f t="shared" si="22"/>
        <v>0.50540627623861456</v>
      </c>
      <c r="AW174" s="1">
        <f t="shared" si="23"/>
        <v>0.30715235364364629</v>
      </c>
    </row>
    <row r="175" spans="1:49" x14ac:dyDescent="0.2">
      <c r="A175">
        <v>173</v>
      </c>
      <c r="B175" t="s">
        <v>643</v>
      </c>
      <c r="C175" t="s">
        <v>642</v>
      </c>
      <c r="F175" t="s">
        <v>641</v>
      </c>
      <c r="G175" t="s">
        <v>3</v>
      </c>
      <c r="H175" t="s">
        <v>2</v>
      </c>
      <c r="I175" t="s">
        <v>119</v>
      </c>
      <c r="J175">
        <v>60103653</v>
      </c>
      <c r="K175" t="s">
        <v>118</v>
      </c>
      <c r="L175" t="s">
        <v>117</v>
      </c>
      <c r="M175" t="s">
        <v>17</v>
      </c>
      <c r="N175">
        <v>3</v>
      </c>
      <c r="O175" t="s">
        <v>640</v>
      </c>
      <c r="P175" t="s">
        <v>639</v>
      </c>
      <c r="Q175" t="s">
        <v>116</v>
      </c>
      <c r="R175" s="7">
        <v>33479</v>
      </c>
      <c r="S175" s="8">
        <f t="shared" si="16"/>
        <v>1991</v>
      </c>
      <c r="T175" s="8">
        <v>1991</v>
      </c>
      <c r="U175" s="8">
        <f t="shared" si="17"/>
        <v>31</v>
      </c>
      <c r="V175" s="7">
        <v>33479</v>
      </c>
      <c r="W175" t="s">
        <v>48</v>
      </c>
      <c r="X175" s="2">
        <v>0.375</v>
      </c>
      <c r="Y175" s="6">
        <f t="shared" si="18"/>
        <v>1.0010410827260351E-2</v>
      </c>
      <c r="AA175">
        <v>135194</v>
      </c>
      <c r="AB175">
        <v>24918</v>
      </c>
      <c r="AD175" t="s">
        <v>1</v>
      </c>
      <c r="AE175">
        <v>27</v>
      </c>
      <c r="AF175">
        <v>19</v>
      </c>
      <c r="AH175" t="s">
        <v>638</v>
      </c>
      <c r="AI175" t="s">
        <v>637</v>
      </c>
      <c r="AJ175" t="s">
        <v>636</v>
      </c>
      <c r="AK175" t="s">
        <v>635</v>
      </c>
      <c r="AL175">
        <v>0</v>
      </c>
      <c r="AM175" s="5">
        <f t="shared" si="19"/>
        <v>0</v>
      </c>
      <c r="AN175" s="4">
        <f t="shared" si="20"/>
        <v>0</v>
      </c>
      <c r="AO175" s="3"/>
      <c r="AP175">
        <v>0</v>
      </c>
      <c r="AR175" t="s">
        <v>0</v>
      </c>
      <c r="AT175" s="2">
        <v>1.3140000000000001</v>
      </c>
      <c r="AU175" s="1">
        <f t="shared" si="21"/>
        <v>0.70072875790822453</v>
      </c>
      <c r="AV175" s="1">
        <f t="shared" si="22"/>
        <v>0.5005205413630176</v>
      </c>
      <c r="AW175" s="1">
        <f t="shared" si="23"/>
        <v>0.30031232481781051</v>
      </c>
    </row>
    <row r="176" spans="1:49" x14ac:dyDescent="0.2">
      <c r="A176">
        <v>174</v>
      </c>
      <c r="B176" t="s">
        <v>634</v>
      </c>
      <c r="C176" t="s">
        <v>633</v>
      </c>
      <c r="F176" t="s">
        <v>632</v>
      </c>
      <c r="G176" t="s">
        <v>3</v>
      </c>
      <c r="H176" t="s">
        <v>2</v>
      </c>
      <c r="I176" t="s">
        <v>631</v>
      </c>
      <c r="J176" t="s">
        <v>630</v>
      </c>
      <c r="K176" t="s">
        <v>629</v>
      </c>
      <c r="L176" t="s">
        <v>628</v>
      </c>
      <c r="M176" t="s">
        <v>21</v>
      </c>
      <c r="N176">
        <v>4</v>
      </c>
      <c r="O176" t="s">
        <v>627</v>
      </c>
      <c r="P176" t="s">
        <v>626</v>
      </c>
      <c r="Q176" t="s">
        <v>625</v>
      </c>
      <c r="R176" s="7">
        <v>33479</v>
      </c>
      <c r="S176" s="8">
        <f t="shared" si="16"/>
        <v>1991</v>
      </c>
      <c r="T176" s="8">
        <v>1991</v>
      </c>
      <c r="U176" s="8">
        <f t="shared" si="17"/>
        <v>31</v>
      </c>
      <c r="V176" s="7">
        <v>33479</v>
      </c>
      <c r="W176" t="s">
        <v>48</v>
      </c>
      <c r="X176" s="2">
        <v>0.375</v>
      </c>
      <c r="Y176" s="6">
        <f t="shared" si="18"/>
        <v>1.0010410827260351E-2</v>
      </c>
      <c r="AA176">
        <v>135194</v>
      </c>
      <c r="AB176">
        <v>24918</v>
      </c>
      <c r="AD176" t="s">
        <v>1</v>
      </c>
      <c r="AE176">
        <v>27</v>
      </c>
      <c r="AF176">
        <v>18</v>
      </c>
      <c r="AH176" t="s">
        <v>624</v>
      </c>
      <c r="AI176" t="s">
        <v>623</v>
      </c>
      <c r="AJ176" t="s">
        <v>622</v>
      </c>
      <c r="AK176" t="s">
        <v>621</v>
      </c>
      <c r="AL176">
        <v>5</v>
      </c>
      <c r="AM176" s="5">
        <f t="shared" si="19"/>
        <v>0.16129032258064516</v>
      </c>
      <c r="AN176" s="4">
        <f t="shared" si="20"/>
        <v>2.4428674377984877E-4</v>
      </c>
      <c r="AO176" s="3"/>
      <c r="AP176">
        <v>0</v>
      </c>
      <c r="AR176" t="s">
        <v>0</v>
      </c>
      <c r="AT176" s="2">
        <v>1.3140000000000001</v>
      </c>
      <c r="AU176" s="1">
        <f t="shared" si="21"/>
        <v>0.70805736022162002</v>
      </c>
      <c r="AV176" s="1">
        <f t="shared" si="22"/>
        <v>0.51273487855200994</v>
      </c>
      <c r="AW176" s="1">
        <f t="shared" si="23"/>
        <v>0.31741239688239992</v>
      </c>
    </row>
    <row r="177" spans="1:49" x14ac:dyDescent="0.2">
      <c r="A177">
        <v>175</v>
      </c>
      <c r="B177" t="s">
        <v>620</v>
      </c>
      <c r="C177" t="s">
        <v>619</v>
      </c>
      <c r="D177" t="s">
        <v>618</v>
      </c>
      <c r="F177" t="s">
        <v>617</v>
      </c>
      <c r="G177" t="s">
        <v>3</v>
      </c>
      <c r="H177" t="s">
        <v>2</v>
      </c>
      <c r="I177" t="s">
        <v>616</v>
      </c>
      <c r="J177">
        <v>60072285</v>
      </c>
      <c r="K177" t="s">
        <v>208</v>
      </c>
      <c r="L177" t="s">
        <v>207</v>
      </c>
      <c r="M177" t="s">
        <v>4</v>
      </c>
      <c r="N177">
        <v>3</v>
      </c>
      <c r="O177" t="s">
        <v>615</v>
      </c>
      <c r="P177" t="s">
        <v>614</v>
      </c>
      <c r="Q177" t="s">
        <v>613</v>
      </c>
      <c r="R177" s="7">
        <v>33473</v>
      </c>
      <c r="S177" s="8">
        <f t="shared" si="16"/>
        <v>1991</v>
      </c>
      <c r="T177" s="8">
        <v>1991</v>
      </c>
      <c r="U177" s="8">
        <f t="shared" si="17"/>
        <v>31</v>
      </c>
      <c r="V177" s="7">
        <v>33473</v>
      </c>
      <c r="W177" t="s">
        <v>228</v>
      </c>
      <c r="X177" s="2">
        <v>1.59</v>
      </c>
      <c r="Y177" s="6">
        <f t="shared" si="18"/>
        <v>4.2444141907583888E-2</v>
      </c>
      <c r="AA177">
        <v>52728</v>
      </c>
      <c r="AB177">
        <v>16791</v>
      </c>
      <c r="AD177" t="s">
        <v>1</v>
      </c>
      <c r="AE177">
        <v>1059</v>
      </c>
      <c r="AF177">
        <v>2</v>
      </c>
      <c r="AH177" t="s">
        <v>612</v>
      </c>
      <c r="AI177" t="s">
        <v>611</v>
      </c>
      <c r="AJ177" t="s">
        <v>610</v>
      </c>
      <c r="AK177" t="s">
        <v>609</v>
      </c>
      <c r="AL177">
        <v>14</v>
      </c>
      <c r="AM177" s="5">
        <f t="shared" si="19"/>
        <v>0.45161290322580644</v>
      </c>
      <c r="AN177" s="4">
        <f t="shared" si="20"/>
        <v>6.840028825835766E-4</v>
      </c>
      <c r="AO177" s="3"/>
      <c r="AP177">
        <v>0</v>
      </c>
      <c r="AQ177" t="s">
        <v>42</v>
      </c>
      <c r="AR177" t="s">
        <v>0</v>
      </c>
      <c r="AS177" t="s">
        <v>41</v>
      </c>
      <c r="AT177" s="2" t="s">
        <v>5</v>
      </c>
      <c r="AU177" s="1">
        <f t="shared" si="21"/>
        <v>2.9916100200083795</v>
      </c>
      <c r="AV177" s="1">
        <f t="shared" si="22"/>
        <v>2.1564072395083733</v>
      </c>
      <c r="AW177" s="1">
        <f t="shared" si="23"/>
        <v>1.3212044590083669</v>
      </c>
    </row>
    <row r="178" spans="1:49" x14ac:dyDescent="0.2">
      <c r="A178">
        <v>176</v>
      </c>
      <c r="B178" t="s">
        <v>608</v>
      </c>
      <c r="E178">
        <v>2022634</v>
      </c>
      <c r="F178" t="s">
        <v>607</v>
      </c>
      <c r="G178" t="s">
        <v>3</v>
      </c>
      <c r="H178" t="s">
        <v>2</v>
      </c>
      <c r="I178" t="s">
        <v>606</v>
      </c>
      <c r="J178">
        <v>60000481</v>
      </c>
      <c r="K178" t="s">
        <v>605</v>
      </c>
      <c r="L178" t="s">
        <v>604</v>
      </c>
      <c r="M178" t="s">
        <v>30</v>
      </c>
      <c r="N178">
        <v>2</v>
      </c>
      <c r="O178" t="s">
        <v>603</v>
      </c>
      <c r="P178" t="s">
        <v>602</v>
      </c>
      <c r="Q178" t="s">
        <v>601</v>
      </c>
      <c r="R178" s="7">
        <v>33463</v>
      </c>
      <c r="S178" s="8">
        <f t="shared" si="16"/>
        <v>1991</v>
      </c>
      <c r="T178" s="8">
        <v>1991</v>
      </c>
      <c r="U178" s="8">
        <f t="shared" si="17"/>
        <v>31</v>
      </c>
      <c r="V178" s="7">
        <v>1991</v>
      </c>
      <c r="W178" t="s">
        <v>229</v>
      </c>
      <c r="X178" s="2">
        <v>2.3610000000000002</v>
      </c>
      <c r="Y178" s="6">
        <f t="shared" si="18"/>
        <v>6.3025546568431179E-2</v>
      </c>
      <c r="AA178">
        <v>219258</v>
      </c>
      <c r="AB178">
        <v>17592</v>
      </c>
      <c r="AD178" t="s">
        <v>1</v>
      </c>
      <c r="AE178">
        <v>266</v>
      </c>
      <c r="AF178">
        <v>13</v>
      </c>
      <c r="AH178" t="s">
        <v>600</v>
      </c>
      <c r="AI178" t="s">
        <v>599</v>
      </c>
      <c r="AK178" t="s">
        <v>598</v>
      </c>
      <c r="AL178">
        <v>128</v>
      </c>
      <c r="AM178" s="5">
        <f t="shared" si="19"/>
        <v>4.129032258064516</v>
      </c>
      <c r="AN178" s="4">
        <f t="shared" si="20"/>
        <v>6.2537406407641291E-3</v>
      </c>
      <c r="AO178" s="3"/>
      <c r="AP178">
        <v>0</v>
      </c>
      <c r="AR178" t="s">
        <v>0</v>
      </c>
      <c r="AT178" s="2">
        <v>5.157</v>
      </c>
      <c r="AU178" s="1">
        <f t="shared" si="21"/>
        <v>4.5994004790131067</v>
      </c>
      <c r="AV178" s="1">
        <f t="shared" si="22"/>
        <v>3.4639643604597654</v>
      </c>
      <c r="AW178" s="1">
        <f t="shared" si="23"/>
        <v>2.3285282419064242</v>
      </c>
    </row>
    <row r="179" spans="1:49" x14ac:dyDescent="0.2">
      <c r="A179">
        <v>177</v>
      </c>
      <c r="B179" t="s">
        <v>597</v>
      </c>
      <c r="C179" t="s">
        <v>596</v>
      </c>
      <c r="F179" t="s">
        <v>595</v>
      </c>
      <c r="G179" t="s">
        <v>3</v>
      </c>
      <c r="H179" t="s">
        <v>2</v>
      </c>
      <c r="I179" t="s">
        <v>594</v>
      </c>
      <c r="J179" t="s">
        <v>593</v>
      </c>
      <c r="K179" t="s">
        <v>592</v>
      </c>
      <c r="L179" t="s">
        <v>591</v>
      </c>
      <c r="M179" t="s">
        <v>12</v>
      </c>
      <c r="N179">
        <v>2</v>
      </c>
      <c r="O179" t="s">
        <v>590</v>
      </c>
      <c r="P179" t="s">
        <v>589</v>
      </c>
      <c r="Q179" t="s">
        <v>588</v>
      </c>
      <c r="R179" s="7">
        <v>33460</v>
      </c>
      <c r="S179" s="8">
        <f t="shared" si="16"/>
        <v>1991</v>
      </c>
      <c r="T179" s="8">
        <v>1991</v>
      </c>
      <c r="U179" s="8">
        <f t="shared" si="17"/>
        <v>31</v>
      </c>
      <c r="V179" s="7">
        <v>33460</v>
      </c>
      <c r="W179" t="s">
        <v>221</v>
      </c>
      <c r="X179" s="2">
        <v>0.66800000000000004</v>
      </c>
      <c r="Y179" s="6">
        <f t="shared" si="18"/>
        <v>1.7831878486959774E-2</v>
      </c>
      <c r="AA179" t="s">
        <v>220</v>
      </c>
      <c r="AB179">
        <v>29593</v>
      </c>
      <c r="AC179">
        <v>21553165</v>
      </c>
      <c r="AD179" t="s">
        <v>1</v>
      </c>
      <c r="AE179">
        <v>30</v>
      </c>
      <c r="AF179">
        <v>23</v>
      </c>
      <c r="AH179" t="s">
        <v>587</v>
      </c>
      <c r="AI179" t="s">
        <v>586</v>
      </c>
      <c r="AJ179" t="s">
        <v>585</v>
      </c>
      <c r="AK179" t="s">
        <v>584</v>
      </c>
      <c r="AL179">
        <v>23</v>
      </c>
      <c r="AM179" s="5">
        <f t="shared" si="19"/>
        <v>0.74193548387096775</v>
      </c>
      <c r="AN179" s="4">
        <f t="shared" si="20"/>
        <v>1.1237190213873045E-3</v>
      </c>
      <c r="AO179" s="3"/>
      <c r="AP179">
        <v>0</v>
      </c>
      <c r="AR179" t="s">
        <v>0</v>
      </c>
      <c r="AT179" s="2">
        <v>1.98</v>
      </c>
      <c r="AU179" s="1">
        <f t="shared" si="21"/>
        <v>1.2819430647288033</v>
      </c>
      <c r="AV179" s="1">
        <f t="shared" si="22"/>
        <v>0.94777987541735387</v>
      </c>
      <c r="AW179" s="1">
        <f t="shared" si="23"/>
        <v>0.61361668610590447</v>
      </c>
    </row>
    <row r="180" spans="1:49" x14ac:dyDescent="0.2">
      <c r="A180">
        <v>178</v>
      </c>
      <c r="B180" t="s">
        <v>583</v>
      </c>
      <c r="C180" t="s">
        <v>582</v>
      </c>
      <c r="D180" t="s">
        <v>581</v>
      </c>
      <c r="F180" t="s">
        <v>580</v>
      </c>
      <c r="G180" t="s">
        <v>3</v>
      </c>
      <c r="H180" t="s">
        <v>2</v>
      </c>
      <c r="I180" t="s">
        <v>579</v>
      </c>
      <c r="J180" t="s">
        <v>255</v>
      </c>
      <c r="K180" t="s">
        <v>254</v>
      </c>
      <c r="L180" t="s">
        <v>253</v>
      </c>
      <c r="M180" t="s">
        <v>252</v>
      </c>
      <c r="N180">
        <v>7</v>
      </c>
      <c r="O180" t="s">
        <v>578</v>
      </c>
      <c r="P180" t="s">
        <v>577</v>
      </c>
      <c r="Q180" t="s">
        <v>576</v>
      </c>
      <c r="R180" s="7">
        <v>33452</v>
      </c>
      <c r="S180" s="8">
        <f t="shared" si="16"/>
        <v>1991</v>
      </c>
      <c r="T180" s="8">
        <v>1991</v>
      </c>
      <c r="U180" s="8">
        <f t="shared" si="17"/>
        <v>31</v>
      </c>
      <c r="V180" s="7">
        <v>33452</v>
      </c>
      <c r="W180" t="s">
        <v>228</v>
      </c>
      <c r="X180" s="2">
        <v>1.59</v>
      </c>
      <c r="Y180" s="6">
        <f t="shared" si="18"/>
        <v>4.2444141907583888E-2</v>
      </c>
      <c r="AA180">
        <v>52728</v>
      </c>
      <c r="AB180">
        <v>16791</v>
      </c>
      <c r="AD180" t="s">
        <v>1</v>
      </c>
      <c r="AE180">
        <v>1059</v>
      </c>
      <c r="AF180">
        <v>1</v>
      </c>
      <c r="AH180" t="s">
        <v>575</v>
      </c>
      <c r="AI180" t="s">
        <v>574</v>
      </c>
      <c r="AJ180" t="s">
        <v>573</v>
      </c>
      <c r="AK180" t="s">
        <v>572</v>
      </c>
      <c r="AL180">
        <v>79</v>
      </c>
      <c r="AM180" s="5">
        <f t="shared" si="19"/>
        <v>2.5483870967741935</v>
      </c>
      <c r="AN180" s="4">
        <f t="shared" si="20"/>
        <v>3.8597305517216107E-3</v>
      </c>
      <c r="AO180" s="3"/>
      <c r="AP180">
        <v>0</v>
      </c>
      <c r="AQ180" t="s">
        <v>77</v>
      </c>
      <c r="AR180" t="s">
        <v>0</v>
      </c>
      <c r="AS180" t="s">
        <v>76</v>
      </c>
      <c r="AT180" s="2" t="s">
        <v>5</v>
      </c>
      <c r="AU180" s="1">
        <f t="shared" si="21"/>
        <v>3.0868818500825204</v>
      </c>
      <c r="AV180" s="1">
        <f t="shared" si="22"/>
        <v>2.3151936229652748</v>
      </c>
      <c r="AW180" s="1">
        <f t="shared" si="23"/>
        <v>1.5435053958480291</v>
      </c>
    </row>
    <row r="181" spans="1:49" x14ac:dyDescent="0.2">
      <c r="A181">
        <v>179</v>
      </c>
      <c r="B181" t="s">
        <v>571</v>
      </c>
      <c r="C181" t="s">
        <v>570</v>
      </c>
      <c r="D181" t="s">
        <v>569</v>
      </c>
      <c r="F181" t="s">
        <v>568</v>
      </c>
      <c r="G181" t="s">
        <v>3</v>
      </c>
      <c r="H181" t="s">
        <v>2</v>
      </c>
      <c r="I181" t="s">
        <v>67</v>
      </c>
      <c r="J181">
        <v>60012708</v>
      </c>
      <c r="K181" t="s">
        <v>66</v>
      </c>
      <c r="L181" t="s">
        <v>65</v>
      </c>
      <c r="M181" t="s">
        <v>6</v>
      </c>
      <c r="N181">
        <v>3</v>
      </c>
      <c r="O181" t="s">
        <v>567</v>
      </c>
      <c r="P181" t="s">
        <v>566</v>
      </c>
      <c r="Q181" t="s">
        <v>62</v>
      </c>
      <c r="R181" s="7">
        <v>33452</v>
      </c>
      <c r="S181" s="8">
        <f t="shared" si="16"/>
        <v>1991</v>
      </c>
      <c r="T181" s="8">
        <v>1991</v>
      </c>
      <c r="U181" s="8">
        <f t="shared" si="17"/>
        <v>31</v>
      </c>
      <c r="V181" s="7">
        <v>33452</v>
      </c>
      <c r="W181" t="s">
        <v>228</v>
      </c>
      <c r="X181" s="2">
        <v>1.59</v>
      </c>
      <c r="Y181" s="6">
        <f t="shared" si="18"/>
        <v>4.2444141907583888E-2</v>
      </c>
      <c r="AA181">
        <v>52728</v>
      </c>
      <c r="AB181">
        <v>16791</v>
      </c>
      <c r="AD181" t="s">
        <v>1</v>
      </c>
      <c r="AE181">
        <v>1059</v>
      </c>
      <c r="AF181">
        <v>1</v>
      </c>
      <c r="AH181" t="s">
        <v>565</v>
      </c>
      <c r="AI181" t="s">
        <v>564</v>
      </c>
      <c r="AJ181" t="s">
        <v>563</v>
      </c>
      <c r="AK181" t="s">
        <v>562</v>
      </c>
      <c r="AL181">
        <v>54</v>
      </c>
      <c r="AM181" s="5">
        <f t="shared" si="19"/>
        <v>1.7419354838709677</v>
      </c>
      <c r="AN181" s="4">
        <f t="shared" si="20"/>
        <v>2.6382968328223671E-3</v>
      </c>
      <c r="AO181" s="3"/>
      <c r="AP181">
        <v>0</v>
      </c>
      <c r="AQ181" t="s">
        <v>45</v>
      </c>
      <c r="AR181" t="s">
        <v>0</v>
      </c>
      <c r="AS181" t="s">
        <v>44</v>
      </c>
      <c r="AT181" s="2" t="s">
        <v>5</v>
      </c>
      <c r="AU181" s="1">
        <f t="shared" si="21"/>
        <v>3.050238838515543</v>
      </c>
      <c r="AV181" s="1">
        <f t="shared" si="22"/>
        <v>2.2541219370203125</v>
      </c>
      <c r="AW181" s="1">
        <f t="shared" si="23"/>
        <v>1.4580050355250822</v>
      </c>
    </row>
    <row r="182" spans="1:49" x14ac:dyDescent="0.2">
      <c r="A182">
        <v>180</v>
      </c>
      <c r="B182" t="s">
        <v>561</v>
      </c>
      <c r="C182" t="s">
        <v>560</v>
      </c>
      <c r="D182" t="s">
        <v>559</v>
      </c>
      <c r="E182">
        <v>1873299</v>
      </c>
      <c r="F182" t="s">
        <v>558</v>
      </c>
      <c r="G182" t="s">
        <v>3</v>
      </c>
      <c r="H182" t="s">
        <v>2</v>
      </c>
      <c r="I182" t="s">
        <v>67</v>
      </c>
      <c r="J182">
        <v>60012708</v>
      </c>
      <c r="K182" t="s">
        <v>66</v>
      </c>
      <c r="L182" t="s">
        <v>65</v>
      </c>
      <c r="M182" t="s">
        <v>6</v>
      </c>
      <c r="N182">
        <v>3</v>
      </c>
      <c r="O182" t="s">
        <v>64</v>
      </c>
      <c r="P182" t="s">
        <v>63</v>
      </c>
      <c r="Q182" t="s">
        <v>62</v>
      </c>
      <c r="R182" s="7">
        <v>33452</v>
      </c>
      <c r="S182" s="8">
        <f t="shared" si="16"/>
        <v>1991</v>
      </c>
      <c r="T182" s="8">
        <v>1991</v>
      </c>
      <c r="U182" s="8">
        <f t="shared" si="17"/>
        <v>31</v>
      </c>
      <c r="V182" s="7">
        <v>33452</v>
      </c>
      <c r="W182" t="s">
        <v>228</v>
      </c>
      <c r="X182" s="2">
        <v>1.59</v>
      </c>
      <c r="Y182" s="6">
        <f t="shared" si="18"/>
        <v>4.2444141907583888E-2</v>
      </c>
      <c r="AA182">
        <v>52728</v>
      </c>
      <c r="AB182">
        <v>16791</v>
      </c>
      <c r="AD182" t="s">
        <v>1</v>
      </c>
      <c r="AE182">
        <v>1059</v>
      </c>
      <c r="AF182">
        <v>1</v>
      </c>
      <c r="AH182" t="s">
        <v>557</v>
      </c>
      <c r="AI182" t="s">
        <v>556</v>
      </c>
      <c r="AJ182" t="s">
        <v>555</v>
      </c>
      <c r="AK182" t="s">
        <v>554</v>
      </c>
      <c r="AL182">
        <v>55</v>
      </c>
      <c r="AM182" s="5">
        <f t="shared" si="19"/>
        <v>1.7741935483870968</v>
      </c>
      <c r="AN182" s="4">
        <f t="shared" si="20"/>
        <v>2.6871541815783368E-3</v>
      </c>
      <c r="AO182" s="3"/>
      <c r="AP182">
        <v>0</v>
      </c>
      <c r="AQ182" t="s">
        <v>45</v>
      </c>
      <c r="AR182" t="s">
        <v>553</v>
      </c>
      <c r="AS182" t="s">
        <v>44</v>
      </c>
      <c r="AT182" s="2" t="s">
        <v>5</v>
      </c>
      <c r="AU182" s="1">
        <f t="shared" si="21"/>
        <v>3.0517045589782223</v>
      </c>
      <c r="AV182" s="1">
        <f t="shared" si="22"/>
        <v>2.2565648044581113</v>
      </c>
      <c r="AW182" s="1">
        <f t="shared" si="23"/>
        <v>1.4614250499380002</v>
      </c>
    </row>
    <row r="183" spans="1:49" x14ac:dyDescent="0.2">
      <c r="A183">
        <v>181</v>
      </c>
      <c r="B183" t="s">
        <v>552</v>
      </c>
      <c r="F183" t="s">
        <v>551</v>
      </c>
      <c r="G183" t="s">
        <v>3</v>
      </c>
      <c r="H183" t="s">
        <v>2</v>
      </c>
      <c r="I183" t="s">
        <v>550</v>
      </c>
      <c r="N183">
        <v>1</v>
      </c>
      <c r="O183" t="s">
        <v>549</v>
      </c>
      <c r="P183">
        <v>6603573438</v>
      </c>
      <c r="R183" s="7">
        <v>33451</v>
      </c>
      <c r="S183" s="8">
        <f t="shared" si="16"/>
        <v>1991</v>
      </c>
      <c r="T183" s="8">
        <v>1991</v>
      </c>
      <c r="U183" s="8">
        <f t="shared" si="17"/>
        <v>31</v>
      </c>
      <c r="V183" s="7">
        <v>33451</v>
      </c>
      <c r="W183" t="s">
        <v>96</v>
      </c>
      <c r="X183" s="2">
        <v>0.14099999999999999</v>
      </c>
      <c r="Y183" s="6">
        <f t="shared" si="18"/>
        <v>3.7639144710498915E-3</v>
      </c>
      <c r="AA183">
        <v>402508</v>
      </c>
      <c r="AB183">
        <v>20868</v>
      </c>
      <c r="AD183" t="s">
        <v>1</v>
      </c>
      <c r="AE183">
        <v>46</v>
      </c>
      <c r="AF183">
        <v>8</v>
      </c>
      <c r="AH183">
        <v>148</v>
      </c>
      <c r="AI183" t="s">
        <v>548</v>
      </c>
      <c r="AK183" t="s">
        <v>547</v>
      </c>
      <c r="AL183">
        <v>0</v>
      </c>
      <c r="AM183" s="5">
        <f t="shared" si="19"/>
        <v>0</v>
      </c>
      <c r="AN183" s="4">
        <f t="shared" si="20"/>
        <v>0</v>
      </c>
      <c r="AO183" s="3"/>
      <c r="AP183">
        <v>0</v>
      </c>
      <c r="AR183" t="s">
        <v>0</v>
      </c>
      <c r="AT183" s="2" t="s">
        <v>5</v>
      </c>
      <c r="AU183" s="1">
        <f t="shared" si="21"/>
        <v>0.26347401297349238</v>
      </c>
      <c r="AV183" s="1">
        <f t="shared" si="22"/>
        <v>0.18819572355249459</v>
      </c>
      <c r="AW183" s="1">
        <f t="shared" si="23"/>
        <v>0.11291743413149673</v>
      </c>
    </row>
    <row r="184" spans="1:49" x14ac:dyDescent="0.2">
      <c r="A184">
        <v>182</v>
      </c>
      <c r="B184" t="s">
        <v>546</v>
      </c>
      <c r="F184" t="s">
        <v>545</v>
      </c>
      <c r="G184" t="s">
        <v>3</v>
      </c>
      <c r="H184" t="s">
        <v>2</v>
      </c>
      <c r="I184" t="s">
        <v>544</v>
      </c>
      <c r="N184">
        <v>2</v>
      </c>
      <c r="O184" t="s">
        <v>543</v>
      </c>
      <c r="P184" t="s">
        <v>542</v>
      </c>
      <c r="Q184" t="s">
        <v>51</v>
      </c>
      <c r="R184" s="7">
        <v>33451</v>
      </c>
      <c r="S184" s="8">
        <f t="shared" si="16"/>
        <v>1991</v>
      </c>
      <c r="T184" s="8">
        <v>1991</v>
      </c>
      <c r="U184" s="8">
        <f t="shared" si="17"/>
        <v>31</v>
      </c>
      <c r="V184" s="7">
        <v>33451</v>
      </c>
      <c r="W184" t="s">
        <v>96</v>
      </c>
      <c r="X184" s="2">
        <v>0.14099999999999999</v>
      </c>
      <c r="Y184" s="6">
        <f t="shared" si="18"/>
        <v>3.7639144710498915E-3</v>
      </c>
      <c r="AA184">
        <v>402508</v>
      </c>
      <c r="AB184">
        <v>20868</v>
      </c>
      <c r="AD184" t="s">
        <v>1</v>
      </c>
      <c r="AE184">
        <v>46</v>
      </c>
      <c r="AF184">
        <v>8</v>
      </c>
      <c r="AH184" t="s">
        <v>541</v>
      </c>
      <c r="AI184" t="s">
        <v>540</v>
      </c>
      <c r="AK184" t="s">
        <v>539</v>
      </c>
      <c r="AL184">
        <v>0</v>
      </c>
      <c r="AM184" s="5">
        <f t="shared" si="19"/>
        <v>0</v>
      </c>
      <c r="AN184" s="4">
        <f t="shared" si="20"/>
        <v>0</v>
      </c>
      <c r="AO184" s="3"/>
      <c r="AP184">
        <v>0</v>
      </c>
      <c r="AR184" t="s">
        <v>0</v>
      </c>
      <c r="AT184" s="2" t="s">
        <v>5</v>
      </c>
      <c r="AU184" s="1">
        <f t="shared" si="21"/>
        <v>0.26347401297349238</v>
      </c>
      <c r="AV184" s="1">
        <f t="shared" si="22"/>
        <v>0.18819572355249459</v>
      </c>
      <c r="AW184" s="1">
        <f t="shared" si="23"/>
        <v>0.11291743413149673</v>
      </c>
    </row>
    <row r="185" spans="1:49" x14ac:dyDescent="0.2">
      <c r="A185">
        <v>183</v>
      </c>
      <c r="B185" t="s">
        <v>538</v>
      </c>
      <c r="F185" t="s">
        <v>537</v>
      </c>
      <c r="G185" t="s">
        <v>3</v>
      </c>
      <c r="H185" t="s">
        <v>2</v>
      </c>
      <c r="I185" t="s">
        <v>240</v>
      </c>
      <c r="N185">
        <v>2</v>
      </c>
      <c r="O185" t="s">
        <v>239</v>
      </c>
      <c r="P185" t="s">
        <v>238</v>
      </c>
      <c r="Q185" t="s">
        <v>51</v>
      </c>
      <c r="R185" s="7">
        <v>33451</v>
      </c>
      <c r="S185" s="8">
        <f t="shared" si="16"/>
        <v>1991</v>
      </c>
      <c r="T185" s="8">
        <v>1991</v>
      </c>
      <c r="U185" s="8">
        <f t="shared" si="17"/>
        <v>31</v>
      </c>
      <c r="V185" s="7">
        <v>33451</v>
      </c>
      <c r="W185" t="s">
        <v>96</v>
      </c>
      <c r="X185" s="2">
        <v>0.14099999999999999</v>
      </c>
      <c r="Y185" s="6">
        <f t="shared" si="18"/>
        <v>3.7639144710498915E-3</v>
      </c>
      <c r="AA185">
        <v>402508</v>
      </c>
      <c r="AB185">
        <v>20868</v>
      </c>
      <c r="AD185" t="s">
        <v>1</v>
      </c>
      <c r="AE185">
        <v>46</v>
      </c>
      <c r="AF185">
        <v>8</v>
      </c>
      <c r="AH185" t="s">
        <v>536</v>
      </c>
      <c r="AI185" t="s">
        <v>535</v>
      </c>
      <c r="AK185" t="s">
        <v>534</v>
      </c>
      <c r="AL185">
        <v>0</v>
      </c>
      <c r="AM185" s="5">
        <f t="shared" si="19"/>
        <v>0</v>
      </c>
      <c r="AN185" s="4">
        <f t="shared" si="20"/>
        <v>0</v>
      </c>
      <c r="AO185" s="3"/>
      <c r="AP185">
        <v>0</v>
      </c>
      <c r="AR185" t="s">
        <v>0</v>
      </c>
      <c r="AT185" s="2" t="s">
        <v>5</v>
      </c>
      <c r="AU185" s="1">
        <f t="shared" si="21"/>
        <v>0.26347401297349238</v>
      </c>
      <c r="AV185" s="1">
        <f t="shared" si="22"/>
        <v>0.18819572355249459</v>
      </c>
      <c r="AW185" s="1">
        <f t="shared" si="23"/>
        <v>0.11291743413149673</v>
      </c>
    </row>
    <row r="186" spans="1:49" x14ac:dyDescent="0.2">
      <c r="A186">
        <v>184</v>
      </c>
      <c r="B186" t="s">
        <v>533</v>
      </c>
      <c r="F186" t="s">
        <v>532</v>
      </c>
      <c r="G186" t="s">
        <v>3</v>
      </c>
      <c r="H186" t="s">
        <v>2</v>
      </c>
      <c r="I186" t="s">
        <v>531</v>
      </c>
      <c r="J186">
        <v>60030553</v>
      </c>
      <c r="K186" t="s">
        <v>130</v>
      </c>
      <c r="L186" t="s">
        <v>129</v>
      </c>
      <c r="M186" t="s">
        <v>20</v>
      </c>
      <c r="N186">
        <v>2</v>
      </c>
      <c r="O186" t="s">
        <v>530</v>
      </c>
      <c r="P186" t="s">
        <v>529</v>
      </c>
      <c r="Q186" t="s">
        <v>224</v>
      </c>
      <c r="R186" s="7">
        <v>33451</v>
      </c>
      <c r="S186" s="8">
        <f t="shared" si="16"/>
        <v>1991</v>
      </c>
      <c r="T186" s="8">
        <v>1991</v>
      </c>
      <c r="U186" s="8">
        <f t="shared" si="17"/>
        <v>31</v>
      </c>
      <c r="V186" s="7">
        <v>33451</v>
      </c>
      <c r="W186" t="s">
        <v>48</v>
      </c>
      <c r="X186" s="2">
        <v>0.375</v>
      </c>
      <c r="Y186" s="6">
        <f t="shared" si="18"/>
        <v>1.0010410827260351E-2</v>
      </c>
      <c r="AA186">
        <v>135194</v>
      </c>
      <c r="AB186">
        <v>24918</v>
      </c>
      <c r="AD186" t="s">
        <v>1</v>
      </c>
      <c r="AE186">
        <v>27</v>
      </c>
      <c r="AF186">
        <v>16</v>
      </c>
      <c r="AI186" t="s">
        <v>528</v>
      </c>
      <c r="AK186" t="s">
        <v>527</v>
      </c>
      <c r="AL186">
        <v>19</v>
      </c>
      <c r="AM186" s="5">
        <f t="shared" si="19"/>
        <v>0.61290322580645162</v>
      </c>
      <c r="AN186" s="4">
        <f t="shared" si="20"/>
        <v>9.2828962636342543E-4</v>
      </c>
      <c r="AO186" s="3"/>
      <c r="AP186">
        <v>0</v>
      </c>
      <c r="AR186" t="s">
        <v>0</v>
      </c>
      <c r="AT186" s="2">
        <v>1.3140000000000001</v>
      </c>
      <c r="AU186" s="1">
        <f t="shared" si="21"/>
        <v>0.72857744669912727</v>
      </c>
      <c r="AV186" s="1">
        <f t="shared" si="22"/>
        <v>0.54693502268118888</v>
      </c>
      <c r="AW186" s="1">
        <f t="shared" si="23"/>
        <v>0.36529259866325026</v>
      </c>
    </row>
    <row r="187" spans="1:49" x14ac:dyDescent="0.2">
      <c r="A187">
        <v>185</v>
      </c>
      <c r="B187" t="s">
        <v>526</v>
      </c>
      <c r="C187" t="s">
        <v>525</v>
      </c>
      <c r="F187" t="s">
        <v>524</v>
      </c>
      <c r="G187" t="s">
        <v>3</v>
      </c>
      <c r="H187" t="s">
        <v>2</v>
      </c>
      <c r="I187" t="s">
        <v>523</v>
      </c>
      <c r="J187">
        <v>60028717</v>
      </c>
      <c r="K187" t="s">
        <v>522</v>
      </c>
      <c r="L187" t="s">
        <v>19</v>
      </c>
      <c r="M187" t="s">
        <v>4</v>
      </c>
      <c r="N187">
        <v>2</v>
      </c>
      <c r="O187" t="s">
        <v>521</v>
      </c>
      <c r="P187" t="s">
        <v>520</v>
      </c>
      <c r="Q187" t="s">
        <v>519</v>
      </c>
      <c r="R187" s="7">
        <v>33451</v>
      </c>
      <c r="S187" s="8">
        <f t="shared" si="16"/>
        <v>1991</v>
      </c>
      <c r="T187" s="8">
        <v>1991</v>
      </c>
      <c r="U187" s="8">
        <f t="shared" si="17"/>
        <v>31</v>
      </c>
      <c r="V187" s="7">
        <v>33451</v>
      </c>
      <c r="W187" t="s">
        <v>195</v>
      </c>
      <c r="X187" s="2">
        <v>1.2529999999999999</v>
      </c>
      <c r="Y187" s="6">
        <f t="shared" si="18"/>
        <v>3.3448119377485916E-2</v>
      </c>
      <c r="AA187">
        <v>320935</v>
      </c>
      <c r="AB187">
        <v>16646</v>
      </c>
      <c r="AC187">
        <v>14322048</v>
      </c>
      <c r="AD187" t="s">
        <v>1</v>
      </c>
      <c r="AE187">
        <v>185</v>
      </c>
      <c r="AF187">
        <v>1</v>
      </c>
      <c r="AH187" t="s">
        <v>155</v>
      </c>
      <c r="AI187" t="s">
        <v>518</v>
      </c>
      <c r="AJ187" t="s">
        <v>517</v>
      </c>
      <c r="AK187" t="s">
        <v>516</v>
      </c>
      <c r="AL187">
        <v>43</v>
      </c>
      <c r="AM187" s="5">
        <f t="shared" si="19"/>
        <v>1.3870967741935485</v>
      </c>
      <c r="AN187" s="4">
        <f t="shared" si="20"/>
        <v>2.1008659965066996E-3</v>
      </c>
      <c r="AO187" s="3"/>
      <c r="AP187">
        <v>0</v>
      </c>
      <c r="AR187" t="s">
        <v>0</v>
      </c>
      <c r="AT187" s="2">
        <v>4.1159999999999997</v>
      </c>
      <c r="AU187" s="1">
        <f t="shared" si="21"/>
        <v>2.4043943363192146</v>
      </c>
      <c r="AV187" s="1">
        <f t="shared" si="22"/>
        <v>1.7774492686996306</v>
      </c>
      <c r="AW187" s="1">
        <f t="shared" si="23"/>
        <v>1.1505042010800464</v>
      </c>
    </row>
    <row r="188" spans="1:49" x14ac:dyDescent="0.2">
      <c r="A188">
        <v>186</v>
      </c>
      <c r="B188" t="s">
        <v>515</v>
      </c>
      <c r="C188" t="s">
        <v>514</v>
      </c>
      <c r="F188" t="s">
        <v>513</v>
      </c>
      <c r="G188" t="s">
        <v>3</v>
      </c>
      <c r="H188" t="s">
        <v>2</v>
      </c>
      <c r="I188" t="s">
        <v>512</v>
      </c>
      <c r="J188">
        <v>60019782</v>
      </c>
      <c r="K188" t="s">
        <v>511</v>
      </c>
      <c r="L188" t="s">
        <v>510</v>
      </c>
      <c r="M188" t="s">
        <v>176</v>
      </c>
      <c r="N188">
        <v>2</v>
      </c>
      <c r="O188" t="s">
        <v>509</v>
      </c>
      <c r="P188" t="s">
        <v>508</v>
      </c>
      <c r="Q188" t="s">
        <v>507</v>
      </c>
      <c r="R188" s="7">
        <v>33451</v>
      </c>
      <c r="S188" s="8">
        <f t="shared" si="16"/>
        <v>1991</v>
      </c>
      <c r="T188" s="8">
        <v>1991</v>
      </c>
      <c r="U188" s="8">
        <f t="shared" si="17"/>
        <v>31</v>
      </c>
      <c r="V188" s="7">
        <v>33451</v>
      </c>
      <c r="W188" t="s">
        <v>195</v>
      </c>
      <c r="X188" s="2">
        <v>1.2529999999999999</v>
      </c>
      <c r="Y188" s="6">
        <f t="shared" si="18"/>
        <v>3.3448119377485916E-2</v>
      </c>
      <c r="AA188">
        <v>320935</v>
      </c>
      <c r="AB188">
        <v>16646</v>
      </c>
      <c r="AC188">
        <v>14322048</v>
      </c>
      <c r="AD188" t="s">
        <v>1</v>
      </c>
      <c r="AE188">
        <v>185</v>
      </c>
      <c r="AF188">
        <v>1</v>
      </c>
      <c r="AH188" t="s">
        <v>506</v>
      </c>
      <c r="AI188" t="s">
        <v>505</v>
      </c>
      <c r="AJ188" t="s">
        <v>504</v>
      </c>
      <c r="AK188" t="s">
        <v>503</v>
      </c>
      <c r="AL188">
        <v>50</v>
      </c>
      <c r="AM188" s="5">
        <f t="shared" si="19"/>
        <v>1.6129032258064515</v>
      </c>
      <c r="AN188" s="4">
        <f t="shared" si="20"/>
        <v>2.4428674377984876E-3</v>
      </c>
      <c r="AO188" s="3"/>
      <c r="AP188">
        <v>0</v>
      </c>
      <c r="AR188" t="s">
        <v>0</v>
      </c>
      <c r="AT188" s="2">
        <v>4.1159999999999997</v>
      </c>
      <c r="AU188" s="1">
        <f t="shared" si="21"/>
        <v>2.4146543795579687</v>
      </c>
      <c r="AV188" s="1">
        <f t="shared" si="22"/>
        <v>1.7945493407642201</v>
      </c>
      <c r="AW188" s="1">
        <f t="shared" si="23"/>
        <v>1.1744443019704716</v>
      </c>
    </row>
    <row r="189" spans="1:49" x14ac:dyDescent="0.2">
      <c r="A189">
        <v>187</v>
      </c>
      <c r="B189" t="s">
        <v>502</v>
      </c>
      <c r="C189" t="s">
        <v>501</v>
      </c>
      <c r="D189" t="s">
        <v>500</v>
      </c>
      <c r="F189" t="s">
        <v>499</v>
      </c>
      <c r="G189" t="s">
        <v>3</v>
      </c>
      <c r="H189" t="s">
        <v>2</v>
      </c>
      <c r="I189" t="s">
        <v>498</v>
      </c>
      <c r="J189" t="s">
        <v>497</v>
      </c>
      <c r="K189" t="s">
        <v>496</v>
      </c>
      <c r="L189" t="s">
        <v>495</v>
      </c>
      <c r="M189" t="s">
        <v>494</v>
      </c>
      <c r="N189">
        <v>5</v>
      </c>
      <c r="O189" t="s">
        <v>493</v>
      </c>
      <c r="P189" t="s">
        <v>492</v>
      </c>
      <c r="Q189" t="s">
        <v>491</v>
      </c>
      <c r="R189" s="7">
        <v>33448</v>
      </c>
      <c r="S189" s="8">
        <f t="shared" si="16"/>
        <v>1991</v>
      </c>
      <c r="T189" s="8">
        <v>1991</v>
      </c>
      <c r="U189" s="8">
        <f t="shared" si="17"/>
        <v>31</v>
      </c>
      <c r="V189" s="7">
        <v>33448</v>
      </c>
      <c r="W189" t="s">
        <v>210</v>
      </c>
      <c r="X189" s="2">
        <v>0.499</v>
      </c>
      <c r="Y189" s="6">
        <f t="shared" si="18"/>
        <v>1.332052000747444E-2</v>
      </c>
      <c r="AA189">
        <v>3759601</v>
      </c>
      <c r="AB189">
        <v>29464</v>
      </c>
      <c r="AD189" t="s">
        <v>1</v>
      </c>
      <c r="AE189">
        <v>157</v>
      </c>
      <c r="AF189" s="9">
        <v>44320</v>
      </c>
      <c r="AH189" t="s">
        <v>490</v>
      </c>
      <c r="AI189" t="s">
        <v>489</v>
      </c>
      <c r="AK189" t="s">
        <v>488</v>
      </c>
      <c r="AL189">
        <v>6</v>
      </c>
      <c r="AM189" s="5">
        <f t="shared" si="19"/>
        <v>0.19354838709677419</v>
      </c>
      <c r="AN189" s="4">
        <f t="shared" si="20"/>
        <v>2.9314409253581854E-4</v>
      </c>
      <c r="AO189" s="3"/>
      <c r="AP189">
        <v>0</v>
      </c>
      <c r="AQ189" t="s">
        <v>487</v>
      </c>
      <c r="AR189" t="s">
        <v>486</v>
      </c>
      <c r="AS189" t="s">
        <v>485</v>
      </c>
      <c r="AT189" s="2">
        <v>2.6539999999999999</v>
      </c>
      <c r="AU189" s="1">
        <f t="shared" si="21"/>
        <v>0.94123072329928537</v>
      </c>
      <c r="AV189" s="1">
        <f t="shared" si="22"/>
        <v>0.68068320500051294</v>
      </c>
      <c r="AW189" s="1">
        <f t="shared" si="23"/>
        <v>0.42013568670174045</v>
      </c>
    </row>
    <row r="190" spans="1:49" x14ac:dyDescent="0.2">
      <c r="A190">
        <v>188</v>
      </c>
      <c r="B190" t="s">
        <v>484</v>
      </c>
      <c r="C190" t="s">
        <v>483</v>
      </c>
      <c r="D190" t="s">
        <v>482</v>
      </c>
      <c r="E190">
        <v>1864357</v>
      </c>
      <c r="F190" t="s">
        <v>481</v>
      </c>
      <c r="G190" t="s">
        <v>3</v>
      </c>
      <c r="H190" t="s">
        <v>2</v>
      </c>
      <c r="I190" t="s">
        <v>480</v>
      </c>
      <c r="J190">
        <v>60011685</v>
      </c>
      <c r="K190" t="s">
        <v>479</v>
      </c>
      <c r="L190" t="s">
        <v>478</v>
      </c>
      <c r="M190" t="s">
        <v>477</v>
      </c>
      <c r="N190">
        <v>2</v>
      </c>
      <c r="O190" t="s">
        <v>476</v>
      </c>
      <c r="P190" t="s">
        <v>475</v>
      </c>
      <c r="Q190" t="s">
        <v>474</v>
      </c>
      <c r="R190" s="7">
        <v>33448</v>
      </c>
      <c r="S190" s="8">
        <f t="shared" si="16"/>
        <v>1991</v>
      </c>
      <c r="T190" s="8">
        <v>1991</v>
      </c>
      <c r="U190" s="8">
        <f t="shared" si="17"/>
        <v>31</v>
      </c>
      <c r="V190" s="7">
        <v>33448</v>
      </c>
      <c r="W190" t="s">
        <v>100</v>
      </c>
      <c r="X190" s="2">
        <v>1.593</v>
      </c>
      <c r="Y190" s="6">
        <f t="shared" si="18"/>
        <v>4.2524225194201973E-2</v>
      </c>
      <c r="AA190">
        <v>145793</v>
      </c>
      <c r="AB190">
        <v>17481</v>
      </c>
      <c r="AD190" t="s">
        <v>1</v>
      </c>
      <c r="AE190">
        <v>286</v>
      </c>
      <c r="AF190" s="9">
        <v>44228</v>
      </c>
      <c r="AH190" t="s">
        <v>97</v>
      </c>
      <c r="AI190" t="s">
        <v>473</v>
      </c>
      <c r="AJ190" t="s">
        <v>472</v>
      </c>
      <c r="AK190" t="s">
        <v>471</v>
      </c>
      <c r="AL190">
        <v>11</v>
      </c>
      <c r="AM190" s="5">
        <f t="shared" si="19"/>
        <v>0.35483870967741937</v>
      </c>
      <c r="AN190" s="4">
        <f t="shared" si="20"/>
        <v>5.3743083631566731E-4</v>
      </c>
      <c r="AO190" s="3"/>
      <c r="AP190">
        <v>1</v>
      </c>
      <c r="AR190" t="s">
        <v>0</v>
      </c>
      <c r="AT190" s="2">
        <v>4.1239999999999997</v>
      </c>
      <c r="AU190" s="1">
        <f t="shared" si="21"/>
        <v>2.9928186886836081</v>
      </c>
      <c r="AV190" s="1">
        <f t="shared" si="22"/>
        <v>2.1530828015258821</v>
      </c>
      <c r="AW190" s="1">
        <f t="shared" si="23"/>
        <v>1.3133469143681558</v>
      </c>
    </row>
    <row r="191" spans="1:49" x14ac:dyDescent="0.2">
      <c r="A191">
        <v>189</v>
      </c>
      <c r="B191" t="s">
        <v>470</v>
      </c>
      <c r="E191">
        <v>1995616</v>
      </c>
      <c r="F191" t="s">
        <v>469</v>
      </c>
      <c r="G191" t="s">
        <v>3</v>
      </c>
      <c r="H191" t="s">
        <v>2</v>
      </c>
      <c r="I191" t="s">
        <v>468</v>
      </c>
      <c r="J191">
        <v>60020413</v>
      </c>
      <c r="K191" t="s">
        <v>467</v>
      </c>
      <c r="L191" t="s">
        <v>11</v>
      </c>
      <c r="M191" t="s">
        <v>10</v>
      </c>
      <c r="N191">
        <v>3</v>
      </c>
      <c r="O191" t="s">
        <v>466</v>
      </c>
      <c r="P191" t="s">
        <v>465</v>
      </c>
      <c r="Q191" t="s">
        <v>464</v>
      </c>
      <c r="R191" s="7">
        <v>33436</v>
      </c>
      <c r="S191" s="8">
        <f t="shared" si="16"/>
        <v>1991</v>
      </c>
      <c r="T191" s="8">
        <v>1991</v>
      </c>
      <c r="U191" s="8">
        <f t="shared" si="17"/>
        <v>31</v>
      </c>
      <c r="V191" s="7">
        <v>1991</v>
      </c>
      <c r="W191" t="s">
        <v>229</v>
      </c>
      <c r="X191" s="2">
        <v>2.3610000000000002</v>
      </c>
      <c r="Y191" s="6">
        <f t="shared" si="18"/>
        <v>6.3025546568431179E-2</v>
      </c>
      <c r="AA191">
        <v>219258</v>
      </c>
      <c r="AB191">
        <v>17592</v>
      </c>
      <c r="AD191" t="s">
        <v>1</v>
      </c>
      <c r="AE191">
        <v>266</v>
      </c>
      <c r="AF191">
        <v>6</v>
      </c>
      <c r="AH191" t="s">
        <v>463</v>
      </c>
      <c r="AI191" t="s">
        <v>462</v>
      </c>
      <c r="AK191" t="s">
        <v>461</v>
      </c>
      <c r="AL191">
        <v>38</v>
      </c>
      <c r="AM191" s="5">
        <f t="shared" si="19"/>
        <v>1.2258064516129032</v>
      </c>
      <c r="AN191" s="4">
        <f t="shared" si="20"/>
        <v>1.8565792527268509E-3</v>
      </c>
      <c r="AO191" s="3"/>
      <c r="AP191">
        <v>0</v>
      </c>
      <c r="AQ191" t="s">
        <v>74</v>
      </c>
      <c r="AR191" t="s">
        <v>460</v>
      </c>
      <c r="AS191" t="s">
        <v>73</v>
      </c>
      <c r="AT191" s="2">
        <v>5.157</v>
      </c>
      <c r="AU191" s="1">
        <f t="shared" si="21"/>
        <v>4.467485637371988</v>
      </c>
      <c r="AV191" s="1">
        <f t="shared" si="22"/>
        <v>3.2441062910579013</v>
      </c>
      <c r="AW191" s="1">
        <f t="shared" si="23"/>
        <v>2.020726944743815</v>
      </c>
    </row>
    <row r="192" spans="1:49" x14ac:dyDescent="0.2">
      <c r="A192">
        <v>190</v>
      </c>
      <c r="B192" t="s">
        <v>459</v>
      </c>
      <c r="C192" t="s">
        <v>458</v>
      </c>
      <c r="F192" t="s">
        <v>457</v>
      </c>
      <c r="G192" t="s">
        <v>3</v>
      </c>
      <c r="H192" t="s">
        <v>2</v>
      </c>
      <c r="I192" t="s">
        <v>456</v>
      </c>
      <c r="J192" t="s">
        <v>451</v>
      </c>
      <c r="K192" t="s">
        <v>455</v>
      </c>
      <c r="L192" t="s">
        <v>454</v>
      </c>
      <c r="M192" t="s">
        <v>95</v>
      </c>
      <c r="N192">
        <v>2</v>
      </c>
      <c r="O192" t="s">
        <v>453</v>
      </c>
      <c r="P192" t="s">
        <v>452</v>
      </c>
      <c r="Q192" t="s">
        <v>451</v>
      </c>
      <c r="R192" s="7">
        <v>33429</v>
      </c>
      <c r="S192" s="8">
        <f t="shared" si="16"/>
        <v>1991</v>
      </c>
      <c r="T192" s="8">
        <v>1991</v>
      </c>
      <c r="U192" s="8">
        <f t="shared" si="17"/>
        <v>31</v>
      </c>
      <c r="V192" s="7">
        <v>33429</v>
      </c>
      <c r="W192" t="s">
        <v>259</v>
      </c>
      <c r="X192" s="2">
        <v>2.3759999999999999</v>
      </c>
      <c r="Y192" s="6">
        <f t="shared" si="18"/>
        <v>6.3425963001521576E-2</v>
      </c>
      <c r="AA192" t="s">
        <v>258</v>
      </c>
      <c r="AB192">
        <v>26765</v>
      </c>
      <c r="AC192">
        <v>15384357</v>
      </c>
      <c r="AD192" t="s">
        <v>1</v>
      </c>
      <c r="AE192">
        <v>375</v>
      </c>
      <c r="AF192">
        <v>2</v>
      </c>
      <c r="AH192" t="s">
        <v>450</v>
      </c>
      <c r="AI192" t="s">
        <v>449</v>
      </c>
      <c r="AJ192" t="s">
        <v>448</v>
      </c>
      <c r="AK192" t="s">
        <v>447</v>
      </c>
      <c r="AL192">
        <v>35</v>
      </c>
      <c r="AM192" s="5">
        <f t="shared" si="19"/>
        <v>1.1290322580645162</v>
      </c>
      <c r="AN192" s="4">
        <f t="shared" si="20"/>
        <v>1.7100072064589417E-3</v>
      </c>
      <c r="AO192" s="3"/>
      <c r="AP192">
        <v>0</v>
      </c>
      <c r="AR192" t="s">
        <v>0</v>
      </c>
      <c r="AT192" s="2">
        <v>5.8739999999999997</v>
      </c>
      <c r="AU192" s="1">
        <f t="shared" si="21"/>
        <v>4.4911176263002783</v>
      </c>
      <c r="AV192" s="1">
        <f t="shared" si="22"/>
        <v>3.256798510399026</v>
      </c>
      <c r="AW192" s="1">
        <f t="shared" si="23"/>
        <v>2.0224793944977733</v>
      </c>
    </row>
    <row r="193" spans="1:49" x14ac:dyDescent="0.2">
      <c r="A193">
        <v>191</v>
      </c>
      <c r="B193" t="s">
        <v>446</v>
      </c>
      <c r="C193" t="s">
        <v>445</v>
      </c>
      <c r="D193" t="s">
        <v>444</v>
      </c>
      <c r="F193" t="s">
        <v>443</v>
      </c>
      <c r="G193" t="s">
        <v>3</v>
      </c>
      <c r="H193" t="s">
        <v>2</v>
      </c>
      <c r="I193" t="s">
        <v>442</v>
      </c>
      <c r="J193">
        <v>60001881</v>
      </c>
      <c r="K193" t="s">
        <v>441</v>
      </c>
      <c r="L193" t="s">
        <v>440</v>
      </c>
      <c r="M193" t="s">
        <v>10</v>
      </c>
      <c r="N193">
        <v>1</v>
      </c>
      <c r="O193" t="s">
        <v>439</v>
      </c>
      <c r="P193">
        <v>7102944615</v>
      </c>
      <c r="Q193">
        <v>60001881</v>
      </c>
      <c r="R193" s="7">
        <v>33424</v>
      </c>
      <c r="S193" s="8">
        <f t="shared" si="16"/>
        <v>1991</v>
      </c>
      <c r="T193" s="8">
        <v>1991</v>
      </c>
      <c r="U193" s="8">
        <f t="shared" si="17"/>
        <v>31</v>
      </c>
      <c r="V193" s="7">
        <v>33424</v>
      </c>
      <c r="W193" t="s">
        <v>228</v>
      </c>
      <c r="X193" s="2">
        <v>1.59</v>
      </c>
      <c r="Y193" s="6">
        <f t="shared" si="18"/>
        <v>4.2444141907583888E-2</v>
      </c>
      <c r="AA193">
        <v>52728</v>
      </c>
      <c r="AB193">
        <v>16791</v>
      </c>
      <c r="AD193" t="s">
        <v>1</v>
      </c>
      <c r="AE193">
        <v>1058</v>
      </c>
      <c r="AF193">
        <v>3</v>
      </c>
      <c r="AH193" t="s">
        <v>438</v>
      </c>
      <c r="AI193" t="s">
        <v>437</v>
      </c>
      <c r="AJ193" t="s">
        <v>436</v>
      </c>
      <c r="AK193" t="s">
        <v>435</v>
      </c>
      <c r="AL193">
        <v>11</v>
      </c>
      <c r="AM193" s="5">
        <f t="shared" si="19"/>
        <v>0.35483870967741937</v>
      </c>
      <c r="AN193" s="4">
        <f t="shared" si="20"/>
        <v>5.3743083631566731E-4</v>
      </c>
      <c r="AO193" s="3"/>
      <c r="AP193">
        <v>0</v>
      </c>
      <c r="AR193" t="s">
        <v>0</v>
      </c>
      <c r="AT193" s="2" t="s">
        <v>5</v>
      </c>
      <c r="AU193" s="1">
        <f t="shared" si="21"/>
        <v>2.9872128586203419</v>
      </c>
      <c r="AV193" s="1">
        <f t="shared" si="22"/>
        <v>2.1490786371949779</v>
      </c>
      <c r="AW193" s="1">
        <f t="shared" si="23"/>
        <v>1.3109444157696131</v>
      </c>
    </row>
    <row r="194" spans="1:49" x14ac:dyDescent="0.2">
      <c r="A194">
        <v>192</v>
      </c>
      <c r="B194" t="s">
        <v>434</v>
      </c>
      <c r="C194" t="s">
        <v>433</v>
      </c>
      <c r="D194" t="s">
        <v>432</v>
      </c>
      <c r="F194" t="s">
        <v>431</v>
      </c>
      <c r="G194" t="s">
        <v>3</v>
      </c>
      <c r="H194" t="s">
        <v>2</v>
      </c>
      <c r="I194" t="s">
        <v>430</v>
      </c>
      <c r="J194">
        <v>60003878</v>
      </c>
      <c r="K194" t="s">
        <v>246</v>
      </c>
      <c r="L194" t="s">
        <v>70</v>
      </c>
      <c r="M194" t="s">
        <v>23</v>
      </c>
      <c r="N194">
        <v>5</v>
      </c>
      <c r="O194" t="s">
        <v>429</v>
      </c>
      <c r="P194" t="s">
        <v>428</v>
      </c>
      <c r="Q194" t="s">
        <v>427</v>
      </c>
      <c r="R194" s="7">
        <v>33424</v>
      </c>
      <c r="S194" s="8">
        <f t="shared" ref="S194:S210" si="24">YEAR(R194)</f>
        <v>1991</v>
      </c>
      <c r="T194" s="8">
        <v>1991</v>
      </c>
      <c r="U194" s="8">
        <f t="shared" ref="U194:U210" si="25">2022-T194</f>
        <v>31</v>
      </c>
      <c r="V194" s="7">
        <v>33424</v>
      </c>
      <c r="W194" t="s">
        <v>228</v>
      </c>
      <c r="X194" s="2">
        <v>1.59</v>
      </c>
      <c r="Y194" s="6">
        <f t="shared" ref="Y194:Y210" si="26">(X194-$Z$4)/($Z$3-$Z$4)</f>
        <v>4.2444141907583888E-2</v>
      </c>
      <c r="AA194">
        <v>52728</v>
      </c>
      <c r="AB194">
        <v>16791</v>
      </c>
      <c r="AD194" t="s">
        <v>1</v>
      </c>
      <c r="AE194">
        <v>1058</v>
      </c>
      <c r="AF194">
        <v>3</v>
      </c>
      <c r="AH194" t="s">
        <v>426</v>
      </c>
      <c r="AI194" t="s">
        <v>425</v>
      </c>
      <c r="AJ194" t="s">
        <v>424</v>
      </c>
      <c r="AK194" t="s">
        <v>423</v>
      </c>
      <c r="AL194">
        <v>15</v>
      </c>
      <c r="AM194" s="5">
        <f t="shared" ref="AM194:AM210" si="27">AL194/U194</f>
        <v>0.4838709677419355</v>
      </c>
      <c r="AN194" s="4">
        <f t="shared" ref="AN194:AN210" si="28">(AM194-$AO$4)/($AO$3-$AO$4)</f>
        <v>7.3286023133954637E-4</v>
      </c>
      <c r="AO194" s="3"/>
      <c r="AP194">
        <v>0</v>
      </c>
      <c r="AQ194" t="s">
        <v>422</v>
      </c>
      <c r="AR194" t="s">
        <v>0</v>
      </c>
      <c r="AS194" t="s">
        <v>421</v>
      </c>
      <c r="AT194" s="2" t="s">
        <v>5</v>
      </c>
      <c r="AU194" s="1">
        <f t="shared" ref="AU194:AU210" si="29">(Y194*0.7+AN194*0.3)*100</f>
        <v>2.9930757404710584</v>
      </c>
      <c r="AV194" s="1">
        <f t="shared" ref="AV194:AV210" si="30">(Y194*0.5+AN194*0.5)*100</f>
        <v>2.1588501069461716</v>
      </c>
      <c r="AW194" s="1">
        <f t="shared" ref="AW194:AW210" si="31">(Y194*0.3+AN194*0.7)*100</f>
        <v>1.3246244734212849</v>
      </c>
    </row>
    <row r="195" spans="1:49" x14ac:dyDescent="0.2">
      <c r="A195">
        <v>193</v>
      </c>
      <c r="B195" t="s">
        <v>420</v>
      </c>
      <c r="C195" t="s">
        <v>419</v>
      </c>
      <c r="D195" t="s">
        <v>418</v>
      </c>
      <c r="F195" t="s">
        <v>417</v>
      </c>
      <c r="G195" t="s">
        <v>3</v>
      </c>
      <c r="H195" t="s">
        <v>2</v>
      </c>
      <c r="I195" t="s">
        <v>416</v>
      </c>
      <c r="J195" t="s">
        <v>415</v>
      </c>
      <c r="K195" t="s">
        <v>414</v>
      </c>
      <c r="L195" t="s">
        <v>413</v>
      </c>
      <c r="M195" t="s">
        <v>412</v>
      </c>
      <c r="N195">
        <v>6</v>
      </c>
      <c r="O195" t="s">
        <v>411</v>
      </c>
      <c r="P195" t="s">
        <v>410</v>
      </c>
      <c r="Q195" t="s">
        <v>409</v>
      </c>
      <c r="R195" s="7">
        <v>33424</v>
      </c>
      <c r="S195" s="8">
        <f t="shared" si="24"/>
        <v>1991</v>
      </c>
      <c r="T195" s="8">
        <v>1991</v>
      </c>
      <c r="U195" s="8">
        <f t="shared" si="25"/>
        <v>31</v>
      </c>
      <c r="V195" s="7">
        <v>33424</v>
      </c>
      <c r="W195" t="s">
        <v>228</v>
      </c>
      <c r="X195" s="2">
        <v>1.59</v>
      </c>
      <c r="Y195" s="6">
        <f t="shared" si="26"/>
        <v>4.2444141907583888E-2</v>
      </c>
      <c r="AA195">
        <v>52728</v>
      </c>
      <c r="AB195">
        <v>16791</v>
      </c>
      <c r="AD195" t="s">
        <v>1</v>
      </c>
      <c r="AE195">
        <v>1058</v>
      </c>
      <c r="AF195">
        <v>3</v>
      </c>
      <c r="AH195" t="s">
        <v>408</v>
      </c>
      <c r="AI195" t="s">
        <v>407</v>
      </c>
      <c r="AJ195" t="s">
        <v>406</v>
      </c>
      <c r="AK195" t="s">
        <v>405</v>
      </c>
      <c r="AL195">
        <v>90</v>
      </c>
      <c r="AM195" s="5">
        <f t="shared" si="27"/>
        <v>2.903225806451613</v>
      </c>
      <c r="AN195" s="4">
        <f t="shared" si="28"/>
        <v>4.3971613880372786E-3</v>
      </c>
      <c r="AO195" s="3"/>
      <c r="AP195">
        <v>0</v>
      </c>
      <c r="AQ195" t="s">
        <v>227</v>
      </c>
      <c r="AR195">
        <v>63044148</v>
      </c>
      <c r="AS195" t="s">
        <v>226</v>
      </c>
      <c r="AT195" s="2" t="s">
        <v>5</v>
      </c>
      <c r="AU195" s="1">
        <f t="shared" si="29"/>
        <v>3.1030047751719905</v>
      </c>
      <c r="AV195" s="1">
        <f t="shared" si="30"/>
        <v>2.3420651647810584</v>
      </c>
      <c r="AW195" s="1">
        <f t="shared" si="31"/>
        <v>1.5811255543901261</v>
      </c>
    </row>
    <row r="196" spans="1:49" x14ac:dyDescent="0.2">
      <c r="A196">
        <v>194</v>
      </c>
      <c r="B196" t="s">
        <v>404</v>
      </c>
      <c r="C196" t="s">
        <v>403</v>
      </c>
      <c r="F196" t="s">
        <v>402</v>
      </c>
      <c r="G196" t="s">
        <v>3</v>
      </c>
      <c r="H196" t="s">
        <v>2</v>
      </c>
      <c r="I196" t="s">
        <v>401</v>
      </c>
      <c r="J196">
        <v>60027021</v>
      </c>
      <c r="K196" t="s">
        <v>400</v>
      </c>
      <c r="L196" t="s">
        <v>84</v>
      </c>
      <c r="M196" t="s">
        <v>83</v>
      </c>
      <c r="N196">
        <v>2</v>
      </c>
      <c r="O196" t="s">
        <v>399</v>
      </c>
      <c r="P196" t="s">
        <v>398</v>
      </c>
      <c r="Q196" t="s">
        <v>397</v>
      </c>
      <c r="R196" s="7">
        <v>33420</v>
      </c>
      <c r="S196" s="8">
        <f t="shared" si="24"/>
        <v>1991</v>
      </c>
      <c r="T196" s="8">
        <v>1991</v>
      </c>
      <c r="U196" s="8">
        <f t="shared" si="25"/>
        <v>31</v>
      </c>
      <c r="V196" s="7">
        <v>33420</v>
      </c>
      <c r="W196" t="s">
        <v>196</v>
      </c>
      <c r="X196" s="2">
        <v>0.11700000000000001</v>
      </c>
      <c r="Y196" s="6">
        <f t="shared" si="26"/>
        <v>3.1232481781052297E-3</v>
      </c>
      <c r="AA196">
        <v>2179822</v>
      </c>
      <c r="AB196">
        <v>5300152612</v>
      </c>
      <c r="AC196">
        <v>19930615</v>
      </c>
      <c r="AD196" t="s">
        <v>1</v>
      </c>
      <c r="AE196">
        <v>8</v>
      </c>
      <c r="AF196">
        <v>3</v>
      </c>
      <c r="AH196" t="s">
        <v>396</v>
      </c>
      <c r="AI196" t="s">
        <v>395</v>
      </c>
      <c r="AJ196" t="s">
        <v>394</v>
      </c>
      <c r="AK196" t="s">
        <v>393</v>
      </c>
      <c r="AL196">
        <v>2</v>
      </c>
      <c r="AM196" s="5">
        <f t="shared" si="27"/>
        <v>6.4516129032258063E-2</v>
      </c>
      <c r="AN196" s="4">
        <f t="shared" si="28"/>
        <v>9.7714697511939517E-5</v>
      </c>
      <c r="AO196" s="3"/>
      <c r="AP196">
        <v>0</v>
      </c>
      <c r="AR196" t="s">
        <v>0</v>
      </c>
      <c r="AT196" s="2" t="s">
        <v>5</v>
      </c>
      <c r="AU196" s="1">
        <f t="shared" si="29"/>
        <v>0.22155881339272426</v>
      </c>
      <c r="AV196" s="1">
        <f t="shared" si="30"/>
        <v>0.16104814378085844</v>
      </c>
      <c r="AW196" s="1">
        <f t="shared" si="31"/>
        <v>0.10053747416899265</v>
      </c>
    </row>
    <row r="197" spans="1:49" x14ac:dyDescent="0.2">
      <c r="A197">
        <v>195</v>
      </c>
      <c r="B197" t="s">
        <v>392</v>
      </c>
      <c r="C197" t="s">
        <v>391</v>
      </c>
      <c r="F197" t="s">
        <v>390</v>
      </c>
      <c r="G197" t="s">
        <v>3</v>
      </c>
      <c r="H197" t="s">
        <v>2</v>
      </c>
      <c r="I197" t="s">
        <v>389</v>
      </c>
      <c r="N197">
        <v>2</v>
      </c>
      <c r="O197" t="s">
        <v>388</v>
      </c>
      <c r="P197" t="s">
        <v>387</v>
      </c>
      <c r="Q197" t="s">
        <v>51</v>
      </c>
      <c r="R197" s="7">
        <v>33420</v>
      </c>
      <c r="S197" s="8">
        <f t="shared" si="24"/>
        <v>1991</v>
      </c>
      <c r="T197" s="8">
        <v>1991</v>
      </c>
      <c r="U197" s="8">
        <f t="shared" si="25"/>
        <v>31</v>
      </c>
      <c r="V197" s="7">
        <v>33420</v>
      </c>
      <c r="W197" t="s">
        <v>219</v>
      </c>
      <c r="X197" s="2">
        <v>0.318</v>
      </c>
      <c r="Y197" s="6">
        <f t="shared" si="26"/>
        <v>8.4888283815167786E-3</v>
      </c>
      <c r="AA197">
        <v>338443</v>
      </c>
      <c r="AB197">
        <v>27160</v>
      </c>
      <c r="AC197">
        <v>15739120</v>
      </c>
      <c r="AD197" t="s">
        <v>1</v>
      </c>
      <c r="AE197">
        <v>34</v>
      </c>
      <c r="AF197">
        <v>7</v>
      </c>
      <c r="AH197" t="s">
        <v>386</v>
      </c>
      <c r="AI197" t="s">
        <v>385</v>
      </c>
      <c r="AK197" t="s">
        <v>384</v>
      </c>
      <c r="AL197">
        <v>0</v>
      </c>
      <c r="AM197" s="5">
        <f t="shared" si="27"/>
        <v>0</v>
      </c>
      <c r="AN197" s="4">
        <f t="shared" si="28"/>
        <v>0</v>
      </c>
      <c r="AO197" s="3"/>
      <c r="AP197">
        <v>0</v>
      </c>
      <c r="AR197" t="s">
        <v>0</v>
      </c>
      <c r="AT197" s="2">
        <v>0.77</v>
      </c>
      <c r="AU197" s="1">
        <f t="shared" si="29"/>
        <v>0.59421798670617454</v>
      </c>
      <c r="AV197" s="1">
        <f t="shared" si="30"/>
        <v>0.42444141907583893</v>
      </c>
      <c r="AW197" s="1">
        <f t="shared" si="31"/>
        <v>0.25466485144550338</v>
      </c>
    </row>
    <row r="198" spans="1:49" x14ac:dyDescent="0.2">
      <c r="A198">
        <v>196</v>
      </c>
      <c r="B198" t="s">
        <v>383</v>
      </c>
      <c r="C198" t="s">
        <v>382</v>
      </c>
      <c r="F198" t="s">
        <v>381</v>
      </c>
      <c r="G198" t="s">
        <v>3</v>
      </c>
      <c r="H198" t="s">
        <v>2</v>
      </c>
      <c r="I198" t="s">
        <v>294</v>
      </c>
      <c r="J198">
        <v>60030718</v>
      </c>
      <c r="K198" t="s">
        <v>293</v>
      </c>
      <c r="L198" t="s">
        <v>92</v>
      </c>
      <c r="M198" t="s">
        <v>4</v>
      </c>
      <c r="N198">
        <v>3</v>
      </c>
      <c r="O198" t="s">
        <v>380</v>
      </c>
      <c r="P198" t="s">
        <v>379</v>
      </c>
      <c r="Q198" t="s">
        <v>378</v>
      </c>
      <c r="R198" s="7">
        <v>33420</v>
      </c>
      <c r="S198" s="8">
        <f t="shared" si="24"/>
        <v>1991</v>
      </c>
      <c r="T198" s="8">
        <v>1991</v>
      </c>
      <c r="U198" s="8">
        <f t="shared" si="25"/>
        <v>31</v>
      </c>
      <c r="V198" s="7">
        <v>33420</v>
      </c>
      <c r="W198" t="s">
        <v>243</v>
      </c>
      <c r="X198" s="2">
        <v>0.51700000000000002</v>
      </c>
      <c r="Y198" s="6">
        <f t="shared" si="26"/>
        <v>1.3801019727182938E-2</v>
      </c>
      <c r="AA198" t="s">
        <v>242</v>
      </c>
      <c r="AB198">
        <v>14981</v>
      </c>
      <c r="AC198" t="s">
        <v>241</v>
      </c>
      <c r="AD198" t="s">
        <v>1</v>
      </c>
      <c r="AE198">
        <v>110</v>
      </c>
      <c r="AF198">
        <v>4</v>
      </c>
      <c r="AH198" t="s">
        <v>377</v>
      </c>
      <c r="AI198" t="s">
        <v>376</v>
      </c>
      <c r="AK198" t="s">
        <v>375</v>
      </c>
      <c r="AL198">
        <v>13</v>
      </c>
      <c r="AM198" s="5">
        <f t="shared" si="27"/>
        <v>0.41935483870967744</v>
      </c>
      <c r="AN198" s="4">
        <f t="shared" si="28"/>
        <v>6.3514553382760684E-4</v>
      </c>
      <c r="AO198" s="3"/>
      <c r="AP198">
        <v>0</v>
      </c>
      <c r="AR198" t="s">
        <v>0</v>
      </c>
      <c r="AT198" s="2">
        <v>1.3260000000000001</v>
      </c>
      <c r="AU198" s="1">
        <f t="shared" si="29"/>
        <v>0.98512574691763388</v>
      </c>
      <c r="AV198" s="1">
        <f t="shared" si="30"/>
        <v>0.72180826305052725</v>
      </c>
      <c r="AW198" s="1">
        <f t="shared" si="31"/>
        <v>0.45849077918342057</v>
      </c>
    </row>
    <row r="199" spans="1:49" x14ac:dyDescent="0.2">
      <c r="A199">
        <v>197</v>
      </c>
      <c r="B199" t="s">
        <v>374</v>
      </c>
      <c r="F199" t="s">
        <v>373</v>
      </c>
      <c r="G199" t="s">
        <v>3</v>
      </c>
      <c r="H199" t="s">
        <v>2</v>
      </c>
      <c r="I199" t="s">
        <v>372</v>
      </c>
      <c r="J199">
        <v>60073446</v>
      </c>
      <c r="K199" t="s">
        <v>365</v>
      </c>
      <c r="L199" t="s">
        <v>84</v>
      </c>
      <c r="M199" t="s">
        <v>83</v>
      </c>
      <c r="N199">
        <v>2</v>
      </c>
      <c r="O199" t="s">
        <v>371</v>
      </c>
      <c r="P199" t="s">
        <v>370</v>
      </c>
      <c r="Q199" t="s">
        <v>362</v>
      </c>
      <c r="R199" s="7">
        <v>33420</v>
      </c>
      <c r="S199" s="8">
        <f t="shared" si="24"/>
        <v>1991</v>
      </c>
      <c r="T199" s="8">
        <v>1991</v>
      </c>
      <c r="U199" s="8">
        <f t="shared" si="25"/>
        <v>31</v>
      </c>
      <c r="V199" s="7">
        <v>33420</v>
      </c>
      <c r="W199" t="s">
        <v>361</v>
      </c>
      <c r="X199" s="2">
        <v>0.182</v>
      </c>
      <c r="Y199" s="6">
        <f t="shared" si="26"/>
        <v>4.8583860548303574E-3</v>
      </c>
      <c r="AA199" t="s">
        <v>360</v>
      </c>
      <c r="AB199">
        <v>15141</v>
      </c>
      <c r="AD199" t="s">
        <v>1</v>
      </c>
      <c r="AE199">
        <v>2</v>
      </c>
      <c r="AF199">
        <v>2</v>
      </c>
      <c r="AH199" t="s">
        <v>175</v>
      </c>
      <c r="AI199" t="s">
        <v>369</v>
      </c>
      <c r="AK199" t="s">
        <v>368</v>
      </c>
      <c r="AL199">
        <v>0</v>
      </c>
      <c r="AM199" s="5">
        <f t="shared" si="27"/>
        <v>0</v>
      </c>
      <c r="AN199" s="4">
        <f t="shared" si="28"/>
        <v>0</v>
      </c>
      <c r="AO199" s="3"/>
      <c r="AP199">
        <v>0</v>
      </c>
      <c r="AR199" t="s">
        <v>0</v>
      </c>
      <c r="AT199" s="2" t="s">
        <v>5</v>
      </c>
      <c r="AU199" s="1">
        <f t="shared" si="29"/>
        <v>0.340087023838125</v>
      </c>
      <c r="AV199" s="1">
        <f t="shared" si="30"/>
        <v>0.24291930274151788</v>
      </c>
      <c r="AW199" s="1">
        <f t="shared" si="31"/>
        <v>0.14575158164491073</v>
      </c>
    </row>
    <row r="200" spans="1:49" x14ac:dyDescent="0.2">
      <c r="A200">
        <v>198</v>
      </c>
      <c r="B200" t="s">
        <v>367</v>
      </c>
      <c r="F200" t="s">
        <v>366</v>
      </c>
      <c r="G200" t="s">
        <v>3</v>
      </c>
      <c r="H200" t="s">
        <v>2</v>
      </c>
      <c r="I200" t="s">
        <v>172</v>
      </c>
      <c r="J200">
        <v>60073446</v>
      </c>
      <c r="K200" t="s">
        <v>365</v>
      </c>
      <c r="L200" t="s">
        <v>84</v>
      </c>
      <c r="M200" t="s">
        <v>83</v>
      </c>
      <c r="N200">
        <v>2</v>
      </c>
      <c r="O200" t="s">
        <v>364</v>
      </c>
      <c r="P200" t="s">
        <v>363</v>
      </c>
      <c r="Q200" t="s">
        <v>362</v>
      </c>
      <c r="R200" s="7">
        <v>33420</v>
      </c>
      <c r="S200" s="8">
        <f t="shared" si="24"/>
        <v>1991</v>
      </c>
      <c r="T200" s="8">
        <v>1991</v>
      </c>
      <c r="U200" s="8">
        <f t="shared" si="25"/>
        <v>31</v>
      </c>
      <c r="V200" s="7">
        <v>33420</v>
      </c>
      <c r="W200" t="s">
        <v>361</v>
      </c>
      <c r="X200" s="2">
        <v>0.182</v>
      </c>
      <c r="Y200" s="6">
        <f t="shared" si="26"/>
        <v>4.8583860548303574E-3</v>
      </c>
      <c r="AA200" t="s">
        <v>360</v>
      </c>
      <c r="AB200">
        <v>15141</v>
      </c>
      <c r="AD200" t="s">
        <v>1</v>
      </c>
      <c r="AE200">
        <v>2</v>
      </c>
      <c r="AF200">
        <v>2</v>
      </c>
      <c r="AH200" t="s">
        <v>359</v>
      </c>
      <c r="AI200" t="s">
        <v>358</v>
      </c>
      <c r="AK200" t="s">
        <v>357</v>
      </c>
      <c r="AL200">
        <v>0</v>
      </c>
      <c r="AM200" s="5">
        <f t="shared" si="27"/>
        <v>0</v>
      </c>
      <c r="AN200" s="4">
        <f t="shared" si="28"/>
        <v>0</v>
      </c>
      <c r="AO200" s="3"/>
      <c r="AP200">
        <v>0</v>
      </c>
      <c r="AR200" t="s">
        <v>0</v>
      </c>
      <c r="AT200" s="2" t="s">
        <v>5</v>
      </c>
      <c r="AU200" s="1">
        <f t="shared" si="29"/>
        <v>0.340087023838125</v>
      </c>
      <c r="AV200" s="1">
        <f t="shared" si="30"/>
        <v>0.24291930274151788</v>
      </c>
      <c r="AW200" s="1">
        <f t="shared" si="31"/>
        <v>0.14575158164491073</v>
      </c>
    </row>
    <row r="201" spans="1:49" x14ac:dyDescent="0.2">
      <c r="A201">
        <v>199</v>
      </c>
      <c r="B201" t="s">
        <v>356</v>
      </c>
      <c r="F201" t="s">
        <v>355</v>
      </c>
      <c r="G201" t="s">
        <v>3</v>
      </c>
      <c r="H201" t="s">
        <v>2</v>
      </c>
      <c r="I201" t="s">
        <v>354</v>
      </c>
      <c r="J201">
        <v>60001989</v>
      </c>
      <c r="K201" t="s">
        <v>353</v>
      </c>
      <c r="L201" t="s">
        <v>108</v>
      </c>
      <c r="M201" t="s">
        <v>6</v>
      </c>
      <c r="N201">
        <v>2</v>
      </c>
      <c r="O201" t="s">
        <v>352</v>
      </c>
      <c r="P201" t="s">
        <v>351</v>
      </c>
      <c r="Q201" t="s">
        <v>350</v>
      </c>
      <c r="R201" s="7">
        <v>33420</v>
      </c>
      <c r="S201" s="8">
        <f t="shared" si="24"/>
        <v>1991</v>
      </c>
      <c r="T201" s="8">
        <v>1991</v>
      </c>
      <c r="U201" s="8">
        <f t="shared" si="25"/>
        <v>31</v>
      </c>
      <c r="V201" s="7">
        <v>33420</v>
      </c>
      <c r="W201" t="s">
        <v>349</v>
      </c>
      <c r="X201" s="2" t="s">
        <v>5</v>
      </c>
      <c r="Y201" s="6" t="e">
        <f t="shared" si="26"/>
        <v>#VALUE!</v>
      </c>
      <c r="AA201">
        <v>12351</v>
      </c>
      <c r="AB201">
        <v>15776</v>
      </c>
      <c r="AD201" t="s">
        <v>1</v>
      </c>
      <c r="AE201">
        <v>34</v>
      </c>
      <c r="AF201">
        <v>4</v>
      </c>
      <c r="AH201" t="s">
        <v>348</v>
      </c>
      <c r="AI201" t="s">
        <v>347</v>
      </c>
      <c r="AK201" t="s">
        <v>346</v>
      </c>
      <c r="AL201">
        <v>31</v>
      </c>
      <c r="AM201" s="5">
        <f t="shared" si="27"/>
        <v>1</v>
      </c>
      <c r="AN201" s="4">
        <f t="shared" si="28"/>
        <v>1.5145778114350624E-3</v>
      </c>
      <c r="AO201" s="3"/>
      <c r="AP201">
        <v>0</v>
      </c>
      <c r="AR201" t="s">
        <v>0</v>
      </c>
      <c r="AT201" s="2" t="s">
        <v>5</v>
      </c>
      <c r="AU201" s="1" t="e">
        <f t="shared" si="29"/>
        <v>#VALUE!</v>
      </c>
      <c r="AV201" s="1" t="e">
        <f t="shared" si="30"/>
        <v>#VALUE!</v>
      </c>
      <c r="AW201" s="1" t="e">
        <f t="shared" si="31"/>
        <v>#VALUE!</v>
      </c>
    </row>
    <row r="202" spans="1:49" x14ac:dyDescent="0.2">
      <c r="A202">
        <v>200</v>
      </c>
      <c r="B202" t="s">
        <v>345</v>
      </c>
      <c r="F202" t="s">
        <v>344</v>
      </c>
      <c r="G202" t="s">
        <v>3</v>
      </c>
      <c r="H202" t="s">
        <v>2</v>
      </c>
      <c r="I202" t="s">
        <v>343</v>
      </c>
      <c r="J202">
        <v>100418968</v>
      </c>
      <c r="K202" t="s">
        <v>342</v>
      </c>
      <c r="N202">
        <v>1</v>
      </c>
      <c r="O202" t="s">
        <v>341</v>
      </c>
      <c r="P202">
        <v>57220376879</v>
      </c>
      <c r="Q202">
        <v>100418968</v>
      </c>
      <c r="R202" s="7">
        <v>33420</v>
      </c>
      <c r="S202" s="8">
        <f t="shared" si="24"/>
        <v>1991</v>
      </c>
      <c r="T202" s="8">
        <v>1991</v>
      </c>
      <c r="U202" s="8">
        <f t="shared" si="25"/>
        <v>31</v>
      </c>
      <c r="V202" s="7">
        <v>33420</v>
      </c>
      <c r="W202" t="s">
        <v>340</v>
      </c>
      <c r="X202" s="2" t="s">
        <v>5</v>
      </c>
      <c r="Y202" s="6" t="e">
        <f t="shared" si="26"/>
        <v>#VALUE!</v>
      </c>
      <c r="AA202" t="s">
        <v>339</v>
      </c>
      <c r="AB202">
        <v>98007</v>
      </c>
      <c r="AD202" t="s">
        <v>1</v>
      </c>
      <c r="AE202">
        <v>24</v>
      </c>
      <c r="AF202">
        <v>4</v>
      </c>
      <c r="AH202" t="s">
        <v>338</v>
      </c>
      <c r="AI202" t="s">
        <v>337</v>
      </c>
      <c r="AK202" t="s">
        <v>336</v>
      </c>
      <c r="AL202">
        <v>0</v>
      </c>
      <c r="AM202" s="5">
        <f t="shared" si="27"/>
        <v>0</v>
      </c>
      <c r="AN202" s="4">
        <f t="shared" si="28"/>
        <v>0</v>
      </c>
      <c r="AO202" s="3"/>
      <c r="AP202">
        <v>0</v>
      </c>
      <c r="AR202" t="s">
        <v>0</v>
      </c>
      <c r="AT202" s="2" t="s">
        <v>5</v>
      </c>
      <c r="AU202" s="1" t="e">
        <f t="shared" si="29"/>
        <v>#VALUE!</v>
      </c>
      <c r="AV202" s="1" t="e">
        <f t="shared" si="30"/>
        <v>#VALUE!</v>
      </c>
      <c r="AW202" s="1" t="e">
        <f t="shared" si="31"/>
        <v>#VALUE!</v>
      </c>
    </row>
    <row r="203" spans="1:49" x14ac:dyDescent="0.2">
      <c r="A203">
        <v>201</v>
      </c>
      <c r="B203" t="s">
        <v>335</v>
      </c>
      <c r="F203" t="s">
        <v>334</v>
      </c>
      <c r="G203" t="s">
        <v>3</v>
      </c>
      <c r="H203" t="s">
        <v>2</v>
      </c>
      <c r="I203" t="s">
        <v>333</v>
      </c>
      <c r="N203">
        <v>1</v>
      </c>
      <c r="O203" t="s">
        <v>332</v>
      </c>
      <c r="P203">
        <v>6603590056</v>
      </c>
      <c r="R203" s="7">
        <v>33420</v>
      </c>
      <c r="S203" s="8">
        <f t="shared" si="24"/>
        <v>1991</v>
      </c>
      <c r="T203" s="8">
        <v>1991</v>
      </c>
      <c r="U203" s="8">
        <f t="shared" si="25"/>
        <v>31</v>
      </c>
      <c r="V203" s="7">
        <v>33420</v>
      </c>
      <c r="W203" t="s">
        <v>231</v>
      </c>
      <c r="X203" s="2">
        <v>0.10100000000000001</v>
      </c>
      <c r="Y203" s="6">
        <f t="shared" si="26"/>
        <v>2.6961373161421215E-3</v>
      </c>
      <c r="AA203">
        <v>7452993</v>
      </c>
      <c r="AB203">
        <v>18563</v>
      </c>
      <c r="AD203" t="s">
        <v>1</v>
      </c>
      <c r="AE203">
        <v>30</v>
      </c>
      <c r="AF203">
        <v>7</v>
      </c>
      <c r="AI203" t="s">
        <v>331</v>
      </c>
      <c r="AK203" t="s">
        <v>330</v>
      </c>
      <c r="AL203">
        <v>0</v>
      </c>
      <c r="AM203" s="5">
        <f t="shared" si="27"/>
        <v>0</v>
      </c>
      <c r="AN203" s="4">
        <f t="shared" si="28"/>
        <v>0</v>
      </c>
      <c r="AO203" s="3"/>
      <c r="AP203">
        <v>0</v>
      </c>
      <c r="AR203" t="s">
        <v>0</v>
      </c>
      <c r="AT203" s="2" t="s">
        <v>5</v>
      </c>
      <c r="AU203" s="1">
        <f t="shared" si="29"/>
        <v>0.18872961212994849</v>
      </c>
      <c r="AV203" s="1">
        <f t="shared" si="30"/>
        <v>0.13480686580710607</v>
      </c>
      <c r="AW203" s="1">
        <f t="shared" si="31"/>
        <v>8.0884119484263647E-2</v>
      </c>
    </row>
    <row r="204" spans="1:49" x14ac:dyDescent="0.2">
      <c r="A204">
        <v>202</v>
      </c>
      <c r="B204" t="s">
        <v>329</v>
      </c>
      <c r="F204" t="s">
        <v>328</v>
      </c>
      <c r="G204" t="s">
        <v>3</v>
      </c>
      <c r="H204" t="s">
        <v>2</v>
      </c>
      <c r="I204" t="s">
        <v>327</v>
      </c>
      <c r="J204">
        <v>60072180</v>
      </c>
      <c r="K204" t="s">
        <v>326</v>
      </c>
      <c r="L204" t="s">
        <v>19</v>
      </c>
      <c r="M204" t="s">
        <v>4</v>
      </c>
      <c r="N204">
        <v>1</v>
      </c>
      <c r="O204" t="s">
        <v>325</v>
      </c>
      <c r="P204">
        <v>6507855801</v>
      </c>
      <c r="Q204">
        <v>60072180</v>
      </c>
      <c r="R204" s="7">
        <v>33420</v>
      </c>
      <c r="S204" s="8">
        <f t="shared" si="24"/>
        <v>1991</v>
      </c>
      <c r="T204" s="8">
        <v>1991</v>
      </c>
      <c r="U204" s="8">
        <f t="shared" si="25"/>
        <v>31</v>
      </c>
      <c r="V204" s="7">
        <v>33420</v>
      </c>
      <c r="W204" t="s">
        <v>324</v>
      </c>
      <c r="X204" s="2" t="s">
        <v>5</v>
      </c>
      <c r="Y204" s="6" t="e">
        <f t="shared" si="26"/>
        <v>#VALUE!</v>
      </c>
      <c r="AA204">
        <v>1731734</v>
      </c>
      <c r="AB204">
        <v>98010</v>
      </c>
      <c r="AD204" t="s">
        <v>1</v>
      </c>
      <c r="AE204">
        <v>26</v>
      </c>
      <c r="AF204">
        <v>3</v>
      </c>
      <c r="AH204" t="s">
        <v>323</v>
      </c>
      <c r="AI204" t="s">
        <v>322</v>
      </c>
      <c r="AK204" t="s">
        <v>321</v>
      </c>
      <c r="AL204">
        <v>0</v>
      </c>
      <c r="AM204" s="5">
        <f t="shared" si="27"/>
        <v>0</v>
      </c>
      <c r="AN204" s="4">
        <f t="shared" si="28"/>
        <v>0</v>
      </c>
      <c r="AO204" s="3"/>
      <c r="AP204">
        <v>0</v>
      </c>
      <c r="AR204" t="s">
        <v>0</v>
      </c>
      <c r="AT204" s="2" t="s">
        <v>5</v>
      </c>
      <c r="AU204" s="1" t="e">
        <f t="shared" si="29"/>
        <v>#VALUE!</v>
      </c>
      <c r="AV204" s="1" t="e">
        <f t="shared" si="30"/>
        <v>#VALUE!</v>
      </c>
      <c r="AW204" s="1" t="e">
        <f t="shared" si="31"/>
        <v>#VALUE!</v>
      </c>
    </row>
    <row r="205" spans="1:49" x14ac:dyDescent="0.2">
      <c r="A205">
        <v>203</v>
      </c>
      <c r="B205" t="s">
        <v>320</v>
      </c>
      <c r="F205" t="s">
        <v>319</v>
      </c>
      <c r="G205" t="s">
        <v>3</v>
      </c>
      <c r="H205" t="s">
        <v>2</v>
      </c>
      <c r="I205" t="s">
        <v>318</v>
      </c>
      <c r="N205">
        <v>2</v>
      </c>
      <c r="O205" t="s">
        <v>317</v>
      </c>
      <c r="P205" t="s">
        <v>316</v>
      </c>
      <c r="Q205" t="s">
        <v>51</v>
      </c>
      <c r="R205" s="7">
        <v>33420</v>
      </c>
      <c r="S205" s="8">
        <f t="shared" si="24"/>
        <v>1991</v>
      </c>
      <c r="T205" s="8">
        <v>1991</v>
      </c>
      <c r="U205" s="8">
        <f t="shared" si="25"/>
        <v>31</v>
      </c>
      <c r="V205" s="7">
        <v>33420</v>
      </c>
      <c r="W205" t="s">
        <v>96</v>
      </c>
      <c r="X205" s="2">
        <v>0.14099999999999999</v>
      </c>
      <c r="Y205" s="6">
        <f t="shared" si="26"/>
        <v>3.7639144710498915E-3</v>
      </c>
      <c r="AA205">
        <v>402508</v>
      </c>
      <c r="AB205">
        <v>20868</v>
      </c>
      <c r="AD205" t="s">
        <v>1</v>
      </c>
      <c r="AE205">
        <v>46</v>
      </c>
      <c r="AF205">
        <v>7</v>
      </c>
      <c r="AH205" t="s">
        <v>315</v>
      </c>
      <c r="AI205" t="s">
        <v>314</v>
      </c>
      <c r="AK205" t="s">
        <v>313</v>
      </c>
      <c r="AL205">
        <v>0</v>
      </c>
      <c r="AM205" s="5">
        <f t="shared" si="27"/>
        <v>0</v>
      </c>
      <c r="AN205" s="4">
        <f t="shared" si="28"/>
        <v>0</v>
      </c>
      <c r="AO205" s="3"/>
      <c r="AP205">
        <v>0</v>
      </c>
      <c r="AR205" t="s">
        <v>0</v>
      </c>
      <c r="AT205" s="2" t="s">
        <v>5</v>
      </c>
      <c r="AU205" s="1">
        <f t="shared" si="29"/>
        <v>0.26347401297349238</v>
      </c>
      <c r="AV205" s="1">
        <f t="shared" si="30"/>
        <v>0.18819572355249459</v>
      </c>
      <c r="AW205" s="1">
        <f t="shared" si="31"/>
        <v>0.11291743413149673</v>
      </c>
    </row>
    <row r="206" spans="1:49" x14ac:dyDescent="0.2">
      <c r="A206">
        <v>204</v>
      </c>
      <c r="B206" t="s">
        <v>312</v>
      </c>
      <c r="F206" t="s">
        <v>311</v>
      </c>
      <c r="G206" t="s">
        <v>3</v>
      </c>
      <c r="H206" t="s">
        <v>2</v>
      </c>
      <c r="I206" t="s">
        <v>310</v>
      </c>
      <c r="N206">
        <v>1</v>
      </c>
      <c r="O206" t="s">
        <v>309</v>
      </c>
      <c r="P206">
        <v>6602209365</v>
      </c>
      <c r="R206" s="7">
        <v>33420</v>
      </c>
      <c r="S206" s="8">
        <f t="shared" si="24"/>
        <v>1991</v>
      </c>
      <c r="T206" s="8">
        <v>1991</v>
      </c>
      <c r="U206" s="8">
        <f t="shared" si="25"/>
        <v>31</v>
      </c>
      <c r="V206" s="7">
        <v>33420</v>
      </c>
      <c r="W206" t="s">
        <v>96</v>
      </c>
      <c r="X206" s="2">
        <v>0.14099999999999999</v>
      </c>
      <c r="Y206" s="6">
        <f t="shared" si="26"/>
        <v>3.7639144710498915E-3</v>
      </c>
      <c r="AA206">
        <v>402508</v>
      </c>
      <c r="AB206">
        <v>20868</v>
      </c>
      <c r="AD206" t="s">
        <v>1</v>
      </c>
      <c r="AE206">
        <v>46</v>
      </c>
      <c r="AF206">
        <v>7</v>
      </c>
      <c r="AH206" t="s">
        <v>308</v>
      </c>
      <c r="AI206" t="s">
        <v>307</v>
      </c>
      <c r="AK206" t="s">
        <v>306</v>
      </c>
      <c r="AL206">
        <v>0</v>
      </c>
      <c r="AM206" s="5">
        <f t="shared" si="27"/>
        <v>0</v>
      </c>
      <c r="AN206" s="4">
        <f t="shared" si="28"/>
        <v>0</v>
      </c>
      <c r="AO206" s="3"/>
      <c r="AP206">
        <v>0</v>
      </c>
      <c r="AR206" t="s">
        <v>0</v>
      </c>
      <c r="AT206" s="2" t="s">
        <v>5</v>
      </c>
      <c r="AU206" s="1">
        <f t="shared" si="29"/>
        <v>0.26347401297349238</v>
      </c>
      <c r="AV206" s="1">
        <f t="shared" si="30"/>
        <v>0.18819572355249459</v>
      </c>
      <c r="AW206" s="1">
        <f t="shared" si="31"/>
        <v>0.11291743413149673</v>
      </c>
    </row>
    <row r="207" spans="1:49" x14ac:dyDescent="0.2">
      <c r="A207">
        <v>205</v>
      </c>
      <c r="B207" t="s">
        <v>305</v>
      </c>
      <c r="F207" t="s">
        <v>304</v>
      </c>
      <c r="G207" t="s">
        <v>3</v>
      </c>
      <c r="H207" t="s">
        <v>2</v>
      </c>
      <c r="I207" t="s">
        <v>303</v>
      </c>
      <c r="N207">
        <v>2</v>
      </c>
      <c r="O207" t="s">
        <v>302</v>
      </c>
      <c r="P207" t="s">
        <v>301</v>
      </c>
      <c r="Q207" t="s">
        <v>51</v>
      </c>
      <c r="R207" s="7">
        <v>33420</v>
      </c>
      <c r="S207" s="8">
        <f t="shared" si="24"/>
        <v>1991</v>
      </c>
      <c r="T207" s="8">
        <v>1991</v>
      </c>
      <c r="U207" s="8">
        <f t="shared" si="25"/>
        <v>31</v>
      </c>
      <c r="V207" s="7">
        <v>33420</v>
      </c>
      <c r="W207" t="s">
        <v>96</v>
      </c>
      <c r="X207" s="2">
        <v>0.14099999999999999</v>
      </c>
      <c r="Y207" s="6">
        <f t="shared" si="26"/>
        <v>3.7639144710498915E-3</v>
      </c>
      <c r="AA207">
        <v>402508</v>
      </c>
      <c r="AB207">
        <v>20868</v>
      </c>
      <c r="AD207" t="s">
        <v>1</v>
      </c>
      <c r="AE207">
        <v>46</v>
      </c>
      <c r="AF207">
        <v>7</v>
      </c>
      <c r="AH207" t="s">
        <v>300</v>
      </c>
      <c r="AI207" t="s">
        <v>299</v>
      </c>
      <c r="AK207" t="s">
        <v>298</v>
      </c>
      <c r="AL207">
        <v>0</v>
      </c>
      <c r="AM207" s="5">
        <f t="shared" si="27"/>
        <v>0</v>
      </c>
      <c r="AN207" s="4">
        <f t="shared" si="28"/>
        <v>0</v>
      </c>
      <c r="AO207" s="3"/>
      <c r="AP207">
        <v>0</v>
      </c>
      <c r="AR207" t="s">
        <v>0</v>
      </c>
      <c r="AT207" s="2" t="s">
        <v>5</v>
      </c>
      <c r="AU207" s="1">
        <f t="shared" si="29"/>
        <v>0.26347401297349238</v>
      </c>
      <c r="AV207" s="1">
        <f t="shared" si="30"/>
        <v>0.18819572355249459</v>
      </c>
      <c r="AW207" s="1">
        <f t="shared" si="31"/>
        <v>0.11291743413149673</v>
      </c>
    </row>
    <row r="208" spans="1:49" x14ac:dyDescent="0.2">
      <c r="A208">
        <v>206</v>
      </c>
      <c r="B208" t="s">
        <v>297</v>
      </c>
      <c r="C208" t="s">
        <v>296</v>
      </c>
      <c r="F208" t="s">
        <v>295</v>
      </c>
      <c r="G208" t="s">
        <v>3</v>
      </c>
      <c r="H208" t="s">
        <v>2</v>
      </c>
      <c r="I208" t="s">
        <v>294</v>
      </c>
      <c r="J208">
        <v>60030718</v>
      </c>
      <c r="K208" t="s">
        <v>293</v>
      </c>
      <c r="L208" t="s">
        <v>92</v>
      </c>
      <c r="M208" t="s">
        <v>4</v>
      </c>
      <c r="N208">
        <v>4</v>
      </c>
      <c r="O208" t="s">
        <v>292</v>
      </c>
      <c r="P208" t="s">
        <v>291</v>
      </c>
      <c r="Q208" t="s">
        <v>290</v>
      </c>
      <c r="R208" s="7">
        <v>33420</v>
      </c>
      <c r="S208" s="8">
        <f t="shared" si="24"/>
        <v>1991</v>
      </c>
      <c r="T208" s="8">
        <v>1991</v>
      </c>
      <c r="U208" s="8">
        <f t="shared" si="25"/>
        <v>31</v>
      </c>
      <c r="V208" s="7">
        <v>33420</v>
      </c>
      <c r="W208" t="s">
        <v>289</v>
      </c>
      <c r="X208" s="2">
        <v>1.64</v>
      </c>
      <c r="Y208" s="6">
        <f t="shared" si="26"/>
        <v>4.3778863351218597E-2</v>
      </c>
      <c r="AA208" t="s">
        <v>288</v>
      </c>
      <c r="AB208">
        <v>18446</v>
      </c>
      <c r="AC208">
        <v>14320878</v>
      </c>
      <c r="AD208" t="s">
        <v>1</v>
      </c>
      <c r="AE208">
        <v>265</v>
      </c>
      <c r="AF208">
        <v>1</v>
      </c>
      <c r="AH208" t="s">
        <v>287</v>
      </c>
      <c r="AI208" t="s">
        <v>286</v>
      </c>
      <c r="AJ208" t="s">
        <v>285</v>
      </c>
      <c r="AK208" t="s">
        <v>284</v>
      </c>
      <c r="AL208">
        <v>9</v>
      </c>
      <c r="AM208" s="5">
        <f t="shared" si="27"/>
        <v>0.29032258064516131</v>
      </c>
      <c r="AN208" s="4">
        <f t="shared" si="28"/>
        <v>4.3971613880372783E-4</v>
      </c>
      <c r="AO208" s="3"/>
      <c r="AP208">
        <v>0</v>
      </c>
      <c r="AR208" t="s">
        <v>0</v>
      </c>
      <c r="AT208" s="2">
        <v>5.2489999999999997</v>
      </c>
      <c r="AU208" s="1">
        <f t="shared" si="29"/>
        <v>3.0777119187494133</v>
      </c>
      <c r="AV208" s="1">
        <f t="shared" si="30"/>
        <v>2.2109289745011163</v>
      </c>
      <c r="AW208" s="1">
        <f t="shared" si="31"/>
        <v>1.3441460302528188</v>
      </c>
    </row>
    <row r="209" spans="1:49" x14ac:dyDescent="0.2">
      <c r="A209">
        <v>207</v>
      </c>
      <c r="B209" t="s">
        <v>283</v>
      </c>
      <c r="C209" t="s">
        <v>282</v>
      </c>
      <c r="E209">
        <v>1649634</v>
      </c>
      <c r="F209" t="s">
        <v>281</v>
      </c>
      <c r="G209" t="s">
        <v>3</v>
      </c>
      <c r="H209" t="s">
        <v>2</v>
      </c>
      <c r="I209" t="s">
        <v>280</v>
      </c>
      <c r="J209" t="s">
        <v>279</v>
      </c>
      <c r="K209" t="s">
        <v>278</v>
      </c>
      <c r="L209" t="s">
        <v>277</v>
      </c>
      <c r="M209" t="s">
        <v>75</v>
      </c>
      <c r="N209">
        <v>5</v>
      </c>
      <c r="O209" t="s">
        <v>276</v>
      </c>
      <c r="P209" t="s">
        <v>275</v>
      </c>
      <c r="Q209" t="s">
        <v>274</v>
      </c>
      <c r="R209" s="7">
        <v>33420</v>
      </c>
      <c r="S209" s="8">
        <f t="shared" si="24"/>
        <v>1991</v>
      </c>
      <c r="T209" s="8">
        <v>1991</v>
      </c>
      <c r="U209" s="8">
        <f t="shared" si="25"/>
        <v>31</v>
      </c>
      <c r="V209" s="7">
        <v>33420</v>
      </c>
      <c r="W209" t="s">
        <v>251</v>
      </c>
      <c r="X209" s="2">
        <v>1.43</v>
      </c>
      <c r="Y209" s="6">
        <f t="shared" si="26"/>
        <v>3.8173033287952803E-2</v>
      </c>
      <c r="AA209">
        <v>62960</v>
      </c>
      <c r="AB209">
        <v>16867</v>
      </c>
      <c r="AC209">
        <v>15204995</v>
      </c>
      <c r="AD209" t="s">
        <v>1</v>
      </c>
      <c r="AE209">
        <v>30</v>
      </c>
      <c r="AF209">
        <v>30</v>
      </c>
      <c r="AH209" t="s">
        <v>273</v>
      </c>
      <c r="AI209" t="s">
        <v>272</v>
      </c>
      <c r="AK209" t="s">
        <v>271</v>
      </c>
      <c r="AL209">
        <v>87</v>
      </c>
      <c r="AM209" s="5">
        <f t="shared" si="27"/>
        <v>2.806451612903226</v>
      </c>
      <c r="AN209" s="4">
        <f t="shared" si="28"/>
        <v>4.2505893417693688E-3</v>
      </c>
      <c r="AO209" s="3"/>
      <c r="AP209">
        <v>0</v>
      </c>
      <c r="AR209" t="s">
        <v>0</v>
      </c>
      <c r="AT209" s="2">
        <v>3.1619999999999999</v>
      </c>
      <c r="AU209" s="1">
        <f t="shared" si="29"/>
        <v>2.7996300104097775</v>
      </c>
      <c r="AV209" s="1">
        <f t="shared" si="30"/>
        <v>2.1211811314861087</v>
      </c>
      <c r="AW209" s="1">
        <f t="shared" si="31"/>
        <v>1.44273225256244</v>
      </c>
    </row>
    <row r="210" spans="1:49" x14ac:dyDescent="0.2">
      <c r="A210">
        <v>208</v>
      </c>
      <c r="B210" t="s">
        <v>270</v>
      </c>
      <c r="C210" t="s">
        <v>269</v>
      </c>
      <c r="F210" t="s">
        <v>268</v>
      </c>
      <c r="G210" t="s">
        <v>3</v>
      </c>
      <c r="H210" t="s">
        <v>2</v>
      </c>
      <c r="I210" t="s">
        <v>267</v>
      </c>
      <c r="J210">
        <v>60007776</v>
      </c>
      <c r="K210" t="s">
        <v>128</v>
      </c>
      <c r="L210" t="s">
        <v>127</v>
      </c>
      <c r="M210" t="s">
        <v>6</v>
      </c>
      <c r="N210">
        <v>2</v>
      </c>
      <c r="O210" t="s">
        <v>266</v>
      </c>
      <c r="P210" t="s">
        <v>265</v>
      </c>
      <c r="Q210" t="s">
        <v>126</v>
      </c>
      <c r="R210" s="7">
        <v>33420</v>
      </c>
      <c r="S210" s="8">
        <f t="shared" si="24"/>
        <v>1991</v>
      </c>
      <c r="T210" s="8">
        <v>1991</v>
      </c>
      <c r="U210" s="8">
        <f t="shared" si="25"/>
        <v>31</v>
      </c>
      <c r="V210" s="7">
        <v>33420</v>
      </c>
      <c r="W210" t="s">
        <v>28</v>
      </c>
      <c r="X210" s="2">
        <v>1.1579999999999999</v>
      </c>
      <c r="Y210" s="6">
        <f t="shared" si="26"/>
        <v>3.0912148634579962E-2</v>
      </c>
      <c r="AA210">
        <v>1668595</v>
      </c>
      <c r="AB210">
        <v>14223</v>
      </c>
      <c r="AC210">
        <v>15735079</v>
      </c>
      <c r="AD210" t="s">
        <v>1</v>
      </c>
      <c r="AE210">
        <v>29</v>
      </c>
      <c r="AF210">
        <v>1</v>
      </c>
      <c r="AH210" t="s">
        <v>264</v>
      </c>
      <c r="AI210" t="s">
        <v>263</v>
      </c>
      <c r="AJ210" t="s">
        <v>262</v>
      </c>
      <c r="AK210" t="s">
        <v>261</v>
      </c>
      <c r="AL210">
        <v>9</v>
      </c>
      <c r="AM210" s="5">
        <f t="shared" si="27"/>
        <v>0.29032258064516131</v>
      </c>
      <c r="AN210" s="4">
        <f t="shared" si="28"/>
        <v>4.3971613880372783E-4</v>
      </c>
      <c r="AO210" s="3"/>
      <c r="AP210">
        <v>0</v>
      </c>
      <c r="AR210" t="s">
        <v>0</v>
      </c>
      <c r="AT210" s="2">
        <v>3.573</v>
      </c>
      <c r="AU210" s="1">
        <f t="shared" si="29"/>
        <v>2.1770418885847089</v>
      </c>
      <c r="AV210" s="1">
        <f t="shared" si="30"/>
        <v>1.5675932386691844</v>
      </c>
      <c r="AW210" s="1">
        <f t="shared" si="31"/>
        <v>0.95814458875365971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2021-11-11T11:39:42Z</dcterms:created>
  <dcterms:modified xsi:type="dcterms:W3CDTF">2022-01-19T20:18:48Z</dcterms:modified>
</cp:coreProperties>
</file>